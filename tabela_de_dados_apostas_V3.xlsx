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esso\Desktop\Felipe\"/>
    </mc:Choice>
  </mc:AlternateContent>
  <xr:revisionPtr revIDLastSave="0" documentId="13_ncr:1_{7FF4DF10-DE63-4FA5-820D-CB5E1D94C050}" xr6:coauthVersionLast="47" xr6:coauthVersionMax="47" xr10:uidLastSave="{00000000-0000-0000-0000-000000000000}"/>
  <bookViews>
    <workbookView xWindow="-108" yWindow="-108" windowWidth="23256" windowHeight="12456" tabRatio="897" firstSheet="4" activeTab="12" xr2:uid="{00000000-000D-0000-FFFF-FFFF00000000}"/>
  </bookViews>
  <sheets>
    <sheet name="Atualização" sheetId="13" r:id="rId1"/>
    <sheet name="Memória" sheetId="8" r:id="rId2"/>
    <sheet name="Dados" sheetId="2" r:id="rId3"/>
    <sheet name="Ligas" sheetId="1" r:id="rId4"/>
    <sheet name="Equipes" sheetId="3" r:id="rId5"/>
    <sheet name="Ranking" sheetId="4" r:id="rId6"/>
    <sheet name="Avaliação Partidas" sheetId="16" r:id="rId7"/>
    <sheet name="Modelo 01" sheetId="5" r:id="rId8"/>
    <sheet name="Modelo 02" sheetId="19" r:id="rId9"/>
    <sheet name="Prova Real" sheetId="11" r:id="rId10"/>
    <sheet name="Bilhetes" sheetId="7" r:id="rId11"/>
    <sheet name="Backtest" sheetId="6" r:id="rId12"/>
    <sheet name="Radar Over" sheetId="17" r:id="rId13"/>
    <sheet name="Seleção 16-08" sheetId="18" r:id="rId14"/>
  </sheets>
  <definedNames>
    <definedName name="_xlnm._FilterDatabase" localSheetId="4" hidden="1">Equipes!$A$1:$Z$1</definedName>
    <definedName name="CadastroEquipes">Equipes!$A$2:$A$1000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7" i="19" l="1"/>
  <c r="C77" i="19"/>
  <c r="F76" i="19"/>
  <c r="C76" i="19"/>
  <c r="F75" i="19"/>
  <c r="C75" i="19"/>
  <c r="F74" i="19"/>
  <c r="C74" i="19"/>
  <c r="F73" i="19"/>
  <c r="C73" i="19"/>
  <c r="F72" i="19"/>
  <c r="C72" i="19"/>
  <c r="F71" i="19"/>
  <c r="C71" i="19"/>
  <c r="F70" i="19"/>
  <c r="C70" i="19"/>
  <c r="F69" i="19"/>
  <c r="C69" i="19"/>
  <c r="F68" i="19"/>
  <c r="C68" i="19"/>
  <c r="F67" i="19"/>
  <c r="C67" i="19"/>
  <c r="J64" i="19"/>
  <c r="J63" i="19"/>
  <c r="I64" i="19"/>
  <c r="I63" i="19"/>
  <c r="H64" i="19"/>
  <c r="G64" i="19"/>
  <c r="H63" i="19"/>
  <c r="G63" i="19"/>
  <c r="B64" i="19"/>
  <c r="D64" i="19" s="1"/>
  <c r="A67" i="19"/>
  <c r="A68" i="19"/>
  <c r="A69" i="19"/>
  <c r="A70" i="19"/>
  <c r="A71" i="19"/>
  <c r="A72" i="19"/>
  <c r="A73" i="19"/>
  <c r="A74" i="19"/>
  <c r="A75" i="19"/>
  <c r="A76" i="19"/>
  <c r="A77" i="19"/>
  <c r="B57" i="19"/>
  <c r="B58" i="19"/>
  <c r="B59" i="19"/>
  <c r="B60" i="19"/>
  <c r="B61" i="19"/>
  <c r="D61" i="19" s="1"/>
  <c r="B37" i="19" a="1"/>
  <c r="B37" i="19" s="1"/>
  <c r="J36" i="19" a="1"/>
  <c r="J36" i="19" s="1"/>
  <c r="I36" i="19" a="1"/>
  <c r="I36" i="19" s="1"/>
  <c r="C13" i="19"/>
  <c r="B13" i="19"/>
  <c r="C12" i="19"/>
  <c r="B12" i="19"/>
  <c r="C11" i="19"/>
  <c r="C14" i="19" s="1"/>
  <c r="B11" i="19"/>
  <c r="D14" i="19" s="1"/>
  <c r="C10" i="19"/>
  <c r="B10" i="19"/>
  <c r="H6" i="19"/>
  <c r="E6" i="19"/>
  <c r="H5" i="19"/>
  <c r="E5" i="19"/>
  <c r="F103" i="6"/>
  <c r="F104" i="6"/>
  <c r="F105" i="6"/>
  <c r="F106" i="6"/>
  <c r="F107" i="6"/>
  <c r="E103" i="6"/>
  <c r="E104" i="6"/>
  <c r="E105" i="6"/>
  <c r="E106" i="6"/>
  <c r="E107" i="6"/>
  <c r="E843" i="7"/>
  <c r="C843" i="7"/>
  <c r="A836" i="7"/>
  <c r="E833" i="7"/>
  <c r="C833" i="7"/>
  <c r="A826" i="7"/>
  <c r="E823" i="7"/>
  <c r="C823" i="7"/>
  <c r="A816" i="7"/>
  <c r="G682" i="7"/>
  <c r="E813" i="7"/>
  <c r="C813" i="7"/>
  <c r="A806" i="7"/>
  <c r="G802" i="7"/>
  <c r="C803" i="7" s="1"/>
  <c r="A796" i="7"/>
  <c r="G792" i="7"/>
  <c r="C793" i="7" s="1"/>
  <c r="A786" i="7"/>
  <c r="G782" i="7"/>
  <c r="H781" i="7" s="1"/>
  <c r="A776" i="7"/>
  <c r="G772" i="7"/>
  <c r="H771" i="7" s="1"/>
  <c r="A766" i="7"/>
  <c r="G762" i="7"/>
  <c r="H761" i="7" s="1"/>
  <c r="A756" i="7"/>
  <c r="G752" i="7"/>
  <c r="H751" i="7" s="1"/>
  <c r="A746" i="7"/>
  <c r="G742" i="7"/>
  <c r="C743" i="7" s="1"/>
  <c r="A736" i="7"/>
  <c r="G59" i="13"/>
  <c r="F59" i="13" a="1"/>
  <c r="F59" i="13" s="1"/>
  <c r="E59" i="13" a="1"/>
  <c r="E59" i="13" s="1"/>
  <c r="D59" i="13"/>
  <c r="I41" i="1"/>
  <c r="H41" i="1"/>
  <c r="G53" i="13"/>
  <c r="F53" i="13" a="1"/>
  <c r="F53" i="13" s="1"/>
  <c r="E53" i="13" a="1"/>
  <c r="E53" i="13" s="1"/>
  <c r="D53" i="13"/>
  <c r="I40" i="1"/>
  <c r="H40" i="1"/>
  <c r="G732" i="7"/>
  <c r="H731" i="7" s="1"/>
  <c r="A726" i="7"/>
  <c r="G722" i="7"/>
  <c r="H721" i="7" s="1"/>
  <c r="A716" i="7"/>
  <c r="G712" i="7"/>
  <c r="C713" i="7" s="1"/>
  <c r="A706" i="7"/>
  <c r="G702" i="7"/>
  <c r="H701" i="7" s="1"/>
  <c r="A696" i="7"/>
  <c r="G692" i="7"/>
  <c r="H691" i="7" s="1"/>
  <c r="A686" i="7"/>
  <c r="A676" i="7"/>
  <c r="G672" i="7"/>
  <c r="H671" i="7" s="1"/>
  <c r="A666" i="7"/>
  <c r="G662" i="7"/>
  <c r="E663" i="7" s="1"/>
  <c r="A656" i="7"/>
  <c r="G652" i="7"/>
  <c r="E653" i="7" s="1"/>
  <c r="A646" i="7"/>
  <c r="G642" i="7"/>
  <c r="E643" i="7" s="1"/>
  <c r="A636" i="7"/>
  <c r="G632" i="7"/>
  <c r="E633" i="7" s="1"/>
  <c r="A626" i="7"/>
  <c r="G622" i="7"/>
  <c r="E623" i="7" s="1"/>
  <c r="A616" i="7"/>
  <c r="G612" i="7"/>
  <c r="C613" i="7" s="1"/>
  <c r="G602" i="7"/>
  <c r="E603" i="7" s="1"/>
  <c r="A596" i="7"/>
  <c r="G592" i="7"/>
  <c r="E593" i="7" s="1"/>
  <c r="A586" i="7"/>
  <c r="G582" i="7"/>
  <c r="E583" i="7" s="1"/>
  <c r="A576" i="7"/>
  <c r="G572" i="7"/>
  <c r="E573" i="7" s="1"/>
  <c r="A566" i="7"/>
  <c r="G562" i="7"/>
  <c r="E563" i="7" s="1"/>
  <c r="A556" i="7"/>
  <c r="G552" i="7"/>
  <c r="C553" i="7" s="1"/>
  <c r="A546" i="7"/>
  <c r="G542" i="7"/>
  <c r="E543" i="7" s="1"/>
  <c r="A536" i="7"/>
  <c r="G532" i="7"/>
  <c r="E533" i="7" s="1"/>
  <c r="A526" i="7"/>
  <c r="G522" i="7"/>
  <c r="E523" i="7" s="1"/>
  <c r="A516" i="7"/>
  <c r="G512" i="7"/>
  <c r="E513" i="7" s="1"/>
  <c r="A506" i="7"/>
  <c r="G502" i="7"/>
  <c r="E503" i="7" s="1"/>
  <c r="A496" i="7"/>
  <c r="G492" i="7"/>
  <c r="E493" i="7" s="1"/>
  <c r="A486" i="7"/>
  <c r="G482" i="7"/>
  <c r="H481" i="7" s="1"/>
  <c r="A476" i="7"/>
  <c r="G472" i="7"/>
  <c r="E473" i="7" s="1"/>
  <c r="A466" i="7"/>
  <c r="G462" i="7"/>
  <c r="H461" i="7" s="1"/>
  <c r="A456" i="7"/>
  <c r="B5" i="11"/>
  <c r="B18" i="11" s="1" a="1"/>
  <c r="B18" i="11" s="1"/>
  <c r="B6" i="11"/>
  <c r="C18" i="11" s="1" a="1"/>
  <c r="C18" i="11" s="1"/>
  <c r="D16" i="13"/>
  <c r="E16" i="13" a="1"/>
  <c r="E16" i="13" s="1"/>
  <c r="F16" i="13" a="1"/>
  <c r="F16" i="13" s="1"/>
  <c r="H16" i="13" s="1"/>
  <c r="J16" i="13" s="1"/>
  <c r="G16" i="13"/>
  <c r="D17" i="13"/>
  <c r="E17" i="13" a="1"/>
  <c r="E17" i="13" s="1"/>
  <c r="F17" i="13" a="1"/>
  <c r="F17" i="13" s="1"/>
  <c r="H17" i="13" s="1"/>
  <c r="J17" i="13" s="1"/>
  <c r="G17" i="13"/>
  <c r="D18" i="13"/>
  <c r="E18" i="13" a="1"/>
  <c r="E18" i="13" s="1"/>
  <c r="F18" i="13" a="1"/>
  <c r="F18" i="13" s="1"/>
  <c r="H18" i="13" s="1"/>
  <c r="J18" i="13" s="1"/>
  <c r="G18" i="13"/>
  <c r="D19" i="13"/>
  <c r="E19" i="13" a="1"/>
  <c r="E19" i="13" s="1"/>
  <c r="F19" i="13" a="1"/>
  <c r="F19" i="13" s="1"/>
  <c r="H19" i="13" s="1"/>
  <c r="J19" i="13" s="1"/>
  <c r="G19" i="13"/>
  <c r="D20" i="13"/>
  <c r="E20" i="13" a="1"/>
  <c r="E20" i="13" s="1"/>
  <c r="F20" i="13" a="1"/>
  <c r="F20" i="13" s="1"/>
  <c r="H20" i="13" s="1"/>
  <c r="J20" i="13" s="1"/>
  <c r="G20" i="13"/>
  <c r="D21" i="13"/>
  <c r="E21" i="13" a="1"/>
  <c r="E21" i="13" s="1"/>
  <c r="F21" i="13" a="1"/>
  <c r="F21" i="13" s="1"/>
  <c r="H21" i="13" s="1"/>
  <c r="J21" i="13" s="1"/>
  <c r="G21" i="13"/>
  <c r="D22" i="13"/>
  <c r="E22" i="13" a="1"/>
  <c r="E22" i="13" s="1"/>
  <c r="F22" i="13" a="1"/>
  <c r="F22" i="13" s="1"/>
  <c r="H22" i="13" s="1"/>
  <c r="J22" i="13" s="1"/>
  <c r="G22" i="13"/>
  <c r="D23" i="13"/>
  <c r="E23" i="13" a="1"/>
  <c r="E23" i="13" s="1"/>
  <c r="F23" i="13" a="1"/>
  <c r="F23" i="13" s="1"/>
  <c r="H23" i="13" s="1"/>
  <c r="J23" i="13" s="1"/>
  <c r="G23" i="13"/>
  <c r="D24" i="13"/>
  <c r="E24" i="13" a="1"/>
  <c r="E24" i="13" s="1"/>
  <c r="F24" i="13" a="1"/>
  <c r="F24" i="13" s="1"/>
  <c r="H24" i="13" s="1"/>
  <c r="J24" i="13" s="1"/>
  <c r="G24" i="13"/>
  <c r="D25" i="13"/>
  <c r="E25" i="13" a="1"/>
  <c r="E25" i="13" s="1"/>
  <c r="F25" i="13" a="1"/>
  <c r="F25" i="13" s="1"/>
  <c r="H25" i="13" s="1"/>
  <c r="J25" i="13" s="1"/>
  <c r="G25" i="13"/>
  <c r="D26" i="13"/>
  <c r="E26" i="13" a="1"/>
  <c r="E26" i="13" s="1"/>
  <c r="F26" i="13" a="1"/>
  <c r="F26" i="13" s="1"/>
  <c r="H26" i="13" s="1"/>
  <c r="J26" i="13" s="1"/>
  <c r="G26" i="13"/>
  <c r="D27" i="13"/>
  <c r="E27" i="13" a="1"/>
  <c r="E27" i="13" s="1"/>
  <c r="F27" i="13" a="1"/>
  <c r="F27" i="13" s="1"/>
  <c r="H27" i="13" s="1"/>
  <c r="J27" i="13" s="1"/>
  <c r="G27" i="13"/>
  <c r="D28" i="13"/>
  <c r="E28" i="13" a="1"/>
  <c r="E28" i="13" s="1"/>
  <c r="F28" i="13" a="1"/>
  <c r="F28" i="13" s="1"/>
  <c r="H28" i="13" s="1"/>
  <c r="J28" i="13" s="1"/>
  <c r="G28" i="13"/>
  <c r="D29" i="13"/>
  <c r="E29" i="13" a="1"/>
  <c r="E29" i="13" s="1"/>
  <c r="F29" i="13" a="1"/>
  <c r="F29" i="13" s="1"/>
  <c r="H29" i="13" s="1"/>
  <c r="J29" i="13" s="1"/>
  <c r="G29" i="13"/>
  <c r="D30" i="13"/>
  <c r="E30" i="13" a="1"/>
  <c r="E30" i="13" s="1"/>
  <c r="F30" i="13" a="1"/>
  <c r="F30" i="13" s="1"/>
  <c r="H30" i="13" s="1"/>
  <c r="J30" i="13" s="1"/>
  <c r="G30" i="13"/>
  <c r="D31" i="13"/>
  <c r="E31" i="13" a="1"/>
  <c r="E31" i="13" s="1"/>
  <c r="F31" i="13" a="1"/>
  <c r="F31" i="13" s="1"/>
  <c r="H31" i="13" s="1"/>
  <c r="J31" i="13" s="1"/>
  <c r="G31" i="13"/>
  <c r="D32" i="13"/>
  <c r="E32" i="13" a="1"/>
  <c r="E32" i="13" s="1"/>
  <c r="F32" i="13" a="1"/>
  <c r="F32" i="13" s="1"/>
  <c r="H32" i="13" s="1"/>
  <c r="J32" i="13" s="1"/>
  <c r="G32" i="13"/>
  <c r="D33" i="13"/>
  <c r="E33" i="13" a="1"/>
  <c r="E33" i="13" s="1"/>
  <c r="F33" i="13" a="1"/>
  <c r="F33" i="13" s="1"/>
  <c r="H33" i="13" s="1"/>
  <c r="J33" i="13" s="1"/>
  <c r="G33" i="13"/>
  <c r="D34" i="13"/>
  <c r="E34" i="13" a="1"/>
  <c r="E34" i="13" s="1"/>
  <c r="F34" i="13" a="1"/>
  <c r="F34" i="13" s="1"/>
  <c r="H34" i="13" s="1"/>
  <c r="J34" i="13" s="1"/>
  <c r="G34" i="13"/>
  <c r="D35" i="13"/>
  <c r="E35" i="13" a="1"/>
  <c r="E35" i="13" s="1"/>
  <c r="F35" i="13" a="1"/>
  <c r="F35" i="13" s="1"/>
  <c r="H35" i="13" s="1"/>
  <c r="J35" i="13" s="1"/>
  <c r="G35" i="13"/>
  <c r="D36" i="13"/>
  <c r="E36" i="13" a="1"/>
  <c r="E36" i="13" s="1"/>
  <c r="F36" i="13" a="1"/>
  <c r="F36" i="13" s="1"/>
  <c r="H36" i="13" s="1"/>
  <c r="J36" i="13" s="1"/>
  <c r="G36" i="13"/>
  <c r="D37" i="13"/>
  <c r="E37" i="13" a="1"/>
  <c r="E37" i="13" s="1"/>
  <c r="F37" i="13" a="1"/>
  <c r="F37" i="13" s="1"/>
  <c r="H37" i="13" s="1"/>
  <c r="J37" i="13" s="1"/>
  <c r="G37" i="13"/>
  <c r="D38" i="13"/>
  <c r="E38" i="13" a="1"/>
  <c r="E38" i="13" s="1"/>
  <c r="F38" i="13" a="1"/>
  <c r="F38" i="13" s="1"/>
  <c r="H38" i="13" s="1"/>
  <c r="J38" i="13" s="1"/>
  <c r="G38" i="13"/>
  <c r="D39" i="13"/>
  <c r="E39" i="13" a="1"/>
  <c r="E39" i="13" s="1"/>
  <c r="F39" i="13" a="1"/>
  <c r="F39" i="13" s="1"/>
  <c r="H39" i="13" s="1"/>
  <c r="J39" i="13" s="1"/>
  <c r="G39" i="13"/>
  <c r="D40" i="13"/>
  <c r="E40" i="13" a="1"/>
  <c r="E40" i="13" s="1"/>
  <c r="F40" i="13" a="1"/>
  <c r="F40" i="13" s="1"/>
  <c r="H40" i="13" s="1"/>
  <c r="J40" i="13" s="1"/>
  <c r="G40" i="13"/>
  <c r="D41" i="13"/>
  <c r="E41" i="13" a="1"/>
  <c r="E41" i="13" s="1"/>
  <c r="F41" i="13" a="1"/>
  <c r="F41" i="13" s="1"/>
  <c r="H41" i="13" s="1"/>
  <c r="J41" i="13" s="1"/>
  <c r="G41" i="13"/>
  <c r="D42" i="13"/>
  <c r="E42" i="13" a="1"/>
  <c r="E42" i="13" s="1"/>
  <c r="F42" i="13" a="1"/>
  <c r="F42" i="13" s="1"/>
  <c r="H42" i="13" s="1"/>
  <c r="J42" i="13" s="1"/>
  <c r="G42" i="13"/>
  <c r="D43" i="13"/>
  <c r="E43" i="13" a="1"/>
  <c r="E43" i="13" s="1"/>
  <c r="F43" i="13" a="1"/>
  <c r="F43" i="13" s="1"/>
  <c r="H43" i="13" s="1"/>
  <c r="J43" i="13" s="1"/>
  <c r="G43" i="13"/>
  <c r="D44" i="13"/>
  <c r="E44" i="13" a="1"/>
  <c r="E44" i="13" s="1"/>
  <c r="F44" i="13" a="1"/>
  <c r="F44" i="13" s="1"/>
  <c r="H44" i="13" s="1"/>
  <c r="J44" i="13" s="1"/>
  <c r="G44" i="13"/>
  <c r="D45" i="13"/>
  <c r="E45" i="13" a="1"/>
  <c r="E45" i="13" s="1"/>
  <c r="F45" i="13" a="1"/>
  <c r="F45" i="13" s="1"/>
  <c r="H45" i="13" s="1"/>
  <c r="J45" i="13" s="1"/>
  <c r="G45" i="13"/>
  <c r="D46" i="13"/>
  <c r="E46" i="13" a="1"/>
  <c r="E46" i="13" s="1"/>
  <c r="F46" i="13" a="1"/>
  <c r="F46" i="13" s="1"/>
  <c r="H46" i="13" s="1"/>
  <c r="J46" i="13" s="1"/>
  <c r="G46" i="13"/>
  <c r="D47" i="13"/>
  <c r="E47" i="13" a="1"/>
  <c r="E47" i="13" s="1"/>
  <c r="F47" i="13" a="1"/>
  <c r="F47" i="13" s="1"/>
  <c r="H47" i="13" s="1"/>
  <c r="J47" i="13" s="1"/>
  <c r="G47" i="13"/>
  <c r="D48" i="13"/>
  <c r="E48" i="13" a="1"/>
  <c r="E48" i="13" s="1"/>
  <c r="F48" i="13" a="1"/>
  <c r="F48" i="13" s="1"/>
  <c r="H48" i="13" s="1"/>
  <c r="J48" i="13" s="1"/>
  <c r="G48" i="13"/>
  <c r="D49" i="13"/>
  <c r="E49" i="13" a="1"/>
  <c r="E49" i="13" s="1"/>
  <c r="F49" i="13" a="1"/>
  <c r="F49" i="13" s="1"/>
  <c r="H49" i="13" s="1"/>
  <c r="J49" i="13" s="1"/>
  <c r="G49" i="13"/>
  <c r="D50" i="13"/>
  <c r="E50" i="13" a="1"/>
  <c r="E50" i="13" s="1"/>
  <c r="F50" i="13" a="1"/>
  <c r="F50" i="13" s="1"/>
  <c r="H50" i="13" s="1"/>
  <c r="J50" i="13" s="1"/>
  <c r="G50" i="13"/>
  <c r="D51" i="13"/>
  <c r="E51" i="13" a="1"/>
  <c r="E51" i="13" s="1"/>
  <c r="F51" i="13" a="1"/>
  <c r="F51" i="13" s="1"/>
  <c r="H51" i="13" s="1"/>
  <c r="J51" i="13" s="1"/>
  <c r="G51" i="13"/>
  <c r="D52" i="13"/>
  <c r="E52" i="13" a="1"/>
  <c r="E52" i="13" s="1"/>
  <c r="F52" i="13" a="1"/>
  <c r="F52" i="13" s="1"/>
  <c r="H52" i="13" s="1"/>
  <c r="J52" i="13" s="1"/>
  <c r="G52" i="13"/>
  <c r="D69" i="13"/>
  <c r="E69" i="13" a="1"/>
  <c r="E69" i="13" s="1"/>
  <c r="F69" i="13" a="1"/>
  <c r="F69" i="13" s="1"/>
  <c r="H69" i="13" s="1"/>
  <c r="J69" i="13" s="1"/>
  <c r="G69" i="13"/>
  <c r="D15" i="13"/>
  <c r="E15" i="13" a="1"/>
  <c r="E15" i="13" s="1"/>
  <c r="F15" i="13" a="1"/>
  <c r="F15" i="13" s="1"/>
  <c r="H15" i="13" s="1"/>
  <c r="J15" i="13" s="1"/>
  <c r="G15" i="13"/>
  <c r="G452" i="7"/>
  <c r="H451" i="7" s="1"/>
  <c r="A446" i="7"/>
  <c r="G442" i="7"/>
  <c r="H441" i="7" s="1"/>
  <c r="A436" i="7"/>
  <c r="G432" i="7"/>
  <c r="H431" i="7" s="1"/>
  <c r="A426" i="7"/>
  <c r="G422" i="7"/>
  <c r="H421" i="7" s="1"/>
  <c r="A416" i="7"/>
  <c r="G412" i="7"/>
  <c r="H411" i="7" s="1"/>
  <c r="A406" i="7"/>
  <c r="G402" i="7"/>
  <c r="E403" i="7" s="1"/>
  <c r="G392" i="7"/>
  <c r="C393" i="7" s="1"/>
  <c r="G382" i="7"/>
  <c r="E383" i="7" s="1"/>
  <c r="G372" i="7"/>
  <c r="E373" i="7" s="1"/>
  <c r="G362" i="7"/>
  <c r="E363" i="7" s="1"/>
  <c r="G352" i="7"/>
  <c r="C353" i="7" s="1"/>
  <c r="F7" i="16"/>
  <c r="E7" i="16"/>
  <c r="B87" i="6"/>
  <c r="E87" i="6" s="1"/>
  <c r="B88" i="6"/>
  <c r="E88" i="6" s="1"/>
  <c r="P78" i="6"/>
  <c r="A78" i="6"/>
  <c r="F68" i="6"/>
  <c r="K68" i="6"/>
  <c r="M68" i="6"/>
  <c r="N68" i="6"/>
  <c r="O68" i="6"/>
  <c r="P68" i="6"/>
  <c r="Q68" i="6"/>
  <c r="R68" i="6"/>
  <c r="S68" i="6"/>
  <c r="T68" i="6"/>
  <c r="U68" i="6"/>
  <c r="V68" i="6"/>
  <c r="W68" i="6"/>
  <c r="X68" i="6"/>
  <c r="K69" i="6"/>
  <c r="M69" i="6"/>
  <c r="N69" i="6"/>
  <c r="O69" i="6"/>
  <c r="P69" i="6"/>
  <c r="Q69" i="6"/>
  <c r="R69" i="6"/>
  <c r="S69" i="6"/>
  <c r="T69" i="6"/>
  <c r="U69" i="6"/>
  <c r="V69" i="6"/>
  <c r="W69" i="6"/>
  <c r="X69" i="6"/>
  <c r="F70" i="6"/>
  <c r="K70" i="6"/>
  <c r="M70" i="6"/>
  <c r="N70" i="6"/>
  <c r="O70" i="6"/>
  <c r="P70" i="6"/>
  <c r="Q70" i="6"/>
  <c r="R70" i="6"/>
  <c r="S70" i="6"/>
  <c r="T70" i="6"/>
  <c r="U70" i="6"/>
  <c r="V70" i="6"/>
  <c r="W70" i="6"/>
  <c r="X70" i="6"/>
  <c r="I34" i="1"/>
  <c r="H34" i="1"/>
  <c r="I27" i="1"/>
  <c r="H27" i="1"/>
  <c r="X67" i="6"/>
  <c r="W67" i="6"/>
  <c r="V67" i="6"/>
  <c r="U67" i="6"/>
  <c r="T67" i="6"/>
  <c r="S67" i="6"/>
  <c r="R67" i="6"/>
  <c r="Q67" i="6"/>
  <c r="P67" i="6"/>
  <c r="O67" i="6"/>
  <c r="N67" i="6"/>
  <c r="X66" i="6"/>
  <c r="W66" i="6"/>
  <c r="V66" i="6"/>
  <c r="U66" i="6"/>
  <c r="T66" i="6"/>
  <c r="S66" i="6"/>
  <c r="R66" i="6"/>
  <c r="Q66" i="6"/>
  <c r="P66" i="6"/>
  <c r="O66" i="6"/>
  <c r="N66" i="6"/>
  <c r="X65" i="6"/>
  <c r="W65" i="6"/>
  <c r="V65" i="6"/>
  <c r="U65" i="6"/>
  <c r="T65" i="6"/>
  <c r="S65" i="6"/>
  <c r="R65" i="6"/>
  <c r="Q65" i="6"/>
  <c r="P65" i="6"/>
  <c r="O65" i="6"/>
  <c r="N65" i="6"/>
  <c r="X64" i="6"/>
  <c r="W64" i="6"/>
  <c r="V64" i="6"/>
  <c r="U64" i="6"/>
  <c r="T64" i="6"/>
  <c r="S64" i="6"/>
  <c r="R64" i="6"/>
  <c r="Q64" i="6"/>
  <c r="P64" i="6"/>
  <c r="O64" i="6"/>
  <c r="N64" i="6"/>
  <c r="X63" i="6"/>
  <c r="W63" i="6"/>
  <c r="V63" i="6"/>
  <c r="U63" i="6"/>
  <c r="T63" i="6"/>
  <c r="S63" i="6"/>
  <c r="R63" i="6"/>
  <c r="Q63" i="6"/>
  <c r="P63" i="6"/>
  <c r="O63" i="6"/>
  <c r="N63" i="6"/>
  <c r="X62" i="6"/>
  <c r="W62" i="6"/>
  <c r="V62" i="6"/>
  <c r="U62" i="6"/>
  <c r="T62" i="6"/>
  <c r="S62" i="6"/>
  <c r="R62" i="6"/>
  <c r="Q62" i="6"/>
  <c r="P62" i="6"/>
  <c r="O62" i="6"/>
  <c r="N62" i="6"/>
  <c r="X61" i="6"/>
  <c r="W61" i="6"/>
  <c r="V61" i="6"/>
  <c r="U61" i="6"/>
  <c r="T61" i="6"/>
  <c r="S61" i="6"/>
  <c r="R61" i="6"/>
  <c r="Q61" i="6"/>
  <c r="P61" i="6"/>
  <c r="O61" i="6"/>
  <c r="N61" i="6"/>
  <c r="X60" i="6"/>
  <c r="W60" i="6"/>
  <c r="V60" i="6"/>
  <c r="U60" i="6"/>
  <c r="T60" i="6"/>
  <c r="S60" i="6"/>
  <c r="R60" i="6"/>
  <c r="Q60" i="6"/>
  <c r="P60" i="6"/>
  <c r="O60" i="6"/>
  <c r="N60" i="6"/>
  <c r="X59" i="6"/>
  <c r="W59" i="6"/>
  <c r="V59" i="6"/>
  <c r="U59" i="6"/>
  <c r="T59" i="6"/>
  <c r="S59" i="6"/>
  <c r="R59" i="6"/>
  <c r="Q59" i="6"/>
  <c r="P59" i="6"/>
  <c r="O59" i="6"/>
  <c r="N59" i="6"/>
  <c r="X58" i="6"/>
  <c r="W58" i="6"/>
  <c r="V58" i="6"/>
  <c r="U58" i="6"/>
  <c r="T58" i="6"/>
  <c r="S58" i="6"/>
  <c r="R58" i="6"/>
  <c r="Q58" i="6"/>
  <c r="P58" i="6"/>
  <c r="O58" i="6"/>
  <c r="N58" i="6"/>
  <c r="X57" i="6"/>
  <c r="W57" i="6"/>
  <c r="V57" i="6"/>
  <c r="U57" i="6"/>
  <c r="T57" i="6"/>
  <c r="S57" i="6"/>
  <c r="R57" i="6"/>
  <c r="Q57" i="6"/>
  <c r="P57" i="6"/>
  <c r="O57" i="6"/>
  <c r="N57" i="6"/>
  <c r="X56" i="6"/>
  <c r="W56" i="6"/>
  <c r="V56" i="6"/>
  <c r="U56" i="6"/>
  <c r="T56" i="6"/>
  <c r="S56" i="6"/>
  <c r="R56" i="6"/>
  <c r="Q56" i="6"/>
  <c r="P56" i="6"/>
  <c r="O56" i="6"/>
  <c r="N56" i="6"/>
  <c r="X55" i="6"/>
  <c r="W55" i="6"/>
  <c r="V55" i="6"/>
  <c r="U55" i="6"/>
  <c r="T55" i="6"/>
  <c r="S55" i="6"/>
  <c r="R55" i="6"/>
  <c r="Q55" i="6"/>
  <c r="P55" i="6"/>
  <c r="O55" i="6"/>
  <c r="N55" i="6"/>
  <c r="X54" i="6"/>
  <c r="W54" i="6"/>
  <c r="V54" i="6"/>
  <c r="U54" i="6"/>
  <c r="T54" i="6"/>
  <c r="S54" i="6"/>
  <c r="R54" i="6"/>
  <c r="Q54" i="6"/>
  <c r="P54" i="6"/>
  <c r="O54" i="6"/>
  <c r="N54" i="6"/>
  <c r="M67" i="6"/>
  <c r="M66" i="6"/>
  <c r="M65" i="6"/>
  <c r="M64" i="6"/>
  <c r="M63" i="6"/>
  <c r="M62" i="6"/>
  <c r="M61" i="6"/>
  <c r="M60" i="6"/>
  <c r="M59" i="6"/>
  <c r="M58" i="6"/>
  <c r="M57" i="6"/>
  <c r="M56" i="6"/>
  <c r="M55" i="6"/>
  <c r="M54" i="6"/>
  <c r="K67" i="6"/>
  <c r="K66" i="6"/>
  <c r="K65" i="6"/>
  <c r="K64" i="6"/>
  <c r="K63" i="6"/>
  <c r="K62" i="6"/>
  <c r="K61" i="6"/>
  <c r="K60" i="6"/>
  <c r="K59" i="6"/>
  <c r="K58" i="6"/>
  <c r="K57" i="6"/>
  <c r="K56" i="6"/>
  <c r="K55" i="6"/>
  <c r="K54" i="6"/>
  <c r="F67" i="6"/>
  <c r="F66" i="6"/>
  <c r="F65" i="6"/>
  <c r="F64" i="6"/>
  <c r="F63" i="6"/>
  <c r="F62" i="6"/>
  <c r="F61" i="6"/>
  <c r="F59" i="6"/>
  <c r="F58" i="6"/>
  <c r="F57" i="6"/>
  <c r="F56" i="6"/>
  <c r="F55" i="6"/>
  <c r="F54" i="6"/>
  <c r="G342" i="7"/>
  <c r="C343" i="7" s="1"/>
  <c r="E343" i="7" s="1"/>
  <c r="H341" i="7"/>
  <c r="I7" i="1"/>
  <c r="H7" i="1"/>
  <c r="G332" i="7"/>
  <c r="H331" i="7"/>
  <c r="G322" i="7"/>
  <c r="C323" i="7" s="1"/>
  <c r="E323" i="7" s="1"/>
  <c r="H321" i="7"/>
  <c r="G312" i="7"/>
  <c r="I32" i="1"/>
  <c r="H32" i="1"/>
  <c r="I31" i="1"/>
  <c r="H31" i="1"/>
  <c r="I30" i="1"/>
  <c r="H30" i="1"/>
  <c r="G302" i="7"/>
  <c r="C303" i="7" s="1"/>
  <c r="E303" i="7" s="1"/>
  <c r="H301" i="7"/>
  <c r="G292" i="7"/>
  <c r="C293" i="7" s="1"/>
  <c r="E293" i="7" s="1"/>
  <c r="H291" i="7"/>
  <c r="G282" i="7"/>
  <c r="C283" i="7" s="1"/>
  <c r="E283" i="7" s="1"/>
  <c r="H281" i="7"/>
  <c r="G272" i="7"/>
  <c r="C273" i="7" s="1"/>
  <c r="E273" i="7" s="1"/>
  <c r="H271" i="7"/>
  <c r="G262" i="7"/>
  <c r="C263" i="7" s="1"/>
  <c r="E263" i="7" s="1"/>
  <c r="H261" i="7"/>
  <c r="G252" i="7"/>
  <c r="C253" i="7" s="1"/>
  <c r="E253" i="7" s="1"/>
  <c r="H251" i="7"/>
  <c r="G242" i="7"/>
  <c r="G232" i="7"/>
  <c r="C233" i="7" s="1"/>
  <c r="E233" i="7" s="1"/>
  <c r="H231" i="7"/>
  <c r="G222" i="7"/>
  <c r="C223" i="7" s="1"/>
  <c r="E223" i="7" s="1"/>
  <c r="H221" i="7"/>
  <c r="G212" i="7"/>
  <c r="C213" i="7" s="1"/>
  <c r="E213" i="7" s="1"/>
  <c r="H211" i="7"/>
  <c r="I39" i="1"/>
  <c r="I38" i="1"/>
  <c r="I37" i="1"/>
  <c r="I36" i="1"/>
  <c r="I35" i="1"/>
  <c r="I33" i="1"/>
  <c r="I29" i="1"/>
  <c r="I28" i="1"/>
  <c r="I26" i="1"/>
  <c r="I25" i="1"/>
  <c r="I24" i="1"/>
  <c r="I23" i="1"/>
  <c r="I22" i="1"/>
  <c r="I21" i="1"/>
  <c r="I20" i="1"/>
  <c r="I19" i="1"/>
  <c r="I18" i="1"/>
  <c r="I17" i="1"/>
  <c r="I16" i="1"/>
  <c r="I15" i="1"/>
  <c r="I14" i="1"/>
  <c r="I13" i="1"/>
  <c r="I12" i="1"/>
  <c r="I11" i="1"/>
  <c r="I10" i="1"/>
  <c r="I9" i="1"/>
  <c r="I8" i="1"/>
  <c r="I6" i="1"/>
  <c r="I5" i="1"/>
  <c r="I4" i="1"/>
  <c r="I3" i="1"/>
  <c r="I2" i="1"/>
  <c r="H39" i="1"/>
  <c r="H38" i="1"/>
  <c r="C38" i="1" s="1"/>
  <c r="E38" i="1" s="1"/>
  <c r="H37" i="1"/>
  <c r="C37" i="1" s="1"/>
  <c r="H36" i="1"/>
  <c r="C36" i="1" s="1"/>
  <c r="H35" i="1"/>
  <c r="C35" i="1" s="1"/>
  <c r="H33" i="1"/>
  <c r="H29" i="1"/>
  <c r="C29" i="1" s="1"/>
  <c r="H28" i="1"/>
  <c r="C28" i="1" s="1"/>
  <c r="H26" i="1"/>
  <c r="C26" i="1" s="1"/>
  <c r="H25" i="1"/>
  <c r="C25" i="1" s="1"/>
  <c r="H24" i="1"/>
  <c r="C24" i="1" s="1"/>
  <c r="H23" i="1"/>
  <c r="C23" i="1" s="1"/>
  <c r="H22" i="1"/>
  <c r="C22" i="1" s="1"/>
  <c r="H21" i="1"/>
  <c r="H20" i="1"/>
  <c r="C20" i="1" s="1"/>
  <c r="H19" i="1"/>
  <c r="C19" i="1" s="1"/>
  <c r="H18" i="1"/>
  <c r="C18" i="1" s="1"/>
  <c r="H17" i="1"/>
  <c r="C17" i="1" s="1"/>
  <c r="H16" i="1"/>
  <c r="C16" i="1" s="1"/>
  <c r="H15" i="1"/>
  <c r="C15" i="1" s="1"/>
  <c r="H14" i="1"/>
  <c r="C14" i="1" s="1"/>
  <c r="H13" i="1"/>
  <c r="C13" i="1" s="1"/>
  <c r="H12" i="1"/>
  <c r="C12" i="1" s="1"/>
  <c r="H11" i="1"/>
  <c r="C11" i="1" s="1"/>
  <c r="H10" i="1"/>
  <c r="H9" i="1"/>
  <c r="C9" i="1" s="1"/>
  <c r="H8" i="1"/>
  <c r="C8" i="1" s="1"/>
  <c r="H6" i="1"/>
  <c r="C6" i="1" s="1"/>
  <c r="H5" i="1"/>
  <c r="C5" i="1" s="1"/>
  <c r="H4" i="1"/>
  <c r="C4" i="1" s="1"/>
  <c r="H3" i="1"/>
  <c r="C3" i="1" s="1"/>
  <c r="H2" i="1"/>
  <c r="C2" i="1" s="1"/>
  <c r="E2" i="1" s="1"/>
  <c r="M53" i="6"/>
  <c r="K53" i="6"/>
  <c r="F53" i="6"/>
  <c r="M52" i="6"/>
  <c r="K52" i="6"/>
  <c r="F52" i="6"/>
  <c r="M51" i="6"/>
  <c r="K51" i="6"/>
  <c r="F51" i="6"/>
  <c r="M50" i="6"/>
  <c r="K50" i="6"/>
  <c r="F50" i="6"/>
  <c r="M49" i="6"/>
  <c r="K49" i="6"/>
  <c r="F49" i="6"/>
  <c r="M48" i="6"/>
  <c r="K48" i="6"/>
  <c r="F48" i="6"/>
  <c r="M47" i="6"/>
  <c r="K47" i="6"/>
  <c r="F47" i="6"/>
  <c r="M46" i="6"/>
  <c r="K46" i="6"/>
  <c r="F46" i="6"/>
  <c r="M45" i="6"/>
  <c r="K45" i="6"/>
  <c r="F45" i="6"/>
  <c r="M44" i="6"/>
  <c r="K44" i="6"/>
  <c r="F44" i="6"/>
  <c r="M43" i="6"/>
  <c r="K43" i="6"/>
  <c r="F43" i="6"/>
  <c r="M42" i="6"/>
  <c r="K42" i="6"/>
  <c r="F42" i="6"/>
  <c r="M41" i="6"/>
  <c r="K41" i="6"/>
  <c r="F41" i="6"/>
  <c r="M40" i="6"/>
  <c r="F40" i="6"/>
  <c r="M39" i="6"/>
  <c r="K39" i="6"/>
  <c r="F39" i="6"/>
  <c r="M38" i="6"/>
  <c r="K38" i="6"/>
  <c r="F38" i="6"/>
  <c r="M34" i="6"/>
  <c r="M35" i="6"/>
  <c r="M36" i="6"/>
  <c r="M37" i="6"/>
  <c r="K34" i="6"/>
  <c r="K35" i="6"/>
  <c r="K36" i="6"/>
  <c r="K37" i="6"/>
  <c r="F37" i="6"/>
  <c r="X53" i="6"/>
  <c r="X52" i="6"/>
  <c r="X51" i="6"/>
  <c r="X50" i="6"/>
  <c r="X49" i="6"/>
  <c r="X48" i="6"/>
  <c r="X47" i="6"/>
  <c r="X46" i="6"/>
  <c r="X45" i="6"/>
  <c r="X44" i="6"/>
  <c r="X43" i="6"/>
  <c r="X42" i="6"/>
  <c r="X41" i="6"/>
  <c r="X40" i="6"/>
  <c r="X39" i="6"/>
  <c r="X38" i="6"/>
  <c r="X37" i="6"/>
  <c r="W53" i="6"/>
  <c r="W52" i="6"/>
  <c r="W51" i="6"/>
  <c r="W50" i="6"/>
  <c r="W49" i="6"/>
  <c r="W48" i="6"/>
  <c r="W47" i="6"/>
  <c r="W46" i="6"/>
  <c r="W45" i="6"/>
  <c r="W44" i="6"/>
  <c r="W43" i="6"/>
  <c r="W42" i="6"/>
  <c r="W41" i="6"/>
  <c r="W40" i="6"/>
  <c r="W39" i="6"/>
  <c r="W38" i="6"/>
  <c r="W37" i="6"/>
  <c r="V53" i="6"/>
  <c r="V52" i="6"/>
  <c r="V51" i="6"/>
  <c r="V50" i="6"/>
  <c r="V49" i="6"/>
  <c r="V48" i="6"/>
  <c r="V47" i="6"/>
  <c r="V46" i="6"/>
  <c r="V45" i="6"/>
  <c r="V44" i="6"/>
  <c r="V43" i="6"/>
  <c r="V42" i="6"/>
  <c r="V41" i="6"/>
  <c r="V40" i="6"/>
  <c r="V39" i="6"/>
  <c r="V38" i="6"/>
  <c r="V37" i="6"/>
  <c r="U53" i="6"/>
  <c r="U52" i="6"/>
  <c r="U51" i="6"/>
  <c r="U50" i="6"/>
  <c r="U49" i="6"/>
  <c r="U48" i="6"/>
  <c r="U47" i="6"/>
  <c r="U46" i="6"/>
  <c r="U45" i="6"/>
  <c r="U44" i="6"/>
  <c r="U43" i="6"/>
  <c r="U42" i="6"/>
  <c r="U41" i="6"/>
  <c r="U40" i="6"/>
  <c r="U39" i="6"/>
  <c r="U38" i="6"/>
  <c r="U37" i="6"/>
  <c r="T53" i="6"/>
  <c r="T52" i="6"/>
  <c r="T51" i="6"/>
  <c r="T50" i="6"/>
  <c r="T49" i="6"/>
  <c r="T48" i="6"/>
  <c r="T47" i="6"/>
  <c r="T46" i="6"/>
  <c r="T45" i="6"/>
  <c r="T44" i="6"/>
  <c r="T43" i="6"/>
  <c r="T42" i="6"/>
  <c r="T41" i="6"/>
  <c r="T40" i="6"/>
  <c r="T39" i="6"/>
  <c r="T38" i="6"/>
  <c r="T37" i="6"/>
  <c r="S53" i="6"/>
  <c r="S52" i="6"/>
  <c r="S51" i="6"/>
  <c r="S50" i="6"/>
  <c r="S49" i="6"/>
  <c r="S48" i="6"/>
  <c r="S47" i="6"/>
  <c r="S46" i="6"/>
  <c r="S45" i="6"/>
  <c r="S44" i="6"/>
  <c r="S43" i="6"/>
  <c r="S42" i="6"/>
  <c r="S41" i="6"/>
  <c r="S40" i="6"/>
  <c r="S39" i="6"/>
  <c r="S38" i="6"/>
  <c r="S37" i="6"/>
  <c r="R53" i="6"/>
  <c r="R52" i="6"/>
  <c r="R51" i="6"/>
  <c r="R50" i="6"/>
  <c r="R49" i="6"/>
  <c r="R48" i="6"/>
  <c r="R47" i="6"/>
  <c r="R46" i="6"/>
  <c r="R45" i="6"/>
  <c r="R44" i="6"/>
  <c r="R43" i="6"/>
  <c r="R42" i="6"/>
  <c r="R41" i="6"/>
  <c r="R40" i="6"/>
  <c r="R39" i="6"/>
  <c r="R38" i="6"/>
  <c r="R37" i="6"/>
  <c r="Q53" i="6"/>
  <c r="Q52" i="6"/>
  <c r="Q51" i="6"/>
  <c r="Q50" i="6"/>
  <c r="Q49" i="6"/>
  <c r="Q48" i="6"/>
  <c r="Q47" i="6"/>
  <c r="Q46" i="6"/>
  <c r="Q45" i="6"/>
  <c r="Q44" i="6"/>
  <c r="Q43" i="6"/>
  <c r="Q42" i="6"/>
  <c r="Q41" i="6"/>
  <c r="Q40" i="6"/>
  <c r="Q39" i="6"/>
  <c r="Q38" i="6"/>
  <c r="Q37" i="6"/>
  <c r="P53" i="6"/>
  <c r="P52" i="6"/>
  <c r="P51" i="6"/>
  <c r="P50" i="6"/>
  <c r="P49" i="6"/>
  <c r="P48" i="6"/>
  <c r="P47" i="6"/>
  <c r="P46" i="6"/>
  <c r="P45" i="6"/>
  <c r="P44" i="6"/>
  <c r="P43" i="6"/>
  <c r="P42" i="6"/>
  <c r="P41" i="6"/>
  <c r="P40" i="6"/>
  <c r="P39" i="6"/>
  <c r="P38" i="6"/>
  <c r="P37" i="6"/>
  <c r="O53" i="6"/>
  <c r="O52" i="6"/>
  <c r="O51" i="6"/>
  <c r="O50" i="6"/>
  <c r="O49" i="6"/>
  <c r="O48" i="6"/>
  <c r="O47" i="6"/>
  <c r="O46" i="6"/>
  <c r="O45" i="6"/>
  <c r="O44" i="6"/>
  <c r="O43" i="6"/>
  <c r="O42" i="6"/>
  <c r="O41" i="6"/>
  <c r="O40" i="6"/>
  <c r="O39" i="6"/>
  <c r="O38" i="6"/>
  <c r="O37" i="6"/>
  <c r="N53" i="6"/>
  <c r="N52" i="6"/>
  <c r="N51" i="6"/>
  <c r="N50" i="6"/>
  <c r="N49" i="6"/>
  <c r="N48" i="6"/>
  <c r="N47" i="6"/>
  <c r="N46" i="6"/>
  <c r="N45" i="6"/>
  <c r="N44" i="6"/>
  <c r="N43" i="6"/>
  <c r="N42" i="6"/>
  <c r="N41" i="6"/>
  <c r="N40" i="6"/>
  <c r="N39" i="6"/>
  <c r="N38" i="6"/>
  <c r="N37" i="6"/>
  <c r="X36" i="6"/>
  <c r="W36" i="6"/>
  <c r="V36" i="6"/>
  <c r="U36" i="6"/>
  <c r="T36" i="6"/>
  <c r="S36" i="6"/>
  <c r="R36" i="6"/>
  <c r="Q36" i="6"/>
  <c r="P36" i="6"/>
  <c r="O36" i="6"/>
  <c r="N36" i="6"/>
  <c r="E173" i="7"/>
  <c r="G202" i="7"/>
  <c r="C203" i="7" s="1"/>
  <c r="E203" i="7" s="1"/>
  <c r="H201" i="7"/>
  <c r="G192" i="7"/>
  <c r="C193" i="7" s="1"/>
  <c r="E193" i="7" s="1"/>
  <c r="H191" i="7"/>
  <c r="G182" i="7"/>
  <c r="C183" i="7" s="1"/>
  <c r="E183" i="7" s="1"/>
  <c r="H181" i="7"/>
  <c r="X35" i="6"/>
  <c r="W35" i="6"/>
  <c r="V35" i="6"/>
  <c r="U35" i="6"/>
  <c r="T35" i="6"/>
  <c r="S35" i="6"/>
  <c r="R35" i="6"/>
  <c r="Q35" i="6"/>
  <c r="P35" i="6"/>
  <c r="O35" i="6"/>
  <c r="N35" i="6"/>
  <c r="F35" i="6"/>
  <c r="H171" i="7"/>
  <c r="G172" i="7"/>
  <c r="H162" i="7"/>
  <c r="G163" i="7"/>
  <c r="C164" i="7" s="1"/>
  <c r="E164" i="7" s="1"/>
  <c r="H153" i="7"/>
  <c r="G154" i="7"/>
  <c r="C155" i="7" s="1"/>
  <c r="E155" i="7" s="1"/>
  <c r="H144" i="7"/>
  <c r="G145" i="7"/>
  <c r="C146" i="7" s="1"/>
  <c r="E146" i="7" s="1"/>
  <c r="H135" i="7"/>
  <c r="G136" i="7"/>
  <c r="C137" i="7" s="1"/>
  <c r="E137" i="7" s="1"/>
  <c r="G127" i="7"/>
  <c r="C128" i="7" s="1"/>
  <c r="E128" i="7" s="1"/>
  <c r="H126" i="7"/>
  <c r="G118" i="7"/>
  <c r="C119" i="7" s="1"/>
  <c r="E119" i="7" s="1"/>
  <c r="H117" i="7"/>
  <c r="H108" i="7"/>
  <c r="G109" i="7"/>
  <c r="C110" i="7" s="1"/>
  <c r="E110" i="7" s="1"/>
  <c r="H99" i="7"/>
  <c r="G100" i="7"/>
  <c r="C101" i="7" s="1"/>
  <c r="E101" i="7" s="1"/>
  <c r="H90" i="7"/>
  <c r="G91" i="7"/>
  <c r="C92" i="7" s="1"/>
  <c r="E92" i="7" s="1"/>
  <c r="H81" i="7"/>
  <c r="G82" i="7"/>
  <c r="C83" i="7" s="1"/>
  <c r="E83" i="7" s="1"/>
  <c r="G73" i="7"/>
  <c r="C74" i="7" s="1"/>
  <c r="E74" i="7" s="1"/>
  <c r="H72" i="7"/>
  <c r="F34" i="6"/>
  <c r="X34" i="6"/>
  <c r="W34" i="6"/>
  <c r="V34" i="6"/>
  <c r="U34" i="6"/>
  <c r="T34" i="6"/>
  <c r="S34" i="6"/>
  <c r="R34" i="6"/>
  <c r="Q34" i="6"/>
  <c r="P34" i="6"/>
  <c r="O34" i="6"/>
  <c r="N34" i="6"/>
  <c r="G64" i="7"/>
  <c r="C65" i="7" s="1"/>
  <c r="E65" i="7" s="1"/>
  <c r="H63" i="7"/>
  <c r="G55" i="7"/>
  <c r="C56" i="7" s="1"/>
  <c r="E56" i="7" s="1"/>
  <c r="H54" i="7"/>
  <c r="G46" i="7"/>
  <c r="C47" i="7" s="1"/>
  <c r="E47" i="7" s="1"/>
  <c r="H45" i="7"/>
  <c r="G37" i="7"/>
  <c r="C38" i="7" s="1"/>
  <c r="E38" i="7" s="1"/>
  <c r="H36" i="7"/>
  <c r="G28" i="7"/>
  <c r="C29" i="7" s="1"/>
  <c r="E29" i="7" s="1"/>
  <c r="H27" i="7"/>
  <c r="G19" i="7"/>
  <c r="C20" i="7" s="1"/>
  <c r="E20" i="7" s="1"/>
  <c r="H18" i="7"/>
  <c r="G10" i="7"/>
  <c r="C11" i="7" s="1"/>
  <c r="E11" i="7" s="1"/>
  <c r="H9" i="7"/>
  <c r="X33" i="6"/>
  <c r="W33" i="6"/>
  <c r="V33" i="6"/>
  <c r="U33" i="6"/>
  <c r="T33" i="6"/>
  <c r="S33" i="6"/>
  <c r="R33" i="6"/>
  <c r="Q33" i="6"/>
  <c r="P33" i="6"/>
  <c r="O33" i="6"/>
  <c r="N33" i="6"/>
  <c r="I33" i="6"/>
  <c r="M33" i="6" s="1"/>
  <c r="F33" i="6"/>
  <c r="X32" i="6"/>
  <c r="W32" i="6"/>
  <c r="V32" i="6"/>
  <c r="U32" i="6"/>
  <c r="T32" i="6"/>
  <c r="S32" i="6"/>
  <c r="R32" i="6"/>
  <c r="Q32" i="6"/>
  <c r="P32" i="6"/>
  <c r="O32" i="6"/>
  <c r="N32" i="6"/>
  <c r="I32" i="6"/>
  <c r="M32" i="6" s="1"/>
  <c r="F32" i="6"/>
  <c r="X31" i="6"/>
  <c r="W31" i="6"/>
  <c r="V31" i="6"/>
  <c r="U31" i="6"/>
  <c r="T31" i="6"/>
  <c r="S31" i="6"/>
  <c r="R31" i="6"/>
  <c r="Q31" i="6"/>
  <c r="P31" i="6"/>
  <c r="O31" i="6"/>
  <c r="N31" i="6"/>
  <c r="I31" i="6"/>
  <c r="M31" i="6" s="1"/>
  <c r="F31" i="6"/>
  <c r="X30" i="6"/>
  <c r="W30" i="6"/>
  <c r="V30" i="6"/>
  <c r="U30" i="6"/>
  <c r="T30" i="6"/>
  <c r="S30" i="6"/>
  <c r="R30" i="6"/>
  <c r="Q30" i="6"/>
  <c r="P30" i="6"/>
  <c r="O30" i="6"/>
  <c r="N30" i="6"/>
  <c r="I30" i="6"/>
  <c r="M30" i="6" s="1"/>
  <c r="F30" i="6"/>
  <c r="X29" i="6"/>
  <c r="W29" i="6"/>
  <c r="V29" i="6"/>
  <c r="U29" i="6"/>
  <c r="T29" i="6"/>
  <c r="S29" i="6"/>
  <c r="R29" i="6"/>
  <c r="Q29" i="6"/>
  <c r="P29" i="6"/>
  <c r="O29" i="6"/>
  <c r="N29" i="6"/>
  <c r="I29" i="6"/>
  <c r="K29" i="6" s="1"/>
  <c r="F29" i="6"/>
  <c r="X28" i="6"/>
  <c r="W28" i="6"/>
  <c r="V28" i="6"/>
  <c r="U28" i="6"/>
  <c r="T28" i="6"/>
  <c r="S28" i="6"/>
  <c r="R28" i="6"/>
  <c r="Q28" i="6"/>
  <c r="P28" i="6"/>
  <c r="O28" i="6"/>
  <c r="N28" i="6"/>
  <c r="I28" i="6"/>
  <c r="K28" i="6" s="1"/>
  <c r="F28" i="6"/>
  <c r="X27" i="6"/>
  <c r="W27" i="6"/>
  <c r="V27" i="6"/>
  <c r="U27" i="6"/>
  <c r="T27" i="6"/>
  <c r="S27" i="6"/>
  <c r="R27" i="6"/>
  <c r="Q27" i="6"/>
  <c r="P27" i="6"/>
  <c r="O27" i="6"/>
  <c r="N27" i="6"/>
  <c r="I27" i="6"/>
  <c r="K27" i="6" s="1"/>
  <c r="F27" i="6"/>
  <c r="X26" i="6"/>
  <c r="W26" i="6"/>
  <c r="V26" i="6"/>
  <c r="U26" i="6"/>
  <c r="T26" i="6"/>
  <c r="S26" i="6"/>
  <c r="R26" i="6"/>
  <c r="Q26" i="6"/>
  <c r="P26" i="6"/>
  <c r="O26" i="6"/>
  <c r="N26" i="6"/>
  <c r="I26" i="6"/>
  <c r="M26" i="6" s="1"/>
  <c r="F26" i="6"/>
  <c r="X25" i="6"/>
  <c r="W25" i="6"/>
  <c r="V25" i="6"/>
  <c r="U25" i="6"/>
  <c r="T25" i="6"/>
  <c r="S25" i="6"/>
  <c r="R25" i="6"/>
  <c r="Q25" i="6"/>
  <c r="P25" i="6"/>
  <c r="O25" i="6"/>
  <c r="N25" i="6"/>
  <c r="I25" i="6"/>
  <c r="M25" i="6" s="1"/>
  <c r="F25" i="6"/>
  <c r="X24" i="6"/>
  <c r="W24" i="6"/>
  <c r="V24" i="6"/>
  <c r="U24" i="6"/>
  <c r="T24" i="6"/>
  <c r="S24" i="6"/>
  <c r="R24" i="6"/>
  <c r="Q24" i="6"/>
  <c r="P24" i="6"/>
  <c r="O24" i="6"/>
  <c r="N24" i="6"/>
  <c r="I24" i="6"/>
  <c r="M24" i="6" s="1"/>
  <c r="F24" i="6"/>
  <c r="X23" i="6"/>
  <c r="W23" i="6"/>
  <c r="V23" i="6"/>
  <c r="U23" i="6"/>
  <c r="T23" i="6"/>
  <c r="S23" i="6"/>
  <c r="R23" i="6"/>
  <c r="Q23" i="6"/>
  <c r="P23" i="6"/>
  <c r="O23" i="6"/>
  <c r="N23" i="6"/>
  <c r="I23" i="6"/>
  <c r="M23" i="6" s="1"/>
  <c r="F23" i="6"/>
  <c r="G3" i="6"/>
  <c r="I3" i="6" s="1"/>
  <c r="K3" i="6" s="1"/>
  <c r="G4" i="6"/>
  <c r="T4" i="6" s="1"/>
  <c r="G5" i="6"/>
  <c r="T5" i="6" s="1"/>
  <c r="G6" i="6"/>
  <c r="N6" i="6" s="1"/>
  <c r="G7" i="6"/>
  <c r="O7" i="6" s="1"/>
  <c r="G8" i="6"/>
  <c r="P8" i="6" s="1"/>
  <c r="G9" i="6"/>
  <c r="Q9" i="6" s="1"/>
  <c r="G10" i="6"/>
  <c r="T10" i="6" s="1"/>
  <c r="G11" i="6"/>
  <c r="I11" i="6" s="1"/>
  <c r="K11" i="6" s="1"/>
  <c r="G12" i="6"/>
  <c r="N12" i="6" s="1"/>
  <c r="G13" i="6"/>
  <c r="O13" i="6" s="1"/>
  <c r="G14" i="6"/>
  <c r="P14" i="6" s="1"/>
  <c r="G15" i="6"/>
  <c r="O15" i="6" s="1"/>
  <c r="G16" i="6"/>
  <c r="P16" i="6" s="1"/>
  <c r="G17" i="6"/>
  <c r="Q17" i="6" s="1"/>
  <c r="G18" i="6"/>
  <c r="T18" i="6" s="1"/>
  <c r="G19" i="6"/>
  <c r="I19" i="6" s="1"/>
  <c r="K19" i="6" s="1"/>
  <c r="G20" i="6"/>
  <c r="N20" i="6" s="1"/>
  <c r="G21" i="6"/>
  <c r="O21" i="6" s="1"/>
  <c r="G22" i="6"/>
  <c r="P22" i="6" s="1"/>
  <c r="C64" i="19" l="1"/>
  <c r="D13" i="19"/>
  <c r="H14" i="19"/>
  <c r="G14" i="19" s="1"/>
  <c r="D12" i="19"/>
  <c r="B62" i="19"/>
  <c r="D60" i="19"/>
  <c r="D59" i="19"/>
  <c r="D58" i="19"/>
  <c r="D57" i="19"/>
  <c r="F19" i="19" a="1"/>
  <c r="F19" i="19" s="1"/>
  <c r="D10" i="19"/>
  <c r="B14" i="19"/>
  <c r="D11" i="19"/>
  <c r="E803" i="7"/>
  <c r="H801" i="7"/>
  <c r="E793" i="7"/>
  <c r="H791" i="7"/>
  <c r="C783" i="7"/>
  <c r="E783" i="7"/>
  <c r="C773" i="7"/>
  <c r="E773" i="7"/>
  <c r="C763" i="7"/>
  <c r="E763" i="7"/>
  <c r="C753" i="7"/>
  <c r="E753" i="7"/>
  <c r="E743" i="7"/>
  <c r="H741" i="7"/>
  <c r="C41" i="1"/>
  <c r="E41" i="1" s="1"/>
  <c r="C32" i="1"/>
  <c r="E32" i="1" s="1"/>
  <c r="C40" i="1"/>
  <c r="E40" i="1" s="1"/>
  <c r="C733" i="7"/>
  <c r="E733" i="7"/>
  <c r="C723" i="7"/>
  <c r="E723" i="7"/>
  <c r="E713" i="7"/>
  <c r="H711" i="7"/>
  <c r="C703" i="7"/>
  <c r="E703" i="7"/>
  <c r="C693" i="7"/>
  <c r="E693" i="7"/>
  <c r="C673" i="7"/>
  <c r="E673" i="7"/>
  <c r="H661" i="7"/>
  <c r="C663" i="7"/>
  <c r="H651" i="7"/>
  <c r="C653" i="7"/>
  <c r="H641" i="7"/>
  <c r="C643" i="7"/>
  <c r="H631" i="7"/>
  <c r="C633" i="7"/>
  <c r="H621" i="7"/>
  <c r="C623" i="7"/>
  <c r="H611" i="7"/>
  <c r="E613" i="7"/>
  <c r="H601" i="7"/>
  <c r="C603" i="7"/>
  <c r="H591" i="7"/>
  <c r="C593" i="7"/>
  <c r="C573" i="7"/>
  <c r="H581" i="7"/>
  <c r="C583" i="7"/>
  <c r="C563" i="7"/>
  <c r="H571" i="7"/>
  <c r="C21" i="1"/>
  <c r="E21" i="1" s="1"/>
  <c r="H561" i="7"/>
  <c r="E553" i="7"/>
  <c r="H551" i="7"/>
  <c r="C39" i="1"/>
  <c r="E39" i="1" s="1"/>
  <c r="H541" i="7"/>
  <c r="C543" i="7"/>
  <c r="H531" i="7"/>
  <c r="C533" i="7"/>
  <c r="H521" i="7"/>
  <c r="C523" i="7"/>
  <c r="H511" i="7"/>
  <c r="C513" i="7"/>
  <c r="C10" i="1"/>
  <c r="E10" i="1" s="1"/>
  <c r="H501" i="7"/>
  <c r="C503" i="7"/>
  <c r="C33" i="1"/>
  <c r="E33" i="1" s="1"/>
  <c r="H491" i="7"/>
  <c r="C493" i="7"/>
  <c r="C483" i="7"/>
  <c r="E483" i="7"/>
  <c r="H471" i="7"/>
  <c r="G846" i="7" s="1"/>
  <c r="C473" i="7"/>
  <c r="C463" i="7"/>
  <c r="E463" i="7"/>
  <c r="C27" i="1"/>
  <c r="E27" i="1" s="1"/>
  <c r="C34" i="1"/>
  <c r="E34" i="1" s="1"/>
  <c r="C31" i="1"/>
  <c r="E31" i="1" s="1"/>
  <c r="C7" i="1"/>
  <c r="E7" i="1" s="1"/>
  <c r="E18" i="1"/>
  <c r="E12" i="1"/>
  <c r="E20" i="1"/>
  <c r="E6" i="1"/>
  <c r="E15" i="1"/>
  <c r="E23" i="1"/>
  <c r="E36" i="1"/>
  <c r="E8" i="1"/>
  <c r="E16" i="1"/>
  <c r="E24" i="1"/>
  <c r="E37" i="1"/>
  <c r="E26" i="1"/>
  <c r="E11" i="1"/>
  <c r="E19" i="1"/>
  <c r="E28" i="1"/>
  <c r="E3" i="1"/>
  <c r="E29" i="1"/>
  <c r="C443" i="7"/>
  <c r="E5" i="1"/>
  <c r="E14" i="1"/>
  <c r="E22" i="1"/>
  <c r="E35" i="1"/>
  <c r="C30" i="1"/>
  <c r="E30" i="1" s="1"/>
  <c r="E9" i="1"/>
  <c r="E17" i="1"/>
  <c r="E25" i="1"/>
  <c r="E4" i="1"/>
  <c r="E13" i="1"/>
  <c r="D18" i="11"/>
  <c r="C10" i="11"/>
  <c r="B10" i="11"/>
  <c r="B11" i="11" s="1"/>
  <c r="C423" i="7"/>
  <c r="C453" i="7"/>
  <c r="E453" i="7"/>
  <c r="E443" i="7"/>
  <c r="E423" i="7"/>
  <c r="C413" i="7"/>
  <c r="E413" i="7"/>
  <c r="C433" i="7"/>
  <c r="E433" i="7"/>
  <c r="E353" i="7"/>
  <c r="C403" i="7"/>
  <c r="C363" i="7"/>
  <c r="E393" i="7"/>
  <c r="C383" i="7"/>
  <c r="C373" i="7"/>
  <c r="D88" i="6"/>
  <c r="D87" i="6"/>
  <c r="M29" i="6"/>
  <c r="K26" i="6"/>
  <c r="K33" i="6"/>
  <c r="K25" i="6"/>
  <c r="M28" i="6"/>
  <c r="K32" i="6"/>
  <c r="K24" i="6"/>
  <c r="M27" i="6"/>
  <c r="M19" i="6"/>
  <c r="M11" i="6"/>
  <c r="M3" i="6"/>
  <c r="K31" i="6"/>
  <c r="K23" i="6"/>
  <c r="K30" i="6"/>
  <c r="S19" i="6"/>
  <c r="R10" i="6"/>
  <c r="O8" i="6"/>
  <c r="R19" i="6"/>
  <c r="F18" i="6"/>
  <c r="S10" i="6"/>
  <c r="W22" i="6"/>
  <c r="P17" i="6"/>
  <c r="U21" i="6"/>
  <c r="O14" i="6"/>
  <c r="T21" i="6"/>
  <c r="N14" i="6"/>
  <c r="N21" i="6"/>
  <c r="V13" i="6"/>
  <c r="X17" i="6"/>
  <c r="U6" i="6"/>
  <c r="I12" i="6"/>
  <c r="Q10" i="6"/>
  <c r="V22" i="6"/>
  <c r="U20" i="6"/>
  <c r="F19" i="6"/>
  <c r="W16" i="6"/>
  <c r="U13" i="6"/>
  <c r="T11" i="6"/>
  <c r="I10" i="6"/>
  <c r="S4" i="6"/>
  <c r="U22" i="6"/>
  <c r="T20" i="6"/>
  <c r="S18" i="6"/>
  <c r="O16" i="6"/>
  <c r="T13" i="6"/>
  <c r="S11" i="6"/>
  <c r="F10" i="6"/>
  <c r="I4" i="6"/>
  <c r="O22" i="6"/>
  <c r="S20" i="6"/>
  <c r="R18" i="6"/>
  <c r="W14" i="6"/>
  <c r="N13" i="6"/>
  <c r="R11" i="6"/>
  <c r="X9" i="6"/>
  <c r="R3" i="6"/>
  <c r="N22" i="6"/>
  <c r="I20" i="6"/>
  <c r="Q18" i="6"/>
  <c r="V14" i="6"/>
  <c r="U12" i="6"/>
  <c r="P9" i="6"/>
  <c r="F3" i="6"/>
  <c r="S12" i="6"/>
  <c r="V21" i="6"/>
  <c r="T19" i="6"/>
  <c r="I18" i="6"/>
  <c r="U14" i="6"/>
  <c r="T12" i="6"/>
  <c r="F11" i="6"/>
  <c r="W8" i="6"/>
  <c r="T22" i="6"/>
  <c r="S21" i="6"/>
  <c r="I21" i="6"/>
  <c r="R20" i="6"/>
  <c r="F20" i="6"/>
  <c r="Q19" i="6"/>
  <c r="X18" i="6"/>
  <c r="P18" i="6"/>
  <c r="W17" i="6"/>
  <c r="O17" i="6"/>
  <c r="V16" i="6"/>
  <c r="N16" i="6"/>
  <c r="U15" i="6"/>
  <c r="T14" i="6"/>
  <c r="S13" i="6"/>
  <c r="I13" i="6"/>
  <c r="R12" i="6"/>
  <c r="F12" i="6"/>
  <c r="Q11" i="6"/>
  <c r="X10" i="6"/>
  <c r="P10" i="6"/>
  <c r="W9" i="6"/>
  <c r="O9" i="6"/>
  <c r="V8" i="6"/>
  <c r="N8" i="6"/>
  <c r="U7" i="6"/>
  <c r="T6" i="6"/>
  <c r="S5" i="6"/>
  <c r="I5" i="6"/>
  <c r="R4" i="6"/>
  <c r="F4" i="6"/>
  <c r="Q3" i="6"/>
  <c r="N7" i="6"/>
  <c r="S22" i="6"/>
  <c r="I22" i="6"/>
  <c r="R21" i="6"/>
  <c r="F21" i="6"/>
  <c r="Q20" i="6"/>
  <c r="X19" i="6"/>
  <c r="P19" i="6"/>
  <c r="W18" i="6"/>
  <c r="O18" i="6"/>
  <c r="V17" i="6"/>
  <c r="N17" i="6"/>
  <c r="U16" i="6"/>
  <c r="T15" i="6"/>
  <c r="S14" i="6"/>
  <c r="I14" i="6"/>
  <c r="R13" i="6"/>
  <c r="F13" i="6"/>
  <c r="Q12" i="6"/>
  <c r="X11" i="6"/>
  <c r="P11" i="6"/>
  <c r="W10" i="6"/>
  <c r="O10" i="6"/>
  <c r="V9" i="6"/>
  <c r="N9" i="6"/>
  <c r="U8" i="6"/>
  <c r="T7" i="6"/>
  <c r="S6" i="6"/>
  <c r="I6" i="6"/>
  <c r="R5" i="6"/>
  <c r="F5" i="6"/>
  <c r="Q4" i="6"/>
  <c r="X3" i="6"/>
  <c r="P3" i="6"/>
  <c r="N15" i="6"/>
  <c r="R22" i="6"/>
  <c r="F22" i="6"/>
  <c r="Q21" i="6"/>
  <c r="X20" i="6"/>
  <c r="P20" i="6"/>
  <c r="W19" i="6"/>
  <c r="O19" i="6"/>
  <c r="V18" i="6"/>
  <c r="N18" i="6"/>
  <c r="U17" i="6"/>
  <c r="T16" i="6"/>
  <c r="S15" i="6"/>
  <c r="I15" i="6"/>
  <c r="R14" i="6"/>
  <c r="F14" i="6"/>
  <c r="Q13" i="6"/>
  <c r="X12" i="6"/>
  <c r="P12" i="6"/>
  <c r="W11" i="6"/>
  <c r="O11" i="6"/>
  <c r="V10" i="6"/>
  <c r="N10" i="6"/>
  <c r="U9" i="6"/>
  <c r="T8" i="6"/>
  <c r="S7" i="6"/>
  <c r="I7" i="6"/>
  <c r="R6" i="6"/>
  <c r="F6" i="6"/>
  <c r="Q5" i="6"/>
  <c r="X4" i="6"/>
  <c r="P4" i="6"/>
  <c r="W3" i="6"/>
  <c r="O3" i="6"/>
  <c r="Q22" i="6"/>
  <c r="X21" i="6"/>
  <c r="P21" i="6"/>
  <c r="W20" i="6"/>
  <c r="O20" i="6"/>
  <c r="V19" i="6"/>
  <c r="N19" i="6"/>
  <c r="U18" i="6"/>
  <c r="T17" i="6"/>
  <c r="S16" i="6"/>
  <c r="I16" i="6"/>
  <c r="R15" i="6"/>
  <c r="F15" i="6"/>
  <c r="Q14" i="6"/>
  <c r="X13" i="6"/>
  <c r="P13" i="6"/>
  <c r="W12" i="6"/>
  <c r="O12" i="6"/>
  <c r="V11" i="6"/>
  <c r="N11" i="6"/>
  <c r="U10" i="6"/>
  <c r="T9" i="6"/>
  <c r="S8" i="6"/>
  <c r="I8" i="6"/>
  <c r="R7" i="6"/>
  <c r="F7" i="6"/>
  <c r="Q6" i="6"/>
  <c r="X5" i="6"/>
  <c r="P5" i="6"/>
  <c r="W4" i="6"/>
  <c r="O4" i="6"/>
  <c r="V3" i="6"/>
  <c r="N3" i="6"/>
  <c r="X22" i="6"/>
  <c r="W21" i="6"/>
  <c r="V20" i="6"/>
  <c r="U19" i="6"/>
  <c r="S17" i="6"/>
  <c r="I17" i="6"/>
  <c r="R16" i="6"/>
  <c r="F16" i="6"/>
  <c r="Q15" i="6"/>
  <c r="X14" i="6"/>
  <c r="W13" i="6"/>
  <c r="V12" i="6"/>
  <c r="U11" i="6"/>
  <c r="S9" i="6"/>
  <c r="I9" i="6"/>
  <c r="R8" i="6"/>
  <c r="F8" i="6"/>
  <c r="Q7" i="6"/>
  <c r="X6" i="6"/>
  <c r="P6" i="6"/>
  <c r="W5" i="6"/>
  <c r="O5" i="6"/>
  <c r="V4" i="6"/>
  <c r="N4" i="6"/>
  <c r="U3" i="6"/>
  <c r="V7" i="6"/>
  <c r="R17" i="6"/>
  <c r="F17" i="6"/>
  <c r="Q16" i="6"/>
  <c r="X15" i="6"/>
  <c r="P15" i="6"/>
  <c r="R9" i="6"/>
  <c r="F9" i="6"/>
  <c r="Q8" i="6"/>
  <c r="X7" i="6"/>
  <c r="P7" i="6"/>
  <c r="W6" i="6"/>
  <c r="O6" i="6"/>
  <c r="V5" i="6"/>
  <c r="N5" i="6"/>
  <c r="U4" i="6"/>
  <c r="T3" i="6"/>
  <c r="V15" i="6"/>
  <c r="X16" i="6"/>
  <c r="W15" i="6"/>
  <c r="X8" i="6"/>
  <c r="W7" i="6"/>
  <c r="V6" i="6"/>
  <c r="U5" i="6"/>
  <c r="S3" i="6"/>
  <c r="H60" i="19" l="1"/>
  <c r="G60" i="19"/>
  <c r="D62" i="19"/>
  <c r="B63" i="19"/>
  <c r="B36" i="19"/>
  <c r="B22" i="19"/>
  <c r="C22" i="19" s="1" a="1"/>
  <c r="C22" i="19" s="1"/>
  <c r="B27" i="19"/>
  <c r="C27" i="19" s="1" a="1"/>
  <c r="C27" i="19" s="1"/>
  <c r="H12" i="19" a="1"/>
  <c r="H12" i="19" s="1"/>
  <c r="G12" i="19" s="1"/>
  <c r="B24" i="19"/>
  <c r="C24" i="19" s="1" a="1"/>
  <c r="C24" i="19" s="1"/>
  <c r="B29" i="19"/>
  <c r="C29" i="19" s="1" a="1"/>
  <c r="C29" i="19" s="1"/>
  <c r="B26" i="19"/>
  <c r="C26" i="19" s="1" a="1"/>
  <c r="C26" i="19" s="1"/>
  <c r="H10" i="19" a="1"/>
  <c r="H10" i="19" s="1"/>
  <c r="B23" i="19"/>
  <c r="C23" i="19" s="1" a="1"/>
  <c r="C23" i="19" s="1"/>
  <c r="B21" i="19"/>
  <c r="C21" i="19" s="1" a="1"/>
  <c r="C21" i="19" s="1"/>
  <c r="B19" i="19"/>
  <c r="C19" i="19" s="1" a="1"/>
  <c r="C19" i="19" s="1"/>
  <c r="B28" i="19"/>
  <c r="C28" i="19" s="1" a="1"/>
  <c r="C28" i="19" s="1"/>
  <c r="B20" i="19"/>
  <c r="C20" i="19" s="1" a="1"/>
  <c r="C20" i="19" s="1"/>
  <c r="H11" i="19"/>
  <c r="G11" i="19" s="1"/>
  <c r="B25" i="19"/>
  <c r="C25" i="19" s="1" a="1"/>
  <c r="C25" i="19" s="1"/>
  <c r="B15" i="11" a="1"/>
  <c r="B15" i="11" s="1"/>
  <c r="D10" i="11"/>
  <c r="B12" i="11"/>
  <c r="H12" i="11"/>
  <c r="B13" i="11"/>
  <c r="B17" i="11"/>
  <c r="B16" i="11" a="1"/>
  <c r="B16" i="11" s="1"/>
  <c r="C16" i="11" a="1"/>
  <c r="C16" i="11" s="1"/>
  <c r="C12" i="11"/>
  <c r="H13" i="11"/>
  <c r="C15" i="11" a="1"/>
  <c r="C15" i="11" s="1"/>
  <c r="C14" i="11"/>
  <c r="G13" i="11" s="1"/>
  <c r="C11" i="11"/>
  <c r="D11" i="11" s="1"/>
  <c r="C17" i="11"/>
  <c r="B14" i="11"/>
  <c r="C13" i="11"/>
  <c r="E846" i="7"/>
  <c r="C848" i="7"/>
  <c r="C849" i="7" s="1"/>
  <c r="C850" i="7" s="1"/>
  <c r="C851" i="7" s="1"/>
  <c r="E10" i="16"/>
  <c r="E6" i="16"/>
  <c r="M8" i="16" a="1"/>
  <c r="M8" i="16" s="1"/>
  <c r="M7" i="16" a="1"/>
  <c r="M7" i="16" s="1"/>
  <c r="M6" i="16" a="1"/>
  <c r="M6" i="16" s="1"/>
  <c r="L7" i="16" a="1"/>
  <c r="L7" i="16" s="1"/>
  <c r="K7" i="16" a="1"/>
  <c r="K7" i="16" s="1"/>
  <c r="M9" i="16" a="1"/>
  <c r="M9" i="16" s="1"/>
  <c r="M10" i="16" a="1"/>
  <c r="M10" i="16" s="1"/>
  <c r="F9" i="16"/>
  <c r="F8" i="16"/>
  <c r="F10" i="16"/>
  <c r="E8" i="16"/>
  <c r="E9" i="16"/>
  <c r="F6" i="16"/>
  <c r="K78" i="6"/>
  <c r="B83" i="6"/>
  <c r="F78" i="6"/>
  <c r="B84" i="6"/>
  <c r="B85" i="6"/>
  <c r="B86" i="6"/>
  <c r="K4" i="6"/>
  <c r="M4" i="6"/>
  <c r="M15" i="6"/>
  <c r="K15" i="6"/>
  <c r="M14" i="6"/>
  <c r="K14" i="6"/>
  <c r="K13" i="6"/>
  <c r="M13" i="6"/>
  <c r="M10" i="6"/>
  <c r="K10" i="6"/>
  <c r="K12" i="6"/>
  <c r="M12" i="6"/>
  <c r="M16" i="6"/>
  <c r="K16" i="6"/>
  <c r="M7" i="6"/>
  <c r="K7" i="6"/>
  <c r="M6" i="6"/>
  <c r="K6" i="6"/>
  <c r="K5" i="6"/>
  <c r="M5" i="6"/>
  <c r="M9" i="6"/>
  <c r="K9" i="6"/>
  <c r="M8" i="6"/>
  <c r="K8" i="6"/>
  <c r="M18" i="6"/>
  <c r="K18" i="6"/>
  <c r="M17" i="6"/>
  <c r="K17" i="6"/>
  <c r="M22" i="6"/>
  <c r="K22" i="6"/>
  <c r="K21" i="6"/>
  <c r="M21" i="6"/>
  <c r="K20" i="6"/>
  <c r="M20" i="6"/>
  <c r="B37" i="5" a="1"/>
  <c r="B37" i="5" s="1"/>
  <c r="J36" i="5" a="1"/>
  <c r="J36" i="5" s="1"/>
  <c r="D63" i="19" l="1"/>
  <c r="H13" i="19"/>
  <c r="J60" i="19" s="1"/>
  <c r="G10" i="19"/>
  <c r="C44" i="19"/>
  <c r="B43" i="19"/>
  <c r="C45" i="19"/>
  <c r="B44" i="19"/>
  <c r="C46" i="19"/>
  <c r="B45" i="19"/>
  <c r="C47" i="19"/>
  <c r="B46" i="19"/>
  <c r="C48" i="19"/>
  <c r="B47" i="19"/>
  <c r="C40" i="19"/>
  <c r="C49" i="19"/>
  <c r="B48" i="19"/>
  <c r="C41" i="19"/>
  <c r="B40" i="19"/>
  <c r="C50" i="19"/>
  <c r="B49" i="19"/>
  <c r="C42" i="19"/>
  <c r="B41" i="19"/>
  <c r="B50" i="19"/>
  <c r="C43" i="19"/>
  <c r="B42" i="19"/>
  <c r="D36" i="19"/>
  <c r="D15" i="11"/>
  <c r="K10" i="16" a="1"/>
  <c r="K10" i="16" s="1"/>
  <c r="L6" i="16" a="1"/>
  <c r="L6" i="16" s="1"/>
  <c r="L9" i="16" a="1"/>
  <c r="L9" i="16" s="1"/>
  <c r="K8" i="16" a="1"/>
  <c r="K8" i="16" s="1"/>
  <c r="D16" i="11"/>
  <c r="D17" i="11"/>
  <c r="G12" i="11"/>
  <c r="D14" i="11"/>
  <c r="D13" i="11"/>
  <c r="D12" i="11"/>
  <c r="C852" i="7"/>
  <c r="C854" i="7" s="1"/>
  <c r="C853" i="7"/>
  <c r="C855" i="7" s="1"/>
  <c r="L8" i="16" a="1"/>
  <c r="L8" i="16" s="1"/>
  <c r="I10" i="13"/>
  <c r="K6" i="16" a="1"/>
  <c r="K6" i="16" s="1"/>
  <c r="K9" i="16" a="1"/>
  <c r="K9" i="16" s="1"/>
  <c r="L10" i="16" a="1"/>
  <c r="L10" i="16" s="1"/>
  <c r="E9" i="13"/>
  <c r="A9" i="13"/>
  <c r="U78" i="6" a="1"/>
  <c r="U78" i="6" s="1"/>
  <c r="B89" i="6" a="1"/>
  <c r="B89" i="6" s="1"/>
  <c r="E89" i="6" s="1"/>
  <c r="E86" i="6"/>
  <c r="D86" i="6"/>
  <c r="D85" i="6"/>
  <c r="E85" i="6"/>
  <c r="A93" i="6" a="1"/>
  <c r="A93" i="6" s="1"/>
  <c r="D84" i="6"/>
  <c r="E84" i="6"/>
  <c r="B90" i="6" a="1"/>
  <c r="B90" i="6" s="1"/>
  <c r="D83" i="6"/>
  <c r="E83" i="6"/>
  <c r="H36" i="19" l="1"/>
  <c r="D37" i="19"/>
  <c r="G13" i="19"/>
  <c r="D9" i="16"/>
  <c r="D7" i="16"/>
  <c r="D10" i="16"/>
  <c r="D8" i="16"/>
  <c r="D89" i="6"/>
  <c r="D90" i="6"/>
  <c r="E90" i="6"/>
  <c r="G8" i="16"/>
  <c r="B11" i="5"/>
  <c r="B14" i="5" s="1"/>
  <c r="C11" i="5"/>
  <c r="C14" i="5" s="1"/>
  <c r="E5" i="5"/>
  <c r="E5" i="11" s="1"/>
  <c r="H6" i="5"/>
  <c r="H6" i="11" s="1"/>
  <c r="H5" i="5"/>
  <c r="H5" i="11" s="1"/>
  <c r="D6" i="16"/>
  <c r="E6" i="5"/>
  <c r="E6" i="11" s="1"/>
  <c r="F37" i="19" l="1"/>
  <c r="D45" i="19" s="1"/>
  <c r="G45" i="19" s="1"/>
  <c r="H14" i="11"/>
  <c r="G14" i="11"/>
  <c r="G15" i="11" s="1"/>
  <c r="H15" i="11" s="1"/>
  <c r="G7" i="16"/>
  <c r="J7" i="16" s="1"/>
  <c r="G10" i="16"/>
  <c r="J10" i="16" s="1"/>
  <c r="C10" i="5"/>
  <c r="B10" i="5"/>
  <c r="V3" i="4"/>
  <c r="W3" i="4" s="1"/>
  <c r="X3" i="4" s="1"/>
  <c r="H8" i="16"/>
  <c r="J8" i="16"/>
  <c r="I8" i="16"/>
  <c r="D14" i="5"/>
  <c r="D11" i="5"/>
  <c r="H14" i="5"/>
  <c r="G14" i="5" s="1"/>
  <c r="C12" i="5"/>
  <c r="B12" i="5"/>
  <c r="B72" i="19" l="1"/>
  <c r="D72" i="19" s="1"/>
  <c r="H72" i="19" s="1"/>
  <c r="D49" i="19"/>
  <c r="G49" i="19" s="1"/>
  <c r="B76" i="19" s="1"/>
  <c r="D76" i="19" s="1"/>
  <c r="F50" i="19"/>
  <c r="H50" i="19" s="1"/>
  <c r="E77" i="19" s="1"/>
  <c r="F44" i="19"/>
  <c r="H44" i="19" s="1"/>
  <c r="E71" i="19" s="1"/>
  <c r="F46" i="19"/>
  <c r="H46" i="19" s="1"/>
  <c r="E73" i="19" s="1"/>
  <c r="D50" i="19"/>
  <c r="G50" i="19" s="1"/>
  <c r="B77" i="19" s="1"/>
  <c r="D77" i="19" s="1"/>
  <c r="F49" i="19"/>
  <c r="H49" i="19" s="1"/>
  <c r="E76" i="19" s="1"/>
  <c r="D46" i="19"/>
  <c r="G46" i="19" s="1"/>
  <c r="F43" i="19"/>
  <c r="H43" i="19" s="1"/>
  <c r="E70" i="19" s="1"/>
  <c r="D48" i="19"/>
  <c r="G48" i="19" s="1"/>
  <c r="D44" i="19"/>
  <c r="G44" i="19" s="1"/>
  <c r="D41" i="19"/>
  <c r="G41" i="19" s="1"/>
  <c r="F40" i="19"/>
  <c r="H40" i="19" s="1"/>
  <c r="E67" i="19" s="1"/>
  <c r="D43" i="19"/>
  <c r="G43" i="19" s="1"/>
  <c r="D40" i="19"/>
  <c r="G40" i="19" s="1"/>
  <c r="B67" i="19" s="1"/>
  <c r="D67" i="19" s="1"/>
  <c r="F45" i="19"/>
  <c r="H45" i="19" s="1"/>
  <c r="E72" i="19" s="1"/>
  <c r="F42" i="19"/>
  <c r="H42" i="19" s="1"/>
  <c r="E69" i="19" s="1"/>
  <c r="D47" i="19"/>
  <c r="G47" i="19" s="1"/>
  <c r="F48" i="19"/>
  <c r="H48" i="19" s="1"/>
  <c r="E75" i="19" s="1"/>
  <c r="F47" i="19"/>
  <c r="H47" i="19" s="1"/>
  <c r="E74" i="19" s="1"/>
  <c r="D42" i="19"/>
  <c r="G42" i="19" s="1"/>
  <c r="F41" i="19"/>
  <c r="H41" i="19" s="1"/>
  <c r="E68" i="19" s="1"/>
  <c r="F19" i="5" a="1"/>
  <c r="F19" i="5" s="1"/>
  <c r="I10" i="16"/>
  <c r="I7" i="16"/>
  <c r="N7" i="16" s="1"/>
  <c r="H10" i="16"/>
  <c r="H7" i="16"/>
  <c r="G6" i="16"/>
  <c r="J6" i="16" s="1"/>
  <c r="D10" i="5"/>
  <c r="N8" i="16"/>
  <c r="O8" i="16"/>
  <c r="G9" i="16"/>
  <c r="O7" i="16"/>
  <c r="I36" i="5" a="1"/>
  <c r="I36" i="5" s="1"/>
  <c r="D12" i="5"/>
  <c r="G72" i="19" l="1"/>
  <c r="I72" i="19" s="1"/>
  <c r="J72" i="19" s="1"/>
  <c r="G77" i="19"/>
  <c r="I77" i="19" s="1"/>
  <c r="J77" i="19" s="1"/>
  <c r="G67" i="19"/>
  <c r="I67" i="19" s="1"/>
  <c r="J67" i="19" s="1"/>
  <c r="I46" i="19"/>
  <c r="B73" i="19"/>
  <c r="D73" i="19" s="1"/>
  <c r="G73" i="19" s="1"/>
  <c r="I45" i="19"/>
  <c r="H67" i="19"/>
  <c r="G76" i="19"/>
  <c r="I76" i="19" s="1"/>
  <c r="J76" i="19" s="1"/>
  <c r="I48" i="19"/>
  <c r="B75" i="19"/>
  <c r="D75" i="19" s="1"/>
  <c r="I43" i="19"/>
  <c r="B70" i="19"/>
  <c r="D70" i="19" s="1"/>
  <c r="H77" i="19"/>
  <c r="I42" i="19"/>
  <c r="B69" i="19"/>
  <c r="D69" i="19" s="1"/>
  <c r="I44" i="19"/>
  <c r="B71" i="19"/>
  <c r="D71" i="19" s="1"/>
  <c r="H71" i="19" s="1"/>
  <c r="I41" i="19"/>
  <c r="B68" i="19"/>
  <c r="D68" i="19" s="1"/>
  <c r="I47" i="19"/>
  <c r="B74" i="19"/>
  <c r="D74" i="19" s="1"/>
  <c r="H76" i="19"/>
  <c r="I49" i="19"/>
  <c r="C51" i="19" a="1"/>
  <c r="C51" i="19" s="1"/>
  <c r="I40" i="19"/>
  <c r="G51" i="19" a="1"/>
  <c r="G51" i="19" s="1"/>
  <c r="H15" i="19"/>
  <c r="G15" i="19"/>
  <c r="I57" i="19" s="1"/>
  <c r="I50" i="19"/>
  <c r="B19" i="5"/>
  <c r="C19" i="5" s="1" a="1"/>
  <c r="C19" i="5" s="1"/>
  <c r="G10" i="11"/>
  <c r="H10" i="11" s="1"/>
  <c r="H6" i="16"/>
  <c r="I6" i="16"/>
  <c r="N6" i="16" s="1"/>
  <c r="B24" i="5"/>
  <c r="C24" i="5" s="1" a="1"/>
  <c r="C24" i="5" s="1"/>
  <c r="B22" i="5"/>
  <c r="C22" i="5" s="1" a="1"/>
  <c r="C22" i="5" s="1"/>
  <c r="B27" i="5"/>
  <c r="C27" i="5" s="1" a="1"/>
  <c r="C27" i="5" s="1"/>
  <c r="H11" i="5"/>
  <c r="G11" i="5" s="1"/>
  <c r="B28" i="5"/>
  <c r="C28" i="5" s="1" a="1"/>
  <c r="C28" i="5" s="1"/>
  <c r="B57" i="5"/>
  <c r="C57" i="5" s="1"/>
  <c r="G57" i="5" s="1"/>
  <c r="B25" i="5"/>
  <c r="C25" i="5" s="1" a="1"/>
  <c r="C25" i="5" s="1"/>
  <c r="B26" i="5"/>
  <c r="C26" i="5" s="1" a="1"/>
  <c r="C26" i="5" s="1"/>
  <c r="B23" i="5"/>
  <c r="C23" i="5" s="1" a="1"/>
  <c r="C23" i="5" s="1"/>
  <c r="H12" i="5" a="1"/>
  <c r="H12" i="5" s="1"/>
  <c r="G12" i="5" s="1"/>
  <c r="B21" i="5"/>
  <c r="C21" i="5" s="1" a="1"/>
  <c r="C21" i="5" s="1"/>
  <c r="B20" i="5"/>
  <c r="C20" i="5" s="1" a="1"/>
  <c r="C20" i="5" s="1"/>
  <c r="B36" i="5"/>
  <c r="C49" i="5" s="1"/>
  <c r="C31" i="11" s="1"/>
  <c r="B29" i="5"/>
  <c r="C29" i="5" s="1" a="1"/>
  <c r="C29" i="5" s="1"/>
  <c r="H10" i="5" a="1"/>
  <c r="H10" i="5" s="1"/>
  <c r="G10" i="5" s="1"/>
  <c r="A5" i="4" a="1"/>
  <c r="I9" i="16"/>
  <c r="H9" i="16"/>
  <c r="J9" i="16"/>
  <c r="V2" i="4"/>
  <c r="B13" i="5"/>
  <c r="C13" i="5"/>
  <c r="H75" i="19" l="1"/>
  <c r="H74" i="19"/>
  <c r="H69" i="19"/>
  <c r="G74" i="19"/>
  <c r="I74" i="19" s="1"/>
  <c r="J74" i="19" s="1"/>
  <c r="G71" i="19"/>
  <c r="I71" i="19" s="1"/>
  <c r="H68" i="19"/>
  <c r="G68" i="19"/>
  <c r="I68" i="19" s="1"/>
  <c r="J68" i="19" s="1"/>
  <c r="G75" i="19"/>
  <c r="I75" i="19" s="1"/>
  <c r="J75" i="19" s="1"/>
  <c r="G69" i="19"/>
  <c r="I69" i="19" s="1"/>
  <c r="J69" i="19" s="1"/>
  <c r="G70" i="19"/>
  <c r="I70" i="19" s="1"/>
  <c r="J70" i="19" s="1"/>
  <c r="H70" i="19"/>
  <c r="I73" i="19"/>
  <c r="J73" i="19" s="1"/>
  <c r="H73" i="19"/>
  <c r="B50" i="5"/>
  <c r="B32" i="11" s="1"/>
  <c r="B41" i="5"/>
  <c r="B23" i="11" s="1"/>
  <c r="C41" i="5"/>
  <c r="C23" i="11" s="1"/>
  <c r="B45" i="5"/>
  <c r="B27" i="11" s="1"/>
  <c r="B48" i="5"/>
  <c r="B30" i="11" s="1"/>
  <c r="C46" i="5"/>
  <c r="C28" i="11" s="1"/>
  <c r="C44" i="5"/>
  <c r="C26" i="11" s="1"/>
  <c r="O6" i="16"/>
  <c r="B43" i="5"/>
  <c r="B25" i="11" s="1"/>
  <c r="B47" i="5"/>
  <c r="B29" i="11" s="1"/>
  <c r="B42" i="5"/>
  <c r="B24" i="11" s="1"/>
  <c r="B46" i="5"/>
  <c r="B28" i="11" s="1"/>
  <c r="B40" i="5"/>
  <c r="B22" i="11" s="1"/>
  <c r="C47" i="5"/>
  <c r="C29" i="11" s="1"/>
  <c r="C43" i="5"/>
  <c r="C25" i="11" s="1"/>
  <c r="C40" i="5"/>
  <c r="C22" i="11" s="1"/>
  <c r="D36" i="5"/>
  <c r="D37" i="5" s="1"/>
  <c r="C42" i="5"/>
  <c r="C24" i="11" s="1"/>
  <c r="B44" i="5"/>
  <c r="B26" i="11" s="1"/>
  <c r="C50" i="5"/>
  <c r="C32" i="11" s="1"/>
  <c r="C45" i="5"/>
  <c r="C27" i="11" s="1"/>
  <c r="B49" i="5"/>
  <c r="B31" i="11" s="1"/>
  <c r="C48" i="5"/>
  <c r="C30" i="11" s="1"/>
  <c r="H13" i="5"/>
  <c r="G13" i="5" s="1"/>
  <c r="N9" i="16"/>
  <c r="W2" i="4"/>
  <c r="X2" i="4" s="1"/>
  <c r="O9" i="16"/>
  <c r="A9" i="16"/>
  <c r="A10" i="16"/>
  <c r="A8" i="16"/>
  <c r="A7" i="16"/>
  <c r="A6" i="16"/>
  <c r="A5" i="4"/>
  <c r="V51" i="4"/>
  <c r="V47" i="4"/>
  <c r="V48" i="4"/>
  <c r="V49" i="4"/>
  <c r="V50" i="4"/>
  <c r="D13" i="5"/>
  <c r="J71" i="19" l="1"/>
  <c r="J78" i="19" s="1" a="1"/>
  <c r="J78" i="19" s="1"/>
  <c r="J57" i="19" s="1"/>
  <c r="H36" i="5"/>
  <c r="B60" i="5"/>
  <c r="V52" i="4"/>
  <c r="F37" i="5"/>
  <c r="F50" i="5" s="1"/>
  <c r="E32" i="11" s="1"/>
  <c r="H50" i="5" l="1"/>
  <c r="G32" i="11" s="1"/>
  <c r="F40" i="5"/>
  <c r="E22" i="11" s="1"/>
  <c r="D47" i="5"/>
  <c r="D29" i="11" s="1"/>
  <c r="F44" i="5"/>
  <c r="E26" i="11" s="1"/>
  <c r="F47" i="5"/>
  <c r="E29" i="11" s="1"/>
  <c r="D42" i="5"/>
  <c r="D24" i="11" s="1"/>
  <c r="D45" i="5"/>
  <c r="D27" i="11" s="1"/>
  <c r="F46" i="5"/>
  <c r="E28" i="11" s="1"/>
  <c r="D50" i="5"/>
  <c r="D32" i="11" s="1"/>
  <c r="F45" i="5"/>
  <c r="E27" i="11" s="1"/>
  <c r="D46" i="5"/>
  <c r="D28" i="11" s="1"/>
  <c r="D40" i="5"/>
  <c r="D22" i="11" s="1"/>
  <c r="F41" i="5"/>
  <c r="E23" i="11" s="1"/>
  <c r="F43" i="5"/>
  <c r="E25" i="11" s="1"/>
  <c r="D48" i="5"/>
  <c r="D30" i="11" s="1"/>
  <c r="F49" i="5"/>
  <c r="E31" i="11" s="1"/>
  <c r="D44" i="5"/>
  <c r="D26" i="11" s="1"/>
  <c r="D41" i="5"/>
  <c r="D23" i="11" s="1"/>
  <c r="F42" i="5"/>
  <c r="E24" i="11" s="1"/>
  <c r="D49" i="5"/>
  <c r="D31" i="11" s="1"/>
  <c r="F48" i="5"/>
  <c r="E30" i="11" s="1"/>
  <c r="D43" i="5"/>
  <c r="D25" i="11" s="1"/>
  <c r="G48" i="5" l="1"/>
  <c r="F30" i="11" s="1"/>
  <c r="G45" i="5"/>
  <c r="F27" i="11" s="1"/>
  <c r="G43" i="5"/>
  <c r="F25" i="11" s="1"/>
  <c r="H43" i="5"/>
  <c r="G25" i="11" s="1"/>
  <c r="G42" i="5"/>
  <c r="F24" i="11" s="1"/>
  <c r="H48" i="5"/>
  <c r="G30" i="11" s="1"/>
  <c r="H47" i="5"/>
  <c r="G29" i="11" s="1"/>
  <c r="G40" i="5"/>
  <c r="F22" i="11" s="1"/>
  <c r="H44" i="5"/>
  <c r="G26" i="11" s="1"/>
  <c r="H42" i="5"/>
  <c r="G24" i="11" s="1"/>
  <c r="G46" i="5"/>
  <c r="F28" i="11" s="1"/>
  <c r="G47" i="5"/>
  <c r="F29" i="11" s="1"/>
  <c r="G44" i="5"/>
  <c r="F26" i="11" s="1"/>
  <c r="H41" i="5"/>
  <c r="G23" i="11" s="1"/>
  <c r="G49" i="5"/>
  <c r="F31" i="11" s="1"/>
  <c r="G41" i="5"/>
  <c r="F23" i="11" s="1"/>
  <c r="H45" i="5"/>
  <c r="G27" i="11" s="1"/>
  <c r="H40" i="5"/>
  <c r="G50" i="5"/>
  <c r="F32" i="11" s="1"/>
  <c r="H49" i="5"/>
  <c r="G31" i="11" s="1"/>
  <c r="H46" i="5"/>
  <c r="G28" i="11" s="1"/>
  <c r="H15" i="5" l="1"/>
  <c r="G22" i="11"/>
  <c r="G11" i="11"/>
  <c r="I48" i="5"/>
  <c r="H30" i="11" s="1"/>
  <c r="B58" i="5"/>
  <c r="G58" i="5" s="1"/>
  <c r="I45" i="5"/>
  <c r="H27" i="11" s="1"/>
  <c r="I41" i="5"/>
  <c r="H23" i="11" s="1"/>
  <c r="I46" i="5"/>
  <c r="H28" i="11" s="1"/>
  <c r="I43" i="5"/>
  <c r="H25" i="11" s="1"/>
  <c r="I44" i="5"/>
  <c r="H26" i="11" s="1"/>
  <c r="C51" i="5" a="1"/>
  <c r="C51" i="5" s="1"/>
  <c r="I40" i="5"/>
  <c r="H22" i="11" s="1"/>
  <c r="I49" i="5"/>
  <c r="H31" i="11" s="1"/>
  <c r="I42" i="5"/>
  <c r="H24" i="11" s="1"/>
  <c r="G15" i="5"/>
  <c r="G61" i="5" s="1"/>
  <c r="G51" i="5" a="1"/>
  <c r="G51" i="5" s="1"/>
  <c r="I50" i="5"/>
  <c r="H32" i="11" s="1"/>
  <c r="I47" i="5"/>
  <c r="H29" i="11" s="1"/>
  <c r="H11" i="11" l="1"/>
  <c r="G16" i="11"/>
  <c r="B59" i="5"/>
  <c r="G59" i="5" s="1"/>
  <c r="C58" i="5"/>
  <c r="H16" i="11" l="1"/>
  <c r="A35" i="11"/>
  <c r="C59" i="5"/>
  <c r="B61" i="5"/>
  <c r="G60" i="5" s="1"/>
  <c r="C6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tc={CE1D117C-17D6-4FD1-BCAF-5E6B5FA3E32E}</author>
    <author>tc={98EDE113-15E2-4DD9-BB78-CE6DC57AA468}</author>
  </authors>
  <commentList>
    <comment ref="G13" authorId="0" shapeId="0" xr:uid="{CE1D117C-17D6-4FD1-BCAF-5E6B5FA3E32E}">
      <text>
        <t>[Comentário encadeado]
Sua versão do Excel permite que você leia este comentário encadeado, no entanto, as edições serão removidas se o arquivo for aberto em uma versão mais recente do Excel. Saiba mais: https://go.microsoft.com/fwlink/?linkid=870924
Comentário:
    REGISTRO PRÉ-JOGO: Linha técnica indicada pelo modelo = Over 2,50.</t>
      </text>
    </comment>
    <comment ref="G15" authorId="1" shapeId="0" xr:uid="{98EDE113-15E2-4DD9-BB78-CE6DC57AA468}">
      <text>
        <t>[Comentário encadeado]
Sua versão do Excel permite que você leia este comentário encadeado, no entanto, as edições serão removidas se o arquivo for aberto em uma versão mais recente do Excel. Saiba mais: https://go.microsoft.com/fwlink/?linkid=870924
Comentário:
    REGISTRO PRÉ-JOGO: Orientação final do modelo = ANALISAR OVER 2,50. Linha conservadora escolhida para o bilhete = Over 2,00 @ 1,13; stake R$ 0,50.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tc={D5E74179-ADFF-402D-8AF9-E4226E93C3EF}</author>
    <author>tc={3A04FF65-4CD5-49CA-9335-BBF695DED532}</author>
  </authors>
  <commentList>
    <comment ref="G13" authorId="0" shapeId="0" xr:uid="{D5E74179-ADFF-402D-8AF9-E4226E93C3EF}">
      <text>
        <t>[Comentário encadeado]
Sua versão do Excel permite que você leia este comentário encadeado, no entanto, as edições serão removidas se o arquivo for aberto em uma versão mais recente do Excel. Saiba mais: https://go.microsoft.com/fwlink/?linkid=870924
Comentário:
    REGISTRO PRÉ-JOGO: Linha técnica indicada pelo modelo = Over 2,50.</t>
      </text>
    </comment>
    <comment ref="G15" authorId="1" shapeId="0" xr:uid="{3A04FF65-4CD5-49CA-9335-BBF695DED532}">
      <text>
        <t>[Comentário encadeado]
Sua versão do Excel permite que você leia este comentário encadeado, no entanto, as edições serão removidas se o arquivo for aberto em uma versão mais recente do Excel. Saiba mais: https://go.microsoft.com/fwlink/?linkid=870924
Comentário:
    REGISTRO PRÉ-JOGO: Orientação final do modelo = ANALISAR OVER 2,50. Linha conservadora escolhida para o bilhete = Over 2,00 @ 1,13; stake R$ 0,50.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tc={E930E52A-1A24-4516-9B5C-64B71149D3AF}</author>
  </authors>
  <commentList>
    <comment ref="B34" authorId="0" shapeId="0" xr:uid="{E930E52A-1A24-4516-9B5C-64B71149D3AF}">
      <text>
        <t>[Comentário encadeado]
Sua versão do Excel permite que você leia este comentário encadeado, no entanto, as edições serão removidas se o arquivo for aberto em uma versão mais recente do Excel. Saiba mais: https://go.microsoft.com/fwlink/?linkid=870924
Comentário:
    ANÁLISE REVISADA: A melhor linha operacional foi Over 2,00, não a maior linha vencedora. Com 3 gols, Over 2,00 seria Green e, com exatamente 2, devolveria a stake. A entrada Over 1,50 foi conservadora e vencedora, mas deixou 0,50 linha de eficiência potencial.</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<sst xmlns="http://schemas.openxmlformats.org/spreadsheetml/2006/main" count="28207" uniqueCount="11444">
  <si>
    <t>Liga</t>
  </si>
  <si>
    <t>Perfil da Liga</t>
  </si>
  <si>
    <t>País (aux)</t>
  </si>
  <si>
    <t>Liga (aux)</t>
  </si>
  <si>
    <t>ARG</t>
  </si>
  <si>
    <t>Liga Profesional</t>
  </si>
  <si>
    <t>Primera Nacional</t>
  </si>
  <si>
    <t>AUS</t>
  </si>
  <si>
    <t>NPL Queensland</t>
  </si>
  <si>
    <t>NPL Victoria</t>
  </si>
  <si>
    <t>BOL</t>
  </si>
  <si>
    <t>Div. Profesional</t>
  </si>
  <si>
    <t>BRA</t>
  </si>
  <si>
    <t>Série A</t>
  </si>
  <si>
    <t>Série B</t>
  </si>
  <si>
    <t>CAN</t>
  </si>
  <si>
    <t>CHI</t>
  </si>
  <si>
    <t>ECU</t>
  </si>
  <si>
    <t>FIN</t>
  </si>
  <si>
    <t>Veikkausliiga</t>
  </si>
  <si>
    <t>Ykkösliiga</t>
  </si>
  <si>
    <t>Ykkönen</t>
  </si>
  <si>
    <t>Kakkonen A</t>
  </si>
  <si>
    <t>Kakkonen C</t>
  </si>
  <si>
    <t>ISL</t>
  </si>
  <si>
    <t>MEX</t>
  </si>
  <si>
    <t>Liga MX</t>
  </si>
  <si>
    <t>NOR</t>
  </si>
  <si>
    <t>Eliteserien</t>
  </si>
  <si>
    <t>OBOS-ligaen</t>
  </si>
  <si>
    <t>SWE</t>
  </si>
  <si>
    <t>Allsvenskan</t>
  </si>
  <si>
    <t>Superettan</t>
  </si>
  <si>
    <t>1ª D Norra</t>
  </si>
  <si>
    <t>1ª D Södra</t>
  </si>
  <si>
    <t>2ª D Södra Götaland</t>
  </si>
  <si>
    <t>2ª D Västra Götaland</t>
  </si>
  <si>
    <t>URU</t>
  </si>
  <si>
    <t>Liga AUF</t>
  </si>
  <si>
    <t>USA</t>
  </si>
  <si>
    <t>ID_Bilhete</t>
  </si>
  <si>
    <t>Data</t>
  </si>
  <si>
    <t>Hora</t>
  </si>
  <si>
    <t>País</t>
  </si>
  <si>
    <t>Partida</t>
  </si>
  <si>
    <t>Mandante</t>
  </si>
  <si>
    <t>GM_M</t>
  </si>
  <si>
    <t>GS_M</t>
  </si>
  <si>
    <t>Visitante</t>
  </si>
  <si>
    <t>GM_V</t>
  </si>
  <si>
    <t>GS_V</t>
  </si>
  <si>
    <t>Mercado</t>
  </si>
  <si>
    <t>Linha_Selecao</t>
  </si>
  <si>
    <t>Odd</t>
  </si>
  <si>
    <t>Stake</t>
  </si>
  <si>
    <t>Resultado_Aposta</t>
  </si>
  <si>
    <t>Lucro_Prejuizo</t>
  </si>
  <si>
    <t>Chave_Partida</t>
  </si>
  <si>
    <t>Primeira_Ocorrencia</t>
  </si>
  <si>
    <t>Gols +/-</t>
  </si>
  <si>
    <t>Mais de 2.0</t>
  </si>
  <si>
    <t>Green</t>
  </si>
  <si>
    <t>Cashout</t>
  </si>
  <si>
    <t>00003-NOR</t>
  </si>
  <si>
    <t>00005-NOR</t>
  </si>
  <si>
    <t>Mais de 3.0</t>
  </si>
  <si>
    <t>00006-SWE</t>
  </si>
  <si>
    <t>Varbergs BoIS FC</t>
  </si>
  <si>
    <t>Devolvida</t>
  </si>
  <si>
    <t>00008-SWE</t>
  </si>
  <si>
    <t>BK Häcken 0 vs 0 AIK</t>
  </si>
  <si>
    <t>BK Häcken</t>
  </si>
  <si>
    <t>AIK</t>
  </si>
  <si>
    <t>Red</t>
  </si>
  <si>
    <t>Mais de 1.0</t>
  </si>
  <si>
    <t>00010-ISL</t>
  </si>
  <si>
    <t>Breidablik 1 vs 0 IBV Vestmannaeyjar</t>
  </si>
  <si>
    <t>Breidablik</t>
  </si>
  <si>
    <t>IBV Vestmannaeyjar</t>
  </si>
  <si>
    <t>00012-ISL</t>
  </si>
  <si>
    <t>KA Akureyri</t>
  </si>
  <si>
    <t>00013-BRA</t>
  </si>
  <si>
    <t>CRB 2 vs 0 Vila Nova</t>
  </si>
  <si>
    <t>CRB</t>
  </si>
  <si>
    <t>Vila Nova</t>
  </si>
  <si>
    <t>Mais de 1.0, 1.5</t>
  </si>
  <si>
    <t>00014-BRA</t>
  </si>
  <si>
    <t>Atlético-GO 3 vs 1 Operário-PR</t>
  </si>
  <si>
    <t>Atlético-GO</t>
  </si>
  <si>
    <t>Operário-PR</t>
  </si>
  <si>
    <t>00015-BRA</t>
  </si>
  <si>
    <t>Sport Recife 1 vs 1 Cuiabá</t>
  </si>
  <si>
    <t>Sport Recife</t>
  </si>
  <si>
    <t>Cuiabá</t>
  </si>
  <si>
    <t>00017-ISL</t>
  </si>
  <si>
    <t>Aegir 0 vs 1 Njardvik</t>
  </si>
  <si>
    <t>Aegir</t>
  </si>
  <si>
    <t>Njardvik</t>
  </si>
  <si>
    <t>Mais de 2.0, 2.5</t>
  </si>
  <si>
    <t>00019-BRA</t>
  </si>
  <si>
    <t>Ponte Preta 1 vs 1 Athletic Club-MG</t>
  </si>
  <si>
    <t>Ponte Preta</t>
  </si>
  <si>
    <t>Athletic Club-MG</t>
  </si>
  <si>
    <t>Mais de 0.5</t>
  </si>
  <si>
    <t>00020-BRA</t>
  </si>
  <si>
    <t>Juventude 1 vs 0 Avaí</t>
  </si>
  <si>
    <t>Juventude</t>
  </si>
  <si>
    <t>Avaí</t>
  </si>
  <si>
    <t>00021-ARG</t>
  </si>
  <si>
    <t>Argentinos Jrs 3 vs 0 Estudiantes Rio Cuarto</t>
  </si>
  <si>
    <t>Argentinos Jrs</t>
  </si>
  <si>
    <t>Estudiantes Rio Cuarto</t>
  </si>
  <si>
    <t>00024-ARG</t>
  </si>
  <si>
    <t>Rosario Central 0 vs 0 Racing Club</t>
  </si>
  <si>
    <t>Rosario Central</t>
  </si>
  <si>
    <t>Racing Club</t>
  </si>
  <si>
    <t>00025-CAN</t>
  </si>
  <si>
    <t>Cavalry FC 2 vs 1 Supra du Québec</t>
  </si>
  <si>
    <t>Cavalry FC</t>
  </si>
  <si>
    <t>Supra du Québec</t>
  </si>
  <si>
    <t>Mais de 1.5</t>
  </si>
  <si>
    <t>00026-BRA</t>
  </si>
  <si>
    <t>Fortaleza 1 vs 0 Botafogo SP</t>
  </si>
  <si>
    <t>Fortaleza</t>
  </si>
  <si>
    <t>Botafogo SP</t>
  </si>
  <si>
    <t>00032-ISL</t>
  </si>
  <si>
    <t>Afturelding</t>
  </si>
  <si>
    <t>00033-ARG</t>
  </si>
  <si>
    <t>Defensa y Justicia 2 vs 1 Deportivo Riestra</t>
  </si>
  <si>
    <t>Defensa y Justicia</t>
  </si>
  <si>
    <t>Deportivo Riestra</t>
  </si>
  <si>
    <t>00034-ISL</t>
  </si>
  <si>
    <t>Grindavik</t>
  </si>
  <si>
    <t>00035-BRA</t>
  </si>
  <si>
    <t>Mirassol 2 vs 1 Remo</t>
  </si>
  <si>
    <t>Mirassol</t>
  </si>
  <si>
    <t>Remo</t>
  </si>
  <si>
    <t>00037-ARG</t>
  </si>
  <si>
    <t>Gimnasia LP 1 vs 0 River Plate</t>
  </si>
  <si>
    <t>Gimnasia LP</t>
  </si>
  <si>
    <t>River Plate</t>
  </si>
  <si>
    <t>00038-BRA</t>
  </si>
  <si>
    <t>Internacional 1 vs 1 Flamengo</t>
  </si>
  <si>
    <t>Internacional</t>
  </si>
  <si>
    <t>Flamengo</t>
  </si>
  <si>
    <t>00039-ECU</t>
  </si>
  <si>
    <t>Independiente del Valle</t>
  </si>
  <si>
    <t>Manta FC</t>
  </si>
  <si>
    <t>00040-BRA</t>
  </si>
  <si>
    <t>Vitória 0 vs 4 Palmeiras</t>
  </si>
  <si>
    <t>Vitória</t>
  </si>
  <si>
    <t>Palmeiras</t>
  </si>
  <si>
    <t>Mais de 1.5, 2.0</t>
  </si>
  <si>
    <t>00042-ARG</t>
  </si>
  <si>
    <t>Instituto Córdoba 2 vs 1 Platense</t>
  </si>
  <si>
    <t>Instituto Córdoba</t>
  </si>
  <si>
    <t>Platense</t>
  </si>
  <si>
    <t>Menos de 2.5</t>
  </si>
  <si>
    <t>00044-BRA</t>
  </si>
  <si>
    <t>Fluminense 0 vs 0 Bahia</t>
  </si>
  <si>
    <t>Fluminense</t>
  </si>
  <si>
    <t>Bahia</t>
  </si>
  <si>
    <t>00048-FIN</t>
  </si>
  <si>
    <t>KuPS Akatemia</t>
  </si>
  <si>
    <t>00049-SWE</t>
  </si>
  <si>
    <t>FK Karlskrona 5 vs 1 Nosaby IF</t>
  </si>
  <si>
    <t>FK Karlskrona</t>
  </si>
  <si>
    <t>Nosaby IF</t>
  </si>
  <si>
    <t>Menos de 3.0</t>
  </si>
  <si>
    <t>00054-ARG</t>
  </si>
  <si>
    <t>Independiente Rivadavia 2 vs 1 Huracán</t>
  </si>
  <si>
    <t>Independiente Rivadavia</t>
  </si>
  <si>
    <t>Huracán</t>
  </si>
  <si>
    <t>00056-BRA</t>
  </si>
  <si>
    <t>Corinthians</t>
  </si>
  <si>
    <t>00057-BRA</t>
  </si>
  <si>
    <t>Coritiba 0 vs 1 Cruzeiro</t>
  </si>
  <si>
    <t>Coritiba</t>
  </si>
  <si>
    <t>Cruzeiro</t>
  </si>
  <si>
    <t>00058-BOL</t>
  </si>
  <si>
    <t>The Strongest 1 vs 1 Club Aurora</t>
  </si>
  <si>
    <t>The Strongest</t>
  </si>
  <si>
    <t>Club Aurora</t>
  </si>
  <si>
    <t>00059-URU</t>
  </si>
  <si>
    <t>Montevideo City Torque 0 vs 2 M. Wanderers</t>
  </si>
  <si>
    <t>Montevideo City Torque</t>
  </si>
  <si>
    <t>M. Wanderers</t>
  </si>
  <si>
    <t>00060-BOL</t>
  </si>
  <si>
    <t>Real Tomayapo 1 vs 1 ABB</t>
  </si>
  <si>
    <t>Real Tomayapo</t>
  </si>
  <si>
    <t>ABB</t>
  </si>
  <si>
    <t>00061-USA</t>
  </si>
  <si>
    <t>Toronto FC</t>
  </si>
  <si>
    <t>00062-MEX</t>
  </si>
  <si>
    <t>Puebla 1 vs 1 Chivas Guadalajara</t>
  </si>
  <si>
    <t>Puebla</t>
  </si>
  <si>
    <t>Chivas Guadalajara</t>
  </si>
  <si>
    <t>00063-CAN</t>
  </si>
  <si>
    <t>Pacific FC</t>
  </si>
  <si>
    <t>00064-AUS</t>
  </si>
  <si>
    <t>Western Knights</t>
  </si>
  <si>
    <t>00065-AUS</t>
  </si>
  <si>
    <t>Peninsula Power</t>
  </si>
  <si>
    <t>00066-SWE</t>
  </si>
  <si>
    <t>SJK Akatemia</t>
  </si>
  <si>
    <t>Mais de 2.5</t>
  </si>
  <si>
    <t>00067-SWE</t>
  </si>
  <si>
    <t>Torslanda IK</t>
  </si>
  <si>
    <t>00068-FIN</t>
  </si>
  <si>
    <t>Närpes Kraft 3 vs 2 JS Hercules</t>
  </si>
  <si>
    <t>Närpes Kraft</t>
  </si>
  <si>
    <t>JS Hercules</t>
  </si>
  <si>
    <t>00069-SWE</t>
  </si>
  <si>
    <t>FC Järfälla 0 vs 4 FC Stockholm Internazionale</t>
  </si>
  <si>
    <t>FC Järfälla</t>
  </si>
  <si>
    <t>FC Stockholm Internazionale</t>
  </si>
  <si>
    <t>00070-FIN</t>
  </si>
  <si>
    <t>00071-SWE</t>
  </si>
  <si>
    <t>FBK Karlstad</t>
  </si>
  <si>
    <t>00072-CHI</t>
  </si>
  <si>
    <t>Everton de Viña 3 vs 4 Colo-Colo</t>
  </si>
  <si>
    <t>Everton de Viña</t>
  </si>
  <si>
    <t>Colo-Colo</t>
  </si>
  <si>
    <t>00073-BOL</t>
  </si>
  <si>
    <t>Real Oruro 0 vs 3 Independiente Petrolero</t>
  </si>
  <si>
    <t>Real Oruro</t>
  </si>
  <si>
    <t>Independiente Petrolero</t>
  </si>
  <si>
    <t>Vasco da Gama</t>
  </si>
  <si>
    <t>00076-CAN</t>
  </si>
  <si>
    <t>Vancouver FC 3 vs 1 Atlético Ottawa</t>
  </si>
  <si>
    <t>Vancouver FC</t>
  </si>
  <si>
    <t>Atlético Ottawa</t>
  </si>
  <si>
    <t>00078-BOL</t>
  </si>
  <si>
    <t>Blooming</t>
  </si>
  <si>
    <t>00079-USA</t>
  </si>
  <si>
    <t>Columbus Crew</t>
  </si>
  <si>
    <t>00080-USA</t>
  </si>
  <si>
    <t>FC Cincinnati 4 vs 2 San Jose Earthquakes</t>
  </si>
  <si>
    <t>FC Cincinnati</t>
  </si>
  <si>
    <t>San Jose Earthquakes</t>
  </si>
  <si>
    <t>00081-MEX</t>
  </si>
  <si>
    <t>Club León 1 vs 0 Pachuca</t>
  </si>
  <si>
    <t>Club León</t>
  </si>
  <si>
    <t>Pachuca</t>
  </si>
  <si>
    <t>00082-USA</t>
  </si>
  <si>
    <t>Portland Timbers</t>
  </si>
  <si>
    <t>00083-AUS</t>
  </si>
  <si>
    <t>Blacktown City 4 vs 2 Sydney FC NPL</t>
  </si>
  <si>
    <t>Blacktown City</t>
  </si>
  <si>
    <t>Sydney FC NPL</t>
  </si>
  <si>
    <t>00084-AUS</t>
  </si>
  <si>
    <t>South Melbourne 2 vs 0 St Albans Saints</t>
  </si>
  <si>
    <t>South Melbourne</t>
  </si>
  <si>
    <t>St Albans Saints</t>
  </si>
  <si>
    <t>00085-AUS</t>
  </si>
  <si>
    <t>Magic United 0 vs 3 Brisbane Olympic FC</t>
  </si>
  <si>
    <t>Magic United</t>
  </si>
  <si>
    <t>Brisbane Olympic FC</t>
  </si>
  <si>
    <t>00086-AUS</t>
  </si>
  <si>
    <t>Brisbane Roar NPL 2 vs 0 Moreton City Excelsior</t>
  </si>
  <si>
    <t>Brisbane Roar NPL</t>
  </si>
  <si>
    <t>Moreton City Excelsior</t>
  </si>
  <si>
    <t>00087-AUS</t>
  </si>
  <si>
    <t>Sydney Olympic 1 vs 3 Apia L Tigers</t>
  </si>
  <si>
    <t>Sydney Olympic</t>
  </si>
  <si>
    <t>Apia L Tigers</t>
  </si>
  <si>
    <t>00088-AUS</t>
  </si>
  <si>
    <t>Marconi Stallions 0 vs 1 St George City FA</t>
  </si>
  <si>
    <t>Marconi Stallions</t>
  </si>
  <si>
    <t>St George City FA</t>
  </si>
  <si>
    <t>00089-FIN</t>
  </si>
  <si>
    <t>Qviding FIF 3 vs 1 BK Astrio</t>
  </si>
  <si>
    <t>Qviding FIF</t>
  </si>
  <si>
    <t>BK Astrio</t>
  </si>
  <si>
    <t>00090-FIN</t>
  </si>
  <si>
    <t>00092-SWE</t>
  </si>
  <si>
    <t>00093-FIN</t>
  </si>
  <si>
    <t>AFC Eskilstuna 1 vs 0 Umeå FC</t>
  </si>
  <si>
    <t>AFC Eskilstuna</t>
  </si>
  <si>
    <t>Umeå FC</t>
  </si>
  <si>
    <t>00094-NOR</t>
  </si>
  <si>
    <t>00095-SWE</t>
  </si>
  <si>
    <t>Trelleborgs FF 2 vs 2 Lunds BK</t>
  </si>
  <si>
    <t>Trelleborgs FF</t>
  </si>
  <si>
    <t>Lunds BK</t>
  </si>
  <si>
    <t>00096-NOR</t>
  </si>
  <si>
    <t>00097-NOR</t>
  </si>
  <si>
    <t>00098-FIN</t>
  </si>
  <si>
    <t>PPJ</t>
  </si>
  <si>
    <t>00099-NOR</t>
  </si>
  <si>
    <t>Sandnes Ulf</t>
  </si>
  <si>
    <t>EST-00001</t>
  </si>
  <si>
    <t>PuiU</t>
  </si>
  <si>
    <t>EST-00002</t>
  </si>
  <si>
    <t>EST-00003</t>
  </si>
  <si>
    <t>HIFK</t>
  </si>
  <si>
    <t>EST-00004</t>
  </si>
  <si>
    <t>EST-00005</t>
  </si>
  <si>
    <t>MyPa</t>
  </si>
  <si>
    <t>EST-00006</t>
  </si>
  <si>
    <t>PEPO</t>
  </si>
  <si>
    <t>EST-00007</t>
  </si>
  <si>
    <t>Kiffen</t>
  </si>
  <si>
    <t>EST-00008</t>
  </si>
  <si>
    <t>Union Plaani</t>
  </si>
  <si>
    <t>EST-00009</t>
  </si>
  <si>
    <t>HPS</t>
  </si>
  <si>
    <t>EST-00011</t>
  </si>
  <si>
    <t>KTP 1 vs 0 SJK Akatemia</t>
  </si>
  <si>
    <t>KTP</t>
  </si>
  <si>
    <t>EST-00012</t>
  </si>
  <si>
    <t>SJK Akatemia 0 vs 0 Jippo</t>
  </si>
  <si>
    <t>Jippo</t>
  </si>
  <si>
    <t>EST-00013</t>
  </si>
  <si>
    <t>SJK Akatemia 0 vs 2 Haka</t>
  </si>
  <si>
    <t>Haka</t>
  </si>
  <si>
    <t>EST-00014</t>
  </si>
  <si>
    <t>Klubi 04 2 vs 0 SJK Akatemia</t>
  </si>
  <si>
    <t>Klubi 04</t>
  </si>
  <si>
    <t>EST-00015</t>
  </si>
  <si>
    <t>JäPS</t>
  </si>
  <si>
    <t>EST-00016</t>
  </si>
  <si>
    <t>SJK Akatemia 1 vs 1 Mikkeli</t>
  </si>
  <si>
    <t>Mikkeli</t>
  </si>
  <si>
    <t>EST-00017</t>
  </si>
  <si>
    <t>EST-00018</t>
  </si>
  <si>
    <t>EST-00019</t>
  </si>
  <si>
    <t>KTP 2 vs 1 SJK Akatemia</t>
  </si>
  <si>
    <t>EST-00021</t>
  </si>
  <si>
    <t>EST-00022</t>
  </si>
  <si>
    <t>KTP 0 vs 2 Haka</t>
  </si>
  <si>
    <t>EST-00023</t>
  </si>
  <si>
    <t>EST-00024</t>
  </si>
  <si>
    <t>Haka 0 vs 2 KTP</t>
  </si>
  <si>
    <t>EST-00025</t>
  </si>
  <si>
    <t>KTP 3 vs 3 Jippo</t>
  </si>
  <si>
    <t>EST-00026</t>
  </si>
  <si>
    <t>KTP 4 vs 1 JäPS</t>
  </si>
  <si>
    <t>EST-00027</t>
  </si>
  <si>
    <t>KTP 0 vs 1 PK-35</t>
  </si>
  <si>
    <t>PK-35</t>
  </si>
  <si>
    <t>EST-00028</t>
  </si>
  <si>
    <t>Mikkeli 3 vs 3 KTP</t>
  </si>
  <si>
    <t>Equipe</t>
  </si>
  <si>
    <t>País - Liga</t>
  </si>
  <si>
    <t>Média da Liga</t>
  </si>
  <si>
    <t>% Sem Marcar</t>
  </si>
  <si>
    <t>% Over 0.5</t>
  </si>
  <si>
    <t>% Over 1.5</t>
  </si>
  <si>
    <t>% Over 2.5</t>
  </si>
  <si>
    <t>% Over 3.5</t>
  </si>
  <si>
    <t>% BTTS</t>
  </si>
  <si>
    <t>Variância</t>
  </si>
  <si>
    <t>Dispersão</t>
  </si>
  <si>
    <t>Modelo Estatístico</t>
  </si>
  <si>
    <t>GMC</t>
  </si>
  <si>
    <t>GMV</t>
  </si>
  <si>
    <t>TGM</t>
  </si>
  <si>
    <t>MGM</t>
  </si>
  <si>
    <t>GSC</t>
  </si>
  <si>
    <t>GSV</t>
  </si>
  <si>
    <t>TGS</t>
  </si>
  <si>
    <t>MGS</t>
  </si>
  <si>
    <t>EST-00030</t>
  </si>
  <si>
    <t>EST-00031</t>
  </si>
  <si>
    <t>EST-00033</t>
  </si>
  <si>
    <t>PK-35 1 vs 1 Jippo</t>
  </si>
  <si>
    <t>EST-00034</t>
  </si>
  <si>
    <t>PK-35 1 vs 4 Haka</t>
  </si>
  <si>
    <t>EST-00035</t>
  </si>
  <si>
    <t>Union Plaani 0 vs 2 HPS</t>
  </si>
  <si>
    <t>EST-00036</t>
  </si>
  <si>
    <t>HPS 1 vs 2 Kiffen</t>
  </si>
  <si>
    <t>EST-00037</t>
  </si>
  <si>
    <t>EST-00038</t>
  </si>
  <si>
    <t>EST-00039</t>
  </si>
  <si>
    <t>PEPO 2 vs 0 HPS</t>
  </si>
  <si>
    <t>EST-00040</t>
  </si>
  <si>
    <t>HPS 5 vs 2 MyPa</t>
  </si>
  <si>
    <t>EST-00042</t>
  </si>
  <si>
    <t>HPS 5 vs 5 HIFK</t>
  </si>
  <si>
    <t>EST-00043</t>
  </si>
  <si>
    <t>EST-00045</t>
  </si>
  <si>
    <t>EST-00046</t>
  </si>
  <si>
    <t>PPJ 1 vs 2 Kiffen</t>
  </si>
  <si>
    <t>EST-00048</t>
  </si>
  <si>
    <t>Kiffen 2 vs 0 PEPO</t>
  </si>
  <si>
    <t>EST-00049</t>
  </si>
  <si>
    <t>Kiffen 1 vs 1 HIFK</t>
  </si>
  <si>
    <t>EST-00050</t>
  </si>
  <si>
    <t>MyPa 0 vs 0 Kiffen</t>
  </si>
  <si>
    <t>Pacific FC 1 vs 2 Supra du Québec</t>
  </si>
  <si>
    <t>VPS Vaasa</t>
  </si>
  <si>
    <t>PuiU 0 vs 2 HPS</t>
  </si>
  <si>
    <t>Kiffen 2 vs 0 PuiU</t>
  </si>
  <si>
    <t>Alerta / Sugestão Mandante</t>
  </si>
  <si>
    <t>Alerta / Sugestão Visitante</t>
  </si>
  <si>
    <t>TJV</t>
  </si>
  <si>
    <t>FAM</t>
  </si>
  <si>
    <t>FAV</t>
  </si>
  <si>
    <t>TJM</t>
  </si>
  <si>
    <t>TJT</t>
  </si>
  <si>
    <t>VDM</t>
  </si>
  <si>
    <t>VDV</t>
  </si>
  <si>
    <t>Média Golds da Liga</t>
  </si>
  <si>
    <t>Posição</t>
  </si>
  <si>
    <t>Índice Geral</t>
  </si>
  <si>
    <t>Over 2.5</t>
  </si>
  <si>
    <t>Over 3.5</t>
  </si>
  <si>
    <t>BTTS</t>
  </si>
  <si>
    <t>Qualidade da Amostra</t>
  </si>
  <si>
    <t>Decisão</t>
  </si>
  <si>
    <t>SELEÇÃO DA PARTIDA</t>
  </si>
  <si>
    <t>PARÂMETROS DO MODELO</t>
  </si>
  <si>
    <t>Métrica</t>
  </si>
  <si>
    <t>Gols esperados (λ)</t>
  </si>
  <si>
    <t>Jogos na condição</t>
  </si>
  <si>
    <t>Índice de força</t>
  </si>
  <si>
    <t>Modelo da equipe</t>
  </si>
  <si>
    <t>Qualidade da amostra</t>
  </si>
  <si>
    <t>ρ Dixon–Coles</t>
  </si>
  <si>
    <t>0 = Poisson puro; calibrar por liga futuramente</t>
  </si>
  <si>
    <t>Probabilidade</t>
  </si>
  <si>
    <t>Classificação</t>
  </si>
  <si>
    <t>Over 0.5</t>
  </si>
  <si>
    <t>Over 1.5</t>
  </si>
  <si>
    <t>Resultado</t>
  </si>
  <si>
    <t>Potencial de gols</t>
  </si>
  <si>
    <t>Média de Gols por Partida (Input)</t>
  </si>
  <si>
    <t>EST-00051</t>
  </si>
  <si>
    <t>Kakkonen B</t>
  </si>
  <si>
    <t>Honka 2 vs 2 Ilves 2</t>
  </si>
  <si>
    <t>Honka</t>
  </si>
  <si>
    <t>Ilves 2</t>
  </si>
  <si>
    <t>EST-00052</t>
  </si>
  <si>
    <t>Ilves 2 3 vs 2 P-Iirot Rauma</t>
  </si>
  <si>
    <t>P-Iirot Rauma</t>
  </si>
  <si>
    <t>EST-00053</t>
  </si>
  <si>
    <t>MuSa 3 vs 4 Ilves 2</t>
  </si>
  <si>
    <t>MuSa</t>
  </si>
  <si>
    <t>EST-00054</t>
  </si>
  <si>
    <t>Ilves 2 0 vs 0 HJS</t>
  </si>
  <si>
    <t>HJS</t>
  </si>
  <si>
    <t>EST-00055</t>
  </si>
  <si>
    <t>NJS 1 vs 7 Ilves 2</t>
  </si>
  <si>
    <t>NJS</t>
  </si>
  <si>
    <t>EST-00056</t>
  </si>
  <si>
    <t>Ilves 2 3 vs 2 EBK</t>
  </si>
  <si>
    <t>EBK</t>
  </si>
  <si>
    <t>EST-00057</t>
  </si>
  <si>
    <t>Ilves 2 4 vs 2 EPS</t>
  </si>
  <si>
    <t>EPS</t>
  </si>
  <si>
    <t>EST-00058</t>
  </si>
  <si>
    <t>EST-00059</t>
  </si>
  <si>
    <t>Ilves 2 6 vs 2 GrIFK</t>
  </si>
  <si>
    <t>GrIFK</t>
  </si>
  <si>
    <t>EST-00060</t>
  </si>
  <si>
    <t>Ilves 2 2 vs 2 Honka</t>
  </si>
  <si>
    <t>EST-00061</t>
  </si>
  <si>
    <t>P-Iirot Rauma 2 vs 1 Ilves 2</t>
  </si>
  <si>
    <t>Ilves 2 7 vs 0 MuSa</t>
  </si>
  <si>
    <t>EST-00063</t>
  </si>
  <si>
    <t>NJS 0 vs 2 Honka</t>
  </si>
  <si>
    <t>EST-00064</t>
  </si>
  <si>
    <t>Honka 4 vs 0 EBK</t>
  </si>
  <si>
    <t>EST-00065</t>
  </si>
  <si>
    <t>P-Iirot Rauma 1 vs 5 Honka</t>
  </si>
  <si>
    <t>EST-00066</t>
  </si>
  <si>
    <t>EST-00067</t>
  </si>
  <si>
    <t>Honka 7 vs 1 MuSa</t>
  </si>
  <si>
    <t>EST-00068</t>
  </si>
  <si>
    <t>Honka 1 vs 1 HJS</t>
  </si>
  <si>
    <t>EST-00070</t>
  </si>
  <si>
    <t>Honka 2 vs 1 GrIFK</t>
  </si>
  <si>
    <t>EST-00071</t>
  </si>
  <si>
    <t>EPS 3 vs 2 Honka</t>
  </si>
  <si>
    <t>Média de Gols Marcados</t>
  </si>
  <si>
    <t>EST-00073</t>
  </si>
  <si>
    <t>Palmeiras 1 vs 1 Santos</t>
  </si>
  <si>
    <t>Santos</t>
  </si>
  <si>
    <t>EST-00074</t>
  </si>
  <si>
    <t>Remo 1 vs 1 Palmeiras</t>
  </si>
  <si>
    <t>EST-00075</t>
  </si>
  <si>
    <t>Palmeiras 1 vs 1 Cruzeiro</t>
  </si>
  <si>
    <t>EST-00076</t>
  </si>
  <si>
    <t>Flamengo 0 vs 3 Palmeiras</t>
  </si>
  <si>
    <t>EST-00077</t>
  </si>
  <si>
    <t>Palmeiras 1 vs 0 Chapecoense</t>
  </si>
  <si>
    <t>Chapecoense</t>
  </si>
  <si>
    <t>EST-00078</t>
  </si>
  <si>
    <t>Coritiba 1 vs 3 Palmeiras</t>
  </si>
  <si>
    <t>EST-00079</t>
  </si>
  <si>
    <t>Palmeiras 1 vs 2 Atlético-MG</t>
  </si>
  <si>
    <t>Atlético-MG</t>
  </si>
  <si>
    <t>EST-00081</t>
  </si>
  <si>
    <t>Atlético-MG 0 vs 4 Flamengo</t>
  </si>
  <si>
    <t>EST-00082</t>
  </si>
  <si>
    <t>EST-00083</t>
  </si>
  <si>
    <t>Grêmio 0 vs 1 Flamengo</t>
  </si>
  <si>
    <t>Grêmio</t>
  </si>
  <si>
    <t>EST-00084</t>
  </si>
  <si>
    <t>Athletico-PR 1 vs 1 Flamengo</t>
  </si>
  <si>
    <t>Athletico-PR</t>
  </si>
  <si>
    <t>EST-00086</t>
  </si>
  <si>
    <t>Flamengo 3 vs 0 Coritiba</t>
  </si>
  <si>
    <t>EST-00087</t>
  </si>
  <si>
    <t>Chapecoense 0 vs 4 Flamengo</t>
  </si>
  <si>
    <t>EST-00088</t>
  </si>
  <si>
    <t>Flamengo 1 vs 1 São Paulo</t>
  </si>
  <si>
    <t>São Paulo</t>
  </si>
  <si>
    <t>Flamengo 2 vs 2 Vasco da Gama</t>
  </si>
  <si>
    <t>Corinthians 0 vs 0 Athletico-PR</t>
  </si>
  <si>
    <t>EST-00090</t>
  </si>
  <si>
    <t>EST-00091</t>
  </si>
  <si>
    <t>EST-00092</t>
  </si>
  <si>
    <t>EST-00093</t>
  </si>
  <si>
    <t>EST-00094</t>
  </si>
  <si>
    <t>EST-00095</t>
  </si>
  <si>
    <t>EST-00096</t>
  </si>
  <si>
    <t>EST-00097</t>
  </si>
  <si>
    <t>EST-00098</t>
  </si>
  <si>
    <t>EST-00099</t>
  </si>
  <si>
    <t>Botafogo-RJ</t>
  </si>
  <si>
    <t>Chapecoense 1 vs 4 Botafogo-RJ</t>
  </si>
  <si>
    <t>Botafogo-RJ 2 vs 2 Internacional</t>
  </si>
  <si>
    <t>Botafogo-RJ 1 vs 2 Remo</t>
  </si>
  <si>
    <t>Atlético-MG 1 vs 1 Botafogo-RJ</t>
  </si>
  <si>
    <t>Botafogo-RJ 3 vs 1 Corinthians</t>
  </si>
  <si>
    <t>São Paulo 1 vs 1 Botafogo-RJ</t>
  </si>
  <si>
    <t>Bahia 2 vs 1 Botafogo-RJ</t>
  </si>
  <si>
    <t>Botafogo-RJ 2 vs 1 Santos</t>
  </si>
  <si>
    <t>Botafogo-RJ 0 vs 0 Vitória</t>
  </si>
  <si>
    <t>Cruzeiro 0 vs 1 Botafogo-RJ</t>
  </si>
  <si>
    <t>EST-00100</t>
  </si>
  <si>
    <t>EST-00101</t>
  </si>
  <si>
    <t>Haka 1 vs 1 Klubi 04</t>
  </si>
  <si>
    <t>EST-00102</t>
  </si>
  <si>
    <t>SJK Akatemia 0 vs 1 Haka</t>
  </si>
  <si>
    <t>EST-00103</t>
  </si>
  <si>
    <t>Haka 2 vs 1 Jippo</t>
  </si>
  <si>
    <t>EST-00104</t>
  </si>
  <si>
    <t>Haka 1 vs 2 JäPS</t>
  </si>
  <si>
    <t>EST-00108</t>
  </si>
  <si>
    <t>Mikkeli 2 vs 1 Haka</t>
  </si>
  <si>
    <t>EST-00109</t>
  </si>
  <si>
    <t>EST-00110</t>
  </si>
  <si>
    <t>Klubi 04 2 vs 2 Haka</t>
  </si>
  <si>
    <t>EST-00111</t>
  </si>
  <si>
    <t>EST-00113</t>
  </si>
  <si>
    <t>JäPS 1 vs 0 PK-35</t>
  </si>
  <si>
    <t>EST-00114</t>
  </si>
  <si>
    <t>PK-35 3 vs 1 Mikkeli</t>
  </si>
  <si>
    <t>EST-00115</t>
  </si>
  <si>
    <t>EST-00116</t>
  </si>
  <si>
    <t>Jippo 0 vs 1 PK-35</t>
  </si>
  <si>
    <t>EST-00117</t>
  </si>
  <si>
    <t>Klubi 04 0 vs 1 PK-35</t>
  </si>
  <si>
    <t>EST-00118</t>
  </si>
  <si>
    <t>PK-35 1 vs 1 Klubi 04</t>
  </si>
  <si>
    <t>EST-00119</t>
  </si>
  <si>
    <t>JäPS 0 vs 5 PK-35</t>
  </si>
  <si>
    <t>EST-00120</t>
  </si>
  <si>
    <t>PK-35 2 vs 1 Mikkeli</t>
  </si>
  <si>
    <t>EST-00126</t>
  </si>
  <si>
    <t>Närpes Kraft 0 vs 1 JBK</t>
  </si>
  <si>
    <t>JBK</t>
  </si>
  <si>
    <t>EST-00127</t>
  </si>
  <si>
    <t>VPS Akatemia 2 vs 2 Närpes Kraft</t>
  </si>
  <si>
    <t>VPS Akatemia</t>
  </si>
  <si>
    <t>EST-00128</t>
  </si>
  <si>
    <t>FC Vaajakoski 4 vs 5 Närpes Kraft</t>
  </si>
  <si>
    <t>FC Vaajakoski</t>
  </si>
  <si>
    <t>EST-00129</t>
  </si>
  <si>
    <t>Närpes Kraft 6 vs 2 GBK Kokkola</t>
  </si>
  <si>
    <t>GBK Kokkola</t>
  </si>
  <si>
    <t>EST-00130</t>
  </si>
  <si>
    <t>JS Hercules 1 vs 2 Närpes Kraft</t>
  </si>
  <si>
    <t>EST-00131</t>
  </si>
  <si>
    <t>Närpes Kraft 1 vs 2 TP-47</t>
  </si>
  <si>
    <t>TP-47</t>
  </si>
  <si>
    <t>EST-00132</t>
  </si>
  <si>
    <t>SJK Akatemia 2 0 vs 4 Närpes Kraft</t>
  </si>
  <si>
    <t>SJK Akatemia 2</t>
  </si>
  <si>
    <t>EST-00133</t>
  </si>
  <si>
    <t>Närpes Kraft 1 vs 3 Huima / Urho</t>
  </si>
  <si>
    <t>Huima / Urho</t>
  </si>
  <si>
    <t>EST-00134</t>
  </si>
  <si>
    <t>EST-00135</t>
  </si>
  <si>
    <t>JBK 4 vs 2 Närpes Kraft</t>
  </si>
  <si>
    <t>EST-00136</t>
  </si>
  <si>
    <t>Närpes Kraft 3 vs 2 VPS Akatemia</t>
  </si>
  <si>
    <t>EST-00137</t>
  </si>
  <si>
    <t>Närpes Kraft 2 vs 3 FC Vaajakoski</t>
  </si>
  <si>
    <t>EST-00139</t>
  </si>
  <si>
    <t>Huima / Urho 4 vs 4 VPS Akatemia</t>
  </si>
  <si>
    <t>EST-00141</t>
  </si>
  <si>
    <t>VPS Akatemia 2 vs 1 JBK</t>
  </si>
  <si>
    <t>EST-00142</t>
  </si>
  <si>
    <t>SJK Akatemia 2 3 vs 2 VPS Akatemia</t>
  </si>
  <si>
    <t>EST-00143</t>
  </si>
  <si>
    <t>EST-00144</t>
  </si>
  <si>
    <t>VPS Akatemia 2 vs 2 FC Vaajakoski</t>
  </si>
  <si>
    <t>EST-00145</t>
  </si>
  <si>
    <t>JS Hercules 1 vs 5 VPS Akatemia</t>
  </si>
  <si>
    <t>EST-00146</t>
  </si>
  <si>
    <t>VPS Akatemia 3 vs 4 GBK Kokkola</t>
  </si>
  <si>
    <t>EST-00147</t>
  </si>
  <si>
    <t>TP-47 0 vs 3 VPS Akatemia</t>
  </si>
  <si>
    <t>EST-00148</t>
  </si>
  <si>
    <t>VPS Akatemia 3 vs 1 Huima / Urho</t>
  </si>
  <si>
    <t>EST-00150</t>
  </si>
  <si>
    <t>VPS Akatemia 6 vs 2 SJK Akatemia 2</t>
  </si>
  <si>
    <t>EST-00151</t>
  </si>
  <si>
    <t>JBK 2 vs 0 VPS Akatemia</t>
  </si>
  <si>
    <t>EST-00152</t>
  </si>
  <si>
    <t>EST-00153</t>
  </si>
  <si>
    <t>JBK 1 vs 2 GBK Kokkola</t>
  </si>
  <si>
    <t>EST-00154</t>
  </si>
  <si>
    <t>EST-00156</t>
  </si>
  <si>
    <t>GBK Kokkola 4 vs 0 SJK Akatemia 2</t>
  </si>
  <si>
    <t>EST-00157</t>
  </si>
  <si>
    <t>Huima / Urho 1 vs 2 GBK Kokkola</t>
  </si>
  <si>
    <t>EST-00158</t>
  </si>
  <si>
    <t>GBK Kokkola 0 vs 1 FC Vaajakoski</t>
  </si>
  <si>
    <t>EST-00160</t>
  </si>
  <si>
    <t>GBK Kokkola 7 vs 0 JS Hercules</t>
  </si>
  <si>
    <t>EST-00161</t>
  </si>
  <si>
    <t>TP-47 3 vs 4 GBK Kokkola</t>
  </si>
  <si>
    <t>EST-00162</t>
  </si>
  <si>
    <t>GBK Kokkola 2 vs 0 JBK</t>
  </si>
  <si>
    <t>EST-00163</t>
  </si>
  <si>
    <t>GBK Kokkola 6 vs 2 Närpes Kraft</t>
  </si>
  <si>
    <t>EST-00164</t>
  </si>
  <si>
    <t>SJK Akatemia 2 2 vs 4 GBK Kokkola</t>
  </si>
  <si>
    <t>EST-00166</t>
  </si>
  <si>
    <t>JS Hercules 2 vs 1 Huima / Urho</t>
  </si>
  <si>
    <t>EST-00167</t>
  </si>
  <si>
    <t>SJK Akatemia 2 0 vs 1 Huima / Urho</t>
  </si>
  <si>
    <t>EST-00168</t>
  </si>
  <si>
    <t>Huima / Urho 4 vs 2 FC Vaajakoski</t>
  </si>
  <si>
    <t>EST-00169</t>
  </si>
  <si>
    <t>TP-47 4 vs 4 Huima / Urho</t>
  </si>
  <si>
    <t>EST-00171</t>
  </si>
  <si>
    <t>EST-00173</t>
  </si>
  <si>
    <t>Huima / Urho 3 vs 2 JBK</t>
  </si>
  <si>
    <t>EST-00175</t>
  </si>
  <si>
    <t>Huima / Urho 0 vs 0 JS Hercules</t>
  </si>
  <si>
    <t>EST-00176</t>
  </si>
  <si>
    <t>FC Vaajakoski 0 vs 1 Huima / Urho</t>
  </si>
  <si>
    <t>EST-00177</t>
  </si>
  <si>
    <t>Huima / Urho 4 vs 0 SJK Akatemia 2</t>
  </si>
  <si>
    <t>EST-00178</t>
  </si>
  <si>
    <t>Huima / Urho 4 vs 0 TP-47</t>
  </si>
  <si>
    <t>IPM</t>
  </si>
  <si>
    <t>IPV</t>
  </si>
  <si>
    <t>Índice Normalizado</t>
  </si>
  <si>
    <t>Potencial Ajustado</t>
  </si>
  <si>
    <t>RANKING DE EQUIPES — ADERÊNCIA ÀS LINHAS OVER</t>
  </si>
  <si>
    <t>O Over 0.5 funciona como filtro obrigatório de segurança. A ordenação principal utiliza o Over 1.5; Potencial Ajustado e TJT são utilizados como desempates.</t>
  </si>
  <si>
    <t>EST-00179</t>
  </si>
  <si>
    <t>Always Ready 1 vs 0 Oriente Petrolero</t>
  </si>
  <si>
    <t>Always Ready</t>
  </si>
  <si>
    <t>Oriente Petrolero</t>
  </si>
  <si>
    <t>EST-00180</t>
  </si>
  <si>
    <t>Guabirá 1 vs 2 Always Ready</t>
  </si>
  <si>
    <t>Guabirá</t>
  </si>
  <si>
    <t>EST-00181</t>
  </si>
  <si>
    <t>Always Ready 3 vs 1 Nacional Potosí</t>
  </si>
  <si>
    <t>Nacional Potosí</t>
  </si>
  <si>
    <t>EST-00182</t>
  </si>
  <si>
    <t>EST-00183</t>
  </si>
  <si>
    <t>Always Ready 0 vs 1 The Strongest</t>
  </si>
  <si>
    <t>EST-00184</t>
  </si>
  <si>
    <t>EST-00185</t>
  </si>
  <si>
    <t>Real Oruro 0 vs 6 Always Ready</t>
  </si>
  <si>
    <t>EST-00186</t>
  </si>
  <si>
    <t>Always Ready 4 vs 0 Universitario de Vinto</t>
  </si>
  <si>
    <t>Universitario de Vinto</t>
  </si>
  <si>
    <t>EST-00187</t>
  </si>
  <si>
    <t>EST-00188</t>
  </si>
  <si>
    <t>Always Ready 1 vs 0 Bolívar</t>
  </si>
  <si>
    <t>Bolívar</t>
  </si>
  <si>
    <t>Independiente Petrolero 0 vs 0 Always Ready</t>
  </si>
  <si>
    <t>ABB 1 vs 3 Always Ready</t>
  </si>
  <si>
    <t>EST-00189</t>
  </si>
  <si>
    <t>IR Reykjavik</t>
  </si>
  <si>
    <t>EST-00190</t>
  </si>
  <si>
    <t>EST-00191</t>
  </si>
  <si>
    <t>Fylkir 2 vs 1 IR Reykjavik</t>
  </si>
  <si>
    <t>Fylkir</t>
  </si>
  <si>
    <t>EST-00192</t>
  </si>
  <si>
    <t>IR Reykjavik 3 vs 1 Kopavogur</t>
  </si>
  <si>
    <t>Kopavogur</t>
  </si>
  <si>
    <t>EST-00193</t>
  </si>
  <si>
    <t>EST-00194</t>
  </si>
  <si>
    <t>IR Reykjavik 0 vs 1 Vestri</t>
  </si>
  <si>
    <t>Vestri</t>
  </si>
  <si>
    <t>EST-00195</t>
  </si>
  <si>
    <t>EST-00196</t>
  </si>
  <si>
    <t>EST-00197</t>
  </si>
  <si>
    <t>EST-00198</t>
  </si>
  <si>
    <t>Leiknir 2 vs 1 IR Reykjavik</t>
  </si>
  <si>
    <t>Leiknir</t>
  </si>
  <si>
    <t>EST-00199</t>
  </si>
  <si>
    <t>IR Reykjavik 0 vs 1 Afturelding</t>
  </si>
  <si>
    <t>EST-00200</t>
  </si>
  <si>
    <t>EST-00201</t>
  </si>
  <si>
    <t>Kopavogur 5 vs 1 IR Reykjavik</t>
  </si>
  <si>
    <t>EST-00202</t>
  </si>
  <si>
    <t>EST-00203</t>
  </si>
  <si>
    <t>IR Reykjavik 2 vs 0 Fylkir</t>
  </si>
  <si>
    <t>Aegir 4 vs 1 IR Reykjavik</t>
  </si>
  <si>
    <t>EST-00204</t>
  </si>
  <si>
    <t>Aegir 1 vs 2 Vestri</t>
  </si>
  <si>
    <t>EST-00205</t>
  </si>
  <si>
    <t>Njardvik 0 vs 0 Aegir</t>
  </si>
  <si>
    <t>EST-00207</t>
  </si>
  <si>
    <t>Volsungur 2 vs 3 Aegir</t>
  </si>
  <si>
    <t>Volsungur</t>
  </si>
  <si>
    <t>EST-00208</t>
  </si>
  <si>
    <t>Aegir 0 vs 3 Leiknir</t>
  </si>
  <si>
    <t>EST-00209</t>
  </si>
  <si>
    <t>Vestri 3 vs 2 Aegir</t>
  </si>
  <si>
    <t>EST-00210</t>
  </si>
  <si>
    <t>EST-00211</t>
  </si>
  <si>
    <t>Grindavik 0 vs 0 Aegir</t>
  </si>
  <si>
    <t>EST-00212</t>
  </si>
  <si>
    <t>Afturelding 8 vs 1 Aegir</t>
  </si>
  <si>
    <t>EST-00213</t>
  </si>
  <si>
    <t>Aegir 2 vs 4 Fylkir</t>
  </si>
  <si>
    <t>EST-00214</t>
  </si>
  <si>
    <t>Aegir 3 vs 4 Kopavogur</t>
  </si>
  <si>
    <t>EST-00215</t>
  </si>
  <si>
    <t>Grotta 6 vs 1 Aegir</t>
  </si>
  <si>
    <t>Grotta</t>
  </si>
  <si>
    <t>Grindavik 1 vs 0 Leiknir</t>
  </si>
  <si>
    <t>JäPS 1 vs 0 SJK Akatemia</t>
  </si>
  <si>
    <t>IR Reykjavik 2 vs 2 Grindavik</t>
  </si>
  <si>
    <t>Njardvik 5 vs 1 IR Reykjavik</t>
  </si>
  <si>
    <t>IR Reykjavik 2 vs 1 Grotta</t>
  </si>
  <si>
    <t>IR Reykjavik 4 vs 4 Volsungur</t>
  </si>
  <si>
    <t>Grindavik 0 vs 0 IR Reykjavik</t>
  </si>
  <si>
    <t>Placar</t>
  </si>
  <si>
    <t>EST-00217</t>
  </si>
  <si>
    <t>SalPa 2 vs 3 Inter Turku 2</t>
  </si>
  <si>
    <t>SalPa</t>
  </si>
  <si>
    <t>Inter Turku 2</t>
  </si>
  <si>
    <t>EST-00218</t>
  </si>
  <si>
    <t>Inter Turku 2 0 vs 2 Tampere Utd</t>
  </si>
  <si>
    <t>Tampere Utd</t>
  </si>
  <si>
    <t>EST-00219</t>
  </si>
  <si>
    <t>VJS 3 vs 2 Inter Turku 2</t>
  </si>
  <si>
    <t>VJS</t>
  </si>
  <si>
    <t>EST-00220</t>
  </si>
  <si>
    <t>Inter Turku 2 4 vs 2 KuPS Akatemia</t>
  </si>
  <si>
    <t>EST-00221</t>
  </si>
  <si>
    <t>Inter Turku 2 2 vs 1 Keski-Uusimaa</t>
  </si>
  <si>
    <t>Keski-Uusimaa</t>
  </si>
  <si>
    <t>EST-00222</t>
  </si>
  <si>
    <t>KPV 4 vs 2 Inter Turku 2</t>
  </si>
  <si>
    <t>KPV</t>
  </si>
  <si>
    <t>EST-00223</t>
  </si>
  <si>
    <t>TPV 1 vs 1 Inter Turku 2</t>
  </si>
  <si>
    <t>TPV</t>
  </si>
  <si>
    <t>EST-00224</t>
  </si>
  <si>
    <t>Inter Turku 2 1 vs 1 Jazz Pori</t>
  </si>
  <si>
    <t>Jazz Pori</t>
  </si>
  <si>
    <t>EST-00225</t>
  </si>
  <si>
    <t>JJK Jyvaskyla 11 vs 1 Inter Turku 2</t>
  </si>
  <si>
    <t>JJK Jyvaskyla</t>
  </si>
  <si>
    <t>EST-00226</t>
  </si>
  <si>
    <t>OLS Oulu 1 vs 3 Inter Turku 2</t>
  </si>
  <si>
    <t>OLS Oulu</t>
  </si>
  <si>
    <t>EST-00227</t>
  </si>
  <si>
    <t>EST-00228</t>
  </si>
  <si>
    <t>Inter Turku 2 1 vs 2 SalPa</t>
  </si>
  <si>
    <t>EST-00229</t>
  </si>
  <si>
    <t>Tampere Utd 2 vs 2 Inter Turku 2</t>
  </si>
  <si>
    <t>EST-00230</t>
  </si>
  <si>
    <t>Inter Turku 2 1 vs 1 VJS</t>
  </si>
  <si>
    <t>KuPS Akatemia 0 vs 1 Inter Turku 2</t>
  </si>
  <si>
    <t>EST-00233</t>
  </si>
  <si>
    <t>EST-00234</t>
  </si>
  <si>
    <t>Keski-Uusimaa 3 vs 0 KuPS Akatemia</t>
  </si>
  <si>
    <t>EST-00235</t>
  </si>
  <si>
    <t>KuPS Akatemia 4 vs 1 KPV</t>
  </si>
  <si>
    <t>EST-00236</t>
  </si>
  <si>
    <t>SalPa 4 vs 3 KuPS Akatemia</t>
  </si>
  <si>
    <t>EST-00237</t>
  </si>
  <si>
    <t>OLS Oulu 2 vs 2 KuPS Akatemia</t>
  </si>
  <si>
    <t>EST-00238</t>
  </si>
  <si>
    <t>KuPS Akatemia 2 vs 3 Tampere Utd</t>
  </si>
  <si>
    <t>EST-00239</t>
  </si>
  <si>
    <t>JJK Jyvaskyla 4 vs 4 KuPS Akatemia</t>
  </si>
  <si>
    <t>EST-00240</t>
  </si>
  <si>
    <t>TPV 3 vs 1 KuPS Akatemia</t>
  </si>
  <si>
    <t>EST-00241</t>
  </si>
  <si>
    <t>KuPS Akatemia 2 vs 2 VJS</t>
  </si>
  <si>
    <t>Jazz Pori 2 vs 2 KuPS Akatemia</t>
  </si>
  <si>
    <t>0 x 1</t>
  </si>
  <si>
    <t>Motivo</t>
  </si>
  <si>
    <t>Orientação</t>
  </si>
  <si>
    <t>4 x 2</t>
  </si>
  <si>
    <t>2 x 2</t>
  </si>
  <si>
    <t>Sinal</t>
  </si>
  <si>
    <t>Nível</t>
  </si>
  <si>
    <t>Probabilidades</t>
  </si>
  <si>
    <t>Orientação final</t>
  </si>
  <si>
    <t>1 x 3</t>
  </si>
  <si>
    <t>Confronto</t>
  </si>
  <si>
    <t>Gols</t>
  </si>
  <si>
    <t>KuPS Akatemia x Inter Turku 2</t>
  </si>
  <si>
    <t>Atlantis x Reipas</t>
  </si>
  <si>
    <t>PPJ x HPS</t>
  </si>
  <si>
    <t>FF Jaro II x JBK</t>
  </si>
  <si>
    <t>LEITURA RÁPIDA — CONSENSO DE ENTRADA</t>
  </si>
  <si>
    <t>PROBABILIDADES — LINHAS ASIÁTICAS OVER</t>
  </si>
  <si>
    <t>Linha</t>
  </si>
  <si>
    <t>Prob. ajustada</t>
  </si>
  <si>
    <t>Proteção / liquidação</t>
  </si>
  <si>
    <t>Sem proteção</t>
  </si>
  <si>
    <t>½ GREEN com 1 gol</t>
  </si>
  <si>
    <t>PUSH com 1 gol</t>
  </si>
  <si>
    <t>½ RED com 1 gol</t>
  </si>
  <si>
    <t>½ GREEN com 2 gols</t>
  </si>
  <si>
    <t>PUSH com 2 gols</t>
  </si>
  <si>
    <t>½ RED com 2 gols</t>
  </si>
  <si>
    <t>½ GREEN com 3 gols</t>
  </si>
  <si>
    <t>PUSH com 3 gols</t>
  </si>
  <si>
    <t>Probabilidade ajustada pondera GREEN=100%, meio GREEN=75%, PUSH=50%, meio RED=25% e RED=0%.</t>
  </si>
  <si>
    <t>PLACARES MAIS PROVÁVEIS</t>
  </si>
  <si>
    <t>Beijing Guoan x Shenzhen Xinpengcheng</t>
  </si>
  <si>
    <t>4 x 0</t>
  </si>
  <si>
    <t>O0,50</t>
  </si>
  <si>
    <t>O0,75</t>
  </si>
  <si>
    <t>O1,00</t>
  </si>
  <si>
    <t>O1,25</t>
  </si>
  <si>
    <t>O1,50</t>
  </si>
  <si>
    <t>O1,75</t>
  </si>
  <si>
    <t>O2,00</t>
  </si>
  <si>
    <t>O2,25</t>
  </si>
  <si>
    <t>O2,50</t>
  </si>
  <si>
    <t>O2,75</t>
  </si>
  <si>
    <t>O3,00</t>
  </si>
  <si>
    <t>FIN - Ykkönen</t>
  </si>
  <si>
    <t>FIN - Kakkonen C</t>
  </si>
  <si>
    <t>FIN - Kakkonen</t>
  </si>
  <si>
    <t>CHN - Super League</t>
  </si>
  <si>
    <t>Linha técnica</t>
  </si>
  <si>
    <t>Fase por liga</t>
  </si>
  <si>
    <t>Lions FC x Brisbane Roar NPL</t>
  </si>
  <si>
    <t>AUS - NPL Queensland</t>
  </si>
  <si>
    <t>Bolívar x Oriente Petrolero</t>
  </si>
  <si>
    <t>BOL - División Profesional</t>
  </si>
  <si>
    <t>2 x 1</t>
  </si>
  <si>
    <t>Nacional Potosí x The Strongest</t>
  </si>
  <si>
    <t>2 x 3</t>
  </si>
  <si>
    <t>Keflavík x KA Akureyri</t>
  </si>
  <si>
    <t>3 x 0</t>
  </si>
  <si>
    <t>VJS Vantaa x PK Keski-Uusimaa</t>
  </si>
  <si>
    <t>0 x 0</t>
  </si>
  <si>
    <t>SalPa x JJK Jyväskylä</t>
  </si>
  <si>
    <t>RoPS x FC Jazz</t>
  </si>
  <si>
    <t>OLS Oulu x TPV</t>
  </si>
  <si>
    <t>Guabirá x Real Tomayapo</t>
  </si>
  <si>
    <t>Thor Akureyri x Breiðablik</t>
  </si>
  <si>
    <t>1 x 0</t>
  </si>
  <si>
    <t>P/L (R$)</t>
  </si>
  <si>
    <t>Usada</t>
  </si>
  <si>
    <t>Melhor G</t>
  </si>
  <si>
    <t>Δ linha</t>
  </si>
  <si>
    <t>HISTÓRICO — LINHA USADA vs. MELHOR APROVEITAMENTO NOS GREENS</t>
  </si>
  <si>
    <t>Odd M.G.</t>
  </si>
  <si>
    <t>P/L M.G.</t>
  </si>
  <si>
    <t>Fonte odds</t>
  </si>
  <si>
    <t>WinComparator</t>
  </si>
  <si>
    <t>OddStorm</t>
  </si>
  <si>
    <t>OddsFilter</t>
  </si>
  <si>
    <t>Informada</t>
  </si>
  <si>
    <t>ABB x Real Oruro</t>
  </si>
  <si>
    <t>4 x 1</t>
  </si>
  <si>
    <t>Ilves II x MuSa</t>
  </si>
  <si>
    <t>FIN - Kakkonen B</t>
  </si>
  <si>
    <t>7 x 0</t>
  </si>
  <si>
    <t>EST-00245</t>
  </si>
  <si>
    <t>PPJ 2 vs 2 HPS</t>
  </si>
  <si>
    <t>EST-00246</t>
  </si>
  <si>
    <t>EST-00247</t>
  </si>
  <si>
    <t>CHN</t>
  </si>
  <si>
    <t>Super League</t>
  </si>
  <si>
    <t>Beijing Guoan 4 vs 0 Shenzhen Xinpengcheng</t>
  </si>
  <si>
    <t>Beijing Guoan</t>
  </si>
  <si>
    <t>Shenzhen Xinpengcheng</t>
  </si>
  <si>
    <t>EST-00248</t>
  </si>
  <si>
    <t>Lions FC 4 vs 2 Brisbane Roar NPL</t>
  </si>
  <si>
    <t>Lions FC</t>
  </si>
  <si>
    <t>EST-00249</t>
  </si>
  <si>
    <t>Bolívar 2 vs 1 Oriente Petrolero</t>
  </si>
  <si>
    <t>Nacional Potosí 2 vs 3 The Strongest</t>
  </si>
  <si>
    <t>EST-00251</t>
  </si>
  <si>
    <t>Keflavík 3 vs 0 KA Akureyri</t>
  </si>
  <si>
    <t>Keflavík</t>
  </si>
  <si>
    <t>EST-00252</t>
  </si>
  <si>
    <t>VJS 0 vs 0 Keski-Uusimaa</t>
  </si>
  <si>
    <t>EST-00253</t>
  </si>
  <si>
    <t>SalPa 2 vs 1 JJK Jyvaskyla</t>
  </si>
  <si>
    <t>EST-00254</t>
  </si>
  <si>
    <t>OLS Oulu 4 vs 2 TPV</t>
  </si>
  <si>
    <t>EST-00256</t>
  </si>
  <si>
    <t>Guabirá 3 vs 0 Real Tomayapo</t>
  </si>
  <si>
    <t>EST-00257</t>
  </si>
  <si>
    <t>EST-00258</t>
  </si>
  <si>
    <t>ABB 4 vs 1 Real Oruro</t>
  </si>
  <si>
    <t>00100-FIN</t>
  </si>
  <si>
    <t>00101-FIN</t>
  </si>
  <si>
    <t>00102-CHN</t>
  </si>
  <si>
    <t>00103-AUS</t>
  </si>
  <si>
    <t>00104-BOL</t>
  </si>
  <si>
    <t>00105-BOL</t>
  </si>
  <si>
    <t>00106-ISL</t>
  </si>
  <si>
    <t>00107-FIN</t>
  </si>
  <si>
    <t>00108-FIN</t>
  </si>
  <si>
    <t>00109-FIN</t>
  </si>
  <si>
    <t>00110-FIN</t>
  </si>
  <si>
    <t>00111-BOL</t>
  </si>
  <si>
    <t>00112-ISL</t>
  </si>
  <si>
    <t>00113-BOL</t>
  </si>
  <si>
    <t>00114-FIN</t>
  </si>
  <si>
    <t>Delfín SC</t>
  </si>
  <si>
    <t>LDU Quito</t>
  </si>
  <si>
    <t>LDU Quito 2 vs 1 Delfín SC</t>
  </si>
  <si>
    <t>00115-ECU</t>
  </si>
  <si>
    <t>LDU Quito x Delfín SC</t>
  </si>
  <si>
    <t>00116-FIN</t>
  </si>
  <si>
    <t>00117-FIN</t>
  </si>
  <si>
    <t>Deportivo Recoleta x Nacional Asunción</t>
  </si>
  <si>
    <t>PAR - Primera División</t>
  </si>
  <si>
    <t>3 x 2</t>
  </si>
  <si>
    <t>Stjarnan</t>
  </si>
  <si>
    <t>Valur Reykjavik</t>
  </si>
  <si>
    <t>Valur Reykjavik 2 vs 3 Stjarnan</t>
  </si>
  <si>
    <t>00119-ISL</t>
  </si>
  <si>
    <t>Valur Reykjavik x Stjarnan</t>
  </si>
  <si>
    <t>Estoril Praia x FC Famalicão</t>
  </si>
  <si>
    <t>POR - Primeira Liga</t>
  </si>
  <si>
    <t>1 x 1</t>
  </si>
  <si>
    <t>Afturelding 4 vs 1 Grindavik</t>
  </si>
  <si>
    <t>00121-ISL</t>
  </si>
  <si>
    <t>Afturelding x Grindavik</t>
  </si>
  <si>
    <t>GIF Sundsvall</t>
  </si>
  <si>
    <t>Östersunds FK</t>
  </si>
  <si>
    <t>Östersunds FK 1 vs 0 GIF Sundsvall</t>
  </si>
  <si>
    <t>00122-SWE</t>
  </si>
  <si>
    <t>Östersunds FK x GIF Sundsvall</t>
  </si>
  <si>
    <t>SWE - Superettan</t>
  </si>
  <si>
    <t>Galtabäcks BK</t>
  </si>
  <si>
    <t>Galtabäcks BK 1 vs 1 Qviding FIF</t>
  </si>
  <si>
    <t>00123-SWE</t>
  </si>
  <si>
    <t>Meio Red</t>
  </si>
  <si>
    <t>Galtabäcks BK x Qviding FIF</t>
  </si>
  <si>
    <t>SWE - 2ª D Västra Götaland</t>
  </si>
  <si>
    <t>Enköpings SK</t>
  </si>
  <si>
    <t>Karlbergs BK</t>
  </si>
  <si>
    <t>Enköpings SK 2 vs 1 Karlbergs BK</t>
  </si>
  <si>
    <t>00124-SWE</t>
  </si>
  <si>
    <t>Enköpings SK x Karlbergs BK</t>
  </si>
  <si>
    <t>SWE - 1ª D Norra</t>
  </si>
  <si>
    <t>West Adelaide SC</t>
  </si>
  <si>
    <t>West Torrens Birkalla</t>
  </si>
  <si>
    <t>NPL South Australia</t>
  </si>
  <si>
    <t>West Torrens Birkalla 6 vs 1 West Adelaide SC</t>
  </si>
  <si>
    <t>00125-AUS</t>
  </si>
  <si>
    <t>West Torrens Birkalla x West Adelaide SC</t>
  </si>
  <si>
    <t>AUS - NPL South Australia</t>
  </si>
  <si>
    <t>6 x 1</t>
  </si>
  <si>
    <t>Adelaide Comets</t>
  </si>
  <si>
    <t>MetroStars</t>
  </si>
  <si>
    <t>Adelaide Comets 0 vs 1 MetroStars</t>
  </si>
  <si>
    <t>00126-AUS</t>
  </si>
  <si>
    <t>Adelaide Comets x MetroStars</t>
  </si>
  <si>
    <t>Sollentuna FK</t>
  </si>
  <si>
    <t>Vasalunds IF</t>
  </si>
  <si>
    <t>Vasalunds IF 1 vs 1 Sollentuna FK</t>
  </si>
  <si>
    <t>00127-SWE</t>
  </si>
  <si>
    <t>Vasalunds IF x Sollentuna FK</t>
  </si>
  <si>
    <t>00128-NOR</t>
  </si>
  <si>
    <t>Ranheim x Haugesund</t>
  </si>
  <si>
    <t>NOR - OBOS-ligaen</t>
  </si>
  <si>
    <t>3 x 4</t>
  </si>
  <si>
    <t>HJK Helsinki</t>
  </si>
  <si>
    <t>SJK</t>
  </si>
  <si>
    <t>SJK 3 vs 0 HJK Helsinki</t>
  </si>
  <si>
    <t>00129-FIN</t>
  </si>
  <si>
    <t>SJK x HJK Helsinki</t>
  </si>
  <si>
    <t>FIN - Veikkausliiga</t>
  </si>
  <si>
    <t>Halmstads BK</t>
  </si>
  <si>
    <t>IK Sirius</t>
  </si>
  <si>
    <t>Halmstads BK 0 vs 2 IK Sirius</t>
  </si>
  <si>
    <t>00130-SWE</t>
  </si>
  <si>
    <t>Halmstads BK x IK Sirius</t>
  </si>
  <si>
    <t>SWE - Allsvenskan</t>
  </si>
  <si>
    <t>0 x 2</t>
  </si>
  <si>
    <t>P-Iirot Rauma 4 vs 0 MuSa</t>
  </si>
  <si>
    <t>MuSa 0 vs 6 Honka</t>
  </si>
  <si>
    <t>GrIFK 1 vs 1 MuSa</t>
  </si>
  <si>
    <t>MuSa 0 vs 2 HJS</t>
  </si>
  <si>
    <t>EPS 6 vs 1 MuSa</t>
  </si>
  <si>
    <t>MuSa 0 vs 0 NJS</t>
  </si>
  <si>
    <t>EBK 0 vs 2 MuSa</t>
  </si>
  <si>
    <t>MuSa 2 vs 2 P-Iirot Rauma</t>
  </si>
  <si>
    <t>MuSa 3 vs 1 GrIFK</t>
  </si>
  <si>
    <t>HJS 2 vs 1 MuSa</t>
  </si>
  <si>
    <t>MuSa 0 vs 2 EPS</t>
  </si>
  <si>
    <t>EST-00261</t>
  </si>
  <si>
    <t>OLS Oulu 2 vs 0 Keski-Uusimaa</t>
  </si>
  <si>
    <t>EST-00262</t>
  </si>
  <si>
    <t>KPV 0 vs 4 OLS Oulu</t>
  </si>
  <si>
    <t>EST-00263</t>
  </si>
  <si>
    <t>OLS Oulu 2 vs 1 JJK Jyvaskyla</t>
  </si>
  <si>
    <t>EST-00264</t>
  </si>
  <si>
    <t>TPV 2 vs 2 OLS Oulu</t>
  </si>
  <si>
    <t>EST-00265</t>
  </si>
  <si>
    <t>OLS Oulu 1 vs 2 Jazz Pori</t>
  </si>
  <si>
    <t>EST-00266</t>
  </si>
  <si>
    <t>JJK Jyvaskyla 1 vs 0 OLS Oulu</t>
  </si>
  <si>
    <t>EST-00267</t>
  </si>
  <si>
    <t>EST-00268</t>
  </si>
  <si>
    <t>OLS Oulu 5 vs 0 SalPa</t>
  </si>
  <si>
    <t>EST-00269</t>
  </si>
  <si>
    <t>Tampere Utd 3 vs 0 OLS Oulu</t>
  </si>
  <si>
    <t>EST-00272</t>
  </si>
  <si>
    <t>VJS 4 vs 3 OLS Oulu</t>
  </si>
  <si>
    <t>EST-00273</t>
  </si>
  <si>
    <t>Keski-Uusimaa 1 vs 1 OLS Oulu</t>
  </si>
  <si>
    <t>EST-00274</t>
  </si>
  <si>
    <t>OLS Oulu 2 vs 1 KPV</t>
  </si>
  <si>
    <t>EST-00276</t>
  </si>
  <si>
    <t>EST-00278</t>
  </si>
  <si>
    <t>JJK Jyvaskyla 2 vs 2 SalPa</t>
  </si>
  <si>
    <t>EST-00279</t>
  </si>
  <si>
    <t>Tampere Utd 1 vs 0 JJK Jyvaskyla</t>
  </si>
  <si>
    <t>EST-00281</t>
  </si>
  <si>
    <t>JJK Jyvaskyla 2 vs 2 VJS</t>
  </si>
  <si>
    <t>EST-00282</t>
  </si>
  <si>
    <t>JJK Jyvaskyla 1 vs 3 Keski-Uusimaa</t>
  </si>
  <si>
    <t>EST-00283</t>
  </si>
  <si>
    <t>KPV 2 vs 3 JJK Jyvaskyla</t>
  </si>
  <si>
    <t>EST-00285</t>
  </si>
  <si>
    <t>TPV 1 vs 0 JJK Jyvaskyla</t>
  </si>
  <si>
    <t>EST-00287</t>
  </si>
  <si>
    <t>JJK Jyvaskyla 1 vs 3 Jazz Pori</t>
  </si>
  <si>
    <t>EST-00288</t>
  </si>
  <si>
    <t>_Índice</t>
  </si>
  <si>
    <t>_Ajustado</t>
  </si>
  <si>
    <t>_Chave</t>
  </si>
  <si>
    <t>EST-00290</t>
  </si>
  <si>
    <t>PPJ 0 vs 0 PuiU</t>
  </si>
  <si>
    <t>EST-00291</t>
  </si>
  <si>
    <t>EST-00292</t>
  </si>
  <si>
    <t>PuiU 1 vs 2 PEPO</t>
  </si>
  <si>
    <t>EST-00294</t>
  </si>
  <si>
    <t>PuiU 0 vs 2 HIFK</t>
  </si>
  <si>
    <t>EST-00296</t>
  </si>
  <si>
    <t>PuiU 1 vs 1 MyPa</t>
  </si>
  <si>
    <t>EST-00298</t>
  </si>
  <si>
    <t>Union Plaani 2 vs 1 PuiU</t>
  </si>
  <si>
    <t>EST-00299</t>
  </si>
  <si>
    <t>PuiU 4 vs 1 PPJ</t>
  </si>
  <si>
    <t>EST-00300</t>
  </si>
  <si>
    <t>EST-00301</t>
  </si>
  <si>
    <t>PEPO 3 vs 2 PuiU</t>
  </si>
  <si>
    <t>EST-00304</t>
  </si>
  <si>
    <t>PPJ 1 vs 1 HIFK</t>
  </si>
  <si>
    <t>EST-00305</t>
  </si>
  <si>
    <t>Union Plaani 2 vs 2 PPJ</t>
  </si>
  <si>
    <t>EST-00306</t>
  </si>
  <si>
    <t>EST-00307</t>
  </si>
  <si>
    <t>HPS 2 vs 2 PPJ</t>
  </si>
  <si>
    <t>EST-00308</t>
  </si>
  <si>
    <t>MyPa 1 vs 3 PPJ</t>
  </si>
  <si>
    <t>EST-00310</t>
  </si>
  <si>
    <t>PEPO 2 vs 2 PPJ</t>
  </si>
  <si>
    <t>EST-00313</t>
  </si>
  <si>
    <t>HIFK 1 vs 2 PPJ</t>
  </si>
  <si>
    <t>EST-00314</t>
  </si>
  <si>
    <t>PPJ 0 vs 1 Union Plaani</t>
  </si>
  <si>
    <t>EST-00317</t>
  </si>
  <si>
    <t>EST-00318</t>
  </si>
  <si>
    <t>EST-00319</t>
  </si>
  <si>
    <t>EST-00320</t>
  </si>
  <si>
    <t>EST-00321</t>
  </si>
  <si>
    <t>EST-00322</t>
  </si>
  <si>
    <t>SA Bulo Bulo</t>
  </si>
  <si>
    <t>EST-00323</t>
  </si>
  <si>
    <t>EST-00324</t>
  </si>
  <si>
    <t>EST-00325</t>
  </si>
  <si>
    <t>EST-00326</t>
  </si>
  <si>
    <t>EST-00327</t>
  </si>
  <si>
    <t>EST-00330</t>
  </si>
  <si>
    <t>EST-00331</t>
  </si>
  <si>
    <t>Real Oruro 2 vs 2 Blooming</t>
  </si>
  <si>
    <t>EST-00332</t>
  </si>
  <si>
    <t>SA Bulo Bulo 2 vs 1 Real Oruro</t>
  </si>
  <si>
    <t>EST-00333</t>
  </si>
  <si>
    <t>Real Oruro 2 vs 3 The Strongest</t>
  </si>
  <si>
    <t>EST-00334</t>
  </si>
  <si>
    <t>EST-00335</t>
  </si>
  <si>
    <t>EST-00336</t>
  </si>
  <si>
    <t>Real Oruro 4 vs 1 Universitario de Vinto</t>
  </si>
  <si>
    <t>EST-00337</t>
  </si>
  <si>
    <t>EST-00339</t>
  </si>
  <si>
    <t>EST-00340</t>
  </si>
  <si>
    <t>Always Ready 4 vs 0 Real Tomayapo</t>
  </si>
  <si>
    <t>Real Tomayapo 0 vs 0 The Strongest</t>
  </si>
  <si>
    <t>Oriente Petrolero 3 vs 1 Real Tomayapo</t>
  </si>
  <si>
    <t>Real Tomayapo 1 vs 0 SA Bulo Bulo</t>
  </si>
  <si>
    <t>Blooming 1 vs 0 Real Tomayapo</t>
  </si>
  <si>
    <t>Gold Coast Knights</t>
  </si>
  <si>
    <t>EST-00345</t>
  </si>
  <si>
    <t>EST-00347</t>
  </si>
  <si>
    <t>Brisbane City 2 vs 2 Magic United</t>
  </si>
  <si>
    <t>Brisbane City</t>
  </si>
  <si>
    <t>EST-00348</t>
  </si>
  <si>
    <t>Magic United 0 vs 2 Eastern Suburbs</t>
  </si>
  <si>
    <t>Eastern Suburbs</t>
  </si>
  <si>
    <t>EST-00349</t>
  </si>
  <si>
    <t>EST-00350</t>
  </si>
  <si>
    <t>Magic United 1 vs 3 Wynnum Wolves</t>
  </si>
  <si>
    <t>Wynnum Wolves</t>
  </si>
  <si>
    <t>EST-00351</t>
  </si>
  <si>
    <t>EST-00352</t>
  </si>
  <si>
    <t>EST-00353</t>
  </si>
  <si>
    <t>EST-00354</t>
  </si>
  <si>
    <t>EST-00355</t>
  </si>
  <si>
    <t>Gold Coast Knights 2 vs 1 Magic United</t>
  </si>
  <si>
    <t>EST-00356</t>
  </si>
  <si>
    <t>Magic United 3 vs 5 Brisbane City</t>
  </si>
  <si>
    <t>EST-00357</t>
  </si>
  <si>
    <t>Gold Coast Utd 1 vs 3 Magic United</t>
  </si>
  <si>
    <t>Gold Coast Utd</t>
  </si>
  <si>
    <t>EST-00358</t>
  </si>
  <si>
    <t>Moreton City Excelsior 4 vs 3 Magic United</t>
  </si>
  <si>
    <t>EST-00359</t>
  </si>
  <si>
    <t>Eastern Suburbs 1 vs 4 Magic United</t>
  </si>
  <si>
    <t>Brisbane Roar NPL 0 vs 1 Magic United</t>
  </si>
  <si>
    <t>Brisbane Olympic FC 2 vs 0 Magic United</t>
  </si>
  <si>
    <t>Peninsula Power 3 vs 2 Magic United</t>
  </si>
  <si>
    <t>Rochedale Rovers</t>
  </si>
  <si>
    <t>Rochedale Rovers 4 vs 0 Magic United</t>
  </si>
  <si>
    <t>Magic United 2 vs 1 Brisbane Roar NPL</t>
  </si>
  <si>
    <t>EST-00362</t>
  </si>
  <si>
    <t>EST-00363</t>
  </si>
  <si>
    <t>EST-00364</t>
  </si>
  <si>
    <t>EST-00365</t>
  </si>
  <si>
    <t>EST-00366</t>
  </si>
  <si>
    <t>EST-00367</t>
  </si>
  <si>
    <t>EST-00369</t>
  </si>
  <si>
    <t>EST-00370</t>
  </si>
  <si>
    <t>EST-00371</t>
  </si>
  <si>
    <t>EST-00372</t>
  </si>
  <si>
    <t>EST-00373</t>
  </si>
  <si>
    <t>EST-00374</t>
  </si>
  <si>
    <t>EST-00375</t>
  </si>
  <si>
    <t>EST-00376</t>
  </si>
  <si>
    <t>Peninsula Power 3 vs 1 Rochedale Rovers</t>
  </si>
  <si>
    <t>Gold Coast Knights 1 vs 1 Rochedale Rovers</t>
  </si>
  <si>
    <t>Brisbane City 2 vs 2 Rochedale Rovers</t>
  </si>
  <si>
    <t>Eastern Suburbs 6 vs 1 Rochedale Rovers</t>
  </si>
  <si>
    <t>Rochedale Rovers 3 vs 1 Brisbane Olympic FC</t>
  </si>
  <si>
    <t>Gold Coast Utd 4 vs 0 Rochedale Rovers</t>
  </si>
  <si>
    <t>Rochedale Rovers 0 vs 2 Peninsula Power</t>
  </si>
  <si>
    <t>Rochedale Rovers 2 vs 5 Moreton City Excelsior</t>
  </si>
  <si>
    <t>Rochedale Rovers 4 vs 1 Gold Coast Knights</t>
  </si>
  <si>
    <t>Wynnum Wolves 1 vs 1 Rochedale Rovers</t>
  </si>
  <si>
    <t>Brisbane Roar NPL 4 vs 1 Rochedale Rovers</t>
  </si>
  <si>
    <t>Rochedale Rovers 2 vs 3 Brisbane City</t>
  </si>
  <si>
    <t>Rochedale Rovers 2 vs 1 Eastern Suburbs</t>
  </si>
  <si>
    <t>EST-00379</t>
  </si>
  <si>
    <t>EST-00380</t>
  </si>
  <si>
    <t>EST-00381</t>
  </si>
  <si>
    <t>EST-00384</t>
  </si>
  <si>
    <t>EST-00385</t>
  </si>
  <si>
    <t>EST-00386</t>
  </si>
  <si>
    <t>EST-00387</t>
  </si>
  <si>
    <t>EST-00388</t>
  </si>
  <si>
    <t>EST-00389</t>
  </si>
  <si>
    <t>EST-00390</t>
  </si>
  <si>
    <t>EST-00391</t>
  </si>
  <si>
    <t>EST-00392</t>
  </si>
  <si>
    <t>Brisbane Olympic FC 1 vs 0 Gold Coast Knights</t>
  </si>
  <si>
    <t>Brisbane Olympic FC 1 vs 2 Eastern Suburbs</t>
  </si>
  <si>
    <t>Brisbane Roar NPL 1 vs 5 Brisbane Olympic FC</t>
  </si>
  <si>
    <t>Moreton City Excelsior 4 vs 3 Brisbane Olympic FC</t>
  </si>
  <si>
    <t>Wynnum Wolves 2 vs 1 Brisbane Olympic FC</t>
  </si>
  <si>
    <t>Brisbane Olympic FC 2 vs 3 Brisbane City</t>
  </si>
  <si>
    <t>Gold Coast Knights 5 vs 2 Brisbane Olympic FC</t>
  </si>
  <si>
    <t>Brisbane Olympic FC 1 vs 3 Peninsula Power</t>
  </si>
  <si>
    <t>Eastern Suburbs 1 vs 2 Brisbane Olympic FC</t>
  </si>
  <si>
    <t>Gold Coast Utd 3 vs 0 Brisbane Olympic FC</t>
  </si>
  <si>
    <t>Brisbane Olympic FC 3 vs 1 Brisbane Roar NPL</t>
  </si>
  <si>
    <t>EST-00394</t>
  </si>
  <si>
    <t>Wynnum Wolves 3 vs 0 Moreton City Excelsior</t>
  </si>
  <si>
    <t>EST-00396</t>
  </si>
  <si>
    <t>Moreton City Excelsior 3 vs 0 Eastern Suburbs</t>
  </si>
  <si>
    <t>EST-00398</t>
  </si>
  <si>
    <t>Moreton City Excelsior 2 vs 1 Gold Coast Utd</t>
  </si>
  <si>
    <t>EST-00399</t>
  </si>
  <si>
    <t>EST-00400</t>
  </si>
  <si>
    <t>EST-00401</t>
  </si>
  <si>
    <t>EST-00403</t>
  </si>
  <si>
    <t>Moreton City Excelsior 2 vs 5 Brisbane City</t>
  </si>
  <si>
    <t>EST-00404</t>
  </si>
  <si>
    <t>Eastern Suburbs 0 vs 0 Moreton City Excelsior</t>
  </si>
  <si>
    <t>EST-00406</t>
  </si>
  <si>
    <t>Moreton City Excelsior 2 vs 2 Wynnum Wolves</t>
  </si>
  <si>
    <t>EST-00407</t>
  </si>
  <si>
    <t>Gold Coast Utd 0 vs 1 Moreton City Excelsior</t>
  </si>
  <si>
    <t>EST-00408</t>
  </si>
  <si>
    <t>Gold Coast Knights 2 vs 1 Moreton City Excelsior</t>
  </si>
  <si>
    <t>EST-00410</t>
  </si>
  <si>
    <t>Peninsula Power 1 vs 4 Moreton City Excelsior</t>
  </si>
  <si>
    <t>Moreton City Excelsior 6 vs 0 Brisbane Roar NPL</t>
  </si>
  <si>
    <t>Moreton City Excelsior 2 vs 2 Peninsula Power</t>
  </si>
  <si>
    <t>EST-00414</t>
  </si>
  <si>
    <t>EST-00417</t>
  </si>
  <si>
    <t>Brisbane City 3 vs 0 Wynnum Wolves</t>
  </si>
  <si>
    <t>EST-00418</t>
  </si>
  <si>
    <t>EST-00421</t>
  </si>
  <si>
    <t>EST-00422</t>
  </si>
  <si>
    <t>Gold Coast Utd 0 vs 2 Brisbane City</t>
  </si>
  <si>
    <t>EST-00423</t>
  </si>
  <si>
    <t>Eastern Suburbs 3 vs 1 Brisbane City</t>
  </si>
  <si>
    <t>EST-00425</t>
  </si>
  <si>
    <t>EST-00426</t>
  </si>
  <si>
    <t>Gold Coast Knights 0 vs 0 Brisbane City</t>
  </si>
  <si>
    <t>EST-00428</t>
  </si>
  <si>
    <t>Wynnum Wolves 5 vs 2 Brisbane City</t>
  </si>
  <si>
    <t>EST-00430</t>
  </si>
  <si>
    <t>EST-00431</t>
  </si>
  <si>
    <t>Wynnum Wolves 1 vs 1 Gold Coast Utd</t>
  </si>
  <si>
    <t>EST-00433</t>
  </si>
  <si>
    <t>EST-00434</t>
  </si>
  <si>
    <t>Eastern Suburbs 2 vs 1 Gold Coast Utd</t>
  </si>
  <si>
    <t>EST-00436</t>
  </si>
  <si>
    <t>EST-00437</t>
  </si>
  <si>
    <t>Gold Coast Utd 1 vs 2 Wynnum Wolves</t>
  </si>
  <si>
    <t>EST-00439</t>
  </si>
  <si>
    <t>EST-00443</t>
  </si>
  <si>
    <t>EST-00444</t>
  </si>
  <si>
    <t>Gold Coast Knights 1 vs 1 Gold Coast Utd</t>
  </si>
  <si>
    <t>EST-00445</t>
  </si>
  <si>
    <t>Gold Coast Utd 1 vs 0 Gold Coast Knights</t>
  </si>
  <si>
    <t>Brisbane City 1 vs 4 Peninsula Power</t>
  </si>
  <si>
    <t>Brisbane City 1 vs 1 Brisbane Roar NPL</t>
  </si>
  <si>
    <t>Peninsula Power 4 vs 2 Gold Coast Utd</t>
  </si>
  <si>
    <t>Gold Coast Utd 0 vs 4 Peninsula Power</t>
  </si>
  <si>
    <t>Gold Coast Utd 1 vs 4 Brisbane Roar NPL</t>
  </si>
  <si>
    <t>EST-00446</t>
  </si>
  <si>
    <t>EST-00448</t>
  </si>
  <si>
    <t>Eastern Suburbs 1 vs 2 Gold Coast Knights</t>
  </si>
  <si>
    <t>EST-00454</t>
  </si>
  <si>
    <t>EST-00458</t>
  </si>
  <si>
    <t>EST-00463</t>
  </si>
  <si>
    <t>EST-00464</t>
  </si>
  <si>
    <t>EST-00465</t>
  </si>
  <si>
    <t>Gold Coast Knights 1 vs 2 Wynnum Wolves</t>
  </si>
  <si>
    <t>Eastern Suburbs 3 vs 2 Brisbane Roar NPL</t>
  </si>
  <si>
    <t>Eastern Suburbs 1 vs 3 Peninsula Power</t>
  </si>
  <si>
    <t>Brisbane Roar NPL 3 vs 2 Wynnum Wolves</t>
  </si>
  <si>
    <t>Peninsula Power 0 vs 0 Wynnum Wolves</t>
  </si>
  <si>
    <t>EST-00467</t>
  </si>
  <si>
    <t>EST-00470</t>
  </si>
  <si>
    <t>Gold Coast Knights 4 vs 1 Eastern Suburbs</t>
  </si>
  <si>
    <t>EST-00472</t>
  </si>
  <si>
    <t>EST-00478</t>
  </si>
  <si>
    <t>EST-00479</t>
  </si>
  <si>
    <t>Gold Coast Knights 3 vs 2 Brisbane Roar NPL</t>
  </si>
  <si>
    <t>Wynnum Wolves 2 vs 2 Peninsula Power</t>
  </si>
  <si>
    <t>Brisbane Roar NPL 2 vs 1 Peninsula Power</t>
  </si>
  <si>
    <t>EST-00487</t>
  </si>
  <si>
    <t>Croydon 3 vs 2 Para</t>
  </si>
  <si>
    <t>Croydon</t>
  </si>
  <si>
    <t>Para</t>
  </si>
  <si>
    <t>EST-00488</t>
  </si>
  <si>
    <t>Croydon 0 vs 4 Adelaide City</t>
  </si>
  <si>
    <t>Adelaide City</t>
  </si>
  <si>
    <t>EST-00489</t>
  </si>
  <si>
    <t>EST-00490</t>
  </si>
  <si>
    <t>Croydon 2 vs 2 Adelaide Comets</t>
  </si>
  <si>
    <t>EST-00491</t>
  </si>
  <si>
    <t>EST-00492</t>
  </si>
  <si>
    <t>Croydon 0 vs 2 FK Beograd</t>
  </si>
  <si>
    <t>FK Beograd</t>
  </si>
  <si>
    <t>EST-00493</t>
  </si>
  <si>
    <t>EST-00494</t>
  </si>
  <si>
    <t>Croydon 4 vs 1 Playford Patriots</t>
  </si>
  <si>
    <t>Playford Patriots</t>
  </si>
  <si>
    <t>EST-00495</t>
  </si>
  <si>
    <t>Croydon 3 vs 0 Adelaide United U23</t>
  </si>
  <si>
    <t>Adelaide United U23</t>
  </si>
  <si>
    <t>EST-00496</t>
  </si>
  <si>
    <t>Croydon 2 vs 2 Campbelltown City</t>
  </si>
  <si>
    <t>Campbelltown City</t>
  </si>
  <si>
    <t>EST-00497</t>
  </si>
  <si>
    <t>FK Beograd 1 vs 3 Sturt Lions</t>
  </si>
  <si>
    <t>Sturt Lions</t>
  </si>
  <si>
    <t>EST-00498</t>
  </si>
  <si>
    <t>Para 0 vs 5 Sturt Lions</t>
  </si>
  <si>
    <t>EST-00499</t>
  </si>
  <si>
    <t>Playford Patriots 2 vs 1 Sturt Lions</t>
  </si>
  <si>
    <t>EST-00500</t>
  </si>
  <si>
    <t>Adelaide Comets 2 vs 1 Sturt Lions</t>
  </si>
  <si>
    <t>EST-00501</t>
  </si>
  <si>
    <t>Campbelltown City 2 vs 0 Sturt Lions</t>
  </si>
  <si>
    <t>EST-00502</t>
  </si>
  <si>
    <t>Adelaide City 4 vs 1 Sturt Lions</t>
  </si>
  <si>
    <t>EST-00503</t>
  </si>
  <si>
    <t>EST-00504</t>
  </si>
  <si>
    <t>EST-00505</t>
  </si>
  <si>
    <t>EST-00506</t>
  </si>
  <si>
    <t>Adelaide United U23 2 vs 3 Sturt Lions</t>
  </si>
  <si>
    <t>Muitos Gols</t>
  </si>
  <si>
    <t>Nível no País</t>
  </si>
  <si>
    <t>1ª divisão</t>
  </si>
  <si>
    <t>2ª divisão</t>
  </si>
  <si>
    <t>3ª divisão</t>
  </si>
  <si>
    <t>4ª divisão</t>
  </si>
  <si>
    <t>ARG - Liga Profesional</t>
  </si>
  <si>
    <t>Poucos Gols</t>
  </si>
  <si>
    <t>ARG - Primera Nacional</t>
  </si>
  <si>
    <t>AUS - NPL Victoria</t>
  </si>
  <si>
    <t>Equilibrada</t>
  </si>
  <si>
    <t>BOL - Div. Profesional</t>
  </si>
  <si>
    <t>BRA - Série A</t>
  </si>
  <si>
    <t>BRA - Série B</t>
  </si>
  <si>
    <t>FIN - Ykkösliiga</t>
  </si>
  <si>
    <t>FIN - Kakkonen A</t>
  </si>
  <si>
    <t>MEX - Liga MX</t>
  </si>
  <si>
    <t>NOR - Eliteserien</t>
  </si>
  <si>
    <t>SWE - 1ª D Södra</t>
  </si>
  <si>
    <t>SWE - 2ª D Södra Götaland</t>
  </si>
  <si>
    <t>URU - Liga AUF</t>
  </si>
  <si>
    <t>P/L</t>
  </si>
  <si>
    <t>Status</t>
  </si>
  <si>
    <t>Over 2,50</t>
  </si>
  <si>
    <t>Analisar Over 2,50</t>
  </si>
  <si>
    <t>Over 2,00</t>
  </si>
  <si>
    <t>Escolha conservadora; 2 gols = devolução</t>
  </si>
  <si>
    <t>Over 1,50</t>
  </si>
  <si>
    <t>Analisar Over 1,50</t>
  </si>
  <si>
    <t>λ 4,04 · Over 2,0: 86,8% · Over 2,25: 83,8% · Over 2,5: 80,7%</t>
  </si>
  <si>
    <t>Over 2,0 @ 1,13 | Over 2,25 @ 1,124 | Over 2,5 @ 1,25</t>
  </si>
  <si>
    <t>Over 2,0 @ 1,13</t>
  </si>
  <si>
    <t>Linha conservadora; proteção com devolução em exatamente 2 gols</t>
  </si>
  <si>
    <t>BILHETES — DECISÕES PRÉ E PÓS-JOGO</t>
  </si>
  <si>
    <t>Unidade R$ 0,50 · análise, odds recebidas, escolha e resultado preservados</t>
  </si>
  <si>
    <t>1. Magic United × Rochedale Rovers</t>
  </si>
  <si>
    <t>MODELO</t>
  </si>
  <si>
    <t>Técnica</t>
  </si>
  <si>
    <t>ODDS</t>
  </si>
  <si>
    <t>DECISÃO</t>
  </si>
  <si>
    <t>BILHETE</t>
  </si>
  <si>
    <t>2. Brisbane Olympic FC × Moreton City Excelsior</t>
  </si>
  <si>
    <t>3. Brisbane City × Gold Coast Utd</t>
  </si>
  <si>
    <t>4. Eastern Suburbs × Wynnum Wolves</t>
  </si>
  <si>
    <t>5. Gold Coast Knights × Peninsula Power</t>
  </si>
  <si>
    <t>6. Croydon × Sturt Lions</t>
  </si>
  <si>
    <t>RESUMO DA CARTEIRA</t>
  </si>
  <si>
    <t>P/L Total</t>
  </si>
  <si>
    <t>Finalizados</t>
  </si>
  <si>
    <t>Data/Hora</t>
  </si>
  <si>
    <t>A definir</t>
  </si>
  <si>
    <t>PLACAR</t>
  </si>
  <si>
    <t>Total</t>
  </si>
  <si>
    <t>LIQUIDAÇÃO</t>
  </si>
  <si>
    <t>λ 3,70 · Over 1,75: 84,1% · Over 2,0: 79,9% · Over 2,25: 75,7% · Over 2,5: 71,5%</t>
  </si>
  <si>
    <t>Over 1,75 @ 1,125 | Over 2,0 @ 1,14 | Over 2,25 @ 1,26 | Over 2,5 @ 1,377</t>
  </si>
  <si>
    <t>Bayswater City</t>
  </si>
  <si>
    <t>Sorrento FC</t>
  </si>
  <si>
    <t>EST-00507</t>
  </si>
  <si>
    <t>NPL Western Australia</t>
  </si>
  <si>
    <t>Balcatta</t>
  </si>
  <si>
    <t>EST-00508</t>
  </si>
  <si>
    <t>Armadale</t>
  </si>
  <si>
    <t>EST-00509</t>
  </si>
  <si>
    <t>EST-00510</t>
  </si>
  <si>
    <t>Fremantle City</t>
  </si>
  <si>
    <t>EST-00511</t>
  </si>
  <si>
    <t>Perth Azzurri</t>
  </si>
  <si>
    <t>EST-00512</t>
  </si>
  <si>
    <t>Olympic Kingsway</t>
  </si>
  <si>
    <t>EST-00513</t>
  </si>
  <si>
    <t>Dianella White Eagle</t>
  </si>
  <si>
    <t>EST-00514</t>
  </si>
  <si>
    <t>Perth RedStar</t>
  </si>
  <si>
    <t>EST-00515</t>
  </si>
  <si>
    <t>EST-00516</t>
  </si>
  <si>
    <t>Perth Glory U23</t>
  </si>
  <si>
    <t>EST-00517</t>
  </si>
  <si>
    <t>EST-00518</t>
  </si>
  <si>
    <t>EST-00519</t>
  </si>
  <si>
    <t>EST-00520</t>
  </si>
  <si>
    <t>Stirling Macedonia</t>
  </si>
  <si>
    <t>EST-00521</t>
  </si>
  <si>
    <t>EST-00522</t>
  </si>
  <si>
    <t>AUS - NPL Western Australia</t>
  </si>
  <si>
    <t>Bayswater City 7 vs 0 Balcatta</t>
  </si>
  <si>
    <t>Bayswater City 2 vs 0 Armadale</t>
  </si>
  <si>
    <t>Bayswater City 0 vs 0 Western Knights</t>
  </si>
  <si>
    <t>Bayswater City 3 vs 3 Fremantle City</t>
  </si>
  <si>
    <t>Bayswater City 3 vs 2 Perth Azzurri</t>
  </si>
  <si>
    <t>Bayswater City 3 vs 2 Olympic Kingsway</t>
  </si>
  <si>
    <t>Bayswater City 4 vs 3 Dianella White Eagle</t>
  </si>
  <si>
    <t>Bayswater City 3 vs 0 Perth RedStar</t>
  </si>
  <si>
    <t>Armadale 1 vs 1 Sorrento FC</t>
  </si>
  <si>
    <t>Perth Glory U23 0 vs 1 Sorrento FC</t>
  </si>
  <si>
    <t>Fremantle City 0 vs 1 Sorrento FC</t>
  </si>
  <si>
    <t>Perth RedStar 4 vs 1 Sorrento FC</t>
  </si>
  <si>
    <t>Balcatta 0 vs 3 Sorrento FC</t>
  </si>
  <si>
    <t>Stirling Macedonia 0 vs 1 Sorrento FC</t>
  </si>
  <si>
    <t>Dianella White Eagle 2 vs 1 Sorrento FC</t>
  </si>
  <si>
    <t>Western Knights 2 vs 0 Sorrento FC</t>
  </si>
  <si>
    <t>7. Bayswater City × Sorrento FC</t>
  </si>
  <si>
    <t>λ 3,31 · Over 1,5: 84,3% · Over 1,75: 79,3% · Over 2,0: 74,3%</t>
  </si>
  <si>
    <t>Over 1,5 @ 1,115 | Over 1,75 @ 1,125 | Over 2,0 @ 1,15</t>
  </si>
  <si>
    <t>Over 2,00 @ 1,15</t>
  </si>
  <si>
    <t>Proteção por devolução em 2 gols; λ 3,31 e 64,3% de 3+ gols</t>
  </si>
  <si>
    <t>λ 3,12 · Over 1,5: 81,8% · Over 1,75: 76,4% · Over 2,0: 71,0%</t>
  </si>
  <si>
    <t>Over 1,5 @ 1,10 | Over 1,75 @ 1,11 | Over 2,0 @ 1,125</t>
  </si>
  <si>
    <t>Over 2,00 @ 1,125</t>
  </si>
  <si>
    <t>Proteção por devolução em 2 gols; diferença pequena de odd para linhas inferiores</t>
  </si>
  <si>
    <t>λ 3,61 · Over 1,5: 87,5% · Over 1,75: 83,1% · Over 2,0: 78,7% · Over 2,25: 74,3% · Over 2,5: 69,9%</t>
  </si>
  <si>
    <t>Over 1,5 @ 1,115 | Over 1,75 @ 1,13 | Over 2,0 @ 1,15 | Over 2,25 @ 1,1275 | Over 2,5 @ 1,40</t>
  </si>
  <si>
    <t>Revisão operacional: preserva a projeção de 3+ gols, com devolução se houver exatamente 2</t>
  </si>
  <si>
    <t>Over 2,25 @ 1,26</t>
  </si>
  <si>
    <t>Revisão moderada: mantém exposição a 3+ gols e reduz o dano com exatamente 2 gols para meio red</t>
  </si>
  <si>
    <t>Over 2,25</t>
  </si>
  <si>
    <t>λ 3,75 · Over 1,5: 88,8% · Over 1,75: 84,7% · Over 2,0: 80,6% · Over 2,25: 76,4% · Over 2,5: 72,3%</t>
  </si>
  <si>
    <t>Over 1,5 @ 1,125 | Over 1,75 @ 1,14 | Over 2,0 @ 1,16 | Over 2,25 @ 1,30 | Over 2,5 @ 1,425</t>
  </si>
  <si>
    <t>Over 2,25 @ 1,30</t>
  </si>
  <si>
    <t>Faixa moderada: 3+ gols = green; exatamente 2 = meio red; preserva parte do ganho de odd</t>
  </si>
  <si>
    <t>λ 3,33 · Over 1,5: 84,5% · Over 1,75: 79,6% · Over 2,0: 74,6% · Over 2,25: 69,7%</t>
  </si>
  <si>
    <t>Revisão consistente com técnica Over 1,5: exatamente 2 gols devolvem a stake</t>
  </si>
  <si>
    <t>Over 1,5 @ 1,15 | Over 1,75 @ 1,17 | Over 2,0 @ 1,22 | Over 2,25 @ 1,35</t>
  </si>
  <si>
    <t>Over 2,00 @ 1,22</t>
  </si>
  <si>
    <t>PLACAR: digite os gols nas células azul-claro</t>
  </si>
  <si>
    <t>Real Tomayapo x Real Oruro</t>
  </si>
  <si>
    <t>1 x 2</t>
  </si>
  <si>
    <t>ANÁLISE REVISADA: A melhor linha operacional foi Over 2,00, não a maior linha vencedora. Com 3 gols, Over 2,00 seria Green e, com exatamente 2, devolveria a stake. A entrada Over 1,50 foi conservadora e vencedora, mas deixou 0,50 linha de eficiência potencial.</t>
  </si>
  <si>
    <t>Análise da Entrada</t>
  </si>
  <si>
    <t>EST-00523</t>
  </si>
  <si>
    <t>EST-00524</t>
  </si>
  <si>
    <t>EST-00525</t>
  </si>
  <si>
    <t>EST-00526</t>
  </si>
  <si>
    <t>EST-00527</t>
  </si>
  <si>
    <t>EST-00528</t>
  </si>
  <si>
    <t>EST-00529</t>
  </si>
  <si>
    <t>AIFK</t>
  </si>
  <si>
    <t>AIFK 1 vs 1 Ilves 2</t>
  </si>
  <si>
    <t>AIFK 0 vs 1 Honka</t>
  </si>
  <si>
    <t>AIFK 4 vs 2 MuSa</t>
  </si>
  <si>
    <t>Honka 1 vs 1 AIFK</t>
  </si>
  <si>
    <t>Ilves 2 1 vs 2 AIFK</t>
  </si>
  <si>
    <t>HJS 1 vs 1 AIFK</t>
  </si>
  <si>
    <t>EPS 1 vs 2 AIFK</t>
  </si>
  <si>
    <t>EBK 1 vs 6 AIFK</t>
  </si>
  <si>
    <t>GrIFK 0 vs 1 AIFK</t>
  </si>
  <si>
    <t>NJS 1 vs 2 AIFK</t>
  </si>
  <si>
    <t>8. MuSa × AIFK</t>
  </si>
  <si>
    <t>λ 3,13 · Over 1,5: 81,9% · Over 1,75: 76,5% · Over 2,0: 71,1% · Over 2,25: 65,8% · Over 2,5: 60,4%</t>
  </si>
  <si>
    <t>Over 1,75 @ 1,10 | Over 2,0 @ 1,11 | Over 2,25 @ 1,21 | Over 2,5 @ 1,325</t>
  </si>
  <si>
    <t>Over 2,00 @ 1,11</t>
  </si>
  <si>
    <t>Faixa moderada e inteira: exatamente 2 gols devolvem; mantém proximidade da técnica Over 1,5</t>
  </si>
  <si>
    <t>EST-00537</t>
  </si>
  <si>
    <t>HIFK 5 vs 1 Union Plaani</t>
  </si>
  <si>
    <t>EST-00538</t>
  </si>
  <si>
    <t>EST-00539</t>
  </si>
  <si>
    <t>HIFK 3 vs 3 Kiffen</t>
  </si>
  <si>
    <t>EST-00540</t>
  </si>
  <si>
    <t>HIFK 0 vs 2 HPS</t>
  </si>
  <si>
    <t>EST-00541</t>
  </si>
  <si>
    <t>HIFK 2 vs 1 PEPO</t>
  </si>
  <si>
    <t>EST-00542</t>
  </si>
  <si>
    <t>HIFK 4 vs 0 MyPa</t>
  </si>
  <si>
    <t>EST-00544</t>
  </si>
  <si>
    <t>HPS 1 vs 3 PuiU</t>
  </si>
  <si>
    <t>9. HIFK × PuiU</t>
  </si>
  <si>
    <t>λ 3,79 · Over 2,0: 81,0% · Over 2,25: 77,0% · Over 2,5: 72,9% · Over 2,75: 67,9%</t>
  </si>
  <si>
    <t>Over 2,0 @ 1,10 | Over 2,25 @ 1,19 | Over 2,5 @ 1,30 | Over 2,75 @ 1,325</t>
  </si>
  <si>
    <t>Over 2,25 @ 1,19</t>
  </si>
  <si>
    <t>Faixa moderada abaixo da técnica: 3+ gols = green; exatamente 2 = meio red</t>
  </si>
  <si>
    <t>EST-00552</t>
  </si>
  <si>
    <t>P-Iirot Rauma 2 vs 1 EPS</t>
  </si>
  <si>
    <t>EST-00553</t>
  </si>
  <si>
    <t>P-Iirot Rauma 1 vs 0 EBK</t>
  </si>
  <si>
    <t>EST-00554</t>
  </si>
  <si>
    <t>P-Iirot Rauma 5 vs 0 NJS</t>
  </si>
  <si>
    <t>EST-00556</t>
  </si>
  <si>
    <t>P-Iirot Rauma 3 vs 0 HJS</t>
  </si>
  <si>
    <t>EST-00558</t>
  </si>
  <si>
    <t>NJS 0 vs 1 GrIFK</t>
  </si>
  <si>
    <t>EST-00559</t>
  </si>
  <si>
    <t>EST-00560</t>
  </si>
  <si>
    <t>EBK 1 vs 0 GrIFK</t>
  </si>
  <si>
    <t>EST-00561</t>
  </si>
  <si>
    <t>EPS 1 vs 3 GrIFK</t>
  </si>
  <si>
    <t>AIFK 3 vs 1 GrIFK</t>
  </si>
  <si>
    <t>10. P-Iirot Rauma × GrIFK</t>
  </si>
  <si>
    <t>λ 3,57 · Over 1,5: 87,1% · Over 1,75: 82,6% · Over 2,0: 78,2% · Over 2,25: 73,7% · Over 2,5: 69,2%</t>
  </si>
  <si>
    <t>Over 1,5 @ 1,115 | Over 1,75 @ 1,13 | Over 2,0 @ 1,15 | Over 2,25 @ 1,275</t>
  </si>
  <si>
    <t>Linha inteira moderada; exatamente 2 gols devolvem e 3+ confirmam o cenário central</t>
  </si>
  <si>
    <t>11. GBK Kokkola × Huima / Urho</t>
  </si>
  <si>
    <t>λ 3,75 · Over 2,25: 76,4% · Over 2,5: 72,3% · Over 2,75: 67,1% · Over 3,0: 62,0%</t>
  </si>
  <si>
    <t>Over 2,25 @ 1,18 | Over 2,5 @ 1,275 | Over 2,75 @ 1,325 | Over 3,0 @ 1,375</t>
  </si>
  <si>
    <t>Over 2,50 @ 1,275</t>
  </si>
  <si>
    <t>Over 2,25 @ 1,18</t>
  </si>
  <si>
    <t>Revisão defensiva: 3+ gols = green; exatamente 2 = meio red; reduz risco de armadilha</t>
  </si>
  <si>
    <t>EST-00565</t>
  </si>
  <si>
    <t>TP-47 2 vs 2 SJK Akatemia 2</t>
  </si>
  <si>
    <t>EST-00566</t>
  </si>
  <si>
    <t>EST-00568</t>
  </si>
  <si>
    <t>TP-47 1 vs 1 JBK</t>
  </si>
  <si>
    <t>EST-00571</t>
  </si>
  <si>
    <t>EST-00572</t>
  </si>
  <si>
    <t>TP-47 0 vs 1 JS Hercules</t>
  </si>
  <si>
    <t>12. TP-47 × Närpes Kraft</t>
  </si>
  <si>
    <t>λ 5,29 · Over 2,25: 91,5% · Over 2,5: 89,7% · Over 2,75: 86,6% · Over 3,0: 83,5%</t>
  </si>
  <si>
    <t>Over 3,00</t>
  </si>
  <si>
    <t>Analisar Over 3,00</t>
  </si>
  <si>
    <t>Escolha conservadora abaixo da técnica Over 3,0; 3+ gols confirmam o bilhete</t>
  </si>
  <si>
    <t>Western Knights 2 vs 2 Perth Glory U23</t>
  </si>
  <si>
    <t>Bolívar 6 vs 0 Real Tomayapo</t>
  </si>
  <si>
    <t>Nacional Potosí 4 vs 1 Real Tomayapo</t>
  </si>
  <si>
    <t>Bolívar 5 vs 2 Real Oruro</t>
  </si>
  <si>
    <t>Nacional Potosí 1 vs 4 Real Oruro</t>
  </si>
  <si>
    <t>Guabirá 4 vs 1 Real Oruro</t>
  </si>
  <si>
    <t>Croydon 1 vs 2 West Adelaide SC</t>
  </si>
  <si>
    <t>West Adelaide SC 0 vs 0 Sturt Lions</t>
  </si>
  <si>
    <t>Equipes</t>
  </si>
  <si>
    <t>Outros</t>
  </si>
  <si>
    <t>FF Jaro</t>
  </si>
  <si>
    <t>Binomial Negativa</t>
  </si>
  <si>
    <t>EST-00579</t>
  </si>
  <si>
    <t>The Strongest 3 vs 2 SA Bulo Bulo</t>
  </si>
  <si>
    <t>EST-00580</t>
  </si>
  <si>
    <t>EST-00581</t>
  </si>
  <si>
    <t>EST-00582</t>
  </si>
  <si>
    <t>EST-00583</t>
  </si>
  <si>
    <t>The Strongest 2 vs 1 Oriente Petrolero</t>
  </si>
  <si>
    <t>EST-00585</t>
  </si>
  <si>
    <t>EST-00586</t>
  </si>
  <si>
    <t>EST-00587</t>
  </si>
  <si>
    <t>EST-00589</t>
  </si>
  <si>
    <t>Real Potosí</t>
  </si>
  <si>
    <t>Real Tomayapo 1 vs 1 Real Potosí</t>
  </si>
  <si>
    <t>Real Tomayapo 0 vs 2 Club Aurora</t>
  </si>
  <si>
    <t>Real Tomayapo 2 vs 1 Independiente Petrolero</t>
  </si>
  <si>
    <t>Real Potosí 1 vs 2 Real Oruro</t>
  </si>
  <si>
    <t>Club Aurora 1 vs 1 Real Oruro</t>
  </si>
  <si>
    <t>The Strongest 3 vs 1 ABB</t>
  </si>
  <si>
    <t>The Strongest 0 vs 0 Real Potosí</t>
  </si>
  <si>
    <t>The Strongest 1 vs 1 Bolívar</t>
  </si>
  <si>
    <t>Guabirá 2 vs 2 Independiente Petrolero</t>
  </si>
  <si>
    <t>Bolívar 1 vs 2 Independiente Petrolero</t>
  </si>
  <si>
    <t>ABB 3 vs 1 Independiente Petrolero</t>
  </si>
  <si>
    <t>EST-00591</t>
  </si>
  <si>
    <t>EST-00592</t>
  </si>
  <si>
    <t>EST-00593</t>
  </si>
  <si>
    <t>EST-00595</t>
  </si>
  <si>
    <t>EST-00596</t>
  </si>
  <si>
    <t>EST-00597</t>
  </si>
  <si>
    <t>EST-00598</t>
  </si>
  <si>
    <t>EST-00599</t>
  </si>
  <si>
    <t>EST-00600</t>
  </si>
  <si>
    <t>GV San José</t>
  </si>
  <si>
    <t>GV San José 3 vs 2 Real Tomayapo</t>
  </si>
  <si>
    <t>Real Oruro 3 vs 1 GV San José</t>
  </si>
  <si>
    <t>Club Aurora 1 vs 1 Always Ready</t>
  </si>
  <si>
    <t>Club Aurora 4 vs 2 Guabirá</t>
  </si>
  <si>
    <t>Club Aurora 2 vs 2 Oriente Petrolero</t>
  </si>
  <si>
    <t>Club Aurora 3 vs 2 ABB</t>
  </si>
  <si>
    <t>ABB 0 vs 2 Bolívar</t>
  </si>
  <si>
    <t>GV San José 1 vs 2 Bolívar</t>
  </si>
  <si>
    <t>Blooming 0 vs 0 Bolívar</t>
  </si>
  <si>
    <t>Universitario de Vinto 3 vs 2 Bolívar</t>
  </si>
  <si>
    <t>EST-00603</t>
  </si>
  <si>
    <t>SA Bulo Bulo 2 vs 0 Oriente Petrolero</t>
  </si>
  <si>
    <t>EST-00606</t>
  </si>
  <si>
    <t>SA Bulo Bulo 0 vs 2 Universitario de Vinto</t>
  </si>
  <si>
    <t>EST-00607</t>
  </si>
  <si>
    <t>EST-00608</t>
  </si>
  <si>
    <t>SA Bulo Bulo 2 vs 0 Blooming</t>
  </si>
  <si>
    <t>EST-00610</t>
  </si>
  <si>
    <t>EST-00611</t>
  </si>
  <si>
    <t>EST-00613</t>
  </si>
  <si>
    <t>EST-00614</t>
  </si>
  <si>
    <t>EST-00615</t>
  </si>
  <si>
    <t>EST-00616</t>
  </si>
  <si>
    <t>Independiente Petrolero 0 vs 3 Nacional Potosí</t>
  </si>
  <si>
    <t>Blooming 2 vs 1 Nacional Potosí</t>
  </si>
  <si>
    <t>Bolívar 1 vs 1 Nacional Potosí</t>
  </si>
  <si>
    <t>Guabirá 2 vs 1 Nacional Potosí</t>
  </si>
  <si>
    <t>Real Potosí 1 vs 1 Nacional Potosí</t>
  </si>
  <si>
    <t>Oriente Petrolero 1 vs 0 Nacional Potosí</t>
  </si>
  <si>
    <t>Always Ready 3 vs 1 SA Bulo Bulo</t>
  </si>
  <si>
    <t>SA Bulo Bulo 2 vs 2 Independiente Petrolero</t>
  </si>
  <si>
    <t>Club Aurora 3 vs 1 SA Bulo Bulo</t>
  </si>
  <si>
    <t>SA Bulo Bulo 1 vs 2 Guabirá</t>
  </si>
  <si>
    <t>SA Bulo Bulo 2 vs 1 ABB</t>
  </si>
  <si>
    <t>13. SA Bulo Bulo × Nacional Potosí</t>
  </si>
  <si>
    <t>08/08/26 16:00 · São Paulo</t>
  </si>
  <si>
    <t>14. The Strongest × Independiente Petrolero</t>
  </si>
  <si>
    <t>08/08/26 18:15 · São Paulo</t>
  </si>
  <si>
    <t>15. Club Aurora × Bolívar</t>
  </si>
  <si>
    <t>08/08/26 20:30 · São Paulo</t>
  </si>
  <si>
    <t>λ 2,64 · Over 1,25: 78,8% · Over 1,5: 74,1% · Over 1,75: 67,9% · Over 2,0: 61,7%</t>
  </si>
  <si>
    <t>Over 1,25 @ 1,105 | Over 1,5 @ 1,175 | Over 1,75 @ 1,20 | Over 2,0 @ 1,24</t>
  </si>
  <si>
    <t>Over 1,50 @ 1,175</t>
  </si>
  <si>
    <t>Escolha alinhada à técnica Over 1,50; 2+ gols confirmam o bilhete</t>
  </si>
  <si>
    <t>λ 3,08 · Over 1,5: 81,3% · Over 1,75: 75,9% · Over 2,0: 70,4% · Over 2,25: 65,0%</t>
  </si>
  <si>
    <t>Over 1,5 @ 1,10 | Over 1,75 @ 1,115 | Over 2,0 @ 1,13 | Over 2,25 @ 1,24</t>
  </si>
  <si>
    <t>Over 1,50 @ 1,10</t>
  </si>
  <si>
    <t>λ 3,00 · Over 1,25: 83,8% · Over 1,5: 80,1% · Over 1,75: 74,5% · Over 2,0: 68,9%</t>
  </si>
  <si>
    <t>Over 1,25 @ 1,10 | Over 1,5 @ 1,175 | Over 1,75 @ 1,20 | Over 2,0 @ 1,24</t>
  </si>
  <si>
    <t>Over 1,50 @ 1,18</t>
  </si>
  <si>
    <t>EST-00617</t>
  </si>
  <si>
    <t>Blooming 0 vs 0 Always Ready</t>
  </si>
  <si>
    <t>EST-00618</t>
  </si>
  <si>
    <t>Universitario de Vinto 1 vs 2 The Strongest</t>
  </si>
  <si>
    <t>EST-00619</t>
  </si>
  <si>
    <t>GV San José 0 vs 0 The Strongest</t>
  </si>
  <si>
    <t>EST-00620</t>
  </si>
  <si>
    <t>Blooming 1 vs 1 The Strongest</t>
  </si>
  <si>
    <t>EST-00621</t>
  </si>
  <si>
    <t>Bolívar 4 vs 0 Guabirá</t>
  </si>
  <si>
    <t>EST-00622</t>
  </si>
  <si>
    <t>Bolívar 2 vs 1 Real Potosí</t>
  </si>
  <si>
    <t>EST-00623</t>
  </si>
  <si>
    <t>Real Potosí 0 vs 0 Club Aurora</t>
  </si>
  <si>
    <t>EST-00624</t>
  </si>
  <si>
    <t>GV San José 1 vs 1 Club Aurora</t>
  </si>
  <si>
    <t>EST-00625</t>
  </si>
  <si>
    <t>Universitario de Vinto 1 vs 2 Club Aurora</t>
  </si>
  <si>
    <t>EST-00626</t>
  </si>
  <si>
    <t>Nacional Potosí 2 vs 0 Club Aurora</t>
  </si>
  <si>
    <t>EST-00627</t>
  </si>
  <si>
    <t>Independiente Petrolero 1 vs 1 Club Aurora</t>
  </si>
  <si>
    <t>EST-00628</t>
  </si>
  <si>
    <t>Blooming 5 vs 0 Guabirá</t>
  </si>
  <si>
    <t>EST-00629</t>
  </si>
  <si>
    <t>Real Potosí 3 vs 0 Guabirá</t>
  </si>
  <si>
    <t>EST-00630</t>
  </si>
  <si>
    <t>Guabirá 3 vs 0 GV San José</t>
  </si>
  <si>
    <t>EST-00631</t>
  </si>
  <si>
    <t>Oriente Petrolero 2 vs 2 Guabirá</t>
  </si>
  <si>
    <t>EST-00632</t>
  </si>
  <si>
    <t>Universitario de Vinto 1 vs 1 Guabirá</t>
  </si>
  <si>
    <t>EST-00633</t>
  </si>
  <si>
    <t>Real Tomayapo 1 vs 2 Real Oruro</t>
  </si>
  <si>
    <t>EST-00634</t>
  </si>
  <si>
    <t>GV San José 1 vs 2 ABB</t>
  </si>
  <si>
    <t>EST-00635</t>
  </si>
  <si>
    <t>Universitario de Vinto 5 vs 2 ABB</t>
  </si>
  <si>
    <t>EST-00636</t>
  </si>
  <si>
    <t>ABB 3 vs 2 Blooming</t>
  </si>
  <si>
    <t>EST-00637</t>
  </si>
  <si>
    <t>ABB 3 vs 1 Oriente Petrolero</t>
  </si>
  <si>
    <t>EST-00638</t>
  </si>
  <si>
    <t>Real Potosí 3 vs 1 ABB</t>
  </si>
  <si>
    <t>EST-00639</t>
  </si>
  <si>
    <t>ABB 0 vs 1 Guabirá</t>
  </si>
  <si>
    <t>EST-00640</t>
  </si>
  <si>
    <t>Real Potosí 5 vs 0 SA Bulo Bulo</t>
  </si>
  <si>
    <t>EST-00641</t>
  </si>
  <si>
    <t>GV San José 0 vs 0 SA Bulo Bulo</t>
  </si>
  <si>
    <t>EST-00642</t>
  </si>
  <si>
    <t>Independiente Petrolero 2 vs 1 Universitario de Vinto</t>
  </si>
  <si>
    <t>EST-00643</t>
  </si>
  <si>
    <t>Independiente Petrolero 3 vs 1 Blooming</t>
  </si>
  <si>
    <t>EST-00644</t>
  </si>
  <si>
    <t>Independiente Petrolero 1 vs 2 Real Potosí</t>
  </si>
  <si>
    <t>EST-00645</t>
  </si>
  <si>
    <t>Independiente Petrolero 1 vs 2 Oriente Petrolero</t>
  </si>
  <si>
    <t>EST-00646</t>
  </si>
  <si>
    <t>Nacional Potosí 1 vs 0 Universitario de Vinto</t>
  </si>
  <si>
    <t>EST-00647</t>
  </si>
  <si>
    <t>Nacional Potosí 1 vs 1 GV San José</t>
  </si>
  <si>
    <t>EST-00648</t>
  </si>
  <si>
    <t>Bahia 1 vs 2 Palmeiras</t>
  </si>
  <si>
    <t>EST-00649</t>
  </si>
  <si>
    <t>Corinthians 0 vs 0 Palmeiras</t>
  </si>
  <si>
    <t>EST-00650</t>
  </si>
  <si>
    <t>Palmeiras 1 vs 0 Athletico-PR</t>
  </si>
  <si>
    <t>EST-00651</t>
  </si>
  <si>
    <t>Red Bull Bragantino 0 vs 1 Palmeiras</t>
  </si>
  <si>
    <t>Red Bull Bragantino</t>
  </si>
  <si>
    <t>EST-00652</t>
  </si>
  <si>
    <t>Flamengo 3 vs 1 Santos</t>
  </si>
  <si>
    <t>EST-00653</t>
  </si>
  <si>
    <t>Fluminense 1 vs 2 Flamengo</t>
  </si>
  <si>
    <t>EST-00654</t>
  </si>
  <si>
    <t>Flamengo 2 vs 0 Bahia</t>
  </si>
  <si>
    <t>EST-00655</t>
  </si>
  <si>
    <t>Vasco da Gama 1 vs 2 Botafogo-RJ</t>
  </si>
  <si>
    <t>EST-00656</t>
  </si>
  <si>
    <t>Botafogo-RJ 2 vs 2 Coritiba</t>
  </si>
  <si>
    <t>EST-00657</t>
  </si>
  <si>
    <t>Coritiba 1 vs 1 Fluminense</t>
  </si>
  <si>
    <t>EST-00658</t>
  </si>
  <si>
    <t>Santos 2 vs 3 Fluminense</t>
  </si>
  <si>
    <t>EST-00659</t>
  </si>
  <si>
    <t>Fluminense 2 vs 1 Chapecoense</t>
  </si>
  <si>
    <t>EST-00660</t>
  </si>
  <si>
    <t>Internacional 2 vs 0 Fluminense</t>
  </si>
  <si>
    <t>EST-00661</t>
  </si>
  <si>
    <t>Fluminense 2 vs 2 Vitória</t>
  </si>
  <si>
    <t>EST-00662</t>
  </si>
  <si>
    <t>Fluminense 2 vs 1 São Paulo</t>
  </si>
  <si>
    <t>EST-00663</t>
  </si>
  <si>
    <t>Mirassol 1 vs 0 Fluminense</t>
  </si>
  <si>
    <t>EST-00664</t>
  </si>
  <si>
    <t>Cruzeiro 1 vs 1 Fluminense</t>
  </si>
  <si>
    <t>EST-00665</t>
  </si>
  <si>
    <t>Fluminense 1 vs 1 Red Bull Bragantino</t>
  </si>
  <si>
    <t>EST-00666</t>
  </si>
  <si>
    <t>Grêmio 1 vs 1 Fluminense</t>
  </si>
  <si>
    <t>EST-00675</t>
  </si>
  <si>
    <t>Palmeiras 2 vs 1 Grêmio</t>
  </si>
  <si>
    <t>EST-00676</t>
  </si>
  <si>
    <t>Grêmio 0 vs 0 Remo</t>
  </si>
  <si>
    <t>EST-00667</t>
  </si>
  <si>
    <t>Internacional 0 vs 0 Grêmio</t>
  </si>
  <si>
    <t>EST-00668</t>
  </si>
  <si>
    <t>Cruzeiro 2 vs 0 Grêmio</t>
  </si>
  <si>
    <t>EST-00669</t>
  </si>
  <si>
    <t>Grêmio 1 vs 0 Coritiba</t>
  </si>
  <si>
    <t>EST-00670</t>
  </si>
  <si>
    <t>Athletico-PR 0 vs 0 Grêmio</t>
  </si>
  <si>
    <t>EST-00671</t>
  </si>
  <si>
    <t>Bahia 1 vs 1 Grêmio</t>
  </si>
  <si>
    <t>EST-00672</t>
  </si>
  <si>
    <t>Grêmio 3 vs 2 Santos</t>
  </si>
  <si>
    <t>EST-00673</t>
  </si>
  <si>
    <t>Grêmio 1 vs 3 Corinthians</t>
  </si>
  <si>
    <t>EST-00674</t>
  </si>
  <si>
    <t>Mirassol 2 vs 1 Grêmio</t>
  </si>
  <si>
    <t>EST-00677</t>
  </si>
  <si>
    <t>Internacional 1 vs 1 São Paulo</t>
  </si>
  <si>
    <t>EST-00678</t>
  </si>
  <si>
    <t>São Paulo 4 vs 1 Cruzeiro</t>
  </si>
  <si>
    <t>EST-00679</t>
  </si>
  <si>
    <t>Vitória 2 vs 0 São Paulo</t>
  </si>
  <si>
    <t>EST-00680</t>
  </si>
  <si>
    <t>Vasco da Gama 2 vs 1 São Paulo</t>
  </si>
  <si>
    <t>EST-00681</t>
  </si>
  <si>
    <t>São Paulo 1 vs 0 Mirassol</t>
  </si>
  <si>
    <t>EST-00682</t>
  </si>
  <si>
    <t>São Paulo 2 vs 2 Bahia</t>
  </si>
  <si>
    <t>EST-00683</t>
  </si>
  <si>
    <t>Corinthians 3 vs 2 São Paulo</t>
  </si>
  <si>
    <t>EST-00684</t>
  </si>
  <si>
    <t>Remo 1 vs 0 São Paulo</t>
  </si>
  <si>
    <t>EST-00685</t>
  </si>
  <si>
    <t>São Paulo 1 vs 2 Athletico-PR</t>
  </si>
  <si>
    <t>EST-00686</t>
  </si>
  <si>
    <t>Coritiba 2 vs 0 Atlético-MG</t>
  </si>
  <si>
    <t>EST-00687</t>
  </si>
  <si>
    <t>Vitória 4 vs 1 Coritiba</t>
  </si>
  <si>
    <t>EST-00688</t>
  </si>
  <si>
    <t>Coritiba 2 vs 2 Internacional</t>
  </si>
  <si>
    <t>EST-00689</t>
  </si>
  <si>
    <t>Santos 0 vs 3 Coritiba</t>
  </si>
  <si>
    <t>EST-00690</t>
  </si>
  <si>
    <t>Coritiba 3 vs 2 Bahia</t>
  </si>
  <si>
    <t>EST-00691</t>
  </si>
  <si>
    <t>Red Bull Bragantino 0 vs 0 Coritiba</t>
  </si>
  <si>
    <t>EST-00692</t>
  </si>
  <si>
    <t>Athletico-PR 2 vs 0 Chapecoense</t>
  </si>
  <si>
    <t>EST-00693</t>
  </si>
  <si>
    <t>Chapecoense 1 vs 2 Red Bull Bragantino</t>
  </si>
  <si>
    <t>EST-00694</t>
  </si>
  <si>
    <t>Mirassol 1 vs 1 Chapecoense</t>
  </si>
  <si>
    <t>EST-00695</t>
  </si>
  <si>
    <t>Chapecoense 2 vs 3 Remo</t>
  </si>
  <si>
    <t>EST-00696</t>
  </si>
  <si>
    <t>Cruzeiro 2 vs 1 Chapecoense</t>
  </si>
  <si>
    <t>EST-00697</t>
  </si>
  <si>
    <t>Bahia 2 vs 0 Chapecoense</t>
  </si>
  <si>
    <t>EST-00698</t>
  </si>
  <si>
    <t>Santos 2 vs 2 Chapecoense</t>
  </si>
  <si>
    <t>EST-00699</t>
  </si>
  <si>
    <t>Chapecoense 1 vs 1 Vitória</t>
  </si>
  <si>
    <t>EST-00700</t>
  </si>
  <si>
    <t>Remo 1 vs 1 Vasco da Gama</t>
  </si>
  <si>
    <t>EST-00701</t>
  </si>
  <si>
    <t>Red Bull Bragantino 4 vs 2 Remo</t>
  </si>
  <si>
    <t>EST-00702</t>
  </si>
  <si>
    <t>Remo 0 vs 1 Cruzeiro</t>
  </si>
  <si>
    <t>EST-00703</t>
  </si>
  <si>
    <t>Remo 1 vs 2 Athletico-PR</t>
  </si>
  <si>
    <t>EST-00704</t>
  </si>
  <si>
    <t>Corinthians 3 vs 0 Remo</t>
  </si>
  <si>
    <t>EST-00705</t>
  </si>
  <si>
    <t>Remo 2 vs 0 Vitória</t>
  </si>
  <si>
    <t>EST-00706</t>
  </si>
  <si>
    <t>Chapecoense 0 vs 4 Atlético-MG</t>
  </si>
  <si>
    <t>EST-00707</t>
  </si>
  <si>
    <t>Atlético-MG 2 vs 1 Athletico-PR</t>
  </si>
  <si>
    <t>EST-00708</t>
  </si>
  <si>
    <t>Santos 1 vs 0 Atlético-MG</t>
  </si>
  <si>
    <t>EST-00709</t>
  </si>
  <si>
    <t>Cruzeiro 1 vs 3 Atlético-MG</t>
  </si>
  <si>
    <t>EST-00710</t>
  </si>
  <si>
    <t>Atlético-MG 3 vs 1 Mirassol</t>
  </si>
  <si>
    <t>EST-00711</t>
  </si>
  <si>
    <t>Corinthians 1 vs 0 Atlético-MG</t>
  </si>
  <si>
    <t>EST-00712</t>
  </si>
  <si>
    <t>Vasco da Gama 0 vs 1 Atlético-MG</t>
  </si>
  <si>
    <t>EST-00713</t>
  </si>
  <si>
    <t>Atlético-MG 1 vs 1 Bahia</t>
  </si>
  <si>
    <t>16. Grêmio × São Paulo</t>
  </si>
  <si>
    <t>λ 2,37 · Over 0,75: 85,1% · Over 1,0: 79,6% · Over 1,25: 74,0% · Over 1,5: 68,5%</t>
  </si>
  <si>
    <t>Over 0,50</t>
  </si>
  <si>
    <t>Analisar Over 0,50</t>
  </si>
  <si>
    <t>Over 0,75 @ 1,11 | Over 1,0 @ 1,13 | Over 1,25 @ 1,275 | Over 1,5 @ 1,425</t>
  </si>
  <si>
    <t>Over 1,00 @ 1,13</t>
  </si>
  <si>
    <t>Escolha conservadora; exatamente 1 gol devolve a stake e 2+ gols confirmam o bilhete</t>
  </si>
  <si>
    <t>Over 1,00</t>
  </si>
  <si>
    <t>17. Remo × Atlético-MG</t>
  </si>
  <si>
    <t>08/08/26 18:30 · São Paulo</t>
  </si>
  <si>
    <t>λ 2,06 · Over 1,0: 74,1% · Over 1,25: 67,6% · Over 1,5: 61,0% · Over 1,75: 54,2%</t>
  </si>
  <si>
    <t>Over 1,0 @ 1,11 | Over 1,25 @ 1,24 | Over 1,5 @ 1,375 | Over 1,75 @ 1,475</t>
  </si>
  <si>
    <t>Over 1,00 @ 1,11</t>
  </si>
  <si>
    <t>18. Coritiba × Chapecoense</t>
  </si>
  <si>
    <t>λ 2,71 · Over 1,25: 79,9% · Over 1,5: 75,4% · Over 1,75: 69,3% · Over 2,0: 63,2%</t>
  </si>
  <si>
    <t>Over 1,25 @ 1,20 | Over 1,5 @ 1,325 | Over 1,75 @ 1,40 | Over 2,0 @ 1,50</t>
  </si>
  <si>
    <t>Over 1,25 @ 1,20</t>
  </si>
  <si>
    <t>Escolha conservadora com foco em acerto; 1 gol = meio red e 2+ gols confirmam o bilhete</t>
  </si>
  <si>
    <t>Over 1,25</t>
  </si>
  <si>
    <t>EST-00714</t>
  </si>
  <si>
    <t>Vila Nova 2 vs 0 Avaí</t>
  </si>
  <si>
    <t>EST-00715</t>
  </si>
  <si>
    <t>América-MG 1 vs 2 Vila Nova</t>
  </si>
  <si>
    <t>América-MG</t>
  </si>
  <si>
    <t>EST-00716</t>
  </si>
  <si>
    <t>Londrina 0 vs 1 Vila Nova</t>
  </si>
  <si>
    <t>Londrina</t>
  </si>
  <si>
    <t>EST-00717</t>
  </si>
  <si>
    <t>EST-00718</t>
  </si>
  <si>
    <t>Cuiabá 1 vs 0 Vila Nova</t>
  </si>
  <si>
    <t>EST-00719</t>
  </si>
  <si>
    <t>Vila Nova 4 vs 3 Náutico</t>
  </si>
  <si>
    <t>Náutico</t>
  </si>
  <si>
    <t>EST-00720</t>
  </si>
  <si>
    <t>Novorizontino 2 vs 1 Vila Nova</t>
  </si>
  <si>
    <t>Novorizontino</t>
  </si>
  <si>
    <t>EST-00721</t>
  </si>
  <si>
    <t>Vila Nova 2 vs 1 São Bernardo</t>
  </si>
  <si>
    <t>São Bernardo</t>
  </si>
  <si>
    <t>EST-00722</t>
  </si>
  <si>
    <t>Juventude 1 vs 0 Vila Nova</t>
  </si>
  <si>
    <t>EST-00723</t>
  </si>
  <si>
    <t>Criciúma 2 vs 0 Vila Nova</t>
  </si>
  <si>
    <t>Criciúma</t>
  </si>
  <si>
    <t>EST-00724</t>
  </si>
  <si>
    <t>Vila Nova 2 vs 1 Fortaleza</t>
  </si>
  <si>
    <t>EST-00725</t>
  </si>
  <si>
    <t>Sport Recife 1 vs 2 CRB</t>
  </si>
  <si>
    <t>EST-00726</t>
  </si>
  <si>
    <t>Juventude 0 vs 1 Sport Recife</t>
  </si>
  <si>
    <t>EST-00727</t>
  </si>
  <si>
    <t>Sport Recife 2 vs 0 Náutico</t>
  </si>
  <si>
    <t>EST-00728</t>
  </si>
  <si>
    <t>EST-00729</t>
  </si>
  <si>
    <t>São Bernardo 0 vs 0 Sport Recife</t>
  </si>
  <si>
    <t>EST-00730</t>
  </si>
  <si>
    <t>Sport Recife 1 vs 1 Atlético-GO</t>
  </si>
  <si>
    <t>EST-00731</t>
  </si>
  <si>
    <t>Fortaleza 2 vs 1 Sport Recife</t>
  </si>
  <si>
    <t>EST-00732</t>
  </si>
  <si>
    <t>Criciúma 1 vs 0 Sport Recife</t>
  </si>
  <si>
    <t>EST-00733</t>
  </si>
  <si>
    <t>EST-00734</t>
  </si>
  <si>
    <t>EST-00735</t>
  </si>
  <si>
    <t>Goiás 1 vs 1 Sport Recife</t>
  </si>
  <si>
    <t>Goiás</t>
  </si>
  <si>
    <t>19. Vila Nova × Sport Recife</t>
  </si>
  <si>
    <t>λ 2,30 · Over 1,0: 78,4% · Over 1,25: 72,7% · Over 1,5: 66,9% · Over 1,75: 60,3%</t>
  </si>
  <si>
    <t>Over 1,0 @ 1,105 | Over 1,25 @ 1,23 | Over 1,5 @ 1,375 | Over 1,75 @ 1,45</t>
  </si>
  <si>
    <t>Over 1,00 @ 1,105</t>
  </si>
  <si>
    <t>Grêmio x São Paulo</t>
  </si>
  <si>
    <t>Green no Over 1,00: três gols confirmaram a entrada. Entre as linhas cotadas, Over 1,50 @ 1,425 também seria Green e elevaria o lucro de R$ 0,065 para R$ 0,2125.</t>
  </si>
  <si>
    <t>Partidas Únicas</t>
  </si>
  <si>
    <t>Média Efetiva da Liga</t>
  </si>
  <si>
    <t>Ceará</t>
  </si>
  <si>
    <t>EST-00736</t>
  </si>
  <si>
    <t>Criciúma 0 vs 0 Náutico</t>
  </si>
  <si>
    <t>EST-00737</t>
  </si>
  <si>
    <t>Novorizontino 0 vs 1 Criciúma</t>
  </si>
  <si>
    <t>EST-00738</t>
  </si>
  <si>
    <t>Ponte Preta 1 vs 2 Criciúma</t>
  </si>
  <si>
    <t>EST-00739</t>
  </si>
  <si>
    <t>Criciúma 1 vs 0 São Bernardo</t>
  </si>
  <si>
    <t>EST-00740</t>
  </si>
  <si>
    <t>América-MG 0 vs 1 Criciúma</t>
  </si>
  <si>
    <t>EST-00741</t>
  </si>
  <si>
    <t>Criciúma 1 vs 1 Ceará</t>
  </si>
  <si>
    <t>EST-00742</t>
  </si>
  <si>
    <t>Criciúma 1 vs 0 Londrina</t>
  </si>
  <si>
    <t>EST-00743</t>
  </si>
  <si>
    <t>Avaí 1 vs 2 Criciúma</t>
  </si>
  <si>
    <t>EST-00744</t>
  </si>
  <si>
    <t>Operário-PR 1 vs 1 Criciúma</t>
  </si>
  <si>
    <t>EST-00745</t>
  </si>
  <si>
    <t>Criciúma 1 vs 1 Atlético-GO</t>
  </si>
  <si>
    <t>EST-00746</t>
  </si>
  <si>
    <t>Juventude 0 vs 0 Criciúma</t>
  </si>
  <si>
    <t>EST-00747</t>
  </si>
  <si>
    <t>Cuiabá 1 vs 1 Criciúma</t>
  </si>
  <si>
    <t>EST-00748</t>
  </si>
  <si>
    <t>Botafogo SP 4 vs 2 Juventude</t>
  </si>
  <si>
    <t>EST-00749</t>
  </si>
  <si>
    <t>Juventude 2 vs 0 Cuiabá</t>
  </si>
  <si>
    <t>EST-00750</t>
  </si>
  <si>
    <t>Náutico 0 vs 0 Juventude</t>
  </si>
  <si>
    <t>EST-00751</t>
  </si>
  <si>
    <t>Juventude 2 vs 0 Ceará</t>
  </si>
  <si>
    <t>EST-00752</t>
  </si>
  <si>
    <t>São Bernardo 0 vs 1 Juventude</t>
  </si>
  <si>
    <t>EST-00753</t>
  </si>
  <si>
    <t>Juventude 3 vs 0 Ponte Preta</t>
  </si>
  <si>
    <t>EST-00754</t>
  </si>
  <si>
    <t>Operário-PR 2 vs 1 Juventude</t>
  </si>
  <si>
    <t>EST-00755</t>
  </si>
  <si>
    <t>Juventude 3 vs 0 América-MG</t>
  </si>
  <si>
    <t>EST-00756</t>
  </si>
  <si>
    <t>Athletic Club-MG 1 vs 1 Juventude</t>
  </si>
  <si>
    <t>EST-00757</t>
  </si>
  <si>
    <t>Atlético-GO 0 vs 0 Juventude</t>
  </si>
  <si>
    <t>Sport Recife 2 vs 2 Operário-PR</t>
  </si>
  <si>
    <t>EST-00758</t>
  </si>
  <si>
    <t>Operário-PR 1 vs 3 São Bernardo</t>
  </si>
  <si>
    <t>EST-00759</t>
  </si>
  <si>
    <t>Operário-PR 3 vs 2 Ponte Preta</t>
  </si>
  <si>
    <t>EST-00760</t>
  </si>
  <si>
    <t>Operário-PR 2 vs 1 Novorizontino</t>
  </si>
  <si>
    <t>EST-00761</t>
  </si>
  <si>
    <t>Athletic Club-MG 0 vs 1 Operário-PR</t>
  </si>
  <si>
    <t>EST-00762</t>
  </si>
  <si>
    <t>Operário-PR 1 vs 0 América-MG</t>
  </si>
  <si>
    <t>EST-00763</t>
  </si>
  <si>
    <t>Goiás 0 vs 3 Operário-PR</t>
  </si>
  <si>
    <t>EST-00764</t>
  </si>
  <si>
    <t>Botafogo SP 2 vs 1 Operário-PR</t>
  </si>
  <si>
    <t>EST-00765</t>
  </si>
  <si>
    <t>Ceará 1 vs 2 Operário-PR</t>
  </si>
  <si>
    <t>EST-00766</t>
  </si>
  <si>
    <t>Operário-PR 2 vs 6 Náutico</t>
  </si>
  <si>
    <t>EST-00767</t>
  </si>
  <si>
    <t>CRB 3 vs 0 Operário-PR</t>
  </si>
  <si>
    <t>EST-00768</t>
  </si>
  <si>
    <t>Fortaleza 1 vs 0 Novorizontino</t>
  </si>
  <si>
    <t>EST-00769</t>
  </si>
  <si>
    <t>Atlético-GO 1 vs 0 Fortaleza</t>
  </si>
  <si>
    <t>EST-00770</t>
  </si>
  <si>
    <t>Fortaleza 2 vs 0 Ponte Preta</t>
  </si>
  <si>
    <t>EST-00771</t>
  </si>
  <si>
    <t>CRB 1 vs 1 Fortaleza</t>
  </si>
  <si>
    <t>EST-00772</t>
  </si>
  <si>
    <t>Fortaleza 0 vs 3 América-MG</t>
  </si>
  <si>
    <t>EST-00773</t>
  </si>
  <si>
    <t>Náutico 0 vs 1 Fortaleza</t>
  </si>
  <si>
    <t>EST-00774</t>
  </si>
  <si>
    <t>Athletic Club-MG 1 vs 0 Fortaleza</t>
  </si>
  <si>
    <t>EST-00775</t>
  </si>
  <si>
    <t>Fortaleza 3 vs 0 Londrina</t>
  </si>
  <si>
    <t>EST-00776</t>
  </si>
  <si>
    <t>Ceará 2 vs 1 Fortaleza</t>
  </si>
  <si>
    <t>EST-00777</t>
  </si>
  <si>
    <t>Avaí 0 vs 0 Fortaleza</t>
  </si>
  <si>
    <t>EST-00778</t>
  </si>
  <si>
    <t>Fortaleza 4 vs 1 Goiás</t>
  </si>
  <si>
    <t>EST-00779</t>
  </si>
  <si>
    <t>Londrina 1 vs 4 Novorizontino</t>
  </si>
  <si>
    <t>EST-00780</t>
  </si>
  <si>
    <t>Novorizontino 3 vs 0 Atlético-GO</t>
  </si>
  <si>
    <t>EST-00781</t>
  </si>
  <si>
    <t>Ponte Preta 0 vs 2 Novorizontino</t>
  </si>
  <si>
    <t>EST-00782</t>
  </si>
  <si>
    <t>Novorizontino 2 vs 2 Náutico</t>
  </si>
  <si>
    <t>EST-00783</t>
  </si>
  <si>
    <t>Goiás 0 vs 4 Novorizontino</t>
  </si>
  <si>
    <t>EST-00784</t>
  </si>
  <si>
    <t>São Bernardo 1 vs 1 Novorizontino</t>
  </si>
  <si>
    <t>EST-00785</t>
  </si>
  <si>
    <t>Novorizontino 2 vs 1 Ceará</t>
  </si>
  <si>
    <t>EST-00786</t>
  </si>
  <si>
    <t>Cuiabá 0 vs 0 Novorizontino</t>
  </si>
  <si>
    <t>EST-00787</t>
  </si>
  <si>
    <t>Novorizontino 1 vs 0 Botafogo SP</t>
  </si>
  <si>
    <t>EST-00788</t>
  </si>
  <si>
    <t>Avaí 3 vs 3 Novorizontino</t>
  </si>
  <si>
    <t>EST-00789</t>
  </si>
  <si>
    <t>Cuiabá 0 vs 1 Atlético-GO</t>
  </si>
  <si>
    <t>EST-00790</t>
  </si>
  <si>
    <t>Atlético-GO 0 vs 0 Athletic Club-MG</t>
  </si>
  <si>
    <t>EST-00791</t>
  </si>
  <si>
    <t>Atlético-GO 2 vs 0 Ponte Preta</t>
  </si>
  <si>
    <t>EST-00792</t>
  </si>
  <si>
    <t>Atlético-GO 3 vs 3 CRB</t>
  </si>
  <si>
    <t>EST-00793</t>
  </si>
  <si>
    <t>América-MG 1 vs 2 Atlético-GO</t>
  </si>
  <si>
    <t>EST-00794</t>
  </si>
  <si>
    <t>Atlético-GO 1 vs 1 Goiás</t>
  </si>
  <si>
    <t>EST-00795</t>
  </si>
  <si>
    <t>Atlético-GO 0 vs 1 São Bernardo</t>
  </si>
  <si>
    <t>EST-00796</t>
  </si>
  <si>
    <t>Ceará 0 vs 1 Atlético-GO</t>
  </si>
  <si>
    <t>EST-00797</t>
  </si>
  <si>
    <t>Ceará 0 vs 1 CRB</t>
  </si>
  <si>
    <t>EST-00798</t>
  </si>
  <si>
    <t>CRB 2 vs 1 Náutico</t>
  </si>
  <si>
    <t>EST-00799</t>
  </si>
  <si>
    <t>CRB 2 vs 2 Goiás</t>
  </si>
  <si>
    <t>EST-00800</t>
  </si>
  <si>
    <t>Londrina 5 vs 0 CRB</t>
  </si>
  <si>
    <t>EST-00801</t>
  </si>
  <si>
    <t>Botafogo SP 0 vs 1 CRB</t>
  </si>
  <si>
    <t>EST-00802</t>
  </si>
  <si>
    <t>CRB 2 vs 3 São Bernardo</t>
  </si>
  <si>
    <t>EST-00803</t>
  </si>
  <si>
    <t>Cuiabá 2 vs 0 CRB</t>
  </si>
  <si>
    <t>EST-00804</t>
  </si>
  <si>
    <t>CRB 4 vs 2 Ponte Preta</t>
  </si>
  <si>
    <t>EST-00805</t>
  </si>
  <si>
    <t>América-MG 1 vs 2 CRB</t>
  </si>
  <si>
    <t>Sport Recife 1 vs 1 Athletic Club-MG</t>
  </si>
  <si>
    <t>EST-00806</t>
  </si>
  <si>
    <t>Athletic Club-MG 2 vs 1 São Bernardo</t>
  </si>
  <si>
    <t>EST-00807</t>
  </si>
  <si>
    <t>Ceará 0 vs 0 Athletic Club-MG</t>
  </si>
  <si>
    <t>EST-00808</t>
  </si>
  <si>
    <t>Athletic Club-MG 1 vs 0 Avaí</t>
  </si>
  <si>
    <t>EST-00809</t>
  </si>
  <si>
    <t>Londrina 2 vs 0 Athletic Club-MG</t>
  </si>
  <si>
    <t>EST-00810</t>
  </si>
  <si>
    <t>Athletic Club-MG 1 vs 1 Goiás</t>
  </si>
  <si>
    <t>EST-00811</t>
  </si>
  <si>
    <t>Botafogo SP 1 vs 2 Athletic Club-MG</t>
  </si>
  <si>
    <t>EST-00812</t>
  </si>
  <si>
    <t>Athletic Club-MG 0 vs 0 Cuiabá</t>
  </si>
  <si>
    <t>EST-00813</t>
  </si>
  <si>
    <t>Vila Nova 1 vs 1 Athletic Club-MG</t>
  </si>
  <si>
    <t>EST-00814</t>
  </si>
  <si>
    <t>Náutico 2 vs 1 Londrina</t>
  </si>
  <si>
    <t>EST-00815</t>
  </si>
  <si>
    <t>Avaí 2 vs 0 Náutico</t>
  </si>
  <si>
    <t>EST-00816</t>
  </si>
  <si>
    <t>Náutico 0 vs 1 Goiás</t>
  </si>
  <si>
    <t>EST-00817</t>
  </si>
  <si>
    <t>Náutico 1 vs 0 Cuiabá</t>
  </si>
  <si>
    <t>EST-00818</t>
  </si>
  <si>
    <t>Náutico 4 vs 0 América-MG</t>
  </si>
  <si>
    <t>EST-00819</t>
  </si>
  <si>
    <t>Botafogo SP 1 vs 1 Náutico</t>
  </si>
  <si>
    <t>Vila Nova 1 vs 0 Botafogo SP</t>
  </si>
  <si>
    <t>Sport Recife 3 vs 3 Botafogo SP</t>
  </si>
  <si>
    <t>EST-00820</t>
  </si>
  <si>
    <t>Londrina 0 vs 0 Botafogo SP</t>
  </si>
  <si>
    <t>EST-00821</t>
  </si>
  <si>
    <t>Botafogo SP 3 vs 1 Avaí</t>
  </si>
  <si>
    <t>EST-00822</t>
  </si>
  <si>
    <t>Ceará 0 vs 1 Botafogo SP</t>
  </si>
  <si>
    <t>EST-00823</t>
  </si>
  <si>
    <t>Ponte Preta 0 vs 0 Botafogo SP</t>
  </si>
  <si>
    <t>EST-00824</t>
  </si>
  <si>
    <t>Goiás 1 vs 0 Botafogo SP</t>
  </si>
  <si>
    <t>EST-00825</t>
  </si>
  <si>
    <t>Ceará 2 vs 0 Ponte Preta</t>
  </si>
  <si>
    <t>EST-00826</t>
  </si>
  <si>
    <t>São Bernardo 3 vs 4 Ceará</t>
  </si>
  <si>
    <t>EST-00827</t>
  </si>
  <si>
    <t>América-MG 1 vs 1 Ceará</t>
  </si>
  <si>
    <t>EST-00828</t>
  </si>
  <si>
    <t>Goiás 2 vs 0 Ceará</t>
  </si>
  <si>
    <t>EST-00829</t>
  </si>
  <si>
    <t>Ceará 2 vs 1 Avaí</t>
  </si>
  <si>
    <t>EST-00830</t>
  </si>
  <si>
    <t>São Bernardo 2 vs 2 Cuiabá</t>
  </si>
  <si>
    <t>EST-00831</t>
  </si>
  <si>
    <t>Cuiabá 1 vs 0 América-MG</t>
  </si>
  <si>
    <t>EST-00832</t>
  </si>
  <si>
    <t>Cuiabá 2 vs 2 Londrina</t>
  </si>
  <si>
    <t>EST-00833</t>
  </si>
  <si>
    <t>Avaí 1 vs 0 Cuiabá</t>
  </si>
  <si>
    <t>EST-00834</t>
  </si>
  <si>
    <t>Ponte Preta 1 vs 2 Cuiabá</t>
  </si>
  <si>
    <t>EST-00835</t>
  </si>
  <si>
    <t>América-MG 1 vs 1 Londrina</t>
  </si>
  <si>
    <t>EST-00836</t>
  </si>
  <si>
    <t>Londrina 3 vs 2 Avaí</t>
  </si>
  <si>
    <t>EST-00837</t>
  </si>
  <si>
    <t>Ponte Preta 1 vs 4 Londrina</t>
  </si>
  <si>
    <t>EST-00838</t>
  </si>
  <si>
    <t>Londrina 1 vs 3 São Bernardo</t>
  </si>
  <si>
    <t>EST-00839</t>
  </si>
  <si>
    <t>Operário-PR 3 vs 0 Londrina</t>
  </si>
  <si>
    <t>EST-00840</t>
  </si>
  <si>
    <t>Avaí 2 vs 1 América-MG</t>
  </si>
  <si>
    <t>EST-00841</t>
  </si>
  <si>
    <t>São Bernardo 1 vs 1 Avaí</t>
  </si>
  <si>
    <t>EST-00842</t>
  </si>
  <si>
    <t>Avaí 0 vs 2 Goiás</t>
  </si>
  <si>
    <t>EST-00843</t>
  </si>
  <si>
    <t>América-MG 1 vs 0 Goiás</t>
  </si>
  <si>
    <t>EST-00844</t>
  </si>
  <si>
    <t>São Bernardo 1 vs 1 América-MG</t>
  </si>
  <si>
    <t>EST-00845</t>
  </si>
  <si>
    <t>Ponte Preta 1 vs 2 Goiás</t>
  </si>
  <si>
    <t>EST-00846</t>
  </si>
  <si>
    <t>Ponte Preta 1 vs 3 Sport Recife</t>
  </si>
  <si>
    <t>EST-00847</t>
  </si>
  <si>
    <t>Bahia 1 vs 1 Corinthians</t>
  </si>
  <si>
    <t>EST-00848</t>
  </si>
  <si>
    <t>Bahia 1 vs 2 Cruzeiro</t>
  </si>
  <si>
    <t>EST-00849</t>
  </si>
  <si>
    <t>Bahia 2 vs 2 Santos</t>
  </si>
  <si>
    <t>EST-00850</t>
  </si>
  <si>
    <t>Internacional 1 vs 2 Cruzeiro</t>
  </si>
  <si>
    <t>EST-00851</t>
  </si>
  <si>
    <t>Cruzeiro 2 vs 1 Red Bull Bragantino</t>
  </si>
  <si>
    <t>EST-00852</t>
  </si>
  <si>
    <t>Athletico-PR 2 vs 0 Internacional</t>
  </si>
  <si>
    <t>EST-00853</t>
  </si>
  <si>
    <t>Athletico-PR 1 vs 0 Mirassol</t>
  </si>
  <si>
    <t>EST-00854</t>
  </si>
  <si>
    <t>Vasco da Gama 1 vs 0 Athletico-PR</t>
  </si>
  <si>
    <t>EST-00855</t>
  </si>
  <si>
    <t>Athletico-PR 3 vs 1 Vitória</t>
  </si>
  <si>
    <t>EST-00856</t>
  </si>
  <si>
    <t>Santos 3 vs 1 Vitória</t>
  </si>
  <si>
    <t>EST-00857</t>
  </si>
  <si>
    <t>Santos 2 vs 0 Red Bull Bragantino</t>
  </si>
  <si>
    <t>EST-00858</t>
  </si>
  <si>
    <t>Santos 2 vs 0 Remo</t>
  </si>
  <si>
    <t>EST-00859</t>
  </si>
  <si>
    <t>Mirassol 2 vs 1 Corinthians</t>
  </si>
  <si>
    <t>EST-00860</t>
  </si>
  <si>
    <t>Corinthians 1 vs 0 Vasco da Gama</t>
  </si>
  <si>
    <t>EST-00861</t>
  </si>
  <si>
    <t>Vitória 0 vs 0 Corinthians</t>
  </si>
  <si>
    <t>EST-00862</t>
  </si>
  <si>
    <t>Corinthians 0 vs 1 Internacional</t>
  </si>
  <si>
    <t>EST-00863</t>
  </si>
  <si>
    <t>Vitória 1 vs 0 Vasco da Gama</t>
  </si>
  <si>
    <t>EST-00864</t>
  </si>
  <si>
    <t>Vitória 2 vs 0 Internacional</t>
  </si>
  <si>
    <t>EST-00865</t>
  </si>
  <si>
    <t>Red Bull Bragantino 3 vs 1 Internacional</t>
  </si>
  <si>
    <t>EST-00866</t>
  </si>
  <si>
    <t>Internacional 4 vs 1 Vasco da Gama</t>
  </si>
  <si>
    <t>EST-00867</t>
  </si>
  <si>
    <t>Vasco da Gama 1 vs 1 Mirassol</t>
  </si>
  <si>
    <t>EST-00868</t>
  </si>
  <si>
    <t>Internacional 1 vs 2 Mirassol</t>
  </si>
  <si>
    <t>EST-00869</t>
  </si>
  <si>
    <t>Mirassol 1 vs 2 Bahia</t>
  </si>
  <si>
    <t>EST-00870</t>
  </si>
  <si>
    <t>Mirassol 0 vs 1 Red Bull Bragantino</t>
  </si>
  <si>
    <t>EST-00871</t>
  </si>
  <si>
    <t>Vasco da Gama 0 vs 3 Red Bull Bragantino</t>
  </si>
  <si>
    <t>EST-00872</t>
  </si>
  <si>
    <t>Red Bull Bragantino 2 vs 0 Vitória</t>
  </si>
  <si>
    <t>EST-00873</t>
  </si>
  <si>
    <t>Red Bull Bragantino 3 vs 0 Flamengo</t>
  </si>
  <si>
    <t>EST-00874</t>
  </si>
  <si>
    <t>Coritiba 1 vs 1 Vasco da Gama</t>
  </si>
  <si>
    <t>Manly United</t>
  </si>
  <si>
    <t>SD Raiders</t>
  </si>
  <si>
    <t>Sydney United</t>
  </si>
  <si>
    <t>Western Sydney Youth</t>
  </si>
  <si>
    <t>St George Saints</t>
  </si>
  <si>
    <t>UNSW</t>
  </si>
  <si>
    <t>Wollongong Wolves</t>
  </si>
  <si>
    <t>Rockdale Ilinden</t>
  </si>
  <si>
    <t>EST-00875</t>
  </si>
  <si>
    <t>Manly United 3 vs 1 Marconi Stallions</t>
  </si>
  <si>
    <t>EST-00876</t>
  </si>
  <si>
    <t>SD Raiders 2 vs 1 Marconi Stallions</t>
  </si>
  <si>
    <t>EST-00877</t>
  </si>
  <si>
    <t>Marconi Stallions 0 vs 1 Sydney United</t>
  </si>
  <si>
    <t>EST-00878</t>
  </si>
  <si>
    <t>Marconi Stallions 3 vs 0 Western Sydney Youth</t>
  </si>
  <si>
    <t>EST-00879</t>
  </si>
  <si>
    <t>Marconi Stallions 2 vs 0 St George Saints</t>
  </si>
  <si>
    <t>EST-00880</t>
  </si>
  <si>
    <t>Marconi Stallions 2 vs 0 Blacktown City</t>
  </si>
  <si>
    <t>EST-00881</t>
  </si>
  <si>
    <t>Marconi Stallions 1 vs 0 UNSW</t>
  </si>
  <si>
    <t>EST-00882</t>
  </si>
  <si>
    <t>Marconi Stallions 0 vs 0 Sydney FC NPL</t>
  </si>
  <si>
    <t>EST-00883</t>
  </si>
  <si>
    <t>Marconi Stallions 1 vs 0 Wollongong Wolves</t>
  </si>
  <si>
    <t>EST-00884</t>
  </si>
  <si>
    <t>Marconi Stallions 1 vs 1 Rockdale Ilinden</t>
  </si>
  <si>
    <t>EST-00885</t>
  </si>
  <si>
    <t>Apia L Tigers 1 vs 1 Marconi Stallions</t>
  </si>
  <si>
    <t>Sutherland Sharks</t>
  </si>
  <si>
    <t>NWS Spirit</t>
  </si>
  <si>
    <t>EST-00886</t>
  </si>
  <si>
    <t>St George Saints 0 vs 0 Apia L Tigers</t>
  </si>
  <si>
    <t>EST-00887</t>
  </si>
  <si>
    <t>Apia L Tigers 4 vs 1 UNSW</t>
  </si>
  <si>
    <t>EST-00888</t>
  </si>
  <si>
    <t>Western Sydney Youth 3 vs 5 Apia L Tigers</t>
  </si>
  <si>
    <t>EST-00889</t>
  </si>
  <si>
    <t>Apia L Tigers 2 vs 1 Sydney FC NPL</t>
  </si>
  <si>
    <t>EST-00890</t>
  </si>
  <si>
    <t>Sutherland Sharks 3 vs 2 Apia L Tigers</t>
  </si>
  <si>
    <t>EST-00891</t>
  </si>
  <si>
    <t>Apia L Tigers 0 vs 2 Rockdale Ilinden</t>
  </si>
  <si>
    <t>EST-00892</t>
  </si>
  <si>
    <t>Blacktown City 1 vs 3 Apia L Tigers</t>
  </si>
  <si>
    <t>EST-00893</t>
  </si>
  <si>
    <t>Wollongong Wolves 0 vs 2 Apia L Tigers</t>
  </si>
  <si>
    <t>EST-00894</t>
  </si>
  <si>
    <t>Apia L Tigers 2 vs 0 Manly United</t>
  </si>
  <si>
    <t>EST-00895</t>
  </si>
  <si>
    <t>NWS Spirit 1 vs 2 Apia L Tigers</t>
  </si>
  <si>
    <t>NPL New South Wales</t>
  </si>
  <si>
    <t>AUS - NPL New South Wales</t>
  </si>
  <si>
    <t>EST-00896</t>
  </si>
  <si>
    <t>Sydney United 2 vs 0 NWS Spirit</t>
  </si>
  <si>
    <t>EST-00897</t>
  </si>
  <si>
    <t>St George City FA 1 vs 0 Sydney United</t>
  </si>
  <si>
    <t>EST-00898</t>
  </si>
  <si>
    <t>Sydney United 1 vs 0 Rockdale Ilinden</t>
  </si>
  <si>
    <t>EST-00899</t>
  </si>
  <si>
    <t>Blacktown City 0 vs 0 Sydney United</t>
  </si>
  <si>
    <t>EST-00900</t>
  </si>
  <si>
    <t>Sydney FC NPL 1 vs 0 Sydney United</t>
  </si>
  <si>
    <t>EST-00901</t>
  </si>
  <si>
    <t>Sydney United 1 vs 0 SD Raiders</t>
  </si>
  <si>
    <t>EST-00902</t>
  </si>
  <si>
    <t>Manly United 1 vs 1 Sydney United</t>
  </si>
  <si>
    <t>EST-00903</t>
  </si>
  <si>
    <t>Western Sydney Youth 0 vs 2 Sydney United</t>
  </si>
  <si>
    <t>EST-00904</t>
  </si>
  <si>
    <t>Sydney United 0 vs 1 Sutherland Sharks</t>
  </si>
  <si>
    <t>EST-00905</t>
  </si>
  <si>
    <t>UNSW 2 vs 0 Sydney United</t>
  </si>
  <si>
    <t>EST-00906</t>
  </si>
  <si>
    <t>St George Saints 1 vs 3 Sydney United</t>
  </si>
  <si>
    <t>EST-00907</t>
  </si>
  <si>
    <t>Sutherland Sharks 1 vs 1 Sydney FC NPL</t>
  </si>
  <si>
    <t>EST-00908</t>
  </si>
  <si>
    <t>Sutherland Sharks 2 vs 1 Wollongong Wolves</t>
  </si>
  <si>
    <t>EST-00909</t>
  </si>
  <si>
    <t>Rockdale Ilinden 1 vs 3 Sutherland Sharks</t>
  </si>
  <si>
    <t>EST-00910</t>
  </si>
  <si>
    <t>Sutherland Sharks 1 vs 1 Sydney Olympic</t>
  </si>
  <si>
    <t>EST-00911</t>
  </si>
  <si>
    <t>Manly United 2 vs 1 Sutherland Sharks</t>
  </si>
  <si>
    <t>EST-00912</t>
  </si>
  <si>
    <t>UNSW 1 vs 3 Sutherland Sharks</t>
  </si>
  <si>
    <t>EST-00913</t>
  </si>
  <si>
    <t>Western Sydney Youth 0 vs 3 Sutherland Sharks</t>
  </si>
  <si>
    <t>EST-00914</t>
  </si>
  <si>
    <t>Sutherland Sharks 1 vs 2 Blacktown City</t>
  </si>
  <si>
    <t>EST-00915</t>
  </si>
  <si>
    <t>St George Saints 1 vs 2 Sutherland Sharks</t>
  </si>
  <si>
    <t>EST-00916</t>
  </si>
  <si>
    <t>Sutherland Sharks 1 vs 0 NWS Spirit</t>
  </si>
  <si>
    <t>EST-00917</t>
  </si>
  <si>
    <t>St George City FA 1 vs 0 Rockdale Ilinden</t>
  </si>
  <si>
    <t>EST-00918</t>
  </si>
  <si>
    <t>Rockdale Ilinden 1 vs 1 Manly United</t>
  </si>
  <si>
    <t>EST-00919</t>
  </si>
  <si>
    <t>St George Saints 1 vs 6 Rockdale Ilinden</t>
  </si>
  <si>
    <t>EST-00920</t>
  </si>
  <si>
    <t>Rockdale Ilinden 1 vs 1 NWS Spirit</t>
  </si>
  <si>
    <t>EST-00921</t>
  </si>
  <si>
    <t>Sydney Olympic 0 vs 4 Rockdale Ilinden</t>
  </si>
  <si>
    <t>EST-00922</t>
  </si>
  <si>
    <t>Rockdale Ilinden 0 vs 1 SD Raiders</t>
  </si>
  <si>
    <t>EST-00923</t>
  </si>
  <si>
    <t>Blacktown City 1 vs 2 Rockdale Ilinden</t>
  </si>
  <si>
    <t>EST-00924</t>
  </si>
  <si>
    <t>Rockdale Ilinden 0 vs 5 Western Sydney Youth</t>
  </si>
  <si>
    <t>EST-00925</t>
  </si>
  <si>
    <t>Manly United 4 vs 0 Sydney Olympic</t>
  </si>
  <si>
    <t>EST-00926</t>
  </si>
  <si>
    <t>Sydney FC NPL 0 vs 0 Manly United</t>
  </si>
  <si>
    <t>EST-00927</t>
  </si>
  <si>
    <t>Manly United 1 vs 0 SD Raiders</t>
  </si>
  <si>
    <t>EST-00928</t>
  </si>
  <si>
    <t>Western Sydney Youth 3 vs 3 Manly United</t>
  </si>
  <si>
    <t>EST-00929</t>
  </si>
  <si>
    <t>Manly United 2 vs 0 St George Saints</t>
  </si>
  <si>
    <t>EST-00930</t>
  </si>
  <si>
    <t>Manly United 0 vs 0 Blacktown City</t>
  </si>
  <si>
    <t>EST-00931</t>
  </si>
  <si>
    <t>St George City FA 1 vs 2 Manly United</t>
  </si>
  <si>
    <t>EST-00932</t>
  </si>
  <si>
    <t>SD Raiders 3 vs 0 Western Sydney Youth</t>
  </si>
  <si>
    <t>EST-00933</t>
  </si>
  <si>
    <t>St George Saints 2 vs 3 SD Raiders</t>
  </si>
  <si>
    <t>EST-00934</t>
  </si>
  <si>
    <t>Wollongong Wolves 2 vs 3 SD Raiders</t>
  </si>
  <si>
    <t>EST-00935</t>
  </si>
  <si>
    <t>SD Raiders 1 vs 3 Blacktown City</t>
  </si>
  <si>
    <t>EST-00936</t>
  </si>
  <si>
    <t>SD Raiders 0 vs 1 Sydney FC NPL</t>
  </si>
  <si>
    <t>EST-00937</t>
  </si>
  <si>
    <t>SD Raiders 3 vs 1 St George City FA</t>
  </si>
  <si>
    <t>EST-00938</t>
  </si>
  <si>
    <t>Sydney Olympic 1 vs 1 SD Raiders</t>
  </si>
  <si>
    <t>EST-00939</t>
  </si>
  <si>
    <t>SD Raiders 2 vs 0 UNSW</t>
  </si>
  <si>
    <t>EST-00940</t>
  </si>
  <si>
    <t>St George Saints 0 vs 0 Sydney FC NPL</t>
  </si>
  <si>
    <t>EST-00941</t>
  </si>
  <si>
    <t>UNSW 3 vs 2 Sydney FC NPL</t>
  </si>
  <si>
    <t>EST-00942</t>
  </si>
  <si>
    <t>Wollongong Wolves 2 vs 3 Sydney FC NPL</t>
  </si>
  <si>
    <t>EST-00943</t>
  </si>
  <si>
    <t>Sydney FC NPL 1 vs 0 NWS Spirit</t>
  </si>
  <si>
    <t>EST-00944</t>
  </si>
  <si>
    <t>Sydney FC NPL 0 vs 6 Western Sydney Youth</t>
  </si>
  <si>
    <t>EST-00945</t>
  </si>
  <si>
    <t>Western Sydney Youth 2 vs 1 UNSW</t>
  </si>
  <si>
    <t>EST-00946</t>
  </si>
  <si>
    <t>NWS Spirit 0 vs 4 Western Sydney Youth</t>
  </si>
  <si>
    <t>EST-00947</t>
  </si>
  <si>
    <t>Western Sydney Youth 2 vs 1 Sydney Olympic</t>
  </si>
  <si>
    <t>EST-00948</t>
  </si>
  <si>
    <t>Western Sydney Youth 1 vs 1 St George City FA</t>
  </si>
  <si>
    <t>EST-00949</t>
  </si>
  <si>
    <t>NWS Spirit 3 vs 1 Blacktown City</t>
  </si>
  <si>
    <t>EST-00950</t>
  </si>
  <si>
    <t>UNSW 3 vs 1 NWS Spirit</t>
  </si>
  <si>
    <t>EST-00951</t>
  </si>
  <si>
    <t>NWS Spirit 3 vs 1 St George Saints</t>
  </si>
  <si>
    <t>EST-00952</t>
  </si>
  <si>
    <t>NWS Spirit 2 vs 0 Wollongong Wolves</t>
  </si>
  <si>
    <t>EST-00953</t>
  </si>
  <si>
    <t>St George City FA 1 vs 0 NWS Spirit</t>
  </si>
  <si>
    <t>EST-00954</t>
  </si>
  <si>
    <t>NWS Spirit 3 vs 0 Sydney Olympic</t>
  </si>
  <si>
    <t>EST-00955</t>
  </si>
  <si>
    <t>Blacktown City 3 vs 0 St George City FA</t>
  </si>
  <si>
    <t>EST-00956</t>
  </si>
  <si>
    <t>St George City FA 0 vs 2 UNSW</t>
  </si>
  <si>
    <t>EST-00957</t>
  </si>
  <si>
    <t>Wollongong Wolves 3 vs 3 St George City FA</t>
  </si>
  <si>
    <t>EST-00958</t>
  </si>
  <si>
    <t>St George City FA 1 vs 1 Sydney Olympic</t>
  </si>
  <si>
    <t>EST-00959</t>
  </si>
  <si>
    <t>St George Saints 0 vs 1 St George City FA</t>
  </si>
  <si>
    <t>EST-00960</t>
  </si>
  <si>
    <t>Wollongong Wolves 0 vs 2 Blacktown City</t>
  </si>
  <si>
    <t>EST-00961</t>
  </si>
  <si>
    <t>Sydney Olympic 3 vs 2 Wollongong Wolves</t>
  </si>
  <si>
    <t>EST-00962</t>
  </si>
  <si>
    <t>UNSW 1 vs 0 Wollongong Wolves</t>
  </si>
  <si>
    <t>EST-00963</t>
  </si>
  <si>
    <t>Wollongong Wolves 2 vs 0 St George Saints</t>
  </si>
  <si>
    <t>EST-00964</t>
  </si>
  <si>
    <t>Manly United 0 vs 1 Wollongong Wolves</t>
  </si>
  <si>
    <t>EST-00965</t>
  </si>
  <si>
    <t>Blacktown City 0 vs 2 Sydney Olympic</t>
  </si>
  <si>
    <t>EST-00966</t>
  </si>
  <si>
    <t>UNSW 1 vs 3 Sydney Olympic</t>
  </si>
  <si>
    <t>EST-00967</t>
  </si>
  <si>
    <t>UNSW 1 vs 4 St George Saints</t>
  </si>
  <si>
    <t>EST-00968</t>
  </si>
  <si>
    <t>St George Saints 1 vs 2 Sydney Olympic</t>
  </si>
  <si>
    <t>Oakleigh Cannons</t>
  </si>
  <si>
    <t>Bentleigh Greens</t>
  </si>
  <si>
    <t>Hume City</t>
  </si>
  <si>
    <t>Avondale FC</t>
  </si>
  <si>
    <t>Caroline Springs George Cross</t>
  </si>
  <si>
    <t>Heidelberg United</t>
  </si>
  <si>
    <t>Melbourne City U21</t>
  </si>
  <si>
    <t>Altona Magic</t>
  </si>
  <si>
    <t>Preston Lions</t>
  </si>
  <si>
    <t>Dandenong City</t>
  </si>
  <si>
    <t>Dandenong Thunder</t>
  </si>
  <si>
    <t>EST-00969</t>
  </si>
  <si>
    <t>Bentleigh Greens 0 vs 0 Oakleigh Cannons</t>
  </si>
  <si>
    <t>EST-00970</t>
  </si>
  <si>
    <t>Oakleigh Cannons 1 vs 2 South Melbourne</t>
  </si>
  <si>
    <t>EST-00971</t>
  </si>
  <si>
    <t>Hume City 0 vs 1 Oakleigh Cannons</t>
  </si>
  <si>
    <t>EST-00972</t>
  </si>
  <si>
    <t>Oakleigh Cannons 2 vs 0 Avondale FC</t>
  </si>
  <si>
    <t>EST-00973</t>
  </si>
  <si>
    <t>Caroline Springs George Cross 1 vs 1 Oakleigh Cannons</t>
  </si>
  <si>
    <t>EST-00974</t>
  </si>
  <si>
    <t>Heidelberg United 0 vs 1 Oakleigh Cannons</t>
  </si>
  <si>
    <t>EST-00975</t>
  </si>
  <si>
    <t>Oakleigh Cannons 3 vs 1 Melbourne City U21</t>
  </si>
  <si>
    <t>EST-00976</t>
  </si>
  <si>
    <t>Oakleigh Cannons 2 vs 2 St Albans Saints</t>
  </si>
  <si>
    <t>EST-00977</t>
  </si>
  <si>
    <t>Altona Magic 0 vs 2 Oakleigh Cannons</t>
  </si>
  <si>
    <t>EST-00978</t>
  </si>
  <si>
    <t>Preston Lions 0 vs 1 Oakleigh Cannons</t>
  </si>
  <si>
    <t>EST-00979</t>
  </si>
  <si>
    <t>Dandenong City 1 vs 1 Oakleigh Cannons</t>
  </si>
  <si>
    <t>EST-00980</t>
  </si>
  <si>
    <t>Oakleigh Cannons 2 vs 0 Dandenong Thunder</t>
  </si>
  <si>
    <t>Green Gully</t>
  </si>
  <si>
    <t>EST-00981</t>
  </si>
  <si>
    <t>Hume City 1 vs 0 Melbourne City U21</t>
  </si>
  <si>
    <t>EST-00982</t>
  </si>
  <si>
    <t>St Albans Saints 3 vs 2 Hume City</t>
  </si>
  <si>
    <t>EST-00983</t>
  </si>
  <si>
    <t>Preston Lions 2 vs 1 Hume City</t>
  </si>
  <si>
    <t>EST-00984</t>
  </si>
  <si>
    <t>Hume City 0 vs 0 Dandenong City</t>
  </si>
  <si>
    <t>EST-00985</t>
  </si>
  <si>
    <t>Dandenong Thunder 1 vs 3 Hume City</t>
  </si>
  <si>
    <t>EST-00986</t>
  </si>
  <si>
    <t>Hume City 3 vs 2 Green Gully</t>
  </si>
  <si>
    <t>EST-00987</t>
  </si>
  <si>
    <t>Bentleigh Greens 1 vs 5 Hume City</t>
  </si>
  <si>
    <t>EST-00988</t>
  </si>
  <si>
    <t>Hume City 1 vs 1 South Melbourne</t>
  </si>
  <si>
    <t>EST-00989</t>
  </si>
  <si>
    <t>Altona Magic 1 vs 3 Hume City</t>
  </si>
  <si>
    <t>EST-00990</t>
  </si>
  <si>
    <t>Caroline Springs George Cross 2 vs 4 Hume City</t>
  </si>
  <si>
    <t>EST-00991</t>
  </si>
  <si>
    <t>Hume City 2 vs 1 Heidelberg United</t>
  </si>
  <si>
    <t>EST-00992</t>
  </si>
  <si>
    <t>Avondale FC 2 vs 1 Heidelberg United</t>
  </si>
  <si>
    <t>EST-00993</t>
  </si>
  <si>
    <t>Melbourne City U21 2 vs 3 Avondale FC</t>
  </si>
  <si>
    <t>EST-00994</t>
  </si>
  <si>
    <t>Avondale FC 1 vs 1 St Albans Saints</t>
  </si>
  <si>
    <t>EST-00995</t>
  </si>
  <si>
    <t>Avondale FC 2 vs 3 Preston Lions</t>
  </si>
  <si>
    <t>EST-00996</t>
  </si>
  <si>
    <t>Dandenong City 3 vs 1 Avondale FC</t>
  </si>
  <si>
    <t>EST-00997</t>
  </si>
  <si>
    <t>Avondale FC 11 vs 0 Dandenong Thunder</t>
  </si>
  <si>
    <t>EST-00998</t>
  </si>
  <si>
    <t>Green Gully 0 vs 2 Avondale FC</t>
  </si>
  <si>
    <t>EST-00999</t>
  </si>
  <si>
    <t>Avondale FC 4 vs 0 Bentleigh Greens</t>
  </si>
  <si>
    <t>EST-01000</t>
  </si>
  <si>
    <t>South Melbourne 0 vs 4 Avondale FC</t>
  </si>
  <si>
    <t>EST-01001</t>
  </si>
  <si>
    <t>Hume City 3 vs 0 Avondale FC</t>
  </si>
  <si>
    <t>EST-01002</t>
  </si>
  <si>
    <t>Avondale FC 5 vs 1 Altona Magic</t>
  </si>
  <si>
    <t>EST-01003</t>
  </si>
  <si>
    <t>South Melbourne 0 vs 0 Preston Lions</t>
  </si>
  <si>
    <t>EST-01004</t>
  </si>
  <si>
    <t>Dandenong City 0 vs 2 South Melbourne</t>
  </si>
  <si>
    <t>EST-01005</t>
  </si>
  <si>
    <t>South Melbourne 1 vs 0 Dandenong Thunder</t>
  </si>
  <si>
    <t>EST-01006</t>
  </si>
  <si>
    <t>South Melbourne 1 vs 2 Green Gully</t>
  </si>
  <si>
    <t>EST-01007</t>
  </si>
  <si>
    <t>Bentleigh Greens 1 vs 5 South Melbourne</t>
  </si>
  <si>
    <t>EST-01008</t>
  </si>
  <si>
    <t>South Melbourne 2 vs 3 Altona Magic</t>
  </si>
  <si>
    <t>EST-01009</t>
  </si>
  <si>
    <t>South Melbourne 0 vs 4 Caroline Springs George Cross</t>
  </si>
  <si>
    <t>EST-01010</t>
  </si>
  <si>
    <t>Heidelberg United 4 vs 0 South Melbourne</t>
  </si>
  <si>
    <t>EST-01011</t>
  </si>
  <si>
    <t>Preston Lions 2 vs 2 Green Gully</t>
  </si>
  <si>
    <t>EST-01012</t>
  </si>
  <si>
    <t>Preston Lions 1 vs 0 Bentleigh Greens</t>
  </si>
  <si>
    <t>EST-01013</t>
  </si>
  <si>
    <t>Caroline Springs George Cross 0 vs 2 Preston Lions</t>
  </si>
  <si>
    <t>EST-01014</t>
  </si>
  <si>
    <t>Heidelberg United 0 vs 1 Preston Lions</t>
  </si>
  <si>
    <t>EST-01015</t>
  </si>
  <si>
    <t>St Albans Saints 0 vs 1 Preston Lions</t>
  </si>
  <si>
    <t>EST-01016</t>
  </si>
  <si>
    <t>Altona Magic 1 vs 0 Preston Lions</t>
  </si>
  <si>
    <t>EST-01017</t>
  </si>
  <si>
    <t>Preston Lions 1 vs 0 Dandenong City</t>
  </si>
  <si>
    <t>EST-01018</t>
  </si>
  <si>
    <t>Dandenong Thunder 0 vs 1 Preston Lions</t>
  </si>
  <si>
    <t>EST-01019</t>
  </si>
  <si>
    <t>Heidelberg United 0 vs 0 Caroline Springs George Cross</t>
  </si>
  <si>
    <t>EST-01020</t>
  </si>
  <si>
    <t>Altona Magic 0 vs 0 Heidelberg United</t>
  </si>
  <si>
    <t>EST-01021</t>
  </si>
  <si>
    <t>Melbourne City U21 2 vs 2 Heidelberg United</t>
  </si>
  <si>
    <t>EST-01022</t>
  </si>
  <si>
    <t>Heidelberg United 1 vs 1 St Albans Saints</t>
  </si>
  <si>
    <t>EST-01023</t>
  </si>
  <si>
    <t>Dandenong City 4 vs 1 Heidelberg United</t>
  </si>
  <si>
    <t>EST-01024</t>
  </si>
  <si>
    <t>Heidelberg United 4 vs 2 Dandenong Thunder</t>
  </si>
  <si>
    <t>EST-01025</t>
  </si>
  <si>
    <t>Green Gully 0 vs 1 Heidelberg United</t>
  </si>
  <si>
    <t>EST-01026</t>
  </si>
  <si>
    <t>Bentleigh Greens 2 vs 2 Heidelberg United</t>
  </si>
  <si>
    <t>EST-01027</t>
  </si>
  <si>
    <t>Altona Magic 1 vs 1 Caroline Springs George Cross</t>
  </si>
  <si>
    <t>EST-01028</t>
  </si>
  <si>
    <t>Caroline Springs George Cross 1 vs 0 Melbourne City U21</t>
  </si>
  <si>
    <t>EST-01029</t>
  </si>
  <si>
    <t>St Albans Saints 2 vs 2 Caroline Springs George Cross</t>
  </si>
  <si>
    <t>EST-01030</t>
  </si>
  <si>
    <t>Caroline Springs George Cross 3 vs 2 Dandenong City</t>
  </si>
  <si>
    <t>EST-01031</t>
  </si>
  <si>
    <t>Dandenong Thunder 2 vs 3 Caroline Springs George Cross</t>
  </si>
  <si>
    <t>EST-01032</t>
  </si>
  <si>
    <t>Caroline Springs George Cross 0 vs 0 Green Gully</t>
  </si>
  <si>
    <t>EST-01033</t>
  </si>
  <si>
    <t>Bentleigh Greens 0 vs 0 Caroline Springs George Cross</t>
  </si>
  <si>
    <t>EST-01034</t>
  </si>
  <si>
    <t>Altona Magic 0 vs 3 Melbourne City U21</t>
  </si>
  <si>
    <t>EST-01035</t>
  </si>
  <si>
    <t>St Albans Saints 0 vs 2 Melbourne City U21</t>
  </si>
  <si>
    <t>EST-01036</t>
  </si>
  <si>
    <t>Melbourne City U21 0 vs 1 Dandenong City</t>
  </si>
  <si>
    <t>EST-01037</t>
  </si>
  <si>
    <t>Melbourne City U21 2 vs 0 Dandenong Thunder</t>
  </si>
  <si>
    <t>EST-01038</t>
  </si>
  <si>
    <t>Green Gully 1 vs 3 Melbourne City U21</t>
  </si>
  <si>
    <t>EST-01039</t>
  </si>
  <si>
    <t>Bentleigh Greens 0 vs 7 Melbourne City U21</t>
  </si>
  <si>
    <t>EST-01040</t>
  </si>
  <si>
    <t>South Melbourne 1 vs 2 Melbourne City U21</t>
  </si>
  <si>
    <t>EST-01041</t>
  </si>
  <si>
    <t>Dandenong Thunder 0 vs 2 Altona Magic</t>
  </si>
  <si>
    <t>EST-01042</t>
  </si>
  <si>
    <t>Green Gully 1 vs 3 Altona Magic</t>
  </si>
  <si>
    <t>EST-01043</t>
  </si>
  <si>
    <t>Bentleigh Greens 0 vs 1 Altona Magic</t>
  </si>
  <si>
    <t>EST-01044</t>
  </si>
  <si>
    <t>St Albans Saints 2 vs 1 Altona Magic</t>
  </si>
  <si>
    <t>EST-01045</t>
  </si>
  <si>
    <t>Dandenong City 2 vs 1 St Albans Saints</t>
  </si>
  <si>
    <t>EST-01046</t>
  </si>
  <si>
    <t>Dandenong Thunder 2 vs 2 St Albans Saints</t>
  </si>
  <si>
    <t>EST-01047</t>
  </si>
  <si>
    <t>St Albans Saints 1 vs 0 Green Gully</t>
  </si>
  <si>
    <t>EST-01048</t>
  </si>
  <si>
    <t>Dandenong Thunder 0 vs 3 Dandenong City</t>
  </si>
  <si>
    <t>EST-01049</t>
  </si>
  <si>
    <t>Green Gully 0 vs 0 Dandenong City</t>
  </si>
  <si>
    <t>EST-01050</t>
  </si>
  <si>
    <t>Bentleigh Greens 2 vs 1 Dandenong City</t>
  </si>
  <si>
    <t>EST-01051</t>
  </si>
  <si>
    <t>Dandenong Thunder 2 vs 1 Bentleigh Greens</t>
  </si>
  <si>
    <t>EST-01052</t>
  </si>
  <si>
    <t>Green Gully 3 vs 0 Bentleigh Greens</t>
  </si>
  <si>
    <t>EST-01053</t>
  </si>
  <si>
    <t>Green Gully 3 vs 1 Dandenong Thunder</t>
  </si>
  <si>
    <t>EST-01054</t>
  </si>
  <si>
    <t>Blooming 1 vs 1 GV San José</t>
  </si>
  <si>
    <t>EST-01055</t>
  </si>
  <si>
    <t>Oriente Petrolero 0 vs 1 Blooming</t>
  </si>
  <si>
    <t>EST-01056</t>
  </si>
  <si>
    <t>Real Potosí 0 vs 0 GV San José</t>
  </si>
  <si>
    <t>EST-01057</t>
  </si>
  <si>
    <t>GV San José 2 vs 1 Universitario de Vinto</t>
  </si>
  <si>
    <t>EST-01058</t>
  </si>
  <si>
    <t>Oriente Petrolero 2 vs 0 Real Potosí</t>
  </si>
  <si>
    <t>EST-01059</t>
  </si>
  <si>
    <t>Oriente Petrolero 2 vs 1 GV San José</t>
  </si>
  <si>
    <t>EST-01060</t>
  </si>
  <si>
    <t>Universitario de Vinto 1 vs 1 Blooming</t>
  </si>
  <si>
    <t>Premier League</t>
  </si>
  <si>
    <t>CAN - Premier League</t>
  </si>
  <si>
    <t>Forge FC</t>
  </si>
  <si>
    <t>HFX Wanderers</t>
  </si>
  <si>
    <t>Inter Toronto</t>
  </si>
  <si>
    <t>EST-01061</t>
  </si>
  <si>
    <t>Forge FC 0 vs 1 Vancouver FC</t>
  </si>
  <si>
    <t>EST-01062</t>
  </si>
  <si>
    <t>HFX Wanderers 0 vs 0 Forge FC</t>
  </si>
  <si>
    <t>EST-01063</t>
  </si>
  <si>
    <t>Inter Toronto 1 vs 3 Forge FC</t>
  </si>
  <si>
    <t>EST-01064</t>
  </si>
  <si>
    <t>Supra du Québec 1 vs 2 Forge FC</t>
  </si>
  <si>
    <t>EST-01065</t>
  </si>
  <si>
    <t>Forge FC 3 vs 2 Vancouver FC</t>
  </si>
  <si>
    <t>EST-01066</t>
  </si>
  <si>
    <t>Forge FC 1 vs 0 HFX Wanderers</t>
  </si>
  <si>
    <t>EST-01067</t>
  </si>
  <si>
    <t>Inter Toronto 1 vs 4 Forge FC</t>
  </si>
  <si>
    <t>EST-01068</t>
  </si>
  <si>
    <t>Forge FC 1 vs 0 Cavalry FC</t>
  </si>
  <si>
    <t>EST-01069</t>
  </si>
  <si>
    <t>Atlético Ottawa 2 vs 1 Forge FC</t>
  </si>
  <si>
    <t>EST-01070</t>
  </si>
  <si>
    <t>Forge FC 1 vs 0 Supra du Québec</t>
  </si>
  <si>
    <t>EST-01071</t>
  </si>
  <si>
    <t>HFX Wanderers 1 vs 3 Forge FC</t>
  </si>
  <si>
    <t>EST-01072</t>
  </si>
  <si>
    <t>Pacific FC 0 vs 1 Forge FC</t>
  </si>
  <si>
    <t>EST-01073</t>
  </si>
  <si>
    <t>Cavalry FC 5 vs 0 Inter Toronto</t>
  </si>
  <si>
    <t>EST-01074</t>
  </si>
  <si>
    <t>Vancouver FC 1 vs 0 Cavalry FC</t>
  </si>
  <si>
    <t>EST-01075</t>
  </si>
  <si>
    <t>Cavalry FC 1 vs 1 HFX Wanderers</t>
  </si>
  <si>
    <t>EST-01076</t>
  </si>
  <si>
    <t>Atlético Ottawa 0 vs 3 Cavalry FC</t>
  </si>
  <si>
    <t>EST-01077</t>
  </si>
  <si>
    <t>Inter Toronto 1 vs 5 Cavalry FC</t>
  </si>
  <si>
    <t>EST-01078</t>
  </si>
  <si>
    <t>Cavalry FC 2 vs 0 HFX Wanderers</t>
  </si>
  <si>
    <t>EST-01079</t>
  </si>
  <si>
    <t>Cavalry FC 3 vs 0 Pacific FC</t>
  </si>
  <si>
    <t>EST-01080</t>
  </si>
  <si>
    <t>Vancouver FC 0 vs 2 Cavalry FC</t>
  </si>
  <si>
    <t>EST-01081</t>
  </si>
  <si>
    <t>Supra du Québec 0 vs 1 Cavalry FC</t>
  </si>
  <si>
    <t>EST-01082</t>
  </si>
  <si>
    <t>Cavalry FC 1 vs 1 Inter Toronto</t>
  </si>
  <si>
    <t>EST-01083</t>
  </si>
  <si>
    <t>Supra du Québec 1 vs 5 Vancouver FC</t>
  </si>
  <si>
    <t>EST-01084</t>
  </si>
  <si>
    <t>Vancouver FC 4 vs 0 Inter Toronto</t>
  </si>
  <si>
    <t>EST-01085</t>
  </si>
  <si>
    <t>Vancouver FC 2 vs 1 Pacific FC</t>
  </si>
  <si>
    <t>EST-01086</t>
  </si>
  <si>
    <t>Vancouver FC 2 vs 1 Atlético Ottawa</t>
  </si>
  <si>
    <t>EST-01087</t>
  </si>
  <si>
    <t>HFX Wanderers 1 vs 0 Vancouver FC</t>
  </si>
  <si>
    <t>EST-01088</t>
  </si>
  <si>
    <t>Vancouver FC 1 vs 1 Supra du Québec</t>
  </si>
  <si>
    <t>EST-01089</t>
  </si>
  <si>
    <t>Pacific FC 1 vs 3 Vancouver FC</t>
  </si>
  <si>
    <t>EST-01090</t>
  </si>
  <si>
    <t>Atlético Ottawa 2 vs 1 HFX Wanderers</t>
  </si>
  <si>
    <t>EST-01091</t>
  </si>
  <si>
    <t>Atlético Ottawa 3 vs 2 Pacific FC</t>
  </si>
  <si>
    <t>EST-01092</t>
  </si>
  <si>
    <t>Atlético Ottawa 1 vs 1 Inter Toronto</t>
  </si>
  <si>
    <t>EST-01093</t>
  </si>
  <si>
    <t>HFX Wanderers 1 vs 3 Atlético Ottawa</t>
  </si>
  <si>
    <t>EST-01094</t>
  </si>
  <si>
    <t>Atlético Ottawa 5 vs 3 Supra du Québec</t>
  </si>
  <si>
    <t>EST-01095</t>
  </si>
  <si>
    <t>Pacific FC 2 vs 2 Atlético Ottawa</t>
  </si>
  <si>
    <t>EST-01096</t>
  </si>
  <si>
    <t>Atlético Ottawa 1 vs 0 HFX Wanderers</t>
  </si>
  <si>
    <t>EST-01097</t>
  </si>
  <si>
    <t>Inter Toronto 4 vs 1 Atlético Ottawa</t>
  </si>
  <si>
    <t>EST-01098</t>
  </si>
  <si>
    <t>HFX Wanderers 2 vs 3 Supra du Québec</t>
  </si>
  <si>
    <t>EST-01099</t>
  </si>
  <si>
    <t>Supra du Québec 1 vs 1 Pacific FC</t>
  </si>
  <si>
    <t>EST-01100</t>
  </si>
  <si>
    <t>Supra du Québec 3 vs 1 Inter Toronto</t>
  </si>
  <si>
    <t>EST-01101</t>
  </si>
  <si>
    <t>Supra du Québec 2 vs 1 HFX Wanderers</t>
  </si>
  <si>
    <t>EST-01102</t>
  </si>
  <si>
    <t>Pacific FC 1 vs 2 HFX Wanderers</t>
  </si>
  <si>
    <t>EST-01103</t>
  </si>
  <si>
    <t>HFX Wanderers 5 vs 2 Pacific FC</t>
  </si>
  <si>
    <t>EST-01104</t>
  </si>
  <si>
    <t>HFX Wanderers 1 vs 1 Inter Toronto</t>
  </si>
  <si>
    <t>EST-01105</t>
  </si>
  <si>
    <t>Pacific FC 1 vs 1 Inter Toronto</t>
  </si>
  <si>
    <t>EST-01106</t>
  </si>
  <si>
    <t>Pacific FC 0 vs 1 Inter Toronto</t>
  </si>
  <si>
    <t>KuPS</t>
  </si>
  <si>
    <t>IF Gnistan</t>
  </si>
  <si>
    <t>Ilves</t>
  </si>
  <si>
    <t>TPS</t>
  </si>
  <si>
    <t>Inter Turku</t>
  </si>
  <si>
    <t>FC Lahti</t>
  </si>
  <si>
    <t>IFK Mariehamn</t>
  </si>
  <si>
    <t>EST-01107</t>
  </si>
  <si>
    <t>IF Gnistan 0 vs 1 KuPS</t>
  </si>
  <si>
    <t>EST-01108</t>
  </si>
  <si>
    <t>KuPS 3 vs 1 VPS Vaasa</t>
  </si>
  <si>
    <t>EST-01109</t>
  </si>
  <si>
    <t>SJK 0 vs 2 KuPS</t>
  </si>
  <si>
    <t>EST-01110</t>
  </si>
  <si>
    <t>HJK Helsinki 0 vs 4 KuPS</t>
  </si>
  <si>
    <t>EST-01111</t>
  </si>
  <si>
    <t>KuPS 4 vs 3 Ilves</t>
  </si>
  <si>
    <t>EST-01112</t>
  </si>
  <si>
    <t>TPS 1 vs 2 KuPS</t>
  </si>
  <si>
    <t>EST-01113</t>
  </si>
  <si>
    <t>VPS Vaasa 1 vs 1 KuPS</t>
  </si>
  <si>
    <t>EST-01114</t>
  </si>
  <si>
    <t>KuPS 1 vs 1 Inter Turku</t>
  </si>
  <si>
    <t>EST-01115</t>
  </si>
  <si>
    <t>KuPS 2 vs 1 FC Lahti</t>
  </si>
  <si>
    <t>EST-01116</t>
  </si>
  <si>
    <t>KuPS 3 vs 0 FF Jaro</t>
  </si>
  <si>
    <t>EST-01117</t>
  </si>
  <si>
    <t>IFK Mariehamn 1 vs 1 KuPS</t>
  </si>
  <si>
    <t>EST-01118</t>
  </si>
  <si>
    <t>KuPS 0 vs 0 SJK</t>
  </si>
  <si>
    <t>AC Oulu</t>
  </si>
  <si>
    <t>EST-01119</t>
  </si>
  <si>
    <t>TPS 3 vs 0 IFK Mariehamn</t>
  </si>
  <si>
    <t>EST-01120</t>
  </si>
  <si>
    <t>HJK Helsinki 1 vs 0 TPS</t>
  </si>
  <si>
    <t>EST-01121</t>
  </si>
  <si>
    <t>TPS 1 vs 3 Ilves</t>
  </si>
  <si>
    <t>EST-01122</t>
  </si>
  <si>
    <t>TPS 3 vs 0 AC Oulu</t>
  </si>
  <si>
    <t>EST-01123</t>
  </si>
  <si>
    <t>SJK 3 vs 1 TPS</t>
  </si>
  <si>
    <t>EST-01124</t>
  </si>
  <si>
    <t>TPS 3 vs 2 FF Jaro</t>
  </si>
  <si>
    <t>EST-01125</t>
  </si>
  <si>
    <t>FC Lahti 0 vs 0 TPS</t>
  </si>
  <si>
    <t>EST-01126</t>
  </si>
  <si>
    <t>Ilves 1 vs 0 TPS</t>
  </si>
  <si>
    <t>EST-01127</t>
  </si>
  <si>
    <t>TPS 1 vs 0 VPS Vaasa</t>
  </si>
  <si>
    <t>EST-01128</t>
  </si>
  <si>
    <t>Inter Turku 2 vs 1 TPS</t>
  </si>
  <si>
    <t>EST-01129</t>
  </si>
  <si>
    <t>AC Oulu 1 vs 0 TPS</t>
  </si>
  <si>
    <t>VPS Vaasa 0 vs 1 Inter Turku</t>
  </si>
  <si>
    <t>EST-01131</t>
  </si>
  <si>
    <t>Inter Turku 1 vs 2 IF Gnistan</t>
  </si>
  <si>
    <t>EST-01132</t>
  </si>
  <si>
    <t>FF Jaro 0 vs 0 Inter Turku</t>
  </si>
  <si>
    <t>EST-01133</t>
  </si>
  <si>
    <t>IFK Mariehamn 0 vs 2 Inter Turku</t>
  </si>
  <si>
    <t>EST-01134</t>
  </si>
  <si>
    <t>HJK Helsinki 3 vs 3 Inter Turku</t>
  </si>
  <si>
    <t>EST-01135</t>
  </si>
  <si>
    <t>Inter Turku 0 vs 0 AC Oulu</t>
  </si>
  <si>
    <t>EST-01136</t>
  </si>
  <si>
    <t>Ilves 1 vs 3 Inter Turku</t>
  </si>
  <si>
    <t>EST-01137</t>
  </si>
  <si>
    <t>SJK 1 vs 3 Inter Turku</t>
  </si>
  <si>
    <t>EST-01138</t>
  </si>
  <si>
    <t>IF Gnistan 2 vs 0 Inter Turku</t>
  </si>
  <si>
    <t>EST-01139</t>
  </si>
  <si>
    <t>Inter Turku 1 vs 1 HJK Helsinki</t>
  </si>
  <si>
    <t>EST-01140</t>
  </si>
  <si>
    <t>FC Lahti 2 vs 0 FF Jaro</t>
  </si>
  <si>
    <t>EST-01141</t>
  </si>
  <si>
    <t>Ilves 1 vs 0 FC Lahti</t>
  </si>
  <si>
    <t>EST-01142</t>
  </si>
  <si>
    <t>IFK Mariehamn 0 vs 2 FC Lahti</t>
  </si>
  <si>
    <t>EST-01143</t>
  </si>
  <si>
    <t>FC Lahti 2 vs 0 HJK Helsinki</t>
  </si>
  <si>
    <t>EST-01144</t>
  </si>
  <si>
    <t>FC Lahti 1 vs 0 IF Gnistan</t>
  </si>
  <si>
    <t>EST-01145</t>
  </si>
  <si>
    <t>AC Oulu 1 vs 1 FC Lahti</t>
  </si>
  <si>
    <t>EST-01146</t>
  </si>
  <si>
    <t>IF Gnistan 1 vs 0 FC Lahti</t>
  </si>
  <si>
    <t>EST-01147</t>
  </si>
  <si>
    <t>FC Lahti 2 vs 3 SJK</t>
  </si>
  <si>
    <t>EST-01148</t>
  </si>
  <si>
    <t>FC Lahti 5 vs 0 Ilves</t>
  </si>
  <si>
    <t>EST-01149</t>
  </si>
  <si>
    <t>FC Lahti 1 vs 1 VPS Vaasa</t>
  </si>
  <si>
    <t>EST-01150</t>
  </si>
  <si>
    <t>AC Oulu 1 vs 0 Ilves</t>
  </si>
  <si>
    <t>EST-01151</t>
  </si>
  <si>
    <t>FF Jaro 2 vs 1 Ilves</t>
  </si>
  <si>
    <t>EST-01152</t>
  </si>
  <si>
    <t>Ilves 2 vs 2 SJK</t>
  </si>
  <si>
    <t>EST-01153</t>
  </si>
  <si>
    <t>Ilves 5 vs 0 FF Jaro</t>
  </si>
  <si>
    <t>EST-01154</t>
  </si>
  <si>
    <t>Ilves 2 vs 0 IF Gnistan</t>
  </si>
  <si>
    <t>EST-01155</t>
  </si>
  <si>
    <t>HJK Helsinki 2 vs 2 Ilves</t>
  </si>
  <si>
    <t>EST-01156</t>
  </si>
  <si>
    <t>IFK Mariehamn 1 vs 1 AC Oulu</t>
  </si>
  <si>
    <t>EST-01157</t>
  </si>
  <si>
    <t>IF Gnistan 4 vs 2 IFK Mariehamn</t>
  </si>
  <si>
    <t>EST-01158</t>
  </si>
  <si>
    <t>VPS Vaasa 4 vs 0 IFK Mariehamn</t>
  </si>
  <si>
    <t>EST-01159</t>
  </si>
  <si>
    <t>IFK Mariehamn 0 vs 4 HJK Helsinki</t>
  </si>
  <si>
    <t>EST-01160</t>
  </si>
  <si>
    <t>AC Oulu 2 vs 1 IFK Mariehamn</t>
  </si>
  <si>
    <t>EST-01161</t>
  </si>
  <si>
    <t>IFK Mariehamn 0 vs 3 IF Gnistan</t>
  </si>
  <si>
    <t>EST-01162</t>
  </si>
  <si>
    <t>HJK Helsinki 1 vs 0 IFK Mariehamn</t>
  </si>
  <si>
    <t>EST-01163</t>
  </si>
  <si>
    <t>FF Jaro 3 vs 0 IFK Mariehamn</t>
  </si>
  <si>
    <t>EST-01164</t>
  </si>
  <si>
    <t>AC Oulu 0 vs 2 IF Gnistan</t>
  </si>
  <si>
    <t>EST-01165</t>
  </si>
  <si>
    <t>VPS Vaasa 5 vs 1 AC Oulu</t>
  </si>
  <si>
    <t>EST-01166</t>
  </si>
  <si>
    <t>AC Oulu 2 vs 1 FF Jaro</t>
  </si>
  <si>
    <t>EST-01167</t>
  </si>
  <si>
    <t>SJK 0 vs 1 AC Oulu</t>
  </si>
  <si>
    <t>EST-01168</t>
  </si>
  <si>
    <t>Ilves 1 vs 0 AC Oulu</t>
  </si>
  <si>
    <t>EST-01169</t>
  </si>
  <si>
    <t>HJK Helsinki 2 vs 1 VPS Vaasa</t>
  </si>
  <si>
    <t>EST-01170</t>
  </si>
  <si>
    <t>FF Jaro 2 vs 5 HJK Helsinki</t>
  </si>
  <si>
    <t>EST-01171</t>
  </si>
  <si>
    <t>VPS Vaasa 2 vs 1 HJK Helsinki</t>
  </si>
  <si>
    <t>EST-01172</t>
  </si>
  <si>
    <t>VPS Vaasa 1 vs 0 SJK</t>
  </si>
  <si>
    <t>EST-01173</t>
  </si>
  <si>
    <t>IF Gnistan 1 vs 1 VPS Vaasa</t>
  </si>
  <si>
    <t>EST-01174</t>
  </si>
  <si>
    <t>SJK 1 vs 2 VPS Vaasa</t>
  </si>
  <si>
    <t>EST-01175</t>
  </si>
  <si>
    <t>FF Jaro 2 vs 1 SJK</t>
  </si>
  <si>
    <t>EST-01176</t>
  </si>
  <si>
    <t>FF Jaro 1 vs 1 IF Gnistan</t>
  </si>
  <si>
    <t>EST-01177</t>
  </si>
  <si>
    <t>IF Gnistan 5 vs 0 FF Jaro</t>
  </si>
  <si>
    <t>EST-01178</t>
  </si>
  <si>
    <t>SJK 2 vs 2 IF Gnistan</t>
  </si>
  <si>
    <t>Ekenas</t>
  </si>
  <si>
    <t>KaPa</t>
  </si>
  <si>
    <t>EST-01179</t>
  </si>
  <si>
    <t>Ekenas 2 vs 0 Klubi 04</t>
  </si>
  <si>
    <t>EST-01180</t>
  </si>
  <si>
    <t>EST-01181</t>
  </si>
  <si>
    <t>KaPa 0 vs 2 Klubi 04</t>
  </si>
  <si>
    <t>EST-01182</t>
  </si>
  <si>
    <t>Klubi 04 0 vs 2 Jippo</t>
  </si>
  <si>
    <t>EST-01183</t>
  </si>
  <si>
    <t>Mikkeli 2 vs 2 Klubi 04</t>
  </si>
  <si>
    <t>EST-01184</t>
  </si>
  <si>
    <t>Klubi 04 0 vs 1 KTP</t>
  </si>
  <si>
    <t>EST-01185</t>
  </si>
  <si>
    <t>Jippo 1 vs 1 Klubi 04</t>
  </si>
  <si>
    <t>EST-01186</t>
  </si>
  <si>
    <t>SJK Akatemia 0 vs 3 PK-35</t>
  </si>
  <si>
    <t>EST-01187</t>
  </si>
  <si>
    <t>JäPS 0 vs 1 KTP</t>
  </si>
  <si>
    <t>EST-01188</t>
  </si>
  <si>
    <t>Haka 3 vs 0 Jippo</t>
  </si>
  <si>
    <t>EST-01189</t>
  </si>
  <si>
    <t>EST-01190</t>
  </si>
  <si>
    <t>Jippo 3 vs 1 Mikkeli</t>
  </si>
  <si>
    <t>EST-01191</t>
  </si>
  <si>
    <t>Jippo 1 vs 1 Ekenas</t>
  </si>
  <si>
    <t>EST-01192</t>
  </si>
  <si>
    <t>Jippo 3 vs 0 KaPa</t>
  </si>
  <si>
    <t>JäPS 2 vs 0 Klubi 04</t>
  </si>
  <si>
    <t>Jippo 1 vs 0 JäPS</t>
  </si>
  <si>
    <t>EST-01193</t>
  </si>
  <si>
    <t>JäPS 1 vs 0 Mikkeli</t>
  </si>
  <si>
    <t>EST-01194</t>
  </si>
  <si>
    <t>Ekenas 0 vs 1 JäPS</t>
  </si>
  <si>
    <t>EST-01195</t>
  </si>
  <si>
    <t>KaPa 3 vs 1 JäPS</t>
  </si>
  <si>
    <t>EST-01196</t>
  </si>
  <si>
    <t>KaPa 2 vs 1 JäPS</t>
  </si>
  <si>
    <t>EST-01197</t>
  </si>
  <si>
    <t>JäPS 0 vs 2 Mikkeli</t>
  </si>
  <si>
    <t>SJK Akatemia 0 vs 0 Ekenas</t>
  </si>
  <si>
    <t>KTP 5 vs 1 Ekenas</t>
  </si>
  <si>
    <t>Ekenas 0 vs 3 PK-35</t>
  </si>
  <si>
    <t>Haka 4 vs 3 Ekenas</t>
  </si>
  <si>
    <t>Haka 3 vs 1 Ekenas</t>
  </si>
  <si>
    <t>EST-01198</t>
  </si>
  <si>
    <t>KaPa 0 vs 1 Ekenas</t>
  </si>
  <si>
    <t>EST-01199</t>
  </si>
  <si>
    <t>Ekenas 1 vs 0 Mikkeli</t>
  </si>
  <si>
    <t>EST-01200</t>
  </si>
  <si>
    <t>Mikkeli 1 vs 0 Ekenas</t>
  </si>
  <si>
    <t>EST-01201</t>
  </si>
  <si>
    <t>Ekenas 1 vs 0 KaPa</t>
  </si>
  <si>
    <t>EST-01202</t>
  </si>
  <si>
    <t>Mikkeli 2 vs 1 KaPa</t>
  </si>
  <si>
    <t>KaPa 2 vs 2 SJK Akatemia</t>
  </si>
  <si>
    <t>KaPa 1 vs 2 KTP</t>
  </si>
  <si>
    <t>PK-35 3 vs 1 KaPa</t>
  </si>
  <si>
    <t>Haka 3 vs 1 KaPa</t>
  </si>
  <si>
    <t>KaPa 0 vs 0 PK-35</t>
  </si>
  <si>
    <t>EST-01203</t>
  </si>
  <si>
    <t>Ekenas 3 vs 0 SJK Akatemia</t>
  </si>
  <si>
    <t>EST-01204</t>
  </si>
  <si>
    <t>Tampere Utd 6 vs 0 KPV</t>
  </si>
  <si>
    <t>EST-01205</t>
  </si>
  <si>
    <t>KPV 3 vs 0 SalPa</t>
  </si>
  <si>
    <t>EST-01206</t>
  </si>
  <si>
    <t>EST-01207</t>
  </si>
  <si>
    <t>KPV 1 vs 3 TPV</t>
  </si>
  <si>
    <t>EST-01208</t>
  </si>
  <si>
    <t>Jazz Pori 0 vs 1 KPV</t>
  </si>
  <si>
    <t>EST-01209</t>
  </si>
  <si>
    <t>KPV 1 vs 3 Keski-Uusimaa</t>
  </si>
  <si>
    <t>EST-01210</t>
  </si>
  <si>
    <t>VJS 5 vs 0 KPV</t>
  </si>
  <si>
    <t>EST-01211</t>
  </si>
  <si>
    <t>Keski-Uusimaa 1 vs 3 VJS</t>
  </si>
  <si>
    <t>EST-01212</t>
  </si>
  <si>
    <t>VJS 0 vs 1 Tampere Utd</t>
  </si>
  <si>
    <t>EST-01213</t>
  </si>
  <si>
    <t>SalPa 2 vs 2 VJS</t>
  </si>
  <si>
    <t>EST-01214</t>
  </si>
  <si>
    <t>VJS 2 vs 1 TPV</t>
  </si>
  <si>
    <t>EST-01215</t>
  </si>
  <si>
    <t>EST-01216</t>
  </si>
  <si>
    <t>Jazz Pori 4 vs 0 TPV</t>
  </si>
  <si>
    <t>EST-01217</t>
  </si>
  <si>
    <t>Keski-Uusimaa 2 vs 1 Jazz Pori</t>
  </si>
  <si>
    <t>EST-01218</t>
  </si>
  <si>
    <t>Jazz Pori 0 vs 1 Tampere Utd</t>
  </si>
  <si>
    <t>EST-01219</t>
  </si>
  <si>
    <t>Jazz Pori 1 vs 2 SalPa</t>
  </si>
  <si>
    <t>EST-01220</t>
  </si>
  <si>
    <t>EST-01221</t>
  </si>
  <si>
    <t>KuPS Akatemia 1 vs 2 Jazz Pori</t>
  </si>
  <si>
    <t>EST-01222</t>
  </si>
  <si>
    <t>Keski-Uusimaa 4 vs 4 Tampere Utd</t>
  </si>
  <si>
    <t>EST-01223</t>
  </si>
  <si>
    <t>Tampere Utd 0 vs 1 SalPa</t>
  </si>
  <si>
    <t>EST-01224</t>
  </si>
  <si>
    <t>EST-01225</t>
  </si>
  <si>
    <t>TPV 0 vs 3 Tampere Utd</t>
  </si>
  <si>
    <t>EST-01226</t>
  </si>
  <si>
    <t>SalPa 0 vs 1 Keski-Uusimaa</t>
  </si>
  <si>
    <t>EST-01227</t>
  </si>
  <si>
    <t>RoPS (Rovaniemi)</t>
  </si>
  <si>
    <t>Inter Turku 2 0 vs 2 RoPS (Rovaniemi)</t>
  </si>
  <si>
    <t>KuPS Akatemia 0 vs 1 RoPS (Rovaniemi)</t>
  </si>
  <si>
    <t>RoPS (Rovaniemi) 2 vs 2 Jazz Pori</t>
  </si>
  <si>
    <t>RoPS (Rovaniemi) 1 vs 1 OLS Oulu</t>
  </si>
  <si>
    <t>JJK Jyvaskyla 3 vs 3 RoPS (Rovaniemi)</t>
  </si>
  <si>
    <t>RoPS (Rovaniemi) 4 vs 0 JJK Jyvaskyla</t>
  </si>
  <si>
    <t>KPV 1 vs 1 RoPS (Rovaniemi)</t>
  </si>
  <si>
    <t>VJS 0 vs 2 RoPS (Rovaniemi)</t>
  </si>
  <si>
    <t>Jazz Pori 2 vs 1 RoPS (Rovaniemi)</t>
  </si>
  <si>
    <t>RoPS (Rovaniemi) 0 vs 1 Tampere Utd</t>
  </si>
  <si>
    <t>RoPS (Rovaniemi) 2 vs 2 SalPa</t>
  </si>
  <si>
    <t>EST-01228</t>
  </si>
  <si>
    <t>TPV 6 vs 3 RoPS (Rovaniemi)</t>
  </si>
  <si>
    <t>EST-01229</t>
  </si>
  <si>
    <t>RoPS (Rovaniemi) 4 vs 3 Keski-Uusimaa</t>
  </si>
  <si>
    <t>EST-01230</t>
  </si>
  <si>
    <t>Keski-Uusimaa 2 vs 2 TPV</t>
  </si>
  <si>
    <t>EST-01231</t>
  </si>
  <si>
    <t>SalPa 4 vs 2 TPV</t>
  </si>
  <si>
    <t>Jaro 2</t>
  </si>
  <si>
    <t>EST-01232</t>
  </si>
  <si>
    <t>JS Hercules 5 vs 3 JBK</t>
  </si>
  <si>
    <t>EST-01233</t>
  </si>
  <si>
    <t>JS Hercules 2 vs 2 FC Vaajakoski</t>
  </si>
  <si>
    <t>EST-01234</t>
  </si>
  <si>
    <t>Jaro 2 2 vs 1 JS Hercules</t>
  </si>
  <si>
    <t>EST-01235</t>
  </si>
  <si>
    <t>SJK Akatemia 2 3 vs 0 JS Hercules</t>
  </si>
  <si>
    <t>EST-01236</t>
  </si>
  <si>
    <t>FC Vaajakoski 3 vs 5 JS Hercules</t>
  </si>
  <si>
    <t>EST-01237</t>
  </si>
  <si>
    <t>Jaro 2 2 vs 3 SJK Akatemia 2</t>
  </si>
  <si>
    <t>EST-01238</t>
  </si>
  <si>
    <t>SJK Akatemia 2 3 vs 0 FC Vaajakoski</t>
  </si>
  <si>
    <t>EST-01239</t>
  </si>
  <si>
    <t>JBK 3 vs 0 SJK Akatemia 2</t>
  </si>
  <si>
    <t>EST-01240</t>
  </si>
  <si>
    <t>JBK 4 vs 0 FC Vaajakoski</t>
  </si>
  <si>
    <t>EST-01241</t>
  </si>
  <si>
    <t>FC Vaajakoski 5 vs 2 Jaro 2</t>
  </si>
  <si>
    <t>EST-01242</t>
  </si>
  <si>
    <t>FC Vaajakoski 3 vs 2 TP-47</t>
  </si>
  <si>
    <t>Närpes Kraft 8 vs 0 Jaro 2</t>
  </si>
  <si>
    <t>Jaro 2 2 vs 1 VPS Akatemia</t>
  </si>
  <si>
    <t>VPS Akatemia 5 vs 0 Jaro 2</t>
  </si>
  <si>
    <t>GBK Kokkola 0 vs 2 Jaro 2</t>
  </si>
  <si>
    <t>Jaro 2 1 vs 1 GBK Kokkola</t>
  </si>
  <si>
    <t>Huima / Urho 7 vs 1 Jaro 2</t>
  </si>
  <si>
    <t>Jaro 2 1 vs 3 JBK</t>
  </si>
  <si>
    <t>TP-47 3 vs 1 Jaro 2</t>
  </si>
  <si>
    <t>Jaro 2 6 vs 5 Närpes Kraft</t>
  </si>
  <si>
    <t>EST-01243</t>
  </si>
  <si>
    <t>Jaro 2 2 vs 0 TP-47</t>
  </si>
  <si>
    <t>EST-01244</t>
  </si>
  <si>
    <t>SJK Akatemia 2 0 vs 0 TP-47</t>
  </si>
  <si>
    <t>EST-01245</t>
  </si>
  <si>
    <t>GBK Kokkola 0 vs 3 Huima / Urho</t>
  </si>
  <si>
    <t>Atlantis FC</t>
  </si>
  <si>
    <t>PuiU 2 vs 2 Atlantis FC</t>
  </si>
  <si>
    <t>Atlantis FC 8 vs 0 PuiU</t>
  </si>
  <si>
    <t>Reipas (Lahden Reipas)</t>
  </si>
  <si>
    <t>Reipas (Lahden Reipas) 1 vs 0 Atlantis FC</t>
  </si>
  <si>
    <t>Atlantis FC 3 vs 2 HIFK</t>
  </si>
  <si>
    <t>PPJ 3 vs 3 Atlantis FC</t>
  </si>
  <si>
    <t>MyPa 1 vs 2 Atlantis FC</t>
  </si>
  <si>
    <t>Atlantis FC 5 vs 1 PEPO</t>
  </si>
  <si>
    <t>Atlantis FC 3 vs 5 Kiffen</t>
  </si>
  <si>
    <t>Union Plaani 3 vs 6 Atlantis FC</t>
  </si>
  <si>
    <t>Atlantis FC 5 vs 3 HPS</t>
  </si>
  <si>
    <t>Atlantis FC 4 vs 2 Reipas (Lahden Reipas)</t>
  </si>
  <si>
    <t>EST-01246</t>
  </si>
  <si>
    <t>HPS 4 vs 3 Atlantis FC</t>
  </si>
  <si>
    <t>Reipas (Lahden Reipas) 3 vs 1 PuiU</t>
  </si>
  <si>
    <t>PuiU 4 vs 1 Reipas (Lahden Reipas)</t>
  </si>
  <si>
    <t>PPJ 3 vs 0 Reipas (Lahden Reipas)</t>
  </si>
  <si>
    <t>Reipas (Lahden Reipas) 2 vs 1 PPJ</t>
  </si>
  <si>
    <t>HIFK 2 vs 1 Reipas (Lahden Reipas)</t>
  </si>
  <si>
    <t>EST-01247</t>
  </si>
  <si>
    <t>HIFK 2 vs 2 PuiU</t>
  </si>
  <si>
    <t>HPS 3 vs 2 Reipas (Lahden Reipas)</t>
  </si>
  <si>
    <t>Kiffen 3 vs 1 Reipas (Lahden Reipas)</t>
  </si>
  <si>
    <t>EST-01248</t>
  </si>
  <si>
    <t>Kiffen 1 vs 0 Union Plaani</t>
  </si>
  <si>
    <t>EST-01249</t>
  </si>
  <si>
    <t>Kiffen 3 vs 1 MyPa</t>
  </si>
  <si>
    <t>EST-01250</t>
  </si>
  <si>
    <t>PEPO 2 vs 1 Kiffen</t>
  </si>
  <si>
    <t>EST-01251</t>
  </si>
  <si>
    <t>PEPO 4 vs 1 MyPa</t>
  </si>
  <si>
    <t>EST-01252</t>
  </si>
  <si>
    <t>Reipas (Lahden Reipas) 4 vs 2 MyPa</t>
  </si>
  <si>
    <t>EST-01253</t>
  </si>
  <si>
    <t>MyPa 2 vs 0 Union Plaani</t>
  </si>
  <si>
    <t>EST-01254</t>
  </si>
  <si>
    <t>MyPa 0 vs 0 PEPO</t>
  </si>
  <si>
    <t>EST-01255</t>
  </si>
  <si>
    <t>MyPa 0 vs 5 Reipas (Lahden Reipas)</t>
  </si>
  <si>
    <t>EST-01256</t>
  </si>
  <si>
    <t>Union Plaani 0 vs 2 PEPO</t>
  </si>
  <si>
    <t>EST-01257</t>
  </si>
  <si>
    <t>PEPO 2 vs 1 Reipas (Lahden Reipas)</t>
  </si>
  <si>
    <t>EST-01258</t>
  </si>
  <si>
    <t>Reipas (Lahden Reipas) 4 vs 2 Union Plaani</t>
  </si>
  <si>
    <t>EST-01259</t>
  </si>
  <si>
    <t>PEPO 1 vs 1 Union Plaani</t>
  </si>
  <si>
    <t>EST-01260</t>
  </si>
  <si>
    <t>Union Plaani 0 vs 2 Kiffen</t>
  </si>
  <si>
    <t>20. KPV × VJS</t>
  </si>
  <si>
    <t>21. JS Hercules × SJK Akatemia 2</t>
  </si>
  <si>
    <t>09/08/26 08:00 · GMT-3</t>
  </si>
  <si>
    <t>λ 3,80 · Over 2,00: 73,1% Green + 16,2% Push · proteção 89,3%</t>
  </si>
  <si>
    <t>Analisar Over 2,00</t>
  </si>
  <si>
    <t>Linha técnica aprovada: 73,1% de Green e 16,2% de devolução; 89,3% sem Red</t>
  </si>
  <si>
    <t>λ 4,73 · Over 2,75: 85,1% positivo · 69,8% Green + 15,3% Meio Green</t>
  </si>
  <si>
    <t>Over 2,75</t>
  </si>
  <si>
    <t>Analisar Over 2,75</t>
  </si>
  <si>
    <t>09/08/26 10:00 · GMT-3</t>
  </si>
  <si>
    <t>Over 1,5 @ 1,10 | Over 1,75 @ 1,11 | Over 2,0 @ 1,125 | Over 2,25 @ 1,24 | Placar exato 1 × 2 @ 9,00</t>
  </si>
  <si>
    <t>Over 2,25 @ 1,125 | Over 2,5 @ 1,20 | Over 2,75 @ 1,22 | Over 3,0 @ 1,25</t>
  </si>
  <si>
    <t>Over 2,25 @ 1,125</t>
  </si>
  <si>
    <t>Prioridade operacional: proteção antes do retorno; 3+ gols = Green e exatamente 2 = meio Red</t>
  </si>
  <si>
    <t>22. Jazz Pori × OLS Oulu</t>
  </si>
  <si>
    <t>09/08/26 · Horário a informar</t>
  </si>
  <si>
    <t>λ 2,90 · Over 2,00: 55,4% Green + 23,1% Push · proteção 78,5%</t>
  </si>
  <si>
    <t>Over 2,00 @ 1,13</t>
  </si>
  <si>
    <t>Prioridade operacional: proteção antes do retorno; exatamente 2 gols devolvem e 3+ gols geram Green</t>
  </si>
  <si>
    <t>Over 1,5 @ 1,105 | Over 1,75 @ 1,12 | Over 2,0 @ 1,13 | Over 2,25 @ 1,25</t>
  </si>
  <si>
    <t>Cashout antecipado · retorno obtido R$ 0,55</t>
  </si>
  <si>
    <t>Vila Nova x Sport Recife</t>
  </si>
  <si>
    <t>Cashout antecipado antes do encerramento: retorno bruto de R$ 0,55 sobre stake de R$ 0,50, resultando em lucro líquido de R$ 0,05. O placar final de 1 x 0 teria devolvido a stake no Over 1,00.</t>
  </si>
  <si>
    <t>λ total</t>
  </si>
  <si>
    <t>Parâmetro r</t>
  </si>
  <si>
    <t>Amostra combinada</t>
  </si>
  <si>
    <t>Diagnóstico</t>
  </si>
  <si>
    <t>Green Poisson</t>
  </si>
  <si>
    <t>Sem Red Poisson</t>
  </si>
  <si>
    <t>Green consenso</t>
  </si>
  <si>
    <t>Proteção consenso</t>
  </si>
  <si>
    <t>Leitura</t>
  </si>
  <si>
    <t>Critério</t>
  </si>
  <si>
    <t>COMPARAÇÃO DE LINHAS — POISSON × BINOMIAL NEGATIVA</t>
  </si>
  <si>
    <t>Atualiza automaticamente para qualquer confronto selecionado em B5 e B6</t>
  </si>
  <si>
    <t>Variância usada</t>
  </si>
  <si>
    <t>Modelo alternativo</t>
  </si>
  <si>
    <t>Probabilidade p</t>
  </si>
  <si>
    <t>Faixa ≥75%</t>
  </si>
  <si>
    <t>Green até</t>
  </si>
  <si>
    <t>Proteção até</t>
  </si>
  <si>
    <t>Green Binomial Neg.</t>
  </si>
  <si>
    <t>Sem Red Binomial Neg.</t>
  </si>
  <si>
    <t>Odds entram depois</t>
  </si>
  <si>
    <t>Placares Top 8</t>
  </si>
  <si>
    <t>Magic United x Rochedale Rovers</t>
  </si>
  <si>
    <t>Brisbane Olympic FC x Moreton City Excelsior</t>
  </si>
  <si>
    <t>Brisbane City x Gold Coast Utd</t>
  </si>
  <si>
    <t>2 x 0</t>
  </si>
  <si>
    <t>Eastern Suburbs x Wynnum Wolves</t>
  </si>
  <si>
    <t>Gold Coast Knights x Peninsula Power</t>
  </si>
  <si>
    <t>Croydon x Sturt Lions</t>
  </si>
  <si>
    <t>Bayswater City x Sorrento FC</t>
  </si>
  <si>
    <t>7 x 1</t>
  </si>
  <si>
    <t>MuSa x AIFK</t>
  </si>
  <si>
    <t>HIFK x PuiU</t>
  </si>
  <si>
    <t>P-Iirot Rauma x GrIFK</t>
  </si>
  <si>
    <t>GBK Kokkola x Huima / Urho</t>
  </si>
  <si>
    <t>0 x 3</t>
  </si>
  <si>
    <t>TP-47 x Närpes Kraft</t>
  </si>
  <si>
    <t>SA Bulo Bulo x Nacional Potosí</t>
  </si>
  <si>
    <t>The Strongest x Independiente Petrolero</t>
  </si>
  <si>
    <t>Club Aurora x Bolívar</t>
  </si>
  <si>
    <t>2 x 4</t>
  </si>
  <si>
    <t>Remo x Atlético-MG</t>
  </si>
  <si>
    <t>Coritiba x Chapecoense</t>
  </si>
  <si>
    <t>Green no Over 2,00 @ 1,130: o placar 2 x 1 (3 gols) confirmou a entrada e gerou R$ 0,0650 de lucro. Entre as linhas cotadas, Over 2,50 @ 1,250 teria produzido R$ 0,1250 de lucro, R$ 0,0600 acima do resultado realizado. A entrada foi conservadora e deixou 0,50 linha de eficiência potencial.</t>
  </si>
  <si>
    <t>Green no Over 2,00 @ 1,125: o placar 1 x 2 (3 gols) confirmou a entrada e gerou R$ 0,0625 de lucro. A linha usada já foi o melhor aproveitamento entre as cotações informadas; não houve eficiência adicional disponível.</t>
  </si>
  <si>
    <t>Devolvida no Over 2,00 @ 1,150: o placar 2 x 0 (2 gols) igualou a linha e devolveu integralmente a stake. Entre as linhas cotadas, Over 1,50 @ 1,115 teria produzido R$ 0,0575 de lucro, R$ 0,0575 acima do resultado realizado. A linha usada foi agressiva para o total ocorrido; a alternativa inferior teria protegido melhor o capital.</t>
  </si>
  <si>
    <t>Red no Over 2,25 @ 1,300: o placar 0 x 0 (0 gols) não alcançou a linha e resultou em perda de R$ 0,5000. Nenhuma das linhas cotadas teria produzido resultado positivo; o ponto principal é revisar a seleção da partida, não apenas reduzir a linha.</t>
  </si>
  <si>
    <t>Green no Over 2,00 @ 1,220: o placar 2 x 2 (4 gols) confirmou a entrada e gerou R$ 0,1100 de lucro. Entre as linhas cotadas, Over 2,25 @ 1,350 teria produzido R$ 0,1750 de lucro, R$ 0,0650 acima do resultado realizado. A entrada foi conservadora e deixou 0,25 linha de eficiência potencial.</t>
  </si>
  <si>
    <t>Meio Red no Over 2,25 @ 1,260: o placar 1 x 1 (2 gols) ficou exatamente no degrau de meia perda, limitando o prejuízo a R$ 0,2500. Entre as linhas cotadas, Over 1,75 @ 1,125 teria produzido R$ 0,0313 de lucro, R$ 0,2813 acima do resultado realizado. A linha usada foi agressiva para o total ocorrido; a alternativa inferior teria protegido melhor o capital.</t>
  </si>
  <si>
    <t>Green no Over 2,00 @ 1,150: o placar 7 x 1 (8 gols) confirmou a entrada e gerou R$ 0,0750 de lucro. A linha usada já foi o melhor aproveitamento entre as cotações informadas; não houve eficiência adicional disponível.</t>
  </si>
  <si>
    <t>Green no Over 2,00 @ 1,110: o placar 1 x 2 (3 gols) confirmou a entrada e gerou R$ 0,0550 de lucro. Entre as linhas cotadas, Over 2,50 @ 1,325 teria produzido R$ 0,1625 de lucro, R$ 0,1075 acima do resultado realizado. A entrada foi conservadora e deixou 0,50 linha de eficiência potencial.</t>
  </si>
  <si>
    <t>Green no Over 2,25 @ 1,190: o placar 2 x 2 (4 gols) confirmou a entrada e gerou R$ 0,0950 de lucro. Entre as linhas cotadas, Over 2,75 @ 1,325 teria produzido R$ 0,1625 de lucro, R$ 0,0675 acima do resultado realizado. A entrada foi conservadora e deixou 0,50 linha de eficiência potencial.</t>
  </si>
  <si>
    <t>Green no Over 2,25 @ 1,180: o placar 0 x 3 (3 gols) confirmou a entrada e gerou R$ 0,0900 de lucro. Entre as linhas cotadas, Over 2,50 @ 1,275 teria produzido R$ 0,1375 de lucro, R$ 0,0475 acima do resultado realizado. A entrada foi conservadora e deixou 0,25 linha de eficiência potencial.</t>
  </si>
  <si>
    <t>Green no Over 2,50 @ 1,275: o placar 2 x 1 (3 gols) confirmou a entrada e gerou R$ 0,1375 de lucro. A linha usada já foi o melhor aproveitamento entre as cotações informadas; não houve eficiência adicional disponível.</t>
  </si>
  <si>
    <t>Green no Over 1,50 @ 1,175: o placar 2 x 1 (3 gols) confirmou a entrada e gerou R$ 0,0875 de lucro. Entre as linhas cotadas, Over 2,00 @ 1,240 teria produzido R$ 0,1200 de lucro, R$ 0,0325 acima do resultado realizado. A entrada foi conservadora e deixou 0,50 linha de eficiência potencial.</t>
  </si>
  <si>
    <t>Green no Over 1,50 @ 1,100: o placar 1 x 2 (3 gols) confirmou a entrada e gerou R$ 0,0500 de lucro. Entre as linhas cotadas, Over 2,25 @ 1,240 teria produzido R$ 0,1200 de lucro, R$ 0,0700 acima do resultado realizado. A entrada foi conservadora e deixou 0,75 linha de eficiência potencial.</t>
  </si>
  <si>
    <t>Green no Over 1,50 @ 1,180: o placar 2 x 4 (6 gols) confirmou a entrada e gerou R$ 0,0900 de lucro. Entre as linhas cotadas, Over 2,00 @ 1,240 teria produzido R$ 0,1200 de lucro, R$ 0,0300 acima do resultado realizado. A entrada foi conservadora e deixou 0,50 linha de eficiência potencial.</t>
  </si>
  <si>
    <t>Green no Over 1,00 @ 1,110: o placar 2 x 2 (4 gols) confirmou a entrada e gerou R$ 0,0550 de lucro. Entre as linhas cotadas, Over 1,75 @ 1,475 teria produzido R$ 0,2375 de lucro, R$ 0,1825 acima do resultado realizado. A entrada foi conservadora e deixou 0,75 linha de eficiência potencial.</t>
  </si>
  <si>
    <t>Green no Over 1,25 @ 1,200: o placar 2 x 1 (3 gols) confirmou a entrada e gerou R$ 0,1000 de lucro. Entre as linhas cotadas, Over 2,00 @ 1,500 teria produzido R$ 0,2500 de lucro, R$ 0,1500 acima do resultado realizado. A entrada foi conservadora e deixou 0,75 linha de eficiência potencial.</t>
  </si>
  <si>
    <t>MEMÓRIA OPERACIONAL — PROCEDIMENTO DA ABA BACKTEST</t>
  </si>
  <si>
    <t>Manual permanente para transcrição, liquidação, comparação de linhas e controle visual dos registros. Última atualização: 09/08/2026.</t>
  </si>
  <si>
    <t>REGRA-MESTRA</t>
  </si>
  <si>
    <t>Antes de alterar o Backtest, ler esta aba. Cada bilhete finalizado deve ser registrado uma única vez na tblCalibracao. Conferir Bilhetes, odds informadas, observação em Y e linha usada em H. Não inventar odds, linhas ou resultados.</t>
  </si>
  <si>
    <t>FLUXO OBRIGATÓRIO — PASSO A PASSO</t>
  </si>
  <si>
    <t>Identificar o bilhete</t>
  </si>
  <si>
    <t>Localizar em Bilhetes: data, confronto, liga, placar, linha apostada, odd, stake, resultado e P/L.</t>
  </si>
  <si>
    <t>Evitar duplicidade</t>
  </si>
  <si>
    <t>Normalizar “×” e “x” e confirmar que o confronto ainda não existe na coluna B da tblCalibracao.</t>
  </si>
  <si>
    <t>Preencher dados-base</t>
  </si>
  <si>
    <t>Preencher A:E, G:H e L. A=Data; B=Confronto; C=Liga; D=Placar; E=Odd; G=Gols; H=Usada; L=Fonte odds.</t>
  </si>
  <si>
    <t>Calcular P/L usado</t>
  </si>
  <si>
    <t>F deve ser fórmula viva de liquidação asiática com stake unitária de R$ 0,50. Exceção: cashout usa o lucro líquido real informado.</t>
  </si>
  <si>
    <t>Encontrar melhor aproveitamento</t>
  </si>
  <si>
    <t>Comparar somente as linhas e odds realmente informadas no bilhete. Preencher I=Melhor G, J=Odd M.G. e K=P/L M.G. com a alternativa de maior P/L positivo.</t>
  </si>
  <si>
    <t>Sem alternativa positiva</t>
  </si>
  <si>
    <t>Se nenhuma linha cotada produzir lucro positivo, deixar I:K vazias. Não preencher uma linha hipotética.</t>
  </si>
  <si>
    <t>Calcular delta</t>
  </si>
  <si>
    <t>M = diferença não negativa entre Melhor G e Usada. Se I estiver vazia, M deve ficar vazia.</t>
  </si>
  <si>
    <t>Classificar faixas</t>
  </si>
  <si>
    <t>N:X devem conter fórmulas para O0,50 a O3,00, usando G, ½G, P, ½R ou R.</t>
  </si>
  <si>
    <t>Marcar linha usada</t>
  </si>
  <si>
    <t>Ler H e a observação Y. Marcar somente a célula correspondente em N:X com borda azul-escura espessa e negrito. Remover qualquer outra marcação incorreta na mesma linha.</t>
  </si>
  <si>
    <t>Escrever análise</t>
  </si>
  <si>
    <t>Y deve explicar resultado, linha/odd usada, placar, P/L, melhor alternativa cotada, diferença financeira e aprendizado operacional. Usar o padrão de Y35.</t>
  </si>
  <si>
    <t>Registrar P/L líquido real; explicar retorno bruto e stake; manter em H a linha original; marcar em N:X o desfecho que teria ocorrido pelo placar final.</t>
  </si>
  <si>
    <t>Verificar</t>
  </si>
  <si>
    <t>Confirmar fórmulas, formatos, ausência de erros, nenhuma duplicidade e todos os campos obrigatórios preenchidos.</t>
  </si>
  <si>
    <t>MAPA DAS COLUNAS DA tblCalibracao</t>
  </si>
  <si>
    <t>Coluna</t>
  </si>
  <si>
    <t>Campo</t>
  </si>
  <si>
    <t>Tipo</t>
  </si>
  <si>
    <t>Regra de preenchimento</t>
  </si>
  <si>
    <t>A</t>
  </si>
  <si>
    <t>Entrada</t>
  </si>
  <si>
    <t>Data da partida, formato dd/mm/aa.</t>
  </si>
  <si>
    <t>B</t>
  </si>
  <si>
    <t>Mandante x Visitante; manter nome reconhecível e sem numeração.</t>
  </si>
  <si>
    <t>C</t>
  </si>
  <si>
    <t>País - Liga.</t>
  </si>
  <si>
    <t>D</t>
  </si>
  <si>
    <t>Mandante x Visitante.</t>
  </si>
  <si>
    <t>E</t>
  </si>
  <si>
    <t>Odd da linha usada, preferencialmente 0,000.</t>
  </si>
  <si>
    <t>F</t>
  </si>
  <si>
    <t>Fórmula / exceção</t>
  </si>
  <si>
    <t>Liquidação asiática com stake R$ 0,50; cashout recebe lucro líquido real.</t>
  </si>
  <si>
    <t>G</t>
  </si>
  <si>
    <t>Soma dos gols do placar.</t>
  </si>
  <si>
    <t>H</t>
  </si>
  <si>
    <t>Linha Over realmente apostada. Controla a marcação visual em N:X.</t>
  </si>
  <si>
    <t>I</t>
  </si>
  <si>
    <t>Análise</t>
  </si>
  <si>
    <t>Linha cotada que produziria maior P/L positivo.</t>
  </si>
  <si>
    <t>J</t>
  </si>
  <si>
    <t>Entrada histórica</t>
  </si>
  <si>
    <t>Odd informada da Melhor G. Nunca inventar.</t>
  </si>
  <si>
    <t>K</t>
  </si>
  <si>
    <t>Fórmula</t>
  </si>
  <si>
    <t>Liquidação da melhor linha com stake R$ 0,50.</t>
  </si>
  <si>
    <t>L</t>
  </si>
  <si>
    <t>Ex.: Informada ou WinComparator.</t>
  </si>
  <si>
    <t>M</t>
  </si>
  <si>
    <t>MAX(0; Melhor G − Usada); vazio quando não houver Melhor G.</t>
  </si>
  <si>
    <t>N:X</t>
  </si>
  <si>
    <t>O0,50 a O3,00</t>
  </si>
  <si>
    <t>Fórmulas</t>
  </si>
  <si>
    <t>Classificação de cada linha: G, ½G, P, ½R ou R.</t>
  </si>
  <si>
    <t>Y</t>
  </si>
  <si>
    <t>Texto analítico</t>
  </si>
  <si>
    <t>Narrativa completa seguindo o padrão da linha 35.</t>
  </si>
  <si>
    <t>LIQUIDAÇÃO DAS LINHAS ASIÁTICAS OVER</t>
  </si>
  <si>
    <t>Tipo de linha</t>
  </si>
  <si>
    <t>Exemplo</t>
  </si>
  <si>
    <t>Liquidação</t>
  </si>
  <si>
    <t>Regra</t>
  </si>
  <si>
    <t>Inteira</t>
  </si>
  <si>
    <t>Green / Push / Red</t>
  </si>
  <si>
    <t>Total &gt; linha = Green; total = linha = Push; total &lt; linha = Red.</t>
  </si>
  <si>
    <t>Meia</t>
  </si>
  <si>
    <t>Green / Red</t>
  </si>
  <si>
    <t>Total &gt; linha = Green; caso contrário = Red.</t>
  </si>
  <si>
    <t>Quarto .25</t>
  </si>
  <si>
    <t>Green / ½ Red / Red</t>
  </si>
  <si>
    <t>3+ = Green; exatamente 2 = ½ Red; 0–1 = Red.</t>
  </si>
  <si>
    <t>Quarto .75</t>
  </si>
  <si>
    <t>Green / ½ Green / Red</t>
  </si>
  <si>
    <t>4+ = Green; exatamente 3 = ½ Green; 0–2 = Red.</t>
  </si>
  <si>
    <t>FÓRMULAS-BASE</t>
  </si>
  <si>
    <t>Fórmula / lógica</t>
  </si>
  <si>
    <t>F — P/L usado</t>
  </si>
  <si>
    <t>FÓRMULA: =IF(OR([@Odd]="",[@Usada]=""),"",LET(t,[@Gols],l,[@Usada],o,[@Odd],n,INT(l),f,ROUND(MOD(l,1),2),IF(f=0,IF(t&gt;l,0.5*(o-1),IF(t=l,0,-0.5)),IF(f=0.5,IF(t&gt;l,0.5*(o-1),-0.5),IF(f=0.25,IF(t&gt;=n+1,0.5*(o-1),IF(t=n,-0.25,-0.5)),IF(f=0.75,IF(t&gt;=n+2,0.5*(o-1),IF(t=n+1,0.25*(o-1),-0.5)),""))))))</t>
  </si>
  <si>
    <t>K — P/L melhor linha</t>
  </si>
  <si>
    <t>Mesma lógica de F, substituindo Usada por Melhor G e Odd por Odd M.G.</t>
  </si>
  <si>
    <t>M — Delta</t>
  </si>
  <si>
    <t>FÓRMULA: =IF(OR([@Usada]="",[@[Melhor G]]=""),"",MAX(0,[@[Melhor G]]-[@Usada]))</t>
  </si>
  <si>
    <t>N:X — classificação</t>
  </si>
  <si>
    <t>Aplicar a regra asiática correspondente ao cabeçalho e aos gols em G; resultado permitido: G, ½G, P, ½R ou R.</t>
  </si>
  <si>
    <t>PADRÃO OBRIGATÓRIO DA OBSERVAÇÃO EM Y</t>
  </si>
  <si>
    <t>Estrutura: “[Resultado] no Over [linha] @ [odd]: o placar [placar] ([gols] gols) [liquidação] e gerou/perdeu R$ [valor]. Entre as linhas cotadas, Over [melhor] @ [odd] teria produzido R$ [valor], R$ [diferença] acima/abaixo do realizado. Conclusão sobre proteção, agressividade ou eficiência potencial.”</t>
  </si>
  <si>
    <t>Referência: Backtest!Y35. Se nenhuma linha cotada produzir lucro, declarar que o problema foi a seleção da partida, não apenas a linha. Para cashout, informar retorno bruto, stake, lucro líquido e desfecho teórico pelo placar final.</t>
  </si>
  <si>
    <t>MARCAÇÃO VISUAL DA LINHA USADA</t>
  </si>
  <si>
    <t>Valor em H</t>
  </si>
  <si>
    <t>Coluna marcada</t>
  </si>
  <si>
    <t>Estilo</t>
  </si>
  <si>
    <t>N</t>
  </si>
  <si>
    <t>Borda #17365D espessa nos 4 lados + negrito</t>
  </si>
  <si>
    <t>O</t>
  </si>
  <si>
    <t>Mesmo estilo</t>
  </si>
  <si>
    <t>P</t>
  </si>
  <si>
    <t>Q</t>
  </si>
  <si>
    <t>R</t>
  </si>
  <si>
    <t>S</t>
  </si>
  <si>
    <t>T</t>
  </si>
  <si>
    <t>U</t>
  </si>
  <si>
    <t>V</t>
  </si>
  <si>
    <t>W</t>
  </si>
  <si>
    <t>X</t>
  </si>
  <si>
    <t>CHECKLIST FINAL</t>
  </si>
  <si>
    <t>□</t>
  </si>
  <si>
    <t>Confronto não duplicado</t>
  </si>
  <si>
    <t>A:E, G:H e L preenchidos</t>
  </si>
  <si>
    <t>F, K, M e N:X com fórmulas quando aplicável</t>
  </si>
  <si>
    <t>I:K baseados somente em odds informadas</t>
  </si>
  <si>
    <t>Y analítica no padrão da linha 35</t>
  </si>
  <si>
    <t>Somente a linha usada marcada em N:X</t>
  </si>
  <si>
    <t>Cashout preserva P/L real</t>
  </si>
  <si>
    <t>Sem #REF!, #DIV/0!, #NOME?, #VALOR! ou #SPILL!</t>
  </si>
  <si>
    <t>PROCEDIMENTO DA ABA DADOS — COLETA E INPUT</t>
  </si>
  <si>
    <t>Objetivo: obter cobertura integral de uma liga, trabalhando clube por clube e registrando as 12 partidas mais recentes de 2026, com deduplicação e horários convertidos para GMT−3.</t>
  </si>
  <si>
    <t>Etapa</t>
  </si>
  <si>
    <t>Ação</t>
  </si>
  <si>
    <t>Regra obrigatória</t>
  </si>
  <si>
    <t>Resultado esperado</t>
  </si>
  <si>
    <t>Definir a liga</t>
  </si>
  <si>
    <t>Informar país e competição no padrão “PAÍS - Liga”.</t>
  </si>
  <si>
    <t>Escopo único de coleta.</t>
  </si>
  <si>
    <t>Solicitar o primeiro clube</t>
  </si>
  <si>
    <t>Trabalhar um clube por vez até cobrir todos os participantes da liga.</t>
  </si>
  <si>
    <t>Lista sequencial de clubes.</t>
  </si>
  <si>
    <t>Coletar o histórico</t>
  </si>
  <si>
    <t>Buscar as 12 partidas mais recentes do clube disputadas em 2026.</t>
  </si>
  <si>
    <t>Até 12 jogos válidos por clube.</t>
  </si>
  <si>
    <t>Cobertura integral</t>
  </si>
  <si>
    <t>Repetir o processo para todos os clubes da liga, sem selecionar somente equipes de interesse.</t>
  </si>
  <si>
    <t>Liga integralmente coberta.</t>
  </si>
  <si>
    <t>Padronizar horário</t>
  </si>
  <si>
    <t>Converter cada horário para GMT−3 antes do input.</t>
  </si>
  <si>
    <t>Coluna Hora comparável e consistente.</t>
  </si>
  <si>
    <t>Padronizar nomes</t>
  </si>
  <si>
    <t>Usar o nome cadastrado em CadastroEquipes; corrigir variações antes de consolidar.</t>
  </si>
  <si>
    <t>Sem alertas indevidos em U:V.</t>
  </si>
  <si>
    <t>Montar o registro</t>
  </si>
  <si>
    <t>Preencher ID, Data, Hora, País, Liga, Partida, Mandante, gols e Visitante em A:L.</t>
  </si>
  <si>
    <t>Linha-base completa na tblDados.</t>
  </si>
  <si>
    <t>Deduplicar</t>
  </si>
  <si>
    <t>Usar Chave_Partida e Primeira_Ocorrencia; manter somente a primeira ocorrência estatística.</t>
  </si>
  <si>
    <t>Partidas repetidas não contam duas vezes.</t>
  </si>
  <si>
    <t>Dados de aposta</t>
  </si>
  <si>
    <t>Preencher M:R apenas quando a partida tiver aposta vinculada.</t>
  </si>
  <si>
    <t>Histórico esportivo separado do histórico de apostas.</t>
  </si>
  <si>
    <t>Validar o lote</t>
  </si>
  <si>
    <t>Confirmar ano 2026, máximo de 12 partidas por clube, liga correta, GMT−3, placares e nomes.</t>
  </si>
  <si>
    <t>Lote pronto para alimentar Equipes e o simulador.</t>
  </si>
  <si>
    <t>Avançar ao próximo clube</t>
  </si>
  <si>
    <t>Após validar o clube atual, solicitar o próximo até concluir a liga.</t>
  </si>
  <si>
    <t>Processo rastreável e sem lacunas.</t>
  </si>
  <si>
    <t>FRASE-PADRÃO DE INÍCIO</t>
  </si>
  <si>
    <t>“Vamos para a [LIGA], mantendo o padrão: cobertura integral, 12 partidas mais recentes de 2026, deduplicação e horários em GMT−3. Envie o primeiro clube.”</t>
  </si>
  <si>
    <t>CHECKLIST DO LOTE DE DADOS</t>
  </si>
  <si>
    <t>Liga e país corretos</t>
  </si>
  <si>
    <t>Até 12 partidas mais recentes de 2026 por clube</t>
  </si>
  <si>
    <t>Horários em GMT−3</t>
  </si>
  <si>
    <t>Nomes reconhecidos em CadastroEquipes</t>
  </si>
  <si>
    <t>Deduplicação validada por Chave_Partida / Primeira_Ocorrencia</t>
  </si>
  <si>
    <t>23. Bahia × Vasco da Gama</t>
  </si>
  <si>
    <t>09/08/26 16:00 · GMT-3</t>
  </si>
  <si>
    <t>λ 2,61 · Over 1,25: 73,4% Green + 19,2% Meio Red · 92,6% sem Red completo</t>
  </si>
  <si>
    <t>Analisar Over 1,25</t>
  </si>
  <si>
    <t>Over 1,25 @ 1,175 | Over 1,5 @ 1,275 | Over 1,75 @ 1,35</t>
  </si>
  <si>
    <t>Over 1,25 @ 1,125</t>
  </si>
  <si>
    <t>Prioridade operacional: proteção antes do retorno; odd efetivamente obtida 1,125; 2+ gols = Green e exatamente 1 gol = meio Red</t>
  </si>
  <si>
    <t>24. Palmeiras × Internacional</t>
  </si>
  <si>
    <t>λ 2,42 · Over 1,25: 69,5% Green + 21,6% Meio Red · 91,1% sem Red completo</t>
  </si>
  <si>
    <t>Over 1,25 @ 1,14 | Over 1,5 @ 1,23 | Over 1,75 @ 1,275 | Over 2,0 @ 1,35</t>
  </si>
  <si>
    <t>Over 1,50 @ 1,23</t>
  </si>
  <si>
    <t>Escolha baseada na convicção de 2+ gols; dois gols já geram Green completo</t>
  </si>
  <si>
    <t>25. Náutico × Atlético-GO</t>
  </si>
  <si>
    <t>λ 1,83 · Over 0,50: 84,0% Green · linha de máxima proteção disponível</t>
  </si>
  <si>
    <t>Over 0,5 @ 1,10 | Over 0,75 @ 1,115 | Over 1,0 @ 1,14 | Over 1,25 @ 1,14</t>
  </si>
  <si>
    <t>Over 0,50 @ 1,10</t>
  </si>
  <si>
    <t>Escolha de máxima proteção; qualquer gol na partida gera Green</t>
  </si>
  <si>
    <t>26. Novorizontino × Juventude</t>
  </si>
  <si>
    <t>λ 2,25 · Over 0,50: 89,5% Green · linha de máxima proteção disponível</t>
  </si>
  <si>
    <t>Over 0,5 @ 1,11 | Over 0,75 @ 1,13 | Over 1,0 @ 1,16 | Over 1,25 @ 1,32</t>
  </si>
  <si>
    <t>Over 0,50 @ 1,11</t>
  </si>
  <si>
    <t>Over 1,00 @ 1,16</t>
  </si>
  <si>
    <t>Proteção antes do retorno: risco de Red permanece no 0–0; exatamente 1 gol devolve e 2+ gols geram Green</t>
  </si>
  <si>
    <t>DIRETRIZ DE PRIORIZAÇÃO — ETAPA ATUAL DO PROJETO</t>
  </si>
  <si>
    <t>Nesta etapa do projeto, EV não é o critério prioritário. A decisão deve priorizar a consistência dos acertos e a preservação da taxa de acerto; somente depois deve buscar melhorar o ganho entre as linhas compatíveis com acertos consistentes. Não rejeitar automaticamente uma entrada apenas por EV negativo.</t>
  </si>
  <si>
    <t>27. Cuiabá × Fortaleza</t>
  </si>
  <si>
    <t>09/08/26 17:00 · GMT-3</t>
  </si>
  <si>
    <t>λ 1,57 · Over 0,50: 76,6% Green no consenso · amostra em formação</t>
  </si>
  <si>
    <t>Over 0,5 @ 1,14 | Over 0,75 @ 1,17 | Over 1,0 @ 1,21 | Over 1,25 @ 1,40 | Over 1,5 @ 1,60</t>
  </si>
  <si>
    <t>Over 0,50 @ 1,14</t>
  </si>
  <si>
    <t>Prioriza consistência de acerto: qualquer gol gera Green; ganho otimizado dentro da linha de máxima proteção</t>
  </si>
  <si>
    <t>28. Real Potosí × Blooming</t>
  </si>
  <si>
    <t>λ 2,71 · Over 1,50: 74,4% Green no consenso · amostra em formação</t>
  </si>
  <si>
    <t>Over 1,25 @ 1,14 | Over 1,5 @ 1,225 | Over 1,75 @ 1,275 | Over 2,0 @ 1,325</t>
  </si>
  <si>
    <t>Over 1,50 @ 1,225</t>
  </si>
  <si>
    <t>Decisão da usuária: busca Green com 2+ gols; projeção de 2 ou mais gols em 75,4% pelo modelo Poisson</t>
  </si>
  <si>
    <t>29. Red Bull Bragantino × Corinthians</t>
  </si>
  <si>
    <t>09/08/26 18:00 · GMT-3</t>
  </si>
  <si>
    <t>λ 2,63 · Over 0,50: 92,0% Green no consenso · amostra em formação</t>
  </si>
  <si>
    <t>Over 0,5 @ 1,11 | Over 0,75 @ 1,13 | Over 1,0 @ 1,16 | Over 1,25 @ 1,325</t>
  </si>
  <si>
    <t>Decisão registrada com foco em consistência: qualquer gol gera Green; consenso de 92,0% para Over 0,50</t>
  </si>
  <si>
    <t>30. Santos × Athletico-PR</t>
  </si>
  <si>
    <t>λ 2,42 · Over 1,00: 68,4% Green + 22,0% Push · proteção de 90,4% no consenso</t>
  </si>
  <si>
    <t>Decisão registrada com foco em proteção: exatamente 1 gol devolve; 2+ gols geram Green; consenso sem Red de 90,4%</t>
  </si>
  <si>
    <t>PADRÃO VISUAL OBRIGATÓRIO DOS BILHETES</t>
  </si>
  <si>
    <t>Todo novo bilhete deve replicar integralmente a aparência do último bloco aprovado na aba Bilhetes. São obrigatórios: mesmas células mescladas, preenchimentos, cores de fonte, negrito, tamanhos, bordas, alinhamentos, quebra de texto, formatos numéricos, larguras de coluna, alturas de linha e espaçamento. Copiar apenas formatos não basta quando as novas linhas possuem formatação residual: reaplicar o bloco completo e comparar célula a célula com o modelo. Preservar os dados e usar fórmulas de status, total, liquidação e P/L adequadas à linha asiática escolhida. Antes de concluir, confirmar que não existem diferenças visuais nem erros de fórmula.</t>
  </si>
  <si>
    <t>31. Flamengo × Vitória</t>
  </si>
  <si>
    <t>λ 2,79 · Over 1,50: 75,3% Green no consenso · amostra em formação</t>
  </si>
  <si>
    <t>Over 1,25 @ 1,105 | Over 1,5 @ 1,18 | Over 1,75 @ 1,21 | Over 2,0 @ 1,26</t>
  </si>
  <si>
    <t>Mesma frequência estimada de Green do Over 1,25, com ganho superior; 2+ gols confirmam o bilhete</t>
  </si>
  <si>
    <t>32. Oriente Petrolero × Universitario de Vinto</t>
  </si>
  <si>
    <t>λ 2,75 · Over 2,00: 50,2% Green + 24,2% Push · proteção 74,4% no consenso</t>
  </si>
  <si>
    <t>Over 1,25 @ 1,10 | Over 1,5 @ 1,17 | Over 1,75 @ 1,20 | Over 2,0 @ 1,24</t>
  </si>
  <si>
    <t>Over 2,00 @ 1,24</t>
  </si>
  <si>
    <t>Preferência por linha inteira: exatamente 2 gols devolvem a stake; 3+ gols geram Green; teste de margem com proteção de 74,4% no consenso</t>
  </si>
  <si>
    <t>EST-01261</t>
  </si>
  <si>
    <t>Colo-Colo 3 vs 1 Deportes Limache</t>
  </si>
  <si>
    <t>Deportes Limache</t>
  </si>
  <si>
    <t>2026-07-24|Colo-Colo|Deportes Limache</t>
  </si>
  <si>
    <t>EST-01262</t>
  </si>
  <si>
    <t>Colo-Colo 3 vs 0 Cobresal</t>
  </si>
  <si>
    <t>Cobresal</t>
  </si>
  <si>
    <t>2026-06-13|Colo-Colo|Cobresal</t>
  </si>
  <si>
    <t>EST-01263</t>
  </si>
  <si>
    <t>Deportes La Serena 2 vs 4 Colo-Colo</t>
  </si>
  <si>
    <t>Deportes La Serena</t>
  </si>
  <si>
    <t>2026-05-30|Deportes La Serena|Colo-Colo</t>
  </si>
  <si>
    <t>EST-01264</t>
  </si>
  <si>
    <t>Universidad Católica 1 vs 2 Colo-Colo</t>
  </si>
  <si>
    <t>Universidad Católica</t>
  </si>
  <si>
    <t>2026-05-24|Universidad Católica|Colo-Colo</t>
  </si>
  <si>
    <t>EST-01265</t>
  </si>
  <si>
    <t>Colo-Colo 6 vs 2 Ñublense</t>
  </si>
  <si>
    <t>Ñublense</t>
  </si>
  <si>
    <t>2026-05-17|Colo-Colo|Ñublense</t>
  </si>
  <si>
    <t>EST-01266</t>
  </si>
  <si>
    <t>Colo-Colo 3 vs 1 Coquimbo Unido</t>
  </si>
  <si>
    <t>Coquimbo Unido</t>
  </si>
  <si>
    <t>2026-05-03|Colo-Colo|Coquimbo Unido</t>
  </si>
  <si>
    <t>EST-01267</t>
  </si>
  <si>
    <t>Universidad de Concepción 1 vs 2 Colo-Colo</t>
  </si>
  <si>
    <t>Universidad de Concepción</t>
  </si>
  <si>
    <t>2026-04-26|Universidad de Concepción|Colo-Colo</t>
  </si>
  <si>
    <t>EST-01268</t>
  </si>
  <si>
    <t>Colo-Colo 0 vs 1 Palestino</t>
  </si>
  <si>
    <t>Palestino</t>
  </si>
  <si>
    <t>2026-04-19|Colo-Colo|Palestino</t>
  </si>
  <si>
    <t>EST-01269</t>
  </si>
  <si>
    <t>Deportes Concepción 0 vs 1 Colo-Colo</t>
  </si>
  <si>
    <t>Deportes Concepción</t>
  </si>
  <si>
    <t>2026-04-05|Deportes Concepción|Colo-Colo</t>
  </si>
  <si>
    <t>EST-01270</t>
  </si>
  <si>
    <t>Colo-Colo 2 vs 0 Huachipato</t>
  </si>
  <si>
    <t>Huachipato</t>
  </si>
  <si>
    <t>2026-03-16|Colo-Colo|Huachipato</t>
  </si>
  <si>
    <t>EST-01271</t>
  </si>
  <si>
    <t>Audax Italiano 0 vs 1 Colo-Colo</t>
  </si>
  <si>
    <t>Audax Italiano</t>
  </si>
  <si>
    <t>2026-03-07|Audax Italiano|Colo-Colo</t>
  </si>
  <si>
    <t>EST-01272</t>
  </si>
  <si>
    <t>Universidad Católica 2 vs 0 Cobresal</t>
  </si>
  <si>
    <t>2026-08-07|Universidad Católica|Cobresal</t>
  </si>
  <si>
    <t>EST-01273</t>
  </si>
  <si>
    <t>Deportes Concepción 3 vs 0 Universidad Católica</t>
  </si>
  <si>
    <t>2026-08-02|Deportes Concepción|Universidad Católica</t>
  </si>
  <si>
    <t>EST-01274</t>
  </si>
  <si>
    <t>Universidad Católica 3 vs 3 Deportes La Serena</t>
  </si>
  <si>
    <t>2026-07-25|Universidad Católica|Deportes La Serena</t>
  </si>
  <si>
    <t>EST-01275</t>
  </si>
  <si>
    <t>Universidad Católica 5 vs 1 Universidad de Concepción</t>
  </si>
  <si>
    <t>2026-06-14|Universidad Católica|Universidad de Concepción</t>
  </si>
  <si>
    <t>EST-01276</t>
  </si>
  <si>
    <t>Huachipato 0 vs 3 Universidad Católica</t>
  </si>
  <si>
    <t>2026-05-31|Huachipato|Universidad Católica</t>
  </si>
  <si>
    <t>EST-01277</t>
  </si>
  <si>
    <t>Deportes Limache 0 vs 2 Universidad Católica</t>
  </si>
  <si>
    <t>2026-05-16|Deportes Limache|Universidad Católica</t>
  </si>
  <si>
    <t>EST-01278</t>
  </si>
  <si>
    <t>Universidad de Chile 1 vs 0 Universidad Católica</t>
  </si>
  <si>
    <t>Universidad de Chile</t>
  </si>
  <si>
    <t>2026-04-25|Universidad de Chile|Universidad Católica</t>
  </si>
  <si>
    <t>EST-01279</t>
  </si>
  <si>
    <t>Universidad Católica 1 vs 2 Unión La Calera</t>
  </si>
  <si>
    <t>Unión La Calera</t>
  </si>
  <si>
    <t>2026-04-20|Universidad Católica|Unión La Calera</t>
  </si>
  <si>
    <t>EST-01280</t>
  </si>
  <si>
    <t>Audax Italiano 3 vs 4 Universidad Católica</t>
  </si>
  <si>
    <t>2026-04-11|Audax Italiano|Universidad Católica</t>
  </si>
  <si>
    <t>EST-01281</t>
  </si>
  <si>
    <t>Universidad Católica 6 vs 1 Palestino</t>
  </si>
  <si>
    <t>2026-04-02|Universidad Católica|Palestino</t>
  </si>
  <si>
    <t>EST-01282</t>
  </si>
  <si>
    <t>Universidad Católica 2 vs 2 Everton de Viña</t>
  </si>
  <si>
    <t>2026-03-14|Universidad Católica|Everton de Viña</t>
  </si>
  <si>
    <t>Liga de Primera</t>
  </si>
  <si>
    <t>CHI - Liga de Primera</t>
  </si>
  <si>
    <t>EST-01283</t>
  </si>
  <si>
    <t>Universidad de Chile 2 vs 0 Huachipato</t>
  </si>
  <si>
    <t>2026-08-02|Universidad de Chile|Huachipato</t>
  </si>
  <si>
    <t>EST-01284</t>
  </si>
  <si>
    <t>Audax Italiano 1 vs 2 Universidad de Chile</t>
  </si>
  <si>
    <t>2026-07-26|Audax Italiano|Universidad de Chile</t>
  </si>
  <si>
    <t>EST-01285</t>
  </si>
  <si>
    <t>Universidad de Chile 2 vs 0 O'Higgins</t>
  </si>
  <si>
    <t>O'Higgins</t>
  </si>
  <si>
    <t>2026-06-18|Universidad de Chile|O'Higgins</t>
  </si>
  <si>
    <t>EST-01286</t>
  </si>
  <si>
    <t>Unión La Calera 2 vs 2 Universidad de Chile</t>
  </si>
  <si>
    <t>2026-06-14|Unión La Calera|Universidad de Chile</t>
  </si>
  <si>
    <t>EST-01287</t>
  </si>
  <si>
    <t>Universidad de Chile 2 vs 1 Deportes Concepción</t>
  </si>
  <si>
    <t>2026-05-30|Universidad de Chile|Deportes Concepción</t>
  </si>
  <si>
    <t>EST-01288</t>
  </si>
  <si>
    <t>Cobresal 1 vs 0 Universidad de Chile</t>
  </si>
  <si>
    <t>2026-05-17|Cobresal|Universidad de Chile</t>
  </si>
  <si>
    <t>EST-01289</t>
  </si>
  <si>
    <t>Everton de Viña 0 vs 0 Universidad de Chile</t>
  </si>
  <si>
    <t>2026-04-18|Everton de Viña|Universidad de Chile</t>
  </si>
  <si>
    <t>EST-01290</t>
  </si>
  <si>
    <t>Ñublense 1 vs 0 Universidad de Chile</t>
  </si>
  <si>
    <t>2026-04-12|Ñublense|Universidad de Chile</t>
  </si>
  <si>
    <t>EST-01291</t>
  </si>
  <si>
    <t>Universidad de Chile 4 vs 0 Deportes La Serena</t>
  </si>
  <si>
    <t>2026-04-05|Universidad de Chile|Deportes La Serena</t>
  </si>
  <si>
    <t>EST-01292</t>
  </si>
  <si>
    <t>Coquimbo Unido 0 vs 1 Universidad de Chile</t>
  </si>
  <si>
    <t>2026-03-14|Coquimbo Unido|Universidad de Chile</t>
  </si>
  <si>
    <t>EST-01293</t>
  </si>
  <si>
    <t>Universidad de Chile 1 vs 1 Universidad de Concepción</t>
  </si>
  <si>
    <t>2026-03-09|Universidad de Chile|Universidad de Concepción</t>
  </si>
  <si>
    <t>EST-01294</t>
  </si>
  <si>
    <t>Palestino 2 vs 1 Coquimbo Unido</t>
  </si>
  <si>
    <t>2026-08-01|Palestino|Coquimbo Unido</t>
  </si>
  <si>
    <t>EST-01295</t>
  </si>
  <si>
    <t>Ñublense 2 vs 0 Palestino</t>
  </si>
  <si>
    <t>2026-07-26|Ñublense|Palestino</t>
  </si>
  <si>
    <t>EST-01296</t>
  </si>
  <si>
    <t>Everton de Viña 1 vs 2 Palestino</t>
  </si>
  <si>
    <t>2026-06-13|Everton de Viña|Palestino</t>
  </si>
  <si>
    <t>EST-01297</t>
  </si>
  <si>
    <t>Palestino 0 vs 0 Audax Italiano</t>
  </si>
  <si>
    <t>2026-05-31|Palestino|Audax Italiano</t>
  </si>
  <si>
    <t>EST-01298</t>
  </si>
  <si>
    <t>Unión La Calera 1 vs 2 Palestino</t>
  </si>
  <si>
    <t>2026-05-23|Unión La Calera|Palestino</t>
  </si>
  <si>
    <t>EST-01299</t>
  </si>
  <si>
    <t>Palestino 5 vs 1 Deportes La Serena</t>
  </si>
  <si>
    <t>2026-05-15|Palestino|Deportes La Serena</t>
  </si>
  <si>
    <t>EST-01300</t>
  </si>
  <si>
    <t>Palestino 0 vs 1 Deportes Concepción</t>
  </si>
  <si>
    <t>2026-04-23|Palestino|Deportes Concepción</t>
  </si>
  <si>
    <t>EST-01301</t>
  </si>
  <si>
    <t>Palestino 1 vs 0 Deportes Limache</t>
  </si>
  <si>
    <t>2026-04-11|Palestino|Deportes Limache</t>
  </si>
  <si>
    <t>EST-01302</t>
  </si>
  <si>
    <t>Universidad de Concepción 1 vs 0 Palestino</t>
  </si>
  <si>
    <t>2026-03-15|Universidad de Concepción|Palestino</t>
  </si>
  <si>
    <t>EST-01303</t>
  </si>
  <si>
    <t>Palestino 4 vs 2 Cobresal</t>
  </si>
  <si>
    <t>2026-03-08|Palestino|Cobresal</t>
  </si>
  <si>
    <t>EST-01304</t>
  </si>
  <si>
    <t>Huachipato 1 vs 4 Everton de Viña</t>
  </si>
  <si>
    <t>2026-08-08|Huachipato|Everton de Viña</t>
  </si>
  <si>
    <t>EST-01305</t>
  </si>
  <si>
    <t>Unión La Calera 1 vs 1 Everton de Viña</t>
  </si>
  <si>
    <t>2026-07-27|Unión La Calera|Everton de Viña</t>
  </si>
  <si>
    <t>EST-01306</t>
  </si>
  <si>
    <t>O'Higgins 2 vs 3 Everton de Viña</t>
  </si>
  <si>
    <t>2026-05-31|O'Higgins|Everton de Viña</t>
  </si>
  <si>
    <t>EST-01307</t>
  </si>
  <si>
    <t>Everton de Viña 1 vs 1 Coquimbo Unido</t>
  </si>
  <si>
    <t>2026-05-22|Everton de Viña|Coquimbo Unido</t>
  </si>
  <si>
    <t>EST-01308</t>
  </si>
  <si>
    <t>Deportes Concepción 0 vs 2 Everton de Viña</t>
  </si>
  <si>
    <t>2026-05-17|Deportes Concepción|Everton de Viña</t>
  </si>
  <si>
    <t>EST-01309</t>
  </si>
  <si>
    <t>Everton de Viña 3 vs 1 Cobresal</t>
  </si>
  <si>
    <t>2026-04-26|Everton de Viña|Cobresal</t>
  </si>
  <si>
    <t>EST-01310</t>
  </si>
  <si>
    <t>Deportes La Serena 1 vs 0 Everton de Viña</t>
  </si>
  <si>
    <t>2026-04-11|Deportes La Serena|Everton de Viña</t>
  </si>
  <si>
    <t>EST-01311</t>
  </si>
  <si>
    <t>Everton de Viña 0 vs 0 Ñublense</t>
  </si>
  <si>
    <t>2026-04-04|Everton de Viña|Ñublense</t>
  </si>
  <si>
    <t>EST-01312</t>
  </si>
  <si>
    <t>Coquimbo Unido 1 vs 1 Deportes La Serena</t>
  </si>
  <si>
    <t>2026-08-08|Coquimbo Unido|Deportes La Serena</t>
  </si>
  <si>
    <t>EST-01313</t>
  </si>
  <si>
    <t>Coquimbo Unido 0 vs 0 O'Higgins</t>
  </si>
  <si>
    <t>2026-06-13|Coquimbo Unido|O'Higgins</t>
  </si>
  <si>
    <t>EST-01314</t>
  </si>
  <si>
    <t>Deportes Limache 2 vs 3 Coquimbo Unido</t>
  </si>
  <si>
    <t>2026-05-31|Deportes Limache|Coquimbo Unido</t>
  </si>
  <si>
    <t>EST-01315</t>
  </si>
  <si>
    <t>Coquimbo Unido 3 vs 0 Audax Italiano</t>
  </si>
  <si>
    <t>2026-05-15|Coquimbo Unido|Audax Italiano</t>
  </si>
  <si>
    <t>EST-01316</t>
  </si>
  <si>
    <t>Unión La Calera 1 vs 2 Coquimbo Unido</t>
  </si>
  <si>
    <t>2026-04-24|Unión La Calera|Coquimbo Unido</t>
  </si>
  <si>
    <t>EST-01317</t>
  </si>
  <si>
    <t>Coquimbo Unido 1 vs 1 Ñublense</t>
  </si>
  <si>
    <t>2026-04-19|Coquimbo Unido|Ñublense</t>
  </si>
  <si>
    <t>EST-01318</t>
  </si>
  <si>
    <t>Coquimbo Unido 3 vs 2 Cobresal</t>
  </si>
  <si>
    <t>2026-04-03|Coquimbo Unido|Cobresal</t>
  </si>
  <si>
    <t>EST-01319</t>
  </si>
  <si>
    <t>Huachipato 1 vs 3 Coquimbo Unido</t>
  </si>
  <si>
    <t>2026-03-07|Huachipato|Coquimbo Unido</t>
  </si>
  <si>
    <t>EST-01320</t>
  </si>
  <si>
    <t>Ñublense 2 vs 2 Huachipato</t>
  </si>
  <si>
    <t>2026-06-13|Ñublense|Huachipato</t>
  </si>
  <si>
    <t>EST-01321</t>
  </si>
  <si>
    <t>Cobresal 0 vs 1 Ñublense</t>
  </si>
  <si>
    <t>2026-05-29|Cobresal|Ñublense</t>
  </si>
  <si>
    <t>EST-01322</t>
  </si>
  <si>
    <t>Ñublense 2 vs 2 Universidad de Concepción</t>
  </si>
  <si>
    <t>2026-05-23|Ñublense|Universidad de Concepción</t>
  </si>
  <si>
    <t>EST-01323</t>
  </si>
  <si>
    <t>Ñublense 0 vs 2 O'Higgins</t>
  </si>
  <si>
    <t>2026-04-25|Ñublense|O'Higgins</t>
  </si>
  <si>
    <t>EST-01324</t>
  </si>
  <si>
    <t>Ñublense 2 vs 2 Deportes La Serena</t>
  </si>
  <si>
    <t>2026-03-15|Ñublense|Deportes La Serena</t>
  </si>
  <si>
    <t>EST-01325</t>
  </si>
  <si>
    <t>Deportes Concepción 0 vs 2 Ñublense</t>
  </si>
  <si>
    <t>2026-03-06|Deportes Concepción|Ñublense</t>
  </si>
  <si>
    <t>EST-01326</t>
  </si>
  <si>
    <t>Ñublense 1 vs 2 Universidad Católica</t>
  </si>
  <si>
    <t>2026-03-01|Ñublense|Universidad Católica</t>
  </si>
  <si>
    <t>EST-01327</t>
  </si>
  <si>
    <t>Huachipato 3 vs 3 Cobresal</t>
  </si>
  <si>
    <t>2026-07-25|Huachipato|Cobresal</t>
  </si>
  <si>
    <t>EST-01328</t>
  </si>
  <si>
    <t>Deportes Concepción 2 vs 0 Huachipato</t>
  </si>
  <si>
    <t>2026-05-24|Deportes Concepción|Huachipato</t>
  </si>
  <si>
    <t>EST-01329</t>
  </si>
  <si>
    <t>Huachipato 3 vs 1 Unión La Calera</t>
  </si>
  <si>
    <t>2026-05-17|Huachipato|Unión La Calera</t>
  </si>
  <si>
    <t>EST-01330</t>
  </si>
  <si>
    <t>Deportes La Serena 0 vs 0 Huachipato</t>
  </si>
  <si>
    <t>2026-04-26|Deportes La Serena|Huachipato</t>
  </si>
  <si>
    <t>EST-01331</t>
  </si>
  <si>
    <t>Huachipato 3 vs 2 Audax Italiano</t>
  </si>
  <si>
    <t>2026-04-19|Huachipato|Audax Italiano</t>
  </si>
  <si>
    <t>EST-01332</t>
  </si>
  <si>
    <t>O'Higgins 0 vs 2 Huachipato</t>
  </si>
  <si>
    <t>2026-04-10|O'Higgins|Huachipato</t>
  </si>
  <si>
    <t>EST-01333</t>
  </si>
  <si>
    <t>Huachipato 5 vs 1 Universidad de Concepción</t>
  </si>
  <si>
    <t>2026-04-06|Huachipato|Universidad de Concepción</t>
  </si>
  <si>
    <t>EST-01334</t>
  </si>
  <si>
    <t>Deportes La Serena 1 vs 2 O'Higgins</t>
  </si>
  <si>
    <t>2026-08-02|Deportes La Serena|O'Higgins</t>
  </si>
  <si>
    <t>EST-01335</t>
  </si>
  <si>
    <t>Deportes Concepción 2 vs 0 O'Higgins</t>
  </si>
  <si>
    <t>2026-07-26|Deportes Concepción|O'Higgins</t>
  </si>
  <si>
    <t>EST-01336</t>
  </si>
  <si>
    <t>O'Higgins 0 vs 1 Universidad de Concepción</t>
  </si>
  <si>
    <t>2026-05-16|O'Higgins|Universidad de Concepción</t>
  </si>
  <si>
    <t>EST-01337</t>
  </si>
  <si>
    <t>Cobresal 2 vs 3 O'Higgins</t>
  </si>
  <si>
    <t>2026-04-19|Cobresal|O'Higgins</t>
  </si>
  <si>
    <t>EST-01338</t>
  </si>
  <si>
    <t>O'Higgins 2 vs 1 Audax Italiano</t>
  </si>
  <si>
    <t>2026-04-03|O'Higgins|Audax Italiano</t>
  </si>
  <si>
    <t>EST-01339</t>
  </si>
  <si>
    <t>Unión La Calera 3 vs 3 O'Higgins</t>
  </si>
  <si>
    <t>2026-03-16|Unión La Calera|O'Higgins</t>
  </si>
  <si>
    <t>EST-01340</t>
  </si>
  <si>
    <t>O'Higgins 1 vs 0 Universidad Católica</t>
  </si>
  <si>
    <t>2026-03-07|O'Higgins|Universidad Católica</t>
  </si>
  <si>
    <t>EST-01341</t>
  </si>
  <si>
    <t>Deportes Concepción 3 vs 2 Deportes Limache</t>
  </si>
  <si>
    <t>2026-06-14|Deportes Concepción|Deportes Limache</t>
  </si>
  <si>
    <t>EST-01342</t>
  </si>
  <si>
    <t>Deportes La Serena 4 vs 1 Deportes Limache</t>
  </si>
  <si>
    <t>2026-05-24|Deportes La Serena|Deportes Limache</t>
  </si>
  <si>
    <t>EST-01343</t>
  </si>
  <si>
    <t>Audax Italiano 2 vs 2 Deportes Limache</t>
  </si>
  <si>
    <t>2026-04-24|Audax Italiano|Deportes Limache</t>
  </si>
  <si>
    <t>EST-01344</t>
  </si>
  <si>
    <t>Deportes Limache 3 vs 0 Universidad de Concepción</t>
  </si>
  <si>
    <t>2026-04-17|Deportes Limache|Universidad de Concepción</t>
  </si>
  <si>
    <t>EST-01345</t>
  </si>
  <si>
    <t>Deportes Limache 4 vs 0 Unión La Calera</t>
  </si>
  <si>
    <t>2026-04-04|Deportes Limache|Unión La Calera</t>
  </si>
  <si>
    <t>EST-01346</t>
  </si>
  <si>
    <t>Cobresal 2 vs 5 Deportes Limache</t>
  </si>
  <si>
    <t>2026-03-15|Cobresal|Deportes Limache</t>
  </si>
  <si>
    <t>EST-01347</t>
  </si>
  <si>
    <t>Everton de Viña 1 vs 0 Deportes Limache</t>
  </si>
  <si>
    <t>2026-03-07|Everton de Viña|Deportes Limache</t>
  </si>
  <si>
    <t>EST-01348</t>
  </si>
  <si>
    <t>Deportes Limache 3 vs 0 Huachipato</t>
  </si>
  <si>
    <t>2026-02-28|Deportes Limache|Huachipato</t>
  </si>
  <si>
    <t>EST-01349</t>
  </si>
  <si>
    <t>Deportes Concepción 3 vs 3 Deportes La Serena</t>
  </si>
  <si>
    <t>2026-04-18|Deportes Concepción|Deportes La Serena</t>
  </si>
  <si>
    <t>EST-01350</t>
  </si>
  <si>
    <t>Unión La Calera 1 vs 0 Deportes Concepción</t>
  </si>
  <si>
    <t>2026-04-13|Unión La Calera|Deportes Concepción</t>
  </si>
  <si>
    <t>EST-01351</t>
  </si>
  <si>
    <t>Audax Italiano 3 vs 0 Deportes Concepción</t>
  </si>
  <si>
    <t>2026-03-13|Audax Italiano|Deportes Concepción</t>
  </si>
  <si>
    <t>EST-01352</t>
  </si>
  <si>
    <t>Audax Italiano 1 vs 1 Deportes La Serena</t>
  </si>
  <si>
    <t>2026-06-12|Audax Italiano|Deportes La Serena</t>
  </si>
  <si>
    <t>EST-01353</t>
  </si>
  <si>
    <t>Universidad de Concepción 0 vs 1 Audax Italiano</t>
  </si>
  <si>
    <t>2026-07-31|Universidad de Concepción|Audax Italiano</t>
  </si>
  <si>
    <t>EST-01354</t>
  </si>
  <si>
    <t>Audax Italiano 2 vs 1 Cobresal</t>
  </si>
  <si>
    <t>2026-05-23|Audax Italiano|Cobresal</t>
  </si>
  <si>
    <t>EST-01355</t>
  </si>
  <si>
    <t>Deportes Concepción 1 vs 0 Universidad de Concepción</t>
  </si>
  <si>
    <t>2026-08-09|Deportes Concepción|Universidad de Concepción</t>
  </si>
  <si>
    <t>EST-01356</t>
  </si>
  <si>
    <t>Universidad de Concepción 0 vs 0 Unión La Calera</t>
  </si>
  <si>
    <t>2026-05-29|Universidad de Concepción|Unión La Calera</t>
  </si>
  <si>
    <t>EST-01357</t>
  </si>
  <si>
    <t>Universidad de Concepción 1 vs 0 Cobresal</t>
  </si>
  <si>
    <t>2026-04-12|Universidad de Concepción|Cobresal</t>
  </si>
  <si>
    <t>EST-01358</t>
  </si>
  <si>
    <t>Cobresal 4 vs 0 Unión La Calera</t>
  </si>
  <si>
    <t>2026-08-01|Cobresal|Unión La Calera</t>
  </si>
  <si>
    <t>EST-01359</t>
  </si>
  <si>
    <t>Deportes La Serena 3 vs 0 Unión La Calera</t>
  </si>
  <si>
    <t>2026-03-06|Deportes La Serena|Unión La Calera</t>
  </si>
  <si>
    <t>MLS-East</t>
  </si>
  <si>
    <t>MLS-Cross</t>
  </si>
  <si>
    <t>MLS-West</t>
  </si>
  <si>
    <t>USA - MLS-East</t>
  </si>
  <si>
    <t>USA - MLS-West</t>
  </si>
  <si>
    <t>USA - MLS-Cross</t>
  </si>
  <si>
    <t>ORDEM OBRIGATÓRIA DA COLETA MLS</t>
  </si>
  <si>
    <t>EST-01371</t>
  </si>
  <si>
    <t>Chicago Fire FC 1 vs 0 Atlanta United FC</t>
  </si>
  <si>
    <t>Chicago Fire FC</t>
  </si>
  <si>
    <t>Atlanta United FC</t>
  </si>
  <si>
    <t>EST-01370</t>
  </si>
  <si>
    <t>Atlanta United FC 0 vs 2 Nashville SC</t>
  </si>
  <si>
    <t>Nashville SC</t>
  </si>
  <si>
    <t>EST-01369</t>
  </si>
  <si>
    <t>Atlanta United FC 1 vs 2 New England Revolution</t>
  </si>
  <si>
    <t>New England Revolution</t>
  </si>
  <si>
    <t>EST-01368</t>
  </si>
  <si>
    <t>Toronto FC 1 vs 2 Atlanta United FC</t>
  </si>
  <si>
    <t>EST-01367</t>
  </si>
  <si>
    <t>Atlanta United FC 3 vs 1 CF Montréal</t>
  </si>
  <si>
    <t>CF Montréal</t>
  </si>
  <si>
    <t>EST-01365</t>
  </si>
  <si>
    <t>Orlando City SC 1 vs 1 Atlanta United FC</t>
  </si>
  <si>
    <t>Orlando City SC</t>
  </si>
  <si>
    <t>EST-01364</t>
  </si>
  <si>
    <t>Columbus Crew 2 vs 0 Atlanta United FC</t>
  </si>
  <si>
    <t>EST-01363</t>
  </si>
  <si>
    <t>Nashville SC 1 vs 0 Atlanta United FC</t>
  </si>
  <si>
    <t>EST-01362</t>
  </si>
  <si>
    <t>Charlotte FC 2 vs 2 Atlanta United FC</t>
  </si>
  <si>
    <t>Charlotte FC</t>
  </si>
  <si>
    <t>EST-01361</t>
  </si>
  <si>
    <t>New England Revolution 4 vs 1 Atlanta United FC</t>
  </si>
  <si>
    <t>EST-01360</t>
  </si>
  <si>
    <t>Philadelphia Union 3 vs 2 Atlanta United FC</t>
  </si>
  <si>
    <t>Philadelphia Union</t>
  </si>
  <si>
    <t>EST-01366</t>
  </si>
  <si>
    <t>Atlanta United FC 1 vs 2 LA Galaxy</t>
  </si>
  <si>
    <t>LA Galaxy</t>
  </si>
  <si>
    <t>EST-01382</t>
  </si>
  <si>
    <t>Charlotte FC 1 vs 2 Nashville SC</t>
  </si>
  <si>
    <t>EST-01381</t>
  </si>
  <si>
    <t>New York City FC 1 vs 2 Charlotte FC</t>
  </si>
  <si>
    <t>New York City FC</t>
  </si>
  <si>
    <t>EST-01380</t>
  </si>
  <si>
    <t>Orlando City SC 4 vs 1 Charlotte FC</t>
  </si>
  <si>
    <t>EST-01379</t>
  </si>
  <si>
    <t>Nashville SC 4 vs 2 Charlotte FC</t>
  </si>
  <si>
    <t>EST-01378</t>
  </si>
  <si>
    <t>New England Revolution 1 vs 0 Charlotte FC</t>
  </si>
  <si>
    <t>EST-01377</t>
  </si>
  <si>
    <t>Charlotte FC 2 vs 2 FC Cincinnati</t>
  </si>
  <si>
    <t>EST-01376</t>
  </si>
  <si>
    <t>Charlotte FC 0 vs 1 New York City FC</t>
  </si>
  <si>
    <t>EST-01375</t>
  </si>
  <si>
    <t>Charlotte FC 3 vs 1 Toronto FC</t>
  </si>
  <si>
    <t>EST-01374</t>
  </si>
  <si>
    <t>Charlotte FC 1 vs 0 New England Revolution</t>
  </si>
  <si>
    <t>EST-01373</t>
  </si>
  <si>
    <t>New York Red Bulls 0 vs 2 Charlotte FC</t>
  </si>
  <si>
    <t>New York Red Bulls</t>
  </si>
  <si>
    <t>EST-01372</t>
  </si>
  <si>
    <t>Chicago Fire FC 2 vs 1 Charlotte FC</t>
  </si>
  <si>
    <t>Na aba Dados, organizar somente os novos registros estatísticos com ID EST- em três blocos sequenciais: primeiro MLS-East, depois MLS-West e, por último, MLS-Cross. Jogos entre conferências devem ser classificados exclusivamente como MLS-Cross. Registros históricos ou de apostas com IDs originais (por exemplo, 00082-USA) nunca devem ser deslocados de suas posições existentes. Não misturar partidas Cross nas médias internas de East ou West.</t>
  </si>
  <si>
    <t>EST-01392</t>
  </si>
  <si>
    <t>Chicago Fire FC 1 vs 0 Nashville SC</t>
  </si>
  <si>
    <t>EST-01391</t>
  </si>
  <si>
    <t>FC Cincinnati 3 vs 3 Chicago Fire FC</t>
  </si>
  <si>
    <t>EST-01389</t>
  </si>
  <si>
    <t>Chicago Fire FC 2 vs 3 FC Cincinnati</t>
  </si>
  <si>
    <t>EST-01388</t>
  </si>
  <si>
    <t>Chicago Fire FC 1 vs 3 New York Red Bulls</t>
  </si>
  <si>
    <t>EST-01387</t>
  </si>
  <si>
    <t>D.C. United 1 vs 3 Chicago Fire FC</t>
  </si>
  <si>
    <t>D.C. United</t>
  </si>
  <si>
    <t>EST-01386</t>
  </si>
  <si>
    <t>CF Montréal 0 vs 2 Chicago Fire FC</t>
  </si>
  <si>
    <t>EST-01385</t>
  </si>
  <si>
    <t>Chicago Fire FC 2 vs 1 Toronto FC</t>
  </si>
  <si>
    <t>EST-01384</t>
  </si>
  <si>
    <t>Inter Miami CF 3 vs 2 Chicago Fire FC</t>
  </si>
  <si>
    <t>Inter Miami CF</t>
  </si>
  <si>
    <t>EST-01383</t>
  </si>
  <si>
    <t>New York City FC 3 vs 1 Chicago Fire FC</t>
  </si>
  <si>
    <t>EST-01390</t>
  </si>
  <si>
    <t>Chicago Fire FC 5 vs 0 Sporting Kansas City</t>
  </si>
  <si>
    <t>Sporting Kansas City</t>
  </si>
  <si>
    <t>EST-01400</t>
  </si>
  <si>
    <t>Toronto FC 1 vs 1 FC Cincinnati</t>
  </si>
  <si>
    <t>EST-01399</t>
  </si>
  <si>
    <t>New York City FC 4 vs 4 FC Cincinnati</t>
  </si>
  <si>
    <t>EST-01398</t>
  </si>
  <si>
    <t>FC Cincinnati 2 vs 0 New York Red Bulls</t>
  </si>
  <si>
    <t>EST-01397</t>
  </si>
  <si>
    <t>FC Cincinnati 3 vs 5 Inter Miami CF</t>
  </si>
  <si>
    <t>EST-01395</t>
  </si>
  <si>
    <t>FC Cincinnati 6 vs 2 Orlando City SC</t>
  </si>
  <si>
    <t>EST-01393</t>
  </si>
  <si>
    <t>Columbus Crew 2 vs 1 FC Cincinnati</t>
  </si>
  <si>
    <t>EST-01396</t>
  </si>
  <si>
    <t>San Diego FC 3 vs 3 FC Cincinnati</t>
  </si>
  <si>
    <t>San Diego FC</t>
  </si>
  <si>
    <t>EST-01394</t>
  </si>
  <si>
    <t>FC Cincinnati 4 vs 3 Vancouver Whitecaps FC</t>
  </si>
  <si>
    <t>Vancouver Whitecaps FC</t>
  </si>
  <si>
    <t>EST-01401</t>
  </si>
  <si>
    <t>Columbus Crew 1 vs 2 New York City FC</t>
  </si>
  <si>
    <t>EST-01402</t>
  </si>
  <si>
    <t>Philadelphia Union 1 vs 1 Columbus Crew</t>
  </si>
  <si>
    <t>EST-01403</t>
  </si>
  <si>
    <t>New York Red Bulls 3 vs 2 Columbus Crew</t>
  </si>
  <si>
    <t>EST-01404</t>
  </si>
  <si>
    <t>New York City FC 3 vs 0 Columbus Crew</t>
  </si>
  <si>
    <t>EST-01405</t>
  </si>
  <si>
    <t>Columbus Crew 2 vs 3 Minnesota United FC</t>
  </si>
  <si>
    <t>Minnesota United FC</t>
  </si>
  <si>
    <t>EST-01406</t>
  </si>
  <si>
    <t>Columbus Crew 2 vs 0 Philadelphia Union</t>
  </si>
  <si>
    <t>EST-01407</t>
  </si>
  <si>
    <t>Columbus Crew 2 vs 1 LA Galaxy</t>
  </si>
  <si>
    <t>EST-01408</t>
  </si>
  <si>
    <t>New England Revolution 2 vs 1 Columbus Crew</t>
  </si>
  <si>
    <t>EST-01409</t>
  </si>
  <si>
    <t>Columbus Crew 1 vs 1 Orlando City SC</t>
  </si>
  <si>
    <t>EST-01410</t>
  </si>
  <si>
    <t>D.C. United 2 vs 2 Nashville SC</t>
  </si>
  <si>
    <t>EST-01411</t>
  </si>
  <si>
    <t>D.C. United 2 vs 1 Toronto FC</t>
  </si>
  <si>
    <t>EST-01412</t>
  </si>
  <si>
    <t>Houston Dynamo FC 1 vs 1 D.C. United</t>
  </si>
  <si>
    <t>Houston Dynamo FC</t>
  </si>
  <si>
    <t>EST-01413</t>
  </si>
  <si>
    <t>D.C. United 4 vs 4 CF Montréal</t>
  </si>
  <si>
    <t>EST-01414</t>
  </si>
  <si>
    <t>D.C. United 1 vs 1 St. Louis CITY SC</t>
  </si>
  <si>
    <t>St. Louis CITY SC</t>
  </si>
  <si>
    <t>EST-01415</t>
  </si>
  <si>
    <t>Nashville SC 2 vs 2 D.C. United</t>
  </si>
  <si>
    <t>EST-01416</t>
  </si>
  <si>
    <t>New York City FC 0 vs 2 D.C. United</t>
  </si>
  <si>
    <t>EST-01417</t>
  </si>
  <si>
    <t>D.C. United 3 vs 2 Orlando City SC</t>
  </si>
  <si>
    <t>EST-01418</t>
  </si>
  <si>
    <t>New York Red Bulls 4 vs 4 D.C. United</t>
  </si>
  <si>
    <t>EST-01419</t>
  </si>
  <si>
    <t>Philadelphia Union 0 vs 0 D.C. United</t>
  </si>
  <si>
    <t>EST-01420</t>
  </si>
  <si>
    <t>New England Revolution 1 vs 0 D.C. United</t>
  </si>
  <si>
    <t>Inter Miami CF 2 vs 2 Columbus Crew</t>
  </si>
  <si>
    <t>EST-01421</t>
  </si>
  <si>
    <t>CF Montréal 0 vs 1 Inter Miami CF</t>
  </si>
  <si>
    <t>EST-01422</t>
  </si>
  <si>
    <t>Inter Miami CF 6 vs 4 Philadelphia Union</t>
  </si>
  <si>
    <t>EST-01423</t>
  </si>
  <si>
    <t>Inter Miami CF 2 vs 0 Portland Timbers</t>
  </si>
  <si>
    <t>EST-01424</t>
  </si>
  <si>
    <t>Toronto FC 2 vs 4 Inter Miami CF</t>
  </si>
  <si>
    <t>EST-01425</t>
  </si>
  <si>
    <t>Inter Miami CF 3 vs 4 Orlando City SC</t>
  </si>
  <si>
    <t>EST-01426</t>
  </si>
  <si>
    <t>Inter Miami CF 1 vs 1 New England Revolution</t>
  </si>
  <si>
    <t>EST-01427</t>
  </si>
  <si>
    <t>Real Salt Lake 0 vs 2 Inter Miami CF</t>
  </si>
  <si>
    <t>Real Salt Lake</t>
  </si>
  <si>
    <t>EST-01428</t>
  </si>
  <si>
    <t>Colorado Rapids 2 vs 3 Inter Miami CF</t>
  </si>
  <si>
    <t>Colorado Rapids</t>
  </si>
  <si>
    <t>EST-01429</t>
  </si>
  <si>
    <t>Inter Miami CF 2 vs 2 New York Red Bulls</t>
  </si>
  <si>
    <t>EST-01430</t>
  </si>
  <si>
    <t>Orlando City SC 1 vs 0 Nashville SC</t>
  </si>
  <si>
    <t>EST-01431</t>
  </si>
  <si>
    <t>Nashville SC 1 vs 0 CF Montréal</t>
  </si>
  <si>
    <t>EST-01432</t>
  </si>
  <si>
    <t>Nashville SC 2 vs 1 New York City FC</t>
  </si>
  <si>
    <t>EST-01433</t>
  </si>
  <si>
    <t>Nashville SC 3 vs 2 Los Angeles FC</t>
  </si>
  <si>
    <t>Los Angeles FC</t>
  </si>
  <si>
    <t>EST-01434</t>
  </si>
  <si>
    <t>New England Revolution 0 vs 3 Nashville SC</t>
  </si>
  <si>
    <t>EST-01435</t>
  </si>
  <si>
    <t>Philadelphia Union 0 vs 0 Nashville SC</t>
  </si>
  <si>
    <t>EST-01436</t>
  </si>
  <si>
    <t>New England Revolution 0 vs 2 Houston Dynamo FC</t>
  </si>
  <si>
    <t>EST-01437</t>
  </si>
  <si>
    <t>CF Montréal 2 vs 2 New England Revolution</t>
  </si>
  <si>
    <t>EST-01438</t>
  </si>
  <si>
    <t>New England Revolution 0 vs 0 Toronto FC</t>
  </si>
  <si>
    <t>EST-01439</t>
  </si>
  <si>
    <t>New England Revolution 2 vs 1 Minnesota United FC</t>
  </si>
  <si>
    <t>EST-01440</t>
  </si>
  <si>
    <t>New England Revolution 2 vs 1 Philadelphia Union</t>
  </si>
  <si>
    <t>EST-01441</t>
  </si>
  <si>
    <t>CF Montréal 0 vs 0 Toronto FC</t>
  </si>
  <si>
    <t>EST-01442</t>
  </si>
  <si>
    <t>CF Montréal 2 vs 2 Portland Timbers</t>
  </si>
  <si>
    <t>EST-01443</t>
  </si>
  <si>
    <t>CF Montréal 2 vs 0 Orlando City SC</t>
  </si>
  <si>
    <t>EST-01444</t>
  </si>
  <si>
    <t>CF Montréal 1 vs 0 New York City FC</t>
  </si>
  <si>
    <t>EST-01445</t>
  </si>
  <si>
    <t>CF Montréal 4 vs 1 New York Red Bulls</t>
  </si>
  <si>
    <t>EST-01446</t>
  </si>
  <si>
    <t>CF Montréal 1 vs 2 Philadelphia Union</t>
  </si>
  <si>
    <t>New York City FC 1 vs 1 Toronto FC</t>
  </si>
  <si>
    <t>EST-01447</t>
  </si>
  <si>
    <t>New York Red Bulls 1 vs 1 New York City FC</t>
  </si>
  <si>
    <t>EST-01448</t>
  </si>
  <si>
    <t>Vancouver Whitecaps FC 2 vs 0 New York City FC</t>
  </si>
  <si>
    <t>EST-01449</t>
  </si>
  <si>
    <t>New York Red Bulls 3 vs 2 Orlando City SC</t>
  </si>
  <si>
    <t>EST-01450</t>
  </si>
  <si>
    <t>Philadelphia Union 3 vs 1 New York Red Bulls</t>
  </si>
  <si>
    <t>EST-01451</t>
  </si>
  <si>
    <t>Sporting Kansas City 1 vs 2 New York Red Bulls</t>
  </si>
  <si>
    <t>EST-01452</t>
  </si>
  <si>
    <t>New York Red Bulls 0 vs 2 FC Dallas</t>
  </si>
  <si>
    <t>FC Dallas</t>
  </si>
  <si>
    <t>EST-01453</t>
  </si>
  <si>
    <t>San Jose Earthquakes 0 vs 4 Orlando City SC</t>
  </si>
  <si>
    <t>EST-01454</t>
  </si>
  <si>
    <t>Orlando City SC 4 vs 3 Philadelphia Union</t>
  </si>
  <si>
    <t>EST-01455</t>
  </si>
  <si>
    <t>Orlando City SC 0 vs 1 Houston Dynamo FC</t>
  </si>
  <si>
    <t>EST-01456</t>
  </si>
  <si>
    <t>Philadelphia Union 1 vs 0 Seattle Sounders FC</t>
  </si>
  <si>
    <t>Seattle Sounders FC</t>
  </si>
  <si>
    <t>EST-01457</t>
  </si>
  <si>
    <t>Toronto FC 3 vs 3 Philadelphia Union</t>
  </si>
  <si>
    <t>EST-01458</t>
  </si>
  <si>
    <t>Toronto FC 1 vs 1 San Jose Earthquakes</t>
  </si>
  <si>
    <t>EST-01459</t>
  </si>
  <si>
    <t>Toronto FC 3 vs 3 Austin FC</t>
  </si>
  <si>
    <t>Austin FC</t>
  </si>
  <si>
    <t>EST-01460</t>
  </si>
  <si>
    <t>Colorado Rapids 1 vs 0 Austin FC</t>
  </si>
  <si>
    <t>EST-01461</t>
  </si>
  <si>
    <t>Houston Dynamo FC 3 vs 0 Austin FC</t>
  </si>
  <si>
    <t>EST-01462</t>
  </si>
  <si>
    <t>Austin FC 3 vs 1 Seattle Sounders FC</t>
  </si>
  <si>
    <t>EST-01463</t>
  </si>
  <si>
    <t>St. Louis CITY SC 3 vs 0 Austin FC</t>
  </si>
  <si>
    <t>EST-01464</t>
  </si>
  <si>
    <t>Austin FC 1 vs 2 Sporting Kansas City</t>
  </si>
  <si>
    <t>EST-01465</t>
  </si>
  <si>
    <t>San Diego FC 5 vs 0 Austin FC</t>
  </si>
  <si>
    <t>EST-01466</t>
  </si>
  <si>
    <t>Minnesota United FC 2 vs 2 Austin FC</t>
  </si>
  <si>
    <t>EST-01467</t>
  </si>
  <si>
    <t>Austin FC 2 vs 0 St. Louis CITY SC</t>
  </si>
  <si>
    <t>EST-01468</t>
  </si>
  <si>
    <t>Austin FC 2 vs 0 Houston Dynamo FC</t>
  </si>
  <si>
    <t>EST-01469</t>
  </si>
  <si>
    <t>San Jose Earthquakes 5 vs 1 Austin FC</t>
  </si>
  <si>
    <t>EST-01470</t>
  </si>
  <si>
    <t>Inter Miami CF 2 vs 2 Austin FC</t>
  </si>
  <si>
    <t>EST-01471</t>
  </si>
  <si>
    <t>St. Louis CITY SC 1 vs 0 Colorado Rapids</t>
  </si>
  <si>
    <t>EST-01472</t>
  </si>
  <si>
    <t>Colorado Rapids 1 vs 0 San Diego FC</t>
  </si>
  <si>
    <t>EST-01473</t>
  </si>
  <si>
    <t>Colorado Rapids 1 vs 2 FC Dallas</t>
  </si>
  <si>
    <t>EST-01474</t>
  </si>
  <si>
    <t>Real Salt Lake 2 vs 1 Colorado Rapids</t>
  </si>
  <si>
    <t>EST-01475</t>
  </si>
  <si>
    <t>Minnesota United FC 0 vs 1 Colorado Rapids</t>
  </si>
  <si>
    <t>EST-01476</t>
  </si>
  <si>
    <t>Colorado Rapids 0 vs 1 St. Louis CITY SC</t>
  </si>
  <si>
    <t>EST-01477</t>
  </si>
  <si>
    <t>Houston Dynamo FC 1 vs 0 Colorado Rapids</t>
  </si>
  <si>
    <t>EST-01478</t>
  </si>
  <si>
    <t>Vancouver Whitecaps FC 3 vs 1 Colorado Rapids</t>
  </si>
  <si>
    <t>EST-01479</t>
  </si>
  <si>
    <t>Los Angeles FC 0 vs 0 Colorado Rapids</t>
  </si>
  <si>
    <t>EST-01480</t>
  </si>
  <si>
    <t>Colorado Rapids 6 vs 2 Houston Dynamo FC</t>
  </si>
  <si>
    <t>EST-01481</t>
  </si>
  <si>
    <t>LA Galaxy 0 vs 0 FC Dallas</t>
  </si>
  <si>
    <t>EST-01482</t>
  </si>
  <si>
    <t>San Diego FC 1 vs 0 FC Dallas</t>
  </si>
  <si>
    <t>EST-01483</t>
  </si>
  <si>
    <t>Portland Timbers 2 vs 2 FC Dallas</t>
  </si>
  <si>
    <t>EST-01484</t>
  </si>
  <si>
    <t>San Jose Earthquakes 2 vs 3 FC Dallas</t>
  </si>
  <si>
    <t>EST-01485</t>
  </si>
  <si>
    <t>FC Dallas 2 vs 3 Vancouver Whitecaps FC</t>
  </si>
  <si>
    <t>EST-01486</t>
  </si>
  <si>
    <t>FC Dallas 3 vs 1 Real Salt Lake</t>
  </si>
  <si>
    <t>EST-01487</t>
  </si>
  <si>
    <t>Seattle Sounders FC 2 vs 1 FC Dallas</t>
  </si>
  <si>
    <t>EST-01488</t>
  </si>
  <si>
    <t>FC Dallas 0 vs 1 Minnesota United FC</t>
  </si>
  <si>
    <t>EST-01489</t>
  </si>
  <si>
    <t>FC Dallas 2 vs 2 LA Galaxy</t>
  </si>
  <si>
    <t>EST-01490</t>
  </si>
  <si>
    <t>FC Dallas 1 vs 1 St. Louis CITY SC</t>
  </si>
  <si>
    <t>EST-01491</t>
  </si>
  <si>
    <t>Sporting Kansas City 0 vs 2 Houston Dynamo FC</t>
  </si>
  <si>
    <t>EST-01492</t>
  </si>
  <si>
    <t>LA Galaxy 1 vs 1 Houston Dynamo FC</t>
  </si>
  <si>
    <t>EST-01493</t>
  </si>
  <si>
    <t>Houston Dynamo FC 1 vs 0 Vancouver Whitecaps FC</t>
  </si>
  <si>
    <t>EST-01494</t>
  </si>
  <si>
    <t>Real Salt Lake 3 vs 0 Houston Dynamo FC</t>
  </si>
  <si>
    <t>EST-01495</t>
  </si>
  <si>
    <t>Los Angeles FC 1 vs 4 Houston Dynamo FC</t>
  </si>
  <si>
    <t>EST-01496</t>
  </si>
  <si>
    <t>Houston Dynamo FC 1 vs 0 San Diego FC</t>
  </si>
  <si>
    <t>EST-01497</t>
  </si>
  <si>
    <t>San Jose Earthquakes 1 vs 1 LA Galaxy</t>
  </si>
  <si>
    <t>EST-01498</t>
  </si>
  <si>
    <t>LA Galaxy 1 vs 3 St. Louis CITY SC</t>
  </si>
  <si>
    <t>EST-01499</t>
  </si>
  <si>
    <t>LA Galaxy 0 vs 3 Los Angeles FC</t>
  </si>
  <si>
    <t>EST-01500</t>
  </si>
  <si>
    <t>Seattle Sounders FC 0 vs 2 LA Galaxy</t>
  </si>
  <si>
    <t>EST-01501</t>
  </si>
  <si>
    <t>Sporting Kansas City 3 vs 1 LA Galaxy</t>
  </si>
  <si>
    <t>EST-01502</t>
  </si>
  <si>
    <t>LA Galaxy 1 vs 1 Vancouver Whitecaps FC</t>
  </si>
  <si>
    <t>EST-01503</t>
  </si>
  <si>
    <t>LA Galaxy 2 vs 1 Real Salt Lake</t>
  </si>
  <si>
    <t>EST-01504</t>
  </si>
  <si>
    <t>Vancouver Whitecaps FC 1 vs 1 Los Angeles FC</t>
  </si>
  <si>
    <t>EST-01505</t>
  </si>
  <si>
    <t>Los Angeles FC 4 vs 0 Sporting Kansas City</t>
  </si>
  <si>
    <t>EST-01506</t>
  </si>
  <si>
    <t>Los Angeles FC 3 vs 1 Real Salt Lake</t>
  </si>
  <si>
    <t>EST-01507</t>
  </si>
  <si>
    <t>Los Angeles FC 1 vs 0 Seattle Sounders FC</t>
  </si>
  <si>
    <t>EST-01508</t>
  </si>
  <si>
    <t>St. Louis CITY SC 2 vs 1 Los Angeles FC</t>
  </si>
  <si>
    <t>EST-01509</t>
  </si>
  <si>
    <t>San Diego FC 2 vs 2 Los Angeles FC</t>
  </si>
  <si>
    <t>EST-01510</t>
  </si>
  <si>
    <t>Minnesota United FC 0 vs 1 Los Angeles FC</t>
  </si>
  <si>
    <t>EST-01511</t>
  </si>
  <si>
    <t>Los Angeles FC 1 vs 4 San Jose Earthquakes</t>
  </si>
  <si>
    <t>EST-01512</t>
  </si>
  <si>
    <t>Minnesota United FC 1 vs 1 San Diego FC</t>
  </si>
  <si>
    <t>EST-01513</t>
  </si>
  <si>
    <t>Minnesota United FC 0 vs 0 Vancouver Whitecaps FC</t>
  </si>
  <si>
    <t>EST-01514</t>
  </si>
  <si>
    <t>Sporting Kansas City 2 vs 1 Minnesota United FC</t>
  </si>
  <si>
    <t>EST-01515</t>
  </si>
  <si>
    <t>Minnesota United FC 1 vs 1 Real Salt Lake</t>
  </si>
  <si>
    <t>EST-01516</t>
  </si>
  <si>
    <t>Minnesota United FC 2 vs 0 Portland Timbers</t>
  </si>
  <si>
    <t>EST-01517</t>
  </si>
  <si>
    <t>San Diego FC 1 vs 2 Minnesota United FC</t>
  </si>
  <si>
    <t>Portland Timbers 2 vs 1 Seattle Sounders FC</t>
  </si>
  <si>
    <t>EST-01518</t>
  </si>
  <si>
    <t>Portland Timbers 2 vs 1 Real Salt Lake</t>
  </si>
  <si>
    <t>EST-01519</t>
  </si>
  <si>
    <t>Seattle Sounders FC 1 vs 5 Portland Timbers</t>
  </si>
  <si>
    <t>EST-01520</t>
  </si>
  <si>
    <t>Portland Timbers 1 vs 3 San Jose Earthquakes</t>
  </si>
  <si>
    <t>EST-01521</t>
  </si>
  <si>
    <t>Portland Timbers 6 vs 0 Sporting Kansas City</t>
  </si>
  <si>
    <t>EST-01522</t>
  </si>
  <si>
    <t>Real Salt Lake 2 vs 0 Portland Timbers</t>
  </si>
  <si>
    <t>EST-01523</t>
  </si>
  <si>
    <t>San Diego FC 1 vs 2 Portland Timbers</t>
  </si>
  <si>
    <t>EST-01524</t>
  </si>
  <si>
    <t>Portland Timbers 2 vs 1 Los Angeles FC</t>
  </si>
  <si>
    <t>EST-01525</t>
  </si>
  <si>
    <t>St. Louis CITY SC 1 vs 1 Real Salt Lake</t>
  </si>
  <si>
    <t>EST-01526</t>
  </si>
  <si>
    <t>Real Salt Lake 4 vs 2 San Diego FC</t>
  </si>
  <si>
    <t>EST-01527</t>
  </si>
  <si>
    <t>Real Salt Lake 3 vs 1 Sporting Kansas City</t>
  </si>
  <si>
    <t>EST-01528</t>
  </si>
  <si>
    <t>San Diego FC 2 vs 4 Vancouver Whitecaps FC</t>
  </si>
  <si>
    <t>EST-01529</t>
  </si>
  <si>
    <t>Seattle Sounders FC 1 vs 1 San Diego FC</t>
  </si>
  <si>
    <t>EST-01530</t>
  </si>
  <si>
    <t>Seattle Sounders FC 3 vs 2 San Jose Earthquakes</t>
  </si>
  <si>
    <t>EST-01531</t>
  </si>
  <si>
    <t>San Jose Earthquakes 1 vs 1 Vancouver Whitecaps FC</t>
  </si>
  <si>
    <t>EST-01532</t>
  </si>
  <si>
    <t>St. Louis CITY SC 2 vs 3 San Jose Earthquakes</t>
  </si>
  <si>
    <t>EST-01533</t>
  </si>
  <si>
    <t>Sporting Kansas City 1 vs 3 San Jose Earthquakes</t>
  </si>
  <si>
    <t>EST-01534</t>
  </si>
  <si>
    <t>Sporting Kansas City 1 vs 1 Seattle Sounders FC</t>
  </si>
  <si>
    <t>EST-01535</t>
  </si>
  <si>
    <t>Seattle Sounders FC 4 vs 1 St. Louis CITY SC</t>
  </si>
  <si>
    <t>EST-01536</t>
  </si>
  <si>
    <t>Houston Dynamo FC 0 vs 1 Seattle Sounders FC</t>
  </si>
  <si>
    <t>EST-01537</t>
  </si>
  <si>
    <t>St. Louis CITY SC 3 vs 2 Sporting Kansas City</t>
  </si>
  <si>
    <t>EST-01538</t>
  </si>
  <si>
    <t>Vancouver Whitecaps FC 3 vs 0 Sporting Kansas City</t>
  </si>
  <si>
    <t>EST-01539</t>
  </si>
  <si>
    <t>Vancouver Whitecaps FC 3 vs 2 Portland Timbers</t>
  </si>
  <si>
    <t>ECU - LigaPro Serie A</t>
  </si>
  <si>
    <t>LigaPro Serie A</t>
  </si>
  <si>
    <t>Independiente del Valle 4 vs 0 Manta FC</t>
  </si>
  <si>
    <t>EST-01540</t>
  </si>
  <si>
    <t>LDU Quito 0 vs 2 Independiente del Valle</t>
  </si>
  <si>
    <t>EST-01541</t>
  </si>
  <si>
    <t>Independiente del Valle 1 vs 0 Deportivo Cuenca</t>
  </si>
  <si>
    <t>Deportivo Cuenca</t>
  </si>
  <si>
    <t>EST-01542</t>
  </si>
  <si>
    <t>Orense 2 vs 3 Independiente del Valle</t>
  </si>
  <si>
    <t>Orense</t>
  </si>
  <si>
    <t>EST-01543</t>
  </si>
  <si>
    <t>Independiente del Valle 3 vs 0 Técnico Universitario</t>
  </si>
  <si>
    <t>Técnico Universitario</t>
  </si>
  <si>
    <t>EST-01544</t>
  </si>
  <si>
    <t>Independiente del Valle 6 vs 1 Emelec</t>
  </si>
  <si>
    <t>Emelec</t>
  </si>
  <si>
    <t>EST-01545</t>
  </si>
  <si>
    <t>Aucas 0 vs 3 Independiente del Valle</t>
  </si>
  <si>
    <t>Aucas</t>
  </si>
  <si>
    <t>EST-01546</t>
  </si>
  <si>
    <t>Mushuc Runa 1 vs 4 Independiente del Valle</t>
  </si>
  <si>
    <t>Mushuc Runa</t>
  </si>
  <si>
    <t>EST-01547</t>
  </si>
  <si>
    <t>Guayaquil City FC 2 vs 4 Independiente del Valle</t>
  </si>
  <si>
    <t>Guayaquil City FC</t>
  </si>
  <si>
    <t>EST-01548</t>
  </si>
  <si>
    <t>EST-01549</t>
  </si>
  <si>
    <t>Macará 0 vs 3 Independiente del Valle</t>
  </si>
  <si>
    <t>Macará</t>
  </si>
  <si>
    <t>EST-01550</t>
  </si>
  <si>
    <t>Independiente del Valle 1 vs 0 Barcelona SC</t>
  </si>
  <si>
    <t>Barcelona SC</t>
  </si>
  <si>
    <t>EST-01551</t>
  </si>
  <si>
    <t>Universidad Católica (Quito) 5 vs 0 Técnico Universitario</t>
  </si>
  <si>
    <t>Universidad Católica (Quito)</t>
  </si>
  <si>
    <t>EST-01552</t>
  </si>
  <si>
    <t>Guayaquil City FC 0 vs 0 Universidad Católica (Quito)</t>
  </si>
  <si>
    <t>EST-01553</t>
  </si>
  <si>
    <t>Universidad Católica (Quito) 2 vs 1 Barcelona SC</t>
  </si>
  <si>
    <t>EST-01554</t>
  </si>
  <si>
    <t>Deportivo Cuenca 0 vs 2 Universidad Católica (Quito)</t>
  </si>
  <si>
    <t>EST-01555</t>
  </si>
  <si>
    <t>Universidad Católica (Quito) 1 vs 0 LDU Quito</t>
  </si>
  <si>
    <t>EST-01556</t>
  </si>
  <si>
    <t>Leones del Norte 1 vs 0 Universidad Católica (Quito)</t>
  </si>
  <si>
    <t>Leones del Norte</t>
  </si>
  <si>
    <t>EST-01557</t>
  </si>
  <si>
    <t>Universidad Católica (Quito) 2 vs 3 Mushuc Runa</t>
  </si>
  <si>
    <t>EST-01558</t>
  </si>
  <si>
    <t>Emelec 1 vs 0 Universidad Católica (Quito)</t>
  </si>
  <si>
    <t>EST-01559</t>
  </si>
  <si>
    <t>Orense 1 vs 2 Universidad Católica (Quito)</t>
  </si>
  <si>
    <t>EST-01560</t>
  </si>
  <si>
    <t>Universidad Católica (Quito) 2 vs 2 Delfín SC</t>
  </si>
  <si>
    <t>EST-01561</t>
  </si>
  <si>
    <t>Aucas 2 vs 1 Universidad Católica (Quito)</t>
  </si>
  <si>
    <t>EST-01562</t>
  </si>
  <si>
    <t>Universidad Católica (Quito) 2 vs 3 Independiente del Valle</t>
  </si>
  <si>
    <t>EST-01563</t>
  </si>
  <si>
    <t>Barcelona SC 1 vs 2 Macará</t>
  </si>
  <si>
    <t>EST-01564</t>
  </si>
  <si>
    <t>Macará 2 vs 1 Guayaquil City FC</t>
  </si>
  <si>
    <t>EST-01565</t>
  </si>
  <si>
    <t>Aucas 1 vs 4 Macará</t>
  </si>
  <si>
    <t>EST-01566</t>
  </si>
  <si>
    <t>Macará 3 vs 0 Deportivo Cuenca</t>
  </si>
  <si>
    <t>EST-01567</t>
  </si>
  <si>
    <t>Delfín SC 2 vs 1 Macará</t>
  </si>
  <si>
    <t>EST-01568</t>
  </si>
  <si>
    <t>Macará 2 vs 1 Mushuc Runa</t>
  </si>
  <si>
    <t>EST-01569</t>
  </si>
  <si>
    <t>Técnico Universitario 0 vs 2 Macará</t>
  </si>
  <si>
    <t>EST-01570</t>
  </si>
  <si>
    <t>Macará 1 vs 0 LDU Quito</t>
  </si>
  <si>
    <t>EST-01571</t>
  </si>
  <si>
    <t>Leones del Norte 1 vs 1 Macará</t>
  </si>
  <si>
    <t>EST-01572</t>
  </si>
  <si>
    <t>Emelec 2 vs 0 Macará</t>
  </si>
  <si>
    <t>EST-01573</t>
  </si>
  <si>
    <t>Manta FC 0 vs 1 Macará</t>
  </si>
  <si>
    <t>EST-01574</t>
  </si>
  <si>
    <t>Aucas 3 vs 0 Leones del Norte</t>
  </si>
  <si>
    <t>EST-01575</t>
  </si>
  <si>
    <t>Emelec 0 vs 2 Aucas</t>
  </si>
  <si>
    <t>EST-01576</t>
  </si>
  <si>
    <t>Orense 2 vs 1 Aucas</t>
  </si>
  <si>
    <t>EST-01577</t>
  </si>
  <si>
    <t>Técnico Universitario 0 vs 1 Aucas</t>
  </si>
  <si>
    <t>EST-01578</t>
  </si>
  <si>
    <t>Deportivo Cuenca 0 vs 1 Aucas</t>
  </si>
  <si>
    <t>EST-01579</t>
  </si>
  <si>
    <t>Aucas 1 vs 0 Guayaquil City FC</t>
  </si>
  <si>
    <t>EST-01580</t>
  </si>
  <si>
    <t>Mushuc Runa 0 vs 0 Aucas</t>
  </si>
  <si>
    <t>EST-01581</t>
  </si>
  <si>
    <t>Aucas 3 vs 1 Manta FC</t>
  </si>
  <si>
    <t>EST-01582</t>
  </si>
  <si>
    <t>Barcelona SC 3 vs 0 Aucas</t>
  </si>
  <si>
    <t>EST-01583</t>
  </si>
  <si>
    <t>Leones del Norte 1 vs 1 Barcelona SC</t>
  </si>
  <si>
    <t>EST-01584</t>
  </si>
  <si>
    <t>Barcelona SC 0 vs 1 LDU Quito</t>
  </si>
  <si>
    <t>EST-01585</t>
  </si>
  <si>
    <t>EST-01586</t>
  </si>
  <si>
    <t>Barcelona SC 1 vs 1 Guayaquil City FC</t>
  </si>
  <si>
    <t>EST-01587</t>
  </si>
  <si>
    <t>Emelec 0 vs 0 Barcelona SC</t>
  </si>
  <si>
    <t>EST-01588</t>
  </si>
  <si>
    <t>Barcelona SC 2 vs 0 Deportivo Cuenca</t>
  </si>
  <si>
    <t>EST-01589</t>
  </si>
  <si>
    <t>Técnico Universitario 1 vs 0 Barcelona SC</t>
  </si>
  <si>
    <t>EST-01590</t>
  </si>
  <si>
    <t>Delfín SC 1 vs 2 Barcelona SC</t>
  </si>
  <si>
    <t>EST-01591</t>
  </si>
  <si>
    <t>Manta FC 1 vs 1 LDU Quito</t>
  </si>
  <si>
    <t>EST-01592</t>
  </si>
  <si>
    <t>LDU Quito 0 vs 1 Leones del Norte</t>
  </si>
  <si>
    <t>EST-01593</t>
  </si>
  <si>
    <t>LDU Quito 3 vs 0 Orense</t>
  </si>
  <si>
    <t>EST-01594</t>
  </si>
  <si>
    <t>Deportivo Cuenca 1 vs 1 LDU Quito</t>
  </si>
  <si>
    <t>EST-01595</t>
  </si>
  <si>
    <t>LDU Quito 2 vs 1 Técnico Universitario</t>
  </si>
  <si>
    <t>EST-01596</t>
  </si>
  <si>
    <t>Mushuc Runa 1 vs 3 LDU Quito</t>
  </si>
  <si>
    <t>EST-01597</t>
  </si>
  <si>
    <t>LDU Quito 1 vs 0 Guayaquil City FC</t>
  </si>
  <si>
    <t>EST-01598</t>
  </si>
  <si>
    <t>Delfín SC 0 vs 1 Leones del Norte</t>
  </si>
  <si>
    <t>EST-01599</t>
  </si>
  <si>
    <t>Leones del Norte 1 vs 1 Guayaquil City FC</t>
  </si>
  <si>
    <t>EST-01600</t>
  </si>
  <si>
    <t>Leones del Norte 1 vs 1 Deportivo Cuenca</t>
  </si>
  <si>
    <t>EST-01601</t>
  </si>
  <si>
    <t>EST-01602</t>
  </si>
  <si>
    <t>Técnico Universitario 2 vs 1 Leones del Norte</t>
  </si>
  <si>
    <t>EST-01603</t>
  </si>
  <si>
    <t>Leones del Norte 3 vs 1 Mushuc Runa</t>
  </si>
  <si>
    <t>EST-01604</t>
  </si>
  <si>
    <t>Orense 2 vs 0 Leones del Norte</t>
  </si>
  <si>
    <t>EST-01605</t>
  </si>
  <si>
    <t>Deportivo Cuenca 2 vs 1 Emelec</t>
  </si>
  <si>
    <t>EST-01606</t>
  </si>
  <si>
    <t>Deportivo Cuenca 1 vs 0 Delfín SC</t>
  </si>
  <si>
    <t>EST-01607</t>
  </si>
  <si>
    <t>EST-01608</t>
  </si>
  <si>
    <t>Guayaquil City FC 0 vs 1 Deportivo Cuenca</t>
  </si>
  <si>
    <t>EST-01609</t>
  </si>
  <si>
    <t>Deportivo Cuenca 2 vs 1 Técnico Universitario</t>
  </si>
  <si>
    <t>Independiente del Valle 2 vs 3 Libertad (Ecuador)</t>
  </si>
  <si>
    <t>Libertad (Ecuador)</t>
  </si>
  <si>
    <t>Barcelona SC 1 vs 0 Libertad (Ecuador)</t>
  </si>
  <si>
    <t>Libertad (Ecuador) 1 vs 3 Leones del Norte</t>
  </si>
  <si>
    <t>Libertad (Ecuador) 0 vs 1 Deportivo Cuenca</t>
  </si>
  <si>
    <t>EST-01610</t>
  </si>
  <si>
    <t>Libertad (Ecuador) 3 vs 0 Orense</t>
  </si>
  <si>
    <t>EST-01611</t>
  </si>
  <si>
    <t>Mushuc Runa 0 vs 2 Libertad (Ecuador)</t>
  </si>
  <si>
    <t>EST-01612</t>
  </si>
  <si>
    <t>Libertad (Ecuador) 1 vs 0 Delfín SC</t>
  </si>
  <si>
    <t>EST-01613</t>
  </si>
  <si>
    <t>Libertad (Ecuador) 1 vs 0 Técnico Universitario</t>
  </si>
  <si>
    <t>EST-01614</t>
  </si>
  <si>
    <t>LDU Quito 0 vs 0 Libertad (Ecuador)</t>
  </si>
  <si>
    <t>EST-01615</t>
  </si>
  <si>
    <t>Manta FC 2 vs 1 Libertad (Ecuador)</t>
  </si>
  <si>
    <t>EST-01616</t>
  </si>
  <si>
    <t>Emelec 1 vs 1 Libertad (Ecuador)</t>
  </si>
  <si>
    <t>EST-01617</t>
  </si>
  <si>
    <t>Libertad (Ecuador) 3 vs 2 Aucas</t>
  </si>
  <si>
    <t>EST-01618</t>
  </si>
  <si>
    <t>Manta FC 1 vs 2 Mushuc Runa</t>
  </si>
  <si>
    <t>EST-01619</t>
  </si>
  <si>
    <t>Emelec 1 vs 1 Mushuc Runa</t>
  </si>
  <si>
    <t>EST-01620</t>
  </si>
  <si>
    <t>Mushuc Runa 2 vs 1 Orense</t>
  </si>
  <si>
    <t>EST-01621</t>
  </si>
  <si>
    <t>Mushuc Runa 2 vs 2 Guayaquil City FC</t>
  </si>
  <si>
    <t>EST-01622</t>
  </si>
  <si>
    <t>Delfín SC 1 vs 0 Mushuc Runa</t>
  </si>
  <si>
    <t>EST-01623</t>
  </si>
  <si>
    <t>Guayaquil City FC 1 vs 0 Manta FC</t>
  </si>
  <si>
    <t>EST-01624</t>
  </si>
  <si>
    <t>Guayaquil City FC 2 vs 1 Delfín SC</t>
  </si>
  <si>
    <t>EST-01625</t>
  </si>
  <si>
    <t>Guayaquil City FC 0 vs 1 Orense</t>
  </si>
  <si>
    <t>EST-01626</t>
  </si>
  <si>
    <t>Guayaquil City FC 0 vs 0 Emelec</t>
  </si>
  <si>
    <t>EST-01627</t>
  </si>
  <si>
    <t>Orense 0 vs 2 Emelec</t>
  </si>
  <si>
    <t>EST-01628</t>
  </si>
  <si>
    <t>Delfín SC 1 vs 1 Emelec</t>
  </si>
  <si>
    <t>EST-01629</t>
  </si>
  <si>
    <t>Manta FC 0 vs 0 Emelec</t>
  </si>
  <si>
    <t>EST-01630</t>
  </si>
  <si>
    <t>Manta FC 0 vs 1 Delfín SC</t>
  </si>
  <si>
    <t>EST-01631</t>
  </si>
  <si>
    <t>Técnico Universitario 4 vs 0 Delfín SC</t>
  </si>
  <si>
    <t>EST-01632</t>
  </si>
  <si>
    <t>Técnico Universitario 1 vs 0 Manta FC</t>
  </si>
  <si>
    <t>EST-01633</t>
  </si>
  <si>
    <t>Orense 1 vs 2 Técnico Universitario</t>
  </si>
  <si>
    <t>EST-01634</t>
  </si>
  <si>
    <t>Delfín SC 1 vs 1 Orense</t>
  </si>
  <si>
    <t>EST-01635</t>
  </si>
  <si>
    <t>Manta FC 0 vs 0 Orense</t>
  </si>
  <si>
    <t>EST-01636</t>
  </si>
  <si>
    <t>Barcelona SC 1 vs 1 Manta FC</t>
  </si>
  <si>
    <t>Cashout antecipado · retorno integral R$ 0,56 · lucro líquido R$ 0,06</t>
  </si>
  <si>
    <t>Finalizado</t>
  </si>
  <si>
    <t>33. GV San José × Always Ready</t>
  </si>
  <si>
    <t>Não informado</t>
  </si>
  <si>
    <t>Over 1,5 @ 1,17</t>
  </si>
  <si>
    <t>Over 1,50 @ 1,17</t>
  </si>
  <si>
    <t>Bilhete informado pela usuária; linha e odd preservadas conforme registro</t>
  </si>
  <si>
    <t>Over 1,50 @ 1,17 confirmado pelo placar 2 × 3 (5 gols)</t>
  </si>
  <si>
    <t>Greens</t>
  </si>
  <si>
    <t>Devolvidas</t>
  </si>
  <si>
    <t>Reds</t>
  </si>
  <si>
    <t>Percentual de acerto</t>
  </si>
  <si>
    <t>Cashouts integrais</t>
  </si>
  <si>
    <t>DESEMPENHO DOS BILHETES</t>
  </si>
  <si>
    <t>Apostas contabilizadas</t>
  </si>
  <si>
    <t>Apostas não contabilizadas</t>
  </si>
  <si>
    <t>Acerto integral</t>
  </si>
  <si>
    <t>Acerto integral resgatado antecipadamente</t>
  </si>
  <si>
    <t>Equivale a 0,5 Green</t>
  </si>
  <si>
    <t>Resultado negativo</t>
  </si>
  <si>
    <t>Fora do cálculo de aproveitamento</t>
  </si>
  <si>
    <t>Greens + Cashouts + Meio Red + Reds</t>
  </si>
  <si>
    <t>Acertos equivalentes ÷ apostas contabilizadas</t>
  </si>
  <si>
    <t>LEGENDA — Cashout integral conta como 1 acerto; Meio Red conta como 0,5 Green; devolvidas não entram no cálculo.</t>
  </si>
  <si>
    <t>Besta-deild karla (PL)</t>
  </si>
  <si>
    <t>Lengjudeildin (1ªD)</t>
  </si>
  <si>
    <t>ISL - Besta-deild karla (PL)</t>
  </si>
  <si>
    <t>ISL - Lengjudeildin (1ªD)</t>
  </si>
  <si>
    <t>Throttur (Þróttur) 4 vs 1 Afturelding</t>
  </si>
  <si>
    <t>Throttur (Þróttur)</t>
  </si>
  <si>
    <t>Throttur (Þróttur) 3 vs 1 IR Reykjavik</t>
  </si>
  <si>
    <t>IR Reykjavik 1 vs 1 Throttur (Þróttur)</t>
  </si>
  <si>
    <t>Aegir 1 vs 3 Throttur (Þróttur)</t>
  </si>
  <si>
    <t>EST-01637</t>
  </si>
  <si>
    <t>Grotta 1 vs 1 Throttur (Þróttur)</t>
  </si>
  <si>
    <t>EST-01638</t>
  </si>
  <si>
    <t>Leiknir 1 vs 5 Throttur (Þróttur)</t>
  </si>
  <si>
    <t>EST-01639</t>
  </si>
  <si>
    <t>Throttur (Þróttur) 1 vs 0 Volsungur</t>
  </si>
  <si>
    <t>EST-01640</t>
  </si>
  <si>
    <t>Njardvik 1 vs 0 Throttur (Þróttur)</t>
  </si>
  <si>
    <t>EST-01641</t>
  </si>
  <si>
    <t>Throttur (Þróttur) 1 vs 1 Vestri</t>
  </si>
  <si>
    <t>EST-01642</t>
  </si>
  <si>
    <t>Throttur (Þróttur) 2 vs 0 Kopavogur</t>
  </si>
  <si>
    <t>EST-01643</t>
  </si>
  <si>
    <t>Fylkir 1 vs 3 Throttur (Þróttur)</t>
  </si>
  <si>
    <t>EST-01644</t>
  </si>
  <si>
    <t>Throttur (Þróttur) 2 vs 0 Grindavik</t>
  </si>
  <si>
    <t>EST-01645</t>
  </si>
  <si>
    <t>Throttur (Þróttur) 2 vs 3 Grotta</t>
  </si>
  <si>
    <t>EST-01646</t>
  </si>
  <si>
    <t>Leiknir 3 vs 0 Fylkir</t>
  </si>
  <si>
    <t>EST-01647</t>
  </si>
  <si>
    <t>Fylkir 3 vs 1 Volsungur</t>
  </si>
  <si>
    <t>EST-01648</t>
  </si>
  <si>
    <t>Fylkir 4 vs 1 Njardvik</t>
  </si>
  <si>
    <t>EST-01649</t>
  </si>
  <si>
    <t>Vestri 2 vs 5 Fylkir</t>
  </si>
  <si>
    <t>EST-01650</t>
  </si>
  <si>
    <t>Fylkir 0 vs 2 Kopavogur</t>
  </si>
  <si>
    <t>EST-01651</t>
  </si>
  <si>
    <t>Grotta 2 vs 5 Fylkir</t>
  </si>
  <si>
    <t>EST-01652</t>
  </si>
  <si>
    <t>Grindavik 0 vs 1 Fylkir</t>
  </si>
  <si>
    <t>EST-01653</t>
  </si>
  <si>
    <t>Afturelding 5 vs 1 Fylkir</t>
  </si>
  <si>
    <t>EST-01654</t>
  </si>
  <si>
    <t>Fylkir 3 vs 0 Leiknir</t>
  </si>
  <si>
    <t>EST-01655</t>
  </si>
  <si>
    <t>Afturelding 3 vs 2 Leiknir</t>
  </si>
  <si>
    <t>EST-01656</t>
  </si>
  <si>
    <t>Volsungur 1 vs 6 Afturelding</t>
  </si>
  <si>
    <t>EST-01657</t>
  </si>
  <si>
    <t>Afturelding 2 vs 0 Njardvik</t>
  </si>
  <si>
    <t>EST-01658</t>
  </si>
  <si>
    <t>Vestri 2 vs 0 Afturelding</t>
  </si>
  <si>
    <t>EST-01659</t>
  </si>
  <si>
    <t>Kopavogur 2 vs 1 Afturelding</t>
  </si>
  <si>
    <t>EST-01660</t>
  </si>
  <si>
    <t>Grindavik 1 vs 3 Afturelding</t>
  </si>
  <si>
    <t>EST-01661</t>
  </si>
  <si>
    <t>Afturelding 4 vs 3 Throttur (Þróttur)</t>
  </si>
  <si>
    <t>EST-01662</t>
  </si>
  <si>
    <t>Volsungur 3 vs 2 Kopavogur</t>
  </si>
  <si>
    <t>EST-01663</t>
  </si>
  <si>
    <t>Njardvik 3 vs 2 Kopavogur</t>
  </si>
  <si>
    <t>EST-01664</t>
  </si>
  <si>
    <t>Kopavogur 6 vs 2 Vestri</t>
  </si>
  <si>
    <t>EST-01665</t>
  </si>
  <si>
    <t>Grotta 2 vs 1 Kopavogur</t>
  </si>
  <si>
    <t>EST-01666</t>
  </si>
  <si>
    <t>Kopavogur 2 vs 2 Grindavik</t>
  </si>
  <si>
    <t>EST-01667</t>
  </si>
  <si>
    <t>Leiknir 4 vs 1 Kopavogur</t>
  </si>
  <si>
    <t>EST-01668</t>
  </si>
  <si>
    <t>Kopavogur 1 vs 0 Volsungur</t>
  </si>
  <si>
    <t>EST-01669</t>
  </si>
  <si>
    <t>Njardvik 3 vs 1 Vestri</t>
  </si>
  <si>
    <t>EST-01670</t>
  </si>
  <si>
    <t>Njardvik 5 vs 4 Grindavik</t>
  </si>
  <si>
    <t>EST-01671</t>
  </si>
  <si>
    <t>Njardvik 1 vs 0 Leiknir</t>
  </si>
  <si>
    <t>EST-01672</t>
  </si>
  <si>
    <t>Volsungur 2 vs 1 Njardvik</t>
  </si>
  <si>
    <t>EST-01673</t>
  </si>
  <si>
    <t>Vestri 0 vs 3 Njardvik</t>
  </si>
  <si>
    <t>EST-01674</t>
  </si>
  <si>
    <t>Vestri 0 vs 3 Grotta</t>
  </si>
  <si>
    <t>EST-01675</t>
  </si>
  <si>
    <t>Grotta 1 vs 2 Grindavik</t>
  </si>
  <si>
    <t>EST-01676</t>
  </si>
  <si>
    <t>Leiknir 0 vs 1 Grotta</t>
  </si>
  <si>
    <t>EST-01677</t>
  </si>
  <si>
    <t>Volsungur 2 vs 2 Grotta</t>
  </si>
  <si>
    <t>EST-01678</t>
  </si>
  <si>
    <t>Njardvik 1 vs 2 Grotta</t>
  </si>
  <si>
    <t>EST-01679</t>
  </si>
  <si>
    <t>Grotta 5 vs 3 Vestri</t>
  </si>
  <si>
    <t>EST-01680</t>
  </si>
  <si>
    <t>Vestri 4 vs 3 Kopavogur</t>
  </si>
  <si>
    <t>EST-01681</t>
  </si>
  <si>
    <t>Leiknir 3 vs 3 Volsungur</t>
  </si>
  <si>
    <t>EST-01682</t>
  </si>
  <si>
    <t>Leiknir 1 vs 0 Vestri</t>
  </si>
  <si>
    <t>EST-01683</t>
  </si>
  <si>
    <t>Leiknir 0 vs 0 Grindavik</t>
  </si>
  <si>
    <t>EST-01684</t>
  </si>
  <si>
    <t>IR Reykjavik 3 vs 2 Aegir</t>
  </si>
  <si>
    <t>EST-01685</t>
  </si>
  <si>
    <t>Volsungur 2 vs 0 Grindavik</t>
  </si>
  <si>
    <t>EST-01686</t>
  </si>
  <si>
    <t>Vestri 5 vs 1 Volsungur</t>
  </si>
  <si>
    <t>Vikingur Reykjavik (Víkingur Reykjavík)</t>
  </si>
  <si>
    <t>Fram Reykjavik (Fram Reykjavík)</t>
  </si>
  <si>
    <t>KR Reykjavik (KR Reykjavík)</t>
  </si>
  <si>
    <t>Akranes (ÍA Akranes)</t>
  </si>
  <si>
    <t>Hafnarfjordur (FH Hafnarfjörður)</t>
  </si>
  <si>
    <t>EST-01687</t>
  </si>
  <si>
    <t>Vikingur Reykjavik (Víkingur Reykjavík) 2 vs 2 IBV Vestmannaeyjar</t>
  </si>
  <si>
    <t>EST-01688</t>
  </si>
  <si>
    <t>Akranes (ÍA Akranes) 2 vs 2 Vikingur Reykjavik (Víkingur Reykjavík)</t>
  </si>
  <si>
    <t>EST-01689</t>
  </si>
  <si>
    <t>Vikingur Reykjavik (Víkingur Reykjavík) 5 vs 1 Keflavík</t>
  </si>
  <si>
    <t>EST-01690</t>
  </si>
  <si>
    <t>EST-01691</t>
  </si>
  <si>
    <t>Vikingur Reykjavik (Víkingur Reykjavík) 3 vs 2 KA Akureyri</t>
  </si>
  <si>
    <t>EST-01692</t>
  </si>
  <si>
    <t>Breidablik 1 vs 4 Vikingur Reykjavik (Víkingur Reykjavík)</t>
  </si>
  <si>
    <t>EST-01693</t>
  </si>
  <si>
    <t>Fram Reykjavik (Fram Reykjavík) 0 vs 5 Vikingur Reykjavik (Víkingur Reykjavík)</t>
  </si>
  <si>
    <t>EST-01694</t>
  </si>
  <si>
    <t>Vikingur Reykjavik (Víkingur Reykjavík) 2 vs 0 KR Reykjavik (KR Reykjavík)</t>
  </si>
  <si>
    <t>EST-01695</t>
  </si>
  <si>
    <t>Valur Reykjavik 1 vs 5 Vikingur Reykjavik (Víkingur Reykjavík)</t>
  </si>
  <si>
    <t>EST-01696</t>
  </si>
  <si>
    <t>Stjarnan 1 vs 3 Vikingur Reykjavik (Víkingur Reykjavík)</t>
  </si>
  <si>
    <t>EST-01697</t>
  </si>
  <si>
    <t>Vikingur Reykjavik (Víkingur Reykjavík) 5 vs 0 Hafnarfjordur (FH Hafnarfjörður)</t>
  </si>
  <si>
    <t>EST-01698</t>
  </si>
  <si>
    <t>IBV Vestmannaeyjar 0 vs 2 Vikingur Reykjavik (Víkingur Reykjavík)</t>
  </si>
  <si>
    <t>EST-01699</t>
  </si>
  <si>
    <t>IBV Vestmannaeyjar 1 vs 2 Fram Reykjavik (Fram Reykjavík)</t>
  </si>
  <si>
    <t>EST-01700</t>
  </si>
  <si>
    <t>Fram Reykjavik (Fram Reykjavík) 0 vs 0 Hafnarfjordur (FH Hafnarfjörður)</t>
  </si>
  <si>
    <t>EST-01701</t>
  </si>
  <si>
    <t>Valur Reykjavik 2 vs 3 Fram Reykjavik (Fram Reykjavík)</t>
  </si>
  <si>
    <t>EST-01702</t>
  </si>
  <si>
    <t>EST-01703</t>
  </si>
  <si>
    <t>Keflavík 1 vs 1 Fram Reykjavik (Fram Reykjavík)</t>
  </si>
  <si>
    <t>EST-01704</t>
  </si>
  <si>
    <t>Akranes (ÍA Akranes) 0 vs 2 Fram Reykjavik (Fram Reykjavík)</t>
  </si>
  <si>
    <t>EST-01705</t>
  </si>
  <si>
    <t>KA Akureyri 3 vs 4 Fram Reykjavik (Fram Reykjavík)</t>
  </si>
  <si>
    <t>EST-01706</t>
  </si>
  <si>
    <t>Fram Reykjavik (Fram Reykjavík) 4 vs 3 Breidablik</t>
  </si>
  <si>
    <t>EST-01707</t>
  </si>
  <si>
    <t>Stjarnan 0 vs 1 Fram Reykjavik (Fram Reykjavík)</t>
  </si>
  <si>
    <t>EST-01708</t>
  </si>
  <si>
    <t>KR Reykjavik (KR Reykjavík) 2 vs 2 Fram Reykjavik (Fram Reykjavík)</t>
  </si>
  <si>
    <t>EST-01709</t>
  </si>
  <si>
    <t>Fram Reykjavik (Fram Reykjavík) 3 vs 2 Valur Reykjavik</t>
  </si>
  <si>
    <t>EST-01710</t>
  </si>
  <si>
    <t>Hafnarfjordur (FH Hafnarfjörður) 1 vs 1 KR Reykjavik (KR Reykjavík)</t>
  </si>
  <si>
    <t>EST-01711</t>
  </si>
  <si>
    <t>KR Reykjavik (KR Reykjavík) 5 vs 0 Stjarnan</t>
  </si>
  <si>
    <t>EST-01712</t>
  </si>
  <si>
    <t>KR Reykjavik (KR Reykjavík) 5 vs 2 IBV Vestmannaeyjar</t>
  </si>
  <si>
    <t>EST-01713</t>
  </si>
  <si>
    <t>EST-01714</t>
  </si>
  <si>
    <t>Keflavík 3 vs 2 KR Reykjavik (KR Reykjavík)</t>
  </si>
  <si>
    <t>EST-01715</t>
  </si>
  <si>
    <t>KR Reykjavik (KR Reykjavík) 5 vs 3 Akranes (ÍA Akranes)</t>
  </si>
  <si>
    <t>EST-01716</t>
  </si>
  <si>
    <t>KR Reykjavik (KR Reykjavík) 5 vs 3 KA Akureyri</t>
  </si>
  <si>
    <t>EST-01717</t>
  </si>
  <si>
    <t>KR Reykjavik (KR Reykjavík) 3 vs 1 Valur Reykjavik</t>
  </si>
  <si>
    <t>EST-01718</t>
  </si>
  <si>
    <t>Breidablik 6 vs 3 KR Reykjavik (KR Reykjavík)</t>
  </si>
  <si>
    <t>EST-01719</t>
  </si>
  <si>
    <t>Stjarnan 2 vs 3 KR Reykjavik (KR Reykjavík)</t>
  </si>
  <si>
    <t>EST-01720</t>
  </si>
  <si>
    <t>Breidablik 1 vs 3 Valur Reykjavik</t>
  </si>
  <si>
    <t>EST-01721</t>
  </si>
  <si>
    <t>Hafnarfjordur (FH Hafnarfjörður) 0 vs 0 Breidablik</t>
  </si>
  <si>
    <t>EST-01722</t>
  </si>
  <si>
    <t>Breidablik 2 vs 1 Keflavík</t>
  </si>
  <si>
    <t>EST-01723</t>
  </si>
  <si>
    <t>Akranes (ÍA Akranes) 1 vs 2 Breidablik</t>
  </si>
  <si>
    <t>EST-01724</t>
  </si>
  <si>
    <t>Breidablik 3 vs 1 KA Akureyri</t>
  </si>
  <si>
    <t>EST-01725</t>
  </si>
  <si>
    <t>Stjarnan 4 vs 4 Breidablik</t>
  </si>
  <si>
    <t>EST-01726</t>
  </si>
  <si>
    <t>Valur Reykjavik 3 vs 2 Breidablik</t>
  </si>
  <si>
    <t>EST-01727</t>
  </si>
  <si>
    <t>Hafnarfjordur (FH Hafnarfjörður) 2 vs 0 Valur Reykjavik</t>
  </si>
  <si>
    <t>EST-01728</t>
  </si>
  <si>
    <t>IBV Vestmannaeyjar 1 vs 0 Valur Reykjavik</t>
  </si>
  <si>
    <t>EST-01729</t>
  </si>
  <si>
    <t>EST-01730</t>
  </si>
  <si>
    <t>Valur Reykjavik 1 vs 1 Keflavík</t>
  </si>
  <si>
    <t>EST-01731</t>
  </si>
  <si>
    <t>Akranes (ÍA Akranes) 1 vs 0 Valur Reykjavik</t>
  </si>
  <si>
    <t>EST-01732</t>
  </si>
  <si>
    <t>KA Akureyri 0 vs 1 Valur Reykjavik</t>
  </si>
  <si>
    <t>EST-01733</t>
  </si>
  <si>
    <t>Stjarnan 1 vs 0 Keflavík</t>
  </si>
  <si>
    <t>EST-01734</t>
  </si>
  <si>
    <t>Akranes (ÍA Akranes) 5 vs 1 Stjarnan</t>
  </si>
  <si>
    <t>EST-01735</t>
  </si>
  <si>
    <t>Hafnarfjordur (FH Hafnarfjörður) 2 vs 2 Stjarnan</t>
  </si>
  <si>
    <t>EST-01736</t>
  </si>
  <si>
    <t>Stjarnan 3 vs 1 KA Akureyri</t>
  </si>
  <si>
    <t>EST-01737</t>
  </si>
  <si>
    <t>IBV Vestmannaeyjar 2 vs 1 Stjarnan</t>
  </si>
  <si>
    <t>EST-01738</t>
  </si>
  <si>
    <t>EST-01739</t>
  </si>
  <si>
    <t>Keflavík 1 vs 1 Stjarnan</t>
  </si>
  <si>
    <t>EST-01740</t>
  </si>
  <si>
    <t>KA Akureyri 0 vs 1 Hafnarfjordur (FH Hafnarfjörður)</t>
  </si>
  <si>
    <t>EST-01741</t>
  </si>
  <si>
    <t>IBV Vestmannaeyjar 2 vs 2 KA Akureyri</t>
  </si>
  <si>
    <t>EST-01742</t>
  </si>
  <si>
    <t>KA Akureyri 3 vs 2 Akranes (ÍA Akranes)</t>
  </si>
  <si>
    <t>EST-01743</t>
  </si>
  <si>
    <t>Hafnarfjordur (FH Hafnarfjörður) 1 vs 2 KA Akureyri</t>
  </si>
  <si>
    <t>EST-01744</t>
  </si>
  <si>
    <t>Keflavík 5 vs 2 Akranes (ÍA Akranes)</t>
  </si>
  <si>
    <t>EST-01745</t>
  </si>
  <si>
    <t>Keflavík 1 vs 2 Hafnarfjordur (FH Hafnarfjörður)</t>
  </si>
  <si>
    <t>EST-01746</t>
  </si>
  <si>
    <t>IBV Vestmannaeyjar 6 vs 1 Keflavík</t>
  </si>
  <si>
    <t>EST-01747</t>
  </si>
  <si>
    <t>EST-01748</t>
  </si>
  <si>
    <t>Hafnarfjordur (FH Hafnarfjörður) 1 vs 1 IBV Vestmannaeyjar</t>
  </si>
  <si>
    <t>EST-01749</t>
  </si>
  <si>
    <t>EST-01750</t>
  </si>
  <si>
    <t>Akranes (ÍA Akranes) 2 vs 2 IBV Vestmannaeyjar</t>
  </si>
  <si>
    <t>EST-01751</t>
  </si>
  <si>
    <t>EST-01752</t>
  </si>
  <si>
    <t>EST-01753</t>
  </si>
  <si>
    <t>EST-01754</t>
  </si>
  <si>
    <t>Hafnarfjordur (FH Hafnarfjörður) 0 vs 1 Akranes (ÍA Akranes)</t>
  </si>
  <si>
    <t>KA Akureyri 0 vs 0 Thor Akureyri (Þór Akureyri)</t>
  </si>
  <si>
    <t>Thor Akureyri (Þór Akureyri)</t>
  </si>
  <si>
    <t>Thor Akureyri (Þór Akureyri) 1 vs 0 Breidablik</t>
  </si>
  <si>
    <t>Thor Akureyri (Þór Akureyri) 2 vs 1 Vikingur Reykjavik (Víkingur Reykjavík)</t>
  </si>
  <si>
    <t>Fram Reykjavik (Fram Reykjavík) 6 vs 1 Thor Akureyri (Þór Akureyri)</t>
  </si>
  <si>
    <t>Thor Akureyri (Þór Akureyri) 3 vs 3 KR Reykjavik (KR Reykjavík)</t>
  </si>
  <si>
    <t>Thor Akureyri (Þór Akureyri) 2 vs 4 Valur Reykjavik</t>
  </si>
  <si>
    <t>Thor Akureyri (Þór Akureyri) 1 vs 3 Stjarnan</t>
  </si>
  <si>
    <t>Keflavík 1 vs 0 Thor Akureyri (Þór Akureyri)</t>
  </si>
  <si>
    <t>Thor Akureyri (Þór Akureyri) 1 vs 4 IBV Vestmannaeyjar</t>
  </si>
  <si>
    <t>Akranes (ÍA Akranes) 2 vs 0 Thor Akureyri (Þór Akureyri)</t>
  </si>
  <si>
    <t>Hafnarfjordur (FH Hafnarfjörður) 1 vs 1 Thor Akureyri (Þór Akureyri)</t>
  </si>
  <si>
    <t>Thor Akureyri (Þór Akureyri) 1 vs 2 Akranes (ÍA Akranes)</t>
  </si>
  <si>
    <t>34. Fram Reykjavik (Fram Reykjavík) × KR Reykjavik (KR Reykjavík)</t>
  </si>
  <si>
    <t>10/08/26 16:15 · GMT-3</t>
  </si>
  <si>
    <t>λ 4,82 · Over 2,50: 83,9% Green no consenso · proteção 83,9% · amostra em formação</t>
  </si>
  <si>
    <t>Proteção prioritária: mesma chance estimada sem Red de 83,9% das linhas 2,75 e 3,00; com exatamente 3 gols, o Over 2,50 é Green integral</t>
  </si>
  <si>
    <t>Proteção priorizada; 3+ gols confirmam o Green integral</t>
  </si>
  <si>
    <t>Over 2,5 @ 1,15 | Over 2,75 @ 1,17 | Over 3,0 @ 1,19 | Over 3,25 @ 1,30</t>
  </si>
  <si>
    <t>Over 2,50 @ 1,15</t>
  </si>
  <si>
    <t>35. Goiás × Londrina</t>
  </si>
  <si>
    <t>10/08/26 19:30 · GMT-3</t>
  </si>
  <si>
    <t>λ 2,70 · Over 0,75: 73,5% Green + 19,0% meio Green · proteção 92,5% no consenso</t>
  </si>
  <si>
    <t>Over 0,75 @ 1,10 | Over 1,0 @ 1,12 | Over 1,25 @ 1,16 | Over 1,5 @ 1,40</t>
  </si>
  <si>
    <t>Over 1,00 @ 1,12</t>
  </si>
  <si>
    <t>Mesma exposição ao Red do Over 0,75: somente 0 gol perde; exatamente 1 gol devolve a stake e 2+ gols geram Green com retorno superior</t>
  </si>
  <si>
    <t>1 gol = meio Red; 2+ gols = Green integral</t>
  </si>
  <si>
    <t>Série C</t>
  </si>
  <si>
    <t>Anápolis</t>
  </si>
  <si>
    <t>Figueirense</t>
  </si>
  <si>
    <t>EST-01756</t>
  </si>
  <si>
    <t>Ferroviária 1 vs 0 Anápolis</t>
  </si>
  <si>
    <t>Ferroviária</t>
  </si>
  <si>
    <t>EST-01757</t>
  </si>
  <si>
    <t>Paysandu 2 vs 1 Anápolis</t>
  </si>
  <si>
    <t>Paysandu</t>
  </si>
  <si>
    <t>EST-01758</t>
  </si>
  <si>
    <t>Anápolis 1 vs 1 Barra FC</t>
  </si>
  <si>
    <t>Barra FC</t>
  </si>
  <si>
    <t>EST-01759</t>
  </si>
  <si>
    <t>Brusque 1 vs 0 Anápolis</t>
  </si>
  <si>
    <t>Brusque</t>
  </si>
  <si>
    <t>EST-01760</t>
  </si>
  <si>
    <t>Anápolis 0 vs 0 Maranhão</t>
  </si>
  <si>
    <t>Maranhão</t>
  </si>
  <si>
    <t>EST-01761</t>
  </si>
  <si>
    <t>Amazonas 1 vs 0 Anápolis</t>
  </si>
  <si>
    <t>Amazonas</t>
  </si>
  <si>
    <t>EST-01762</t>
  </si>
  <si>
    <t>Anápolis 2 vs 0 Itabaiana</t>
  </si>
  <si>
    <t>Itabaiana</t>
  </si>
  <si>
    <t>EST-01763</t>
  </si>
  <si>
    <t>Caxias 1 vs 1 Anápolis</t>
  </si>
  <si>
    <t>Caxias</t>
  </si>
  <si>
    <t>EST-01764</t>
  </si>
  <si>
    <t>Anápolis 0 vs 2 Botafogo-PB</t>
  </si>
  <si>
    <t>Botafogo-PB</t>
  </si>
  <si>
    <t>EST-01765</t>
  </si>
  <si>
    <t>Anápolis 0 vs 1 Maringá</t>
  </si>
  <si>
    <t>Maringá</t>
  </si>
  <si>
    <t>EST-01766</t>
  </si>
  <si>
    <t>Volta Redonda 1 vs 4 Anápolis</t>
  </si>
  <si>
    <t>Volta Redonda</t>
  </si>
  <si>
    <t>Guarani</t>
  </si>
  <si>
    <t>EST-01768</t>
  </si>
  <si>
    <t>Guarani 1 vs 0 Santa Cruz</t>
  </si>
  <si>
    <t>Santa Cruz</t>
  </si>
  <si>
    <t>EST-01769</t>
  </si>
  <si>
    <t>Maringá 0 vs 5 Guarani</t>
  </si>
  <si>
    <t>EST-01770</t>
  </si>
  <si>
    <t>Guarani 1 vs 3 Ituano</t>
  </si>
  <si>
    <t>Ituano</t>
  </si>
  <si>
    <t>EST-01771</t>
  </si>
  <si>
    <t>Barra FC 0 vs 2 Guarani</t>
  </si>
  <si>
    <t>EST-01772</t>
  </si>
  <si>
    <t>Guarani 5 vs 0 Amazonas</t>
  </si>
  <si>
    <t>EST-01773</t>
  </si>
  <si>
    <t>Guarani 2 vs 1 Caxias</t>
  </si>
  <si>
    <t>EST-01774</t>
  </si>
  <si>
    <t>Confiança 2 vs 0 Guarani</t>
  </si>
  <si>
    <t>Confiança</t>
  </si>
  <si>
    <t>EST-01775</t>
  </si>
  <si>
    <t>Figueirense 1 vs 1 Guarani</t>
  </si>
  <si>
    <t>EST-01776</t>
  </si>
  <si>
    <t>Guarani 0 vs 0 Floresta</t>
  </si>
  <si>
    <t>Floresta</t>
  </si>
  <si>
    <t>EST-01777</t>
  </si>
  <si>
    <t>Paysandu 3 vs 2 Guarani</t>
  </si>
  <si>
    <t>EST-01778</t>
  </si>
  <si>
    <t>Guarani 3 vs 1 Inter de Limeira</t>
  </si>
  <si>
    <t>Inter de Limeira</t>
  </si>
  <si>
    <t>EST-01780</t>
  </si>
  <si>
    <t>Paysandu 4 vs 2 Botafogo-PB</t>
  </si>
  <si>
    <t>EST-01781</t>
  </si>
  <si>
    <t>Caxias 2 vs 0 Paysandu</t>
  </si>
  <si>
    <t>EST-01782</t>
  </si>
  <si>
    <t>Paysandu 2 vs 1 Floresta</t>
  </si>
  <si>
    <t>EST-01783</t>
  </si>
  <si>
    <t>Figueirense 2 vs 1 Paysandu</t>
  </si>
  <si>
    <t>EST-01784</t>
  </si>
  <si>
    <t>Paysandu 1 vs 2 Inter de Limeira</t>
  </si>
  <si>
    <t>EST-01785</t>
  </si>
  <si>
    <t>Maranhão 0 vs 1 Paysandu</t>
  </si>
  <si>
    <t>EST-01786</t>
  </si>
  <si>
    <t>Paysandu 1 vs 3 Santa Cruz</t>
  </si>
  <si>
    <t>EST-01787</t>
  </si>
  <si>
    <t>Ypiranga-RS 1 vs 0 Paysandu</t>
  </si>
  <si>
    <t>Ypiranga-RS</t>
  </si>
  <si>
    <t>EST-01788</t>
  </si>
  <si>
    <t>Amazonas 2 vs 1 Paysandu</t>
  </si>
  <si>
    <t>EST-01790</t>
  </si>
  <si>
    <t>Confiança 0 vs 1 Inter de Limeira</t>
  </si>
  <si>
    <t>EST-01791</t>
  </si>
  <si>
    <t>Ituano 3 vs 1 Confiança</t>
  </si>
  <si>
    <t>EST-01792</t>
  </si>
  <si>
    <t>Confiança 2 vs 1 Maranhão</t>
  </si>
  <si>
    <t>EST-01793</t>
  </si>
  <si>
    <t>Confiança 0 vs 2 Figueirense</t>
  </si>
  <si>
    <t>EST-01794</t>
  </si>
  <si>
    <t>Floresta 2 vs 1 Confiança</t>
  </si>
  <si>
    <t>EST-01795</t>
  </si>
  <si>
    <t>Volta Redonda 3 vs 1 Confiança</t>
  </si>
  <si>
    <t>EST-01796</t>
  </si>
  <si>
    <t>Ypiranga-RS 1 vs 1 Confiança</t>
  </si>
  <si>
    <t>EST-01797</t>
  </si>
  <si>
    <t>Confiança 1 vs 3 Barra FC</t>
  </si>
  <si>
    <t>EST-01798</t>
  </si>
  <si>
    <t>EST-01799</t>
  </si>
  <si>
    <t>Confiança 1 vs 1 Itabaiana</t>
  </si>
  <si>
    <t>BRA - Série C</t>
  </si>
  <si>
    <t>36. Paysandu × Confiança</t>
  </si>
  <si>
    <t>10/08/26 20:00 · GMT-3</t>
  </si>
  <si>
    <t>λ 3,58 · Over 1,25: 86,3% Green + 10,6% meio Red · proteção 96,9% contra Red integral</t>
  </si>
  <si>
    <t>Over 1,25 @ 1,17 | Over 1,5 @ 1,275 | Over 1,75 @ 1,325 | Over 2,0 @ 1,40</t>
  </si>
  <si>
    <t>Over 1,25 @ 1,17</t>
  </si>
  <si>
    <t>Proteção prioritária: apenas 0 gol gera Red integral; exatamente 1 gol limita a perda a meia stake, enquanto Over 1,50 sofreria Red integral</t>
  </si>
  <si>
    <t>DIRETRIZ PROVISÓRIA — AJUSTE DE LINHA POR λ E RISCO DE 0×0</t>
  </si>
  <si>
    <t>Base: 30 bilhetes contabilizados, 29 com λ · regra experimental até nova calibração</t>
  </si>
  <si>
    <t>Valor</t>
  </si>
  <si>
    <t>Aplicação</t>
  </si>
  <si>
    <t>Estado</t>
  </si>
  <si>
    <t>Observação</t>
  </si>
  <si>
    <t>Risco 0×0 consenso</t>
  </si>
  <si>
    <t>Ajuste provisório</t>
  </si>
  <si>
    <t>Linha operacional</t>
  </si>
  <si>
    <t>Mediana técnica atual</t>
  </si>
  <si>
    <t>Corte provisório</t>
  </si>
  <si>
    <t>Filtro de cauda</t>
  </si>
  <si>
    <t>Somente λ 2,50–3,49</t>
  </si>
  <si>
    <t>Base do simulador</t>
  </si>
  <si>
    <t>Limitada a Over 3,00</t>
  </si>
  <si>
    <t>Regime de λ</t>
  </si>
  <si>
    <t>Filtro 0×0</t>
  </si>
  <si>
    <t>Ajuste de linha</t>
  </si>
  <si>
    <t>Linha sugerida</t>
  </si>
  <si>
    <t>Provisório</t>
  </si>
  <si>
    <t>Dinâmico</t>
  </si>
  <si>
    <t>Ativo</t>
  </si>
  <si>
    <t>29 bilhetes com λ</t>
  </si>
  <si>
    <t>≤5% baixo · 5–10% atenção · &gt;10% impeditivo</t>
  </si>
  <si>
    <t>+0,50 se 0×0 &lt;7,5%; senão +0,25</t>
  </si>
  <si>
    <t>λ ≥3,50 não avança automaticamente</t>
  </si>
  <si>
    <t>Odds entram depois da triagem</t>
  </si>
  <si>
    <t>DIRETRIZ PROVISÓRIA — λ, RISCO DE 0×0 E AVANÇO DE LINHA</t>
  </si>
  <si>
    <t>Regra experimental baseada em 30 bilhetes contabilizados, dos quais 29 possuem λ registrado. Prioridade: proteção, seguida de lucro. Reavaliar quando a amostra aumentar.</t>
  </si>
  <si>
    <t>Faixa / filtro</t>
  </si>
  <si>
    <t>Condição adicional</t>
  </si>
  <si>
    <t>λ &lt; 2,50</t>
  </si>
  <si>
    <t>Não avançar linha</t>
  </si>
  <si>
    <t>Usar máxima proteção disponível</t>
  </si>
  <si>
    <t>Manter linha técnica/conservadora</t>
  </si>
  <si>
    <t>λ 2,50–3,49</t>
  </si>
  <si>
    <t>Avançar +0,25</t>
  </si>
  <si>
    <t>Se risco de 0×0 estiver entre 7,5% e 10%</t>
  </si>
  <si>
    <t>Melhorar retorno sem abandonar proteção</t>
  </si>
  <si>
    <t>Avançar até +0,50</t>
  </si>
  <si>
    <t>Somente se risco de 0×0 for inferior a 7,5%</t>
  </si>
  <si>
    <t>Faixa em que gols reais superaram λ em 0,48</t>
  </si>
  <si>
    <t>λ ≥ 3,50</t>
  </si>
  <si>
    <t>Sem avanço automático</t>
  </si>
  <si>
    <t>Exigir consenso dos modelos e leitura das odds</t>
  </si>
  <si>
    <t>Histórico mostrou superestimação nesta faixa</t>
  </si>
  <si>
    <t>FILTRO DE 0×0 E LIMITAÇÕES</t>
  </si>
  <si>
    <t>Risco de 0×0: até 5% = baixo; acima de 5% até 10% = atenção; acima de 10% = impeditivo pré-jogo. Placares finais isolados não bastam para recalibrar: distinguir 0×0 sem criação de 0×0 com volume ofensivo. Evidência qualitativa disponível: Palmeiras × Internacional e Bahia × Vasco tiveram volume/chances; Eastern Suburbs × Wynnum Wolves permanece sem avaliação qualitativa.</t>
  </si>
  <si>
    <t>KPV x VJS</t>
  </si>
  <si>
    <t>Green no Over 2,00 @ 1,125: o placar 2 x 1 (3 gols) confirmou a entrada e gerou R$ 0,0625 de lucro. Entre as linhas cotadas, Over 2,25 @ 1,240 teria produzido R$ 0,1200 de lucro, R$ 0,0575 acima do resultado realizado. A entrada deixou 0,25 linha de eficiência potencial.</t>
  </si>
  <si>
    <t>JS Hercules x SJK Akatemia 2</t>
  </si>
  <si>
    <t>Green no Over 2,25 @ 1,125: o placar 2 x 2 (4 gols) confirmou a entrada e gerou R$ 0,0625 de lucro. Entre as linhas cotadas, Over 3,00 @ 1,250 teria produzido R$ 0,1250 de lucro, R$ 0,0625 acima do resultado realizado. A entrada deixou 0,75 linha de eficiência potencial.</t>
  </si>
  <si>
    <t>Jazz Pori x OLS Oulu</t>
  </si>
  <si>
    <t>Devolvida no Over 2,00 @ 1,130: o placar 1 x 1 (2 gols) igualou a linha e devolveu integralmente a stake. Entre as linhas cotadas, Over 1,50 @ 1,105 teria produzido R$ 0,0525 de lucro, R$ 0,0525 acima do resultado realizado. A alternativa inferior teria convertido a proteção em ganho.</t>
  </si>
  <si>
    <t>Bahia x Vasco da Gama</t>
  </si>
  <si>
    <t>Red no Over 1,25 @ 1,125: o placar 0 x 0 (0 gols) não atingiu a linha e gerou perda de R$ 0,5000. Nenhuma das linhas realmente cotadas produziria lucro positivo, portanto Melhor G, Odd M.G. e P/L M.G. permanecem vazios. Apesar do 0 x 0, houve quatro gols anulados corretamente; o volume ofensivo existiu, mas não se converteu em gol válido.</t>
  </si>
  <si>
    <t>Palmeiras x Internacional</t>
  </si>
  <si>
    <t>Red no Over 1,50 @ 1,230: o placar 0 x 0 (0 gols) não atingiu a linha e gerou perda de R$ 0,5000. Nenhuma das linhas realmente cotadas produziria lucro positivo, portanto Melhor G, Odd M.G. e P/L M.G. permanecem vazios. O 0 x 0 foi circunstancial: Palmeiras pressionou no campo adversário, acertou a trave e o Internacional finalizou apenas três vezes, priorizando não perder.</t>
  </si>
  <si>
    <t>Náutico x Atlético-GO</t>
  </si>
  <si>
    <t>Green no Over 0,50 @ 1,100: o placar 1 x 1 (2 gols) confirmou a entrada e gerou R$ 0,0500 de lucro. Entre as linhas cotadas, Over 1,25 @ 1,140 teria produzido R$ 0,0700 de lucro, R$ 0,0200 acima do resultado realizado. A entrada deixou 0,75 linha de eficiência potencial.</t>
  </si>
  <si>
    <t>Novorizontino x Juventude</t>
  </si>
  <si>
    <t>Cashout integral no Over 1,00 @ 1,160: retorno bruto de R$ 0,56 sobre stake de R$ 0,50, gerando lucro líquido real de R$ 0,06. O placar final 1 x 0 (1 gol) produziria devolução na linha original Over 1,00. Entre as linhas cotadas, Over 0,50 @ 1,110 teria gerado R$ 0,0550; o cashout realizado foi R$ 0,0050 superior e preservou o acerto integral.</t>
  </si>
  <si>
    <t>Cuiabá x Fortaleza</t>
  </si>
  <si>
    <t>Green no Over 0,50 @ 1,140: o placar 1 x 1 (2 gols) confirmou a entrada e gerou R$ 0,0700 de lucro. Entre as linhas cotadas, Over 1,50 @ 1,600 teria produzido R$ 0,3000 de lucro, R$ 0,2300 acima do resultado realizado. A entrada deixou 1,00 linha de eficiência potencial.</t>
  </si>
  <si>
    <t>Real Potosí x Blooming</t>
  </si>
  <si>
    <t>Green no Over 1,50 @ 1,225: o placar 2 x 0 (2 gols) confirmou a entrada e gerou R$ 0,1125 de lucro. A linha usada já foi o melhor aproveitamento entre as cotações informadas; não houve eficiência adicional disponível.</t>
  </si>
  <si>
    <t>Red Bull Bragantino x Corinthians</t>
  </si>
  <si>
    <t>Green no Over 0,50 @ 1,110: o placar 0 x 2 (2 gols) confirmou a entrada e gerou R$ 0,0550 de lucro. Entre as linhas cotadas, Over 1,25 @ 1,325 teria produzido R$ 0,1625 de lucro, R$ 0,1075 acima do resultado realizado. A entrada deixou 0,75 linha de eficiência potencial.</t>
  </si>
  <si>
    <t>Santos x Athletico-PR</t>
  </si>
  <si>
    <t>Green no Over 1,00 @ 1,105: o placar 0 x 2 (2 gols) confirmou a entrada e gerou R$ 0,0525 de lucro. Entre as linhas cotadas, Over 1,50 @ 1,375 teria produzido R$ 0,1875 de lucro, R$ 0,1350 acima do resultado realizado. A entrada deixou 0,50 linha de eficiência potencial.</t>
  </si>
  <si>
    <t>Flamengo x Vitória</t>
  </si>
  <si>
    <t>Green no Over 1,50 @ 1,180: o placar 2 x 0 (2 gols) confirmou a entrada e gerou R$ 0,0900 de lucro. A linha usada já foi o melhor aproveitamento entre as cotações informadas; não houve eficiência adicional disponível.</t>
  </si>
  <si>
    <t>Oriente Petrolero x Universitario de Vinto</t>
  </si>
  <si>
    <t>5 x 0</t>
  </si>
  <si>
    <t>Green no Over 2,00 @ 1,240: o placar 5 x 0 (5 gols) confirmou a entrada e gerou R$ 0,1200 de lucro. A linha usada já foi o melhor aproveitamento entre as cotações informadas; não houve eficiência adicional disponível.</t>
  </si>
  <si>
    <t>GV San José x Always Ready</t>
  </si>
  <si>
    <t>Green no Over 1,50 @ 1,170: o placar 2 x 3 (5 gols) confirmou a entrada e gerou R$ 0,0850 de lucro. A linha usada já foi o melhor aproveitamento entre as cotações informadas; não houve eficiência adicional disponível.</t>
  </si>
  <si>
    <t>EST-01800</t>
  </si>
  <si>
    <t>Örgryte IS 3 vs 4 AIK</t>
  </si>
  <si>
    <t>Örgryte IS</t>
  </si>
  <si>
    <t>EST-01801</t>
  </si>
  <si>
    <t>AIK 0 vs 3 Örgryte IS</t>
  </si>
  <si>
    <t>EST-01802</t>
  </si>
  <si>
    <t>AIK 2 vs 0 GAIS</t>
  </si>
  <si>
    <t>GAIS</t>
  </si>
  <si>
    <t>EST-01803</t>
  </si>
  <si>
    <t>Mjällby AIF 1 vs 2 AIK</t>
  </si>
  <si>
    <t>Mjällby AIF</t>
  </si>
  <si>
    <t>EST-01804</t>
  </si>
  <si>
    <t>IFK Göteborg 1 vs 2 AIK</t>
  </si>
  <si>
    <t>IFK Göteborg</t>
  </si>
  <si>
    <t>EST-01805</t>
  </si>
  <si>
    <t>AIK 0 vs 3 IK Sirius</t>
  </si>
  <si>
    <t>EST-01806</t>
  </si>
  <si>
    <t>Hammarby IF 1 vs 2 AIK</t>
  </si>
  <si>
    <t>Hammarby IF</t>
  </si>
  <si>
    <t>EST-01807</t>
  </si>
  <si>
    <t>Västerås SK 1 vs 1 AIK</t>
  </si>
  <si>
    <t>Västerås SK</t>
  </si>
  <si>
    <t>EST-01808</t>
  </si>
  <si>
    <t>AIK 2 vs 4 Djurgårdens IF</t>
  </si>
  <si>
    <t>Djurgårdens IF</t>
  </si>
  <si>
    <t>EST-01809</t>
  </si>
  <si>
    <t>IF Elfsborg 1 vs 1 AIK</t>
  </si>
  <si>
    <t>IF Elfsborg</t>
  </si>
  <si>
    <t>EST-01810</t>
  </si>
  <si>
    <t>AIK 0 vs 1 Malmö FF</t>
  </si>
  <si>
    <t>Malmö FF</t>
  </si>
  <si>
    <t>EST-01811</t>
  </si>
  <si>
    <t>Hammarby IF 3 vs 0 BK Häcken</t>
  </si>
  <si>
    <t>EST-01812</t>
  </si>
  <si>
    <t>BK Häcken 1 vs 1 Kalmar FF</t>
  </si>
  <si>
    <t>Kalmar FF</t>
  </si>
  <si>
    <t>EST-01813</t>
  </si>
  <si>
    <t>Halmstads BK 0 vs 2 BK Häcken</t>
  </si>
  <si>
    <t>EST-01814</t>
  </si>
  <si>
    <t>Örgryte IS 4 vs 3 BK Häcken</t>
  </si>
  <si>
    <t>EST-01815</t>
  </si>
  <si>
    <t>BK Häcken 2 vs 4 Djurgårdens IF</t>
  </si>
  <si>
    <t>EST-01816</t>
  </si>
  <si>
    <t>BK Häcken 3 vs 2 Hammarby IF</t>
  </si>
  <si>
    <t>EST-01817</t>
  </si>
  <si>
    <t>IF Elfsborg 1 vs 1 BK Häcken</t>
  </si>
  <si>
    <t>EST-01818</t>
  </si>
  <si>
    <t>Mjällby AIF 0 vs 1 BK Häcken</t>
  </si>
  <si>
    <t>EST-01819</t>
  </si>
  <si>
    <t>BK Häcken 3 vs 2 Malmö FF</t>
  </si>
  <si>
    <t>EST-01820</t>
  </si>
  <si>
    <t>Degerfors IF 1 vs 1 BK Häcken</t>
  </si>
  <si>
    <t>Degerfors IF</t>
  </si>
  <si>
    <t>EST-01821</t>
  </si>
  <si>
    <t>BK Häcken 2 vs 2 IK Sirius</t>
  </si>
  <si>
    <t>EST-01822</t>
  </si>
  <si>
    <t>Malmö FF 1 vs 2 Degerfors IF</t>
  </si>
  <si>
    <t>EST-01823</t>
  </si>
  <si>
    <t>IFK Göteborg 2 vs 0 Degerfors IF</t>
  </si>
  <si>
    <t>EST-01824</t>
  </si>
  <si>
    <t>Degerfors IF 0 vs 1 Djurgårdens IF</t>
  </si>
  <si>
    <t>EST-01825</t>
  </si>
  <si>
    <t>Hammarby IF 4 vs 0 Degerfors IF</t>
  </si>
  <si>
    <t>EST-01826</t>
  </si>
  <si>
    <t>Västerås SK 2 vs 0 Degerfors IF</t>
  </si>
  <si>
    <t>EST-01827</t>
  </si>
  <si>
    <t>Degerfors IF 0 vs 1 Malmö FF</t>
  </si>
  <si>
    <t>EST-01828</t>
  </si>
  <si>
    <t>Degerfors IF 2 vs 2 IF Brommapojkarna</t>
  </si>
  <si>
    <t>IF Brommapojkarna</t>
  </si>
  <si>
    <t>EST-01829</t>
  </si>
  <si>
    <t>Kalmar FF 2 vs 1 Degerfors IF</t>
  </si>
  <si>
    <t>EST-01830</t>
  </si>
  <si>
    <t>GAIS 1 vs 1 Degerfors IF</t>
  </si>
  <si>
    <t>EST-01831</t>
  </si>
  <si>
    <t>Degerfors IF 1 vs 4 Mjällby AIF</t>
  </si>
  <si>
    <t>EST-01832</t>
  </si>
  <si>
    <t>Örgryte IS 1 vs 1 Degerfors IF</t>
  </si>
  <si>
    <t>EST-01833</t>
  </si>
  <si>
    <t>Djurgårdens IF 6 vs 0 Västerås SK</t>
  </si>
  <si>
    <t>EST-01834</t>
  </si>
  <si>
    <t>Örgryte IS 0 vs 0 Djurgårdens IF</t>
  </si>
  <si>
    <t>EST-01835</t>
  </si>
  <si>
    <t>Djurgårdens IF 3 vs 0 Halmstads BK</t>
  </si>
  <si>
    <t>EST-01836</t>
  </si>
  <si>
    <t>Djurgårdens IF 1 vs 2 IF Brommapojkarna</t>
  </si>
  <si>
    <t>EST-01837</t>
  </si>
  <si>
    <t>Djurgårdens IF 2 vs 3 IK Sirius</t>
  </si>
  <si>
    <t>EST-01838</t>
  </si>
  <si>
    <t>Djurgårdens IF 6 vs 0 IFK Göteborg</t>
  </si>
  <si>
    <t>EST-01839</t>
  </si>
  <si>
    <t>Djurgårdens IF 1 vs 1 Hammarby IF</t>
  </si>
  <si>
    <t>EST-01840</t>
  </si>
  <si>
    <t>IF Elfsborg 2 vs 1 Djurgårdens IF</t>
  </si>
  <si>
    <t>EST-01841</t>
  </si>
  <si>
    <t>Djurgårdens IF 0 vs 1 Malmö FF</t>
  </si>
  <si>
    <t>EST-01842</t>
  </si>
  <si>
    <t>Halmstads BK 0 vs 2 GAIS</t>
  </si>
  <si>
    <t>EST-01843</t>
  </si>
  <si>
    <t>GAIS 1 vs 1 Halmstads BK</t>
  </si>
  <si>
    <t>EST-01844</t>
  </si>
  <si>
    <t>GAIS 1 vs 0 IF Elfsborg</t>
  </si>
  <si>
    <t>EST-01845</t>
  </si>
  <si>
    <t>IF Brommapojkarna 1 vs 1 GAIS</t>
  </si>
  <si>
    <t>EST-01846</t>
  </si>
  <si>
    <t>GAIS 3 vs 0 Kalmar FF</t>
  </si>
  <si>
    <t>EST-01847</t>
  </si>
  <si>
    <t>IK Sirius 2 vs 1 GAIS</t>
  </si>
  <si>
    <t>EST-01848</t>
  </si>
  <si>
    <t>GAIS 2 vs 0 Hammarby IF</t>
  </si>
  <si>
    <t>EST-01849</t>
  </si>
  <si>
    <t>Västerås SK 0 vs 1 GAIS</t>
  </si>
  <si>
    <t>EST-01850</t>
  </si>
  <si>
    <t>GAIS 4 vs 0 Örgryte IS</t>
  </si>
  <si>
    <t>EST-01851</t>
  </si>
  <si>
    <t>IFK Göteborg 2 vs 2 GAIS</t>
  </si>
  <si>
    <t>EST-01852</t>
  </si>
  <si>
    <t>Halmstads BK 1 vs 3 Västerås SK</t>
  </si>
  <si>
    <t>2026-07-04|Halmstads BK|Västerås SK</t>
  </si>
  <si>
    <t>EST-01853</t>
  </si>
  <si>
    <t>Malmö FF 5 vs 2 Halmstads BK</t>
  </si>
  <si>
    <t>2026-05-30|Malmö FF|Halmstads BK</t>
  </si>
  <si>
    <t>EST-01854</t>
  </si>
  <si>
    <t>Halmstads BK 2 vs 0 Örgryte IS</t>
  </si>
  <si>
    <t>2026-05-23|Halmstads BK|Örgryte IS</t>
  </si>
  <si>
    <t>EST-01855</t>
  </si>
  <si>
    <t>Halmstads BK 1 vs 1 IF Elfsborg</t>
  </si>
  <si>
    <t>2026-05-16|Halmstads BK|IF Elfsborg</t>
  </si>
  <si>
    <t>EST-01856</t>
  </si>
  <si>
    <t>Kalmar FF 2 vs 0 Halmstads BK</t>
  </si>
  <si>
    <t>2026-05-10|Kalmar FF|Halmstads BK</t>
  </si>
  <si>
    <t>EST-01857</t>
  </si>
  <si>
    <t>Halmstads BK 1 vs 3 IF Brommapojkarna</t>
  </si>
  <si>
    <t>2026-05-04|Halmstads BK|IF Brommapojkarna</t>
  </si>
  <si>
    <t>EST-01858</t>
  </si>
  <si>
    <t>Mjällby AIF 2 vs 0 Halmstads BK</t>
  </si>
  <si>
    <t>2026-04-27|Mjällby AIF|Halmstads BK</t>
  </si>
  <si>
    <t>EST-01859</t>
  </si>
  <si>
    <t>IF Brommapojkarna 1 vs 1 Hammarby IF</t>
  </si>
  <si>
    <t>2026-07-26|IF Brommapojkarna|Hammarby IF</t>
  </si>
  <si>
    <t>EST-01860</t>
  </si>
  <si>
    <t>Hammarby IF 2 vs 0 Kalmar FF</t>
  </si>
  <si>
    <t>2026-07-12|Hammarby IF|Kalmar FF</t>
  </si>
  <si>
    <t>EST-01861</t>
  </si>
  <si>
    <t>IF Elfsborg 1 vs 2 Hammarby IF</t>
  </si>
  <si>
    <t>2026-07-05|IF Elfsborg|Hammarby IF</t>
  </si>
  <si>
    <t>EST-01862</t>
  </si>
  <si>
    <t>Hammarby IF 4 vs 1 Malmö FF</t>
  </si>
  <si>
    <t>2026-05-17|Hammarby IF|Malmö FF</t>
  </si>
  <si>
    <t>EST-01863</t>
  </si>
  <si>
    <t>IFK Göteborg 0 vs 1 Hammarby IF</t>
  </si>
  <si>
    <t>2026-05-09|IFK Göteborg|Hammarby IF</t>
  </si>
  <si>
    <t>EST-01864</t>
  </si>
  <si>
    <t>Hammarby IF 3 vs 0 Västerås SK</t>
  </si>
  <si>
    <t>2026-05-03|Hammarby IF|Västerås SK</t>
  </si>
  <si>
    <t>EST-01865</t>
  </si>
  <si>
    <t>IK Sirius 2 vs 2 IF Brommapojkarna</t>
  </si>
  <si>
    <t>2026-08-10|IK Sirius|IF Brommapojkarna</t>
  </si>
  <si>
    <t>EST-01866</t>
  </si>
  <si>
    <t>IF Brommapojkarna 1 vs 2 Malmö FF</t>
  </si>
  <si>
    <t>2026-08-02|IF Brommapojkarna|Malmö FF</t>
  </si>
  <si>
    <t>EST-01867</t>
  </si>
  <si>
    <t>IFK Göteborg 2 vs 1 IF Brommapojkarna</t>
  </si>
  <si>
    <t>2026-07-17|IFK Göteborg|IF Brommapojkarna</t>
  </si>
  <si>
    <t>EST-01868</t>
  </si>
  <si>
    <t>IF Brommapojkarna 1 vs 2 IK Sirius</t>
  </si>
  <si>
    <t>2026-07-12|IF Brommapojkarna|IK Sirius</t>
  </si>
  <si>
    <t>EST-01869</t>
  </si>
  <si>
    <t>IF Brommapojkarna 1 vs 0 Kalmar FF</t>
  </si>
  <si>
    <t>2026-05-17|IF Brommapojkarna|Kalmar FF</t>
  </si>
  <si>
    <t>EST-01870</t>
  </si>
  <si>
    <t>IF Elfsborg 2 vs 0 IF Brommapojkarna</t>
  </si>
  <si>
    <t>2026-05-08|IF Elfsborg|IF Brommapojkarna</t>
  </si>
  <si>
    <t>EST-01871</t>
  </si>
  <si>
    <t>IF Brommapojkarna 1 vs 2 Västerås SK</t>
  </si>
  <si>
    <t>2026-04-26|IF Brommapojkarna|Västerås SK</t>
  </si>
  <si>
    <t>EST-01872</t>
  </si>
  <si>
    <t>Mjällby AIF 0 vs 1 IF Elfsborg</t>
  </si>
  <si>
    <t>2026-08-08|Mjällby AIF|IF Elfsborg</t>
  </si>
  <si>
    <t>EST-01873</t>
  </si>
  <si>
    <t>Malmö FF 1 vs 2 IF Elfsborg</t>
  </si>
  <si>
    <t>2026-07-26|Malmö FF|IF Elfsborg</t>
  </si>
  <si>
    <t>EST-01874</t>
  </si>
  <si>
    <t>IF Elfsborg 1 vs 3 IK Sirius</t>
  </si>
  <si>
    <t>2026-07-19|IF Elfsborg|IK Sirius</t>
  </si>
  <si>
    <t>EST-01875</t>
  </si>
  <si>
    <t>Örgryte IS 2 vs 2 IF Elfsborg</t>
  </si>
  <si>
    <t>2026-05-29|Örgryte IS|IF Elfsborg</t>
  </si>
  <si>
    <t>EST-01876</t>
  </si>
  <si>
    <t>IF Elfsborg 1 vs 1 Mjällby AIF</t>
  </si>
  <si>
    <t>2026-05-21|IF Elfsborg|Mjällby AIF</t>
  </si>
  <si>
    <t>EST-01877</t>
  </si>
  <si>
    <t>IFK Göteborg 3 vs 2 Kalmar FF</t>
  </si>
  <si>
    <t>2026-08-09|IFK Göteborg|Kalmar FF</t>
  </si>
  <si>
    <t>EST-01878</t>
  </si>
  <si>
    <t>IK Sirius 4 vs 1 IFK Göteborg</t>
  </si>
  <si>
    <t>2026-07-26|IK Sirius|IFK Göteborg</t>
  </si>
  <si>
    <t>EST-01879</t>
  </si>
  <si>
    <t>Malmö FF 4 vs 0 IFK Göteborg</t>
  </si>
  <si>
    <t>2026-07-12|Malmö FF|IFK Göteborg</t>
  </si>
  <si>
    <t>EST-01880</t>
  </si>
  <si>
    <t>Västerås SK 4 vs 5 IFK Göteborg</t>
  </si>
  <si>
    <t>2026-05-31|Västerås SK|IFK Göteborg</t>
  </si>
  <si>
    <t>EST-01881</t>
  </si>
  <si>
    <t>IFK Göteborg 1 vs 1 Mjällby AIF</t>
  </si>
  <si>
    <t>2026-05-25|IFK Göteborg|Mjällby AIF</t>
  </si>
  <si>
    <t>EST-01882</t>
  </si>
  <si>
    <t>Örgryte IS 2 vs 3 IFK Göteborg</t>
  </si>
  <si>
    <t>2026-05-19|Örgryte IS|IFK Göteborg</t>
  </si>
  <si>
    <t>EST-01883</t>
  </si>
  <si>
    <t>IK Sirius 4 vs 4 Mjällby AIF</t>
  </si>
  <si>
    <t>2026-07-03|IK Sirius|Mjällby AIF</t>
  </si>
  <si>
    <t>EST-01884</t>
  </si>
  <si>
    <t>IK Sirius 2 vs 0 Örgryte IS</t>
  </si>
  <si>
    <t>2026-05-11|IK Sirius|Örgryte IS</t>
  </si>
  <si>
    <t>EST-01885</t>
  </si>
  <si>
    <t>IK Sirius 3 vs 2 Kalmar FF</t>
  </si>
  <si>
    <t>2026-05-02|IK Sirius|Kalmar FF</t>
  </si>
  <si>
    <t>EST-01886</t>
  </si>
  <si>
    <t>Kalmar FF 2 vs 1 Mjällby AIF</t>
  </si>
  <si>
    <t>2026-07-25|Kalmar FF|Mjällby AIF</t>
  </si>
  <si>
    <t>EST-01887</t>
  </si>
  <si>
    <t>Kalmar FF 2 vs 2 Malmö FF</t>
  </si>
  <si>
    <t>2026-07-20|Kalmar FF|Malmö FF</t>
  </si>
  <si>
    <t>EST-01888</t>
  </si>
  <si>
    <t>Kalmar FF 3 vs 0 Örgryte IS</t>
  </si>
  <si>
    <t>2026-07-05|Kalmar FF|Örgryte IS</t>
  </si>
  <si>
    <t>EST-01889</t>
  </si>
  <si>
    <t>Kalmar FF 2 vs 1 IF Elfsborg</t>
  </si>
  <si>
    <t>2026-04-27|Kalmar FF|IF Elfsborg</t>
  </si>
  <si>
    <t>EST-01890</t>
  </si>
  <si>
    <t>Malmö FF 2 vs 3 Västerås SK</t>
  </si>
  <si>
    <t>2026-05-24|Malmö FF|Västerås SK</t>
  </si>
  <si>
    <t>EST-01891</t>
  </si>
  <si>
    <t>Mjällby AIF 0 vs 0 Västerås SK</t>
  </si>
  <si>
    <t>2026-07-17|Mjällby AIF|Västerås SK</t>
  </si>
  <si>
    <t>EST-01892</t>
  </si>
  <si>
    <t>Malmö FF 2 vs 3 Mjällby AIF</t>
  </si>
  <si>
    <t>2026-05-03|Malmö FF|Mjällby AIF</t>
  </si>
  <si>
    <t>EST-01893</t>
  </si>
  <si>
    <t>GAIS 0 vs 0 Mjällby AIF</t>
  </si>
  <si>
    <t>2026-04-23|GAIS|Mjällby AIF</t>
  </si>
  <si>
    <t>EST-01894</t>
  </si>
  <si>
    <t>Västerås SK 2 vs 0 Örgryte IS</t>
  </si>
  <si>
    <t>2026-07-24|Västerås SK|Örgryte IS</t>
  </si>
  <si>
    <t>EST-01895</t>
  </si>
  <si>
    <t>Västerås SK 1 vs 0 Djurgårdens IF</t>
  </si>
  <si>
    <t>2026-08-10|Västerås SK|Djurgårdens IF</t>
  </si>
  <si>
    <t>EST-01896</t>
  </si>
  <si>
    <t>Falkenbergs FF 1 vs 1 Nordic United</t>
  </si>
  <si>
    <t>Falkenbergs FF</t>
  </si>
  <si>
    <t>Nordic United</t>
  </si>
  <si>
    <t>2026-08-08|Falkenbergs FF|Nordic United</t>
  </si>
  <si>
    <t>EST-01897</t>
  </si>
  <si>
    <t>Varbergs BoIS FC 2 vs 1 Falkenbergs FF</t>
  </si>
  <si>
    <t>2026-08-01|Varbergs BoIS FC|Falkenbergs FF</t>
  </si>
  <si>
    <t>EST-01898</t>
  </si>
  <si>
    <t>GIF Sundsvall 1 vs 2 Falkenbergs FF</t>
  </si>
  <si>
    <t>2026-07-26|GIF Sundsvall|Falkenbergs FF</t>
  </si>
  <si>
    <t>EST-01899</t>
  </si>
  <si>
    <t>Falkenbergs FF 2 vs 3 Helsingborgs IF</t>
  </si>
  <si>
    <t>Helsingborgs IF</t>
  </si>
  <si>
    <t>2026-07-21|Falkenbergs FF|Helsingborgs IF</t>
  </si>
  <si>
    <t>EST-01900</t>
  </si>
  <si>
    <t>IK Brage 2 vs 4 Falkenbergs FF</t>
  </si>
  <si>
    <t>IK Brage</t>
  </si>
  <si>
    <t>2026-06-26|IK Brage|Falkenbergs FF</t>
  </si>
  <si>
    <t>EST-01901</t>
  </si>
  <si>
    <t>Östers IF 1 vs 3 Falkenbergs FF</t>
  </si>
  <si>
    <t>Östers IF</t>
  </si>
  <si>
    <t>2026-06-21|Östers IF|Falkenbergs FF</t>
  </si>
  <si>
    <t>EST-01902</t>
  </si>
  <si>
    <t>Falkenbergs FF 1 vs 1 Örebro SK</t>
  </si>
  <si>
    <t>Örebro SK</t>
  </si>
  <si>
    <t>2026-06-14|Falkenbergs FF|Örebro SK</t>
  </si>
  <si>
    <t>EST-01903</t>
  </si>
  <si>
    <t>Sandvikens IF 4 vs 2 Falkenbergs FF</t>
  </si>
  <si>
    <t>Sandvikens IF</t>
  </si>
  <si>
    <t>2026-06-09|Sandvikens IF|Falkenbergs FF</t>
  </si>
  <si>
    <t>EST-01904</t>
  </si>
  <si>
    <t>Falkenbergs FF 2 vs 1 IK Oddevold</t>
  </si>
  <si>
    <t>IK Oddevold</t>
  </si>
  <si>
    <t>2026-05-30|Falkenbergs FF|IK Oddevold</t>
  </si>
  <si>
    <t>EST-01905</t>
  </si>
  <si>
    <t>Falkenbergs FF 3 vs 1 IFK Värnamo</t>
  </si>
  <si>
    <t>IFK Värnamo</t>
  </si>
  <si>
    <t>2026-05-23|Falkenbergs FF|IFK Värnamo</t>
  </si>
  <si>
    <t>EST-01906</t>
  </si>
  <si>
    <t>Nordic United 1 vs 4 Falkenbergs FF</t>
  </si>
  <si>
    <t>2026-05-17|Nordic United|Falkenbergs FF</t>
  </si>
  <si>
    <t>EST-01907</t>
  </si>
  <si>
    <t>Falkenbergs FF 0 vs 3 Varbergs BoIS FC</t>
  </si>
  <si>
    <t>2026-05-13|Falkenbergs FF|Varbergs BoIS FC</t>
  </si>
  <si>
    <t>EST-01908</t>
  </si>
  <si>
    <t>Sandvikens IF 5 vs 0 GIF Sundsvall</t>
  </si>
  <si>
    <t>2026-08-01|Sandvikens IF|GIF Sundsvall</t>
  </si>
  <si>
    <t>EST-01909</t>
  </si>
  <si>
    <t>Norrby IF 3 vs 1 GIF Sundsvall</t>
  </si>
  <si>
    <t>Norrby IF</t>
  </si>
  <si>
    <t>2026-07-20|Norrby IF|GIF Sundsvall</t>
  </si>
  <si>
    <t>EST-01910</t>
  </si>
  <si>
    <t>GIF Sundsvall 0 vs 2 Östersunds FK</t>
  </si>
  <si>
    <t>2026-06-27|GIF Sundsvall|Östersunds FK</t>
  </si>
  <si>
    <t>EST-01911</t>
  </si>
  <si>
    <t>Helsingborgs IF 5 vs 2 GIF Sundsvall</t>
  </si>
  <si>
    <t>2026-06-21|Helsingborgs IF|GIF Sundsvall</t>
  </si>
  <si>
    <t>EST-01912</t>
  </si>
  <si>
    <t>GIF Sundsvall 0 vs 4 Östers IF</t>
  </si>
  <si>
    <t>2026-06-15|GIF Sundsvall|Östers IF</t>
  </si>
  <si>
    <t>EST-01913</t>
  </si>
  <si>
    <t>Örebro SK 0 vs 1 GIF Sundsvall</t>
  </si>
  <si>
    <t>2026-06-10|Örebro SK|GIF Sundsvall</t>
  </si>
  <si>
    <t>EST-01914</t>
  </si>
  <si>
    <t>GIF Sundsvall 0 vs 3 Sandvikens IF</t>
  </si>
  <si>
    <t>2026-05-30|GIF Sundsvall|Sandvikens IF</t>
  </si>
  <si>
    <t>EST-01915</t>
  </si>
  <si>
    <t>Varbergs BoIS FC 1 vs 0 GIF Sundsvall</t>
  </si>
  <si>
    <t>2026-05-24|Varbergs BoIS FC|GIF Sundsvall</t>
  </si>
  <si>
    <t>EST-01916</t>
  </si>
  <si>
    <t>GIF Sundsvall 2 vs 1 Landskrona BoIS</t>
  </si>
  <si>
    <t>Landskrona BoIS</t>
  </si>
  <si>
    <t>2026-05-18|GIF Sundsvall|Landskrona BoIS</t>
  </si>
  <si>
    <t>EST-01917</t>
  </si>
  <si>
    <t>Ljungskile SK 1 vs 0 GIF Sundsvall</t>
  </si>
  <si>
    <t>Ljungskile SK</t>
  </si>
  <si>
    <t>2026-05-14|Ljungskile SK|GIF Sundsvall</t>
  </si>
  <si>
    <t>EST-01918</t>
  </si>
  <si>
    <t>IFK Norrköping 2 vs 0 Helsingborgs IF</t>
  </si>
  <si>
    <t>IFK Norrköping</t>
  </si>
  <si>
    <t>2026-08-01|IFK Norrköping|Helsingborgs IF</t>
  </si>
  <si>
    <t>EST-01919</t>
  </si>
  <si>
    <t>Helsingborgs IF 1 vs 1 Nordic United</t>
  </si>
  <si>
    <t>2026-07-28|Helsingborgs IF|Nordic United</t>
  </si>
  <si>
    <t>EST-01920</t>
  </si>
  <si>
    <t>Sandvikens IF 4 vs 2 Helsingborgs IF</t>
  </si>
  <si>
    <t>2026-06-28|Sandvikens IF|Helsingborgs IF</t>
  </si>
  <si>
    <t>EST-01921</t>
  </si>
  <si>
    <t>IFK Värnamo 0 vs 1 Helsingborgs IF</t>
  </si>
  <si>
    <t>2026-06-16|IFK Värnamo|Helsingborgs IF</t>
  </si>
  <si>
    <t>EST-01922</t>
  </si>
  <si>
    <t>Helsingborgs IF 0 vs 3 Landskrona BoIS</t>
  </si>
  <si>
    <t>2026-06-11|Helsingborgs IF|Landskrona BoIS</t>
  </si>
  <si>
    <t>EST-01923</t>
  </si>
  <si>
    <t>Helsingborgs IF 0 vs 2 IFK Norrköping</t>
  </si>
  <si>
    <t>2026-05-31|Helsingborgs IF|IFK Norrköping</t>
  </si>
  <si>
    <t>EST-01924</t>
  </si>
  <si>
    <t>Örebro SK 1 vs 2 Helsingborgs IF</t>
  </si>
  <si>
    <t>2026-05-26|Örebro SK|Helsingborgs IF</t>
  </si>
  <si>
    <t>EST-01925</t>
  </si>
  <si>
    <t>Helsingborgs IF 1 vs 3 Varbergs BoIS FC</t>
  </si>
  <si>
    <t>2026-05-19|Helsingborgs IF|Varbergs BoIS FC</t>
  </si>
  <si>
    <t>EST-01926</t>
  </si>
  <si>
    <t>Helsingborgs IF 2 vs 2 IK Oddevold</t>
  </si>
  <si>
    <t>2026-05-13|Helsingborgs IF|IK Oddevold</t>
  </si>
  <si>
    <t>EST-01928</t>
  </si>
  <si>
    <t>IFK Norrköping 3 vs 0 IK Brage</t>
  </si>
  <si>
    <t>2026-08-08|IFK Norrköping|IK Brage</t>
  </si>
  <si>
    <t>EST-01929</t>
  </si>
  <si>
    <t>Landskrona BoIS 0 vs 1 IFK Norrköping</t>
  </si>
  <si>
    <t>2026-07-28|Landskrona BoIS|IFK Norrköping</t>
  </si>
  <si>
    <t>EST-01930</t>
  </si>
  <si>
    <t>IFK Norrköping 3 vs 0 Sandvikens IF</t>
  </si>
  <si>
    <t>2026-07-19|IFK Norrköping|Sandvikens IF</t>
  </si>
  <si>
    <t>EST-01931</t>
  </si>
  <si>
    <t>IFK Norrköping 0 vs 1 Norrby IF</t>
  </si>
  <si>
    <t>2026-06-28|IFK Norrköping|Norrby IF</t>
  </si>
  <si>
    <t>EST-01932</t>
  </si>
  <si>
    <t>Östersunds FK 0 vs 2 IFK Norrköping</t>
  </si>
  <si>
    <t>2026-06-21|Östersunds FK|IFK Norrköping</t>
  </si>
  <si>
    <t>EST-01933</t>
  </si>
  <si>
    <t>IFK Norrköping 2 vs 0 Varbergs BoIS FC</t>
  </si>
  <si>
    <t>2026-06-15|IFK Norrköping|Varbergs BoIS FC</t>
  </si>
  <si>
    <t>EST-01934</t>
  </si>
  <si>
    <t>IK Oddevold 1 vs 2 IFK Norrköping</t>
  </si>
  <si>
    <t>2026-06-09|IK Oddevold|IFK Norrköping</t>
  </si>
  <si>
    <t>EST-01935</t>
  </si>
  <si>
    <t>IFK Norrköping 2 vs 0 Östers IF</t>
  </si>
  <si>
    <t>2026-05-25|IFK Norrköping|Östers IF</t>
  </si>
  <si>
    <t>EST-01936</t>
  </si>
  <si>
    <t>IK Brage 0 vs 0 IFK Norrköping</t>
  </si>
  <si>
    <t>2026-05-16|IK Brage|IFK Norrköping</t>
  </si>
  <si>
    <t>EST-01937</t>
  </si>
  <si>
    <t>IFK Norrköping 1 vs 1 Nordic United</t>
  </si>
  <si>
    <t>2026-05-13|IFK Norrköping|Nordic United</t>
  </si>
  <si>
    <t>EST-01938</t>
  </si>
  <si>
    <t>Örebro SK 1 vs 3 IFK Värnamo</t>
  </si>
  <si>
    <t>2026-08-03|Örebro SK|IFK Värnamo</t>
  </si>
  <si>
    <t>EST-01939</t>
  </si>
  <si>
    <t>IFK Värnamo 0 vs 0 IK Brage</t>
  </si>
  <si>
    <t>2026-07-25|IFK Värnamo|IK Brage</t>
  </si>
  <si>
    <t>EST-01940</t>
  </si>
  <si>
    <t>IFK Värnamo 2 vs 3 Ljungskile SK</t>
  </si>
  <si>
    <t>2026-07-19|IFK Värnamo|Ljungskile SK</t>
  </si>
  <si>
    <t>EST-01941</t>
  </si>
  <si>
    <t>Landskrona BoIS 1 vs 0 IFK Värnamo</t>
  </si>
  <si>
    <t>2026-06-28|Landskrona BoIS|IFK Värnamo</t>
  </si>
  <si>
    <t>EST-01942</t>
  </si>
  <si>
    <t>IK Brage 5 vs 1 IFK Värnamo</t>
  </si>
  <si>
    <t>2026-06-21|IK Brage|IFK Värnamo</t>
  </si>
  <si>
    <t>EST-01943</t>
  </si>
  <si>
    <t>Östers IF 3 vs 0 IFK Värnamo</t>
  </si>
  <si>
    <t>2026-06-09|Östers IF|IFK Värnamo</t>
  </si>
  <si>
    <t>EST-01944</t>
  </si>
  <si>
    <t>IFK Värnamo 0 vs 2 Nordic United</t>
  </si>
  <si>
    <t>2026-05-31|IFK Värnamo|Nordic United</t>
  </si>
  <si>
    <t>EST-01945</t>
  </si>
  <si>
    <t>IFK Värnamo 2 vs 2 Norrby IF</t>
  </si>
  <si>
    <t>2026-05-17|IFK Värnamo|Norrby IF</t>
  </si>
  <si>
    <t>EST-01946</t>
  </si>
  <si>
    <t>IFK Värnamo 0 vs 1 Örebro SK</t>
  </si>
  <si>
    <t>2026-05-12|IFK Värnamo|Örebro SK</t>
  </si>
  <si>
    <t>EST-01948</t>
  </si>
  <si>
    <t>IK Brage 2 vs 1 Landskrona BoIS</t>
  </si>
  <si>
    <t>2026-08-01|IK Brage|Landskrona BoIS</t>
  </si>
  <si>
    <t>EST-01949</t>
  </si>
  <si>
    <t>Östers IF 3 vs 2 IK Brage</t>
  </si>
  <si>
    <t>2026-07-18|Östers IF|IK Brage</t>
  </si>
  <si>
    <t>EST-01950</t>
  </si>
  <si>
    <t>Sandvikens IF 3 vs 2 IK Brage</t>
  </si>
  <si>
    <t>2026-06-14|Sandvikens IF|IK Brage</t>
  </si>
  <si>
    <t>EST-01951</t>
  </si>
  <si>
    <t>IK Brage 2 vs 2 Ljungskile SK</t>
  </si>
  <si>
    <t>2026-06-09|IK Brage|Ljungskile SK</t>
  </si>
  <si>
    <t>EST-01952</t>
  </si>
  <si>
    <t>Landskrona BoIS 2 vs 2 IK Brage</t>
  </si>
  <si>
    <t>2026-05-30|Landskrona BoIS|IK Brage</t>
  </si>
  <si>
    <t>EST-01953</t>
  </si>
  <si>
    <t>Nordic United 1 vs 0 IK Brage</t>
  </si>
  <si>
    <t>2026-05-23|Nordic United|IK Brage</t>
  </si>
  <si>
    <t>EST-01954</t>
  </si>
  <si>
    <t>IK Brage 2 vs 4 Östersunds FK</t>
  </si>
  <si>
    <t>2026-05-13|IK Brage|Östersunds FK</t>
  </si>
  <si>
    <t>EST-01955</t>
  </si>
  <si>
    <t>Ljungskile SK 0 vs 1 IK Oddevold</t>
  </si>
  <si>
    <t>2026-08-08|Ljungskile SK|IK Oddevold</t>
  </si>
  <si>
    <t>EST-01956</t>
  </si>
  <si>
    <t>IK Oddevold 0 vs 0 Norrby IF</t>
  </si>
  <si>
    <t>2026-07-31|IK Oddevold|Norrby IF</t>
  </si>
  <si>
    <t>EST-01957</t>
  </si>
  <si>
    <t>Örebro SK 0 vs 0 IK Oddevold</t>
  </si>
  <si>
    <t>2026-07-27|Örebro SK|IK Oddevold</t>
  </si>
  <si>
    <t>EST-01958</t>
  </si>
  <si>
    <t>IK Oddevold 2 vs 4 Varbergs BoIS FC</t>
  </si>
  <si>
    <t>2026-07-18|IK Oddevold|Varbergs BoIS FC</t>
  </si>
  <si>
    <t>EST-01959</t>
  </si>
  <si>
    <t>Nordic United 3 vs 3 IK Oddevold</t>
  </si>
  <si>
    <t>2026-06-27|Nordic United|IK Oddevold</t>
  </si>
  <si>
    <t>EST-01960</t>
  </si>
  <si>
    <t>IK Oddevold 0 vs 0 Ljungskile SK</t>
  </si>
  <si>
    <t>2026-06-22|IK Oddevold|Ljungskile SK</t>
  </si>
  <si>
    <t>EST-01961</t>
  </si>
  <si>
    <t>Norrby IF 0 vs 2 IK Oddevold</t>
  </si>
  <si>
    <t>2026-06-14|Norrby IF|IK Oddevold</t>
  </si>
  <si>
    <t>EST-01962</t>
  </si>
  <si>
    <t>IK Oddevold 1 vs 0 Östersunds FK</t>
  </si>
  <si>
    <t>2026-05-23|IK Oddevold|Östersunds FK</t>
  </si>
  <si>
    <t>EST-01963</t>
  </si>
  <si>
    <t>IK Oddevold 4 vs 1 Örebro SK</t>
  </si>
  <si>
    <t>2026-05-18|IK Oddevold|Örebro SK</t>
  </si>
  <si>
    <t>EST-01964</t>
  </si>
  <si>
    <t>Östers IF 0 vs 1 Landskrona BoIS</t>
  </si>
  <si>
    <t>2026-08-08|Östers IF|Landskrona BoIS</t>
  </si>
  <si>
    <t>EST-01965</t>
  </si>
  <si>
    <t>Östersunds FK 2 vs 0 Landskrona BoIS</t>
  </si>
  <si>
    <t>2026-07-18|Östersunds FK|Landskrona BoIS</t>
  </si>
  <si>
    <t>EST-01966</t>
  </si>
  <si>
    <t>Varbergs BoIS FC 2 vs 3 Landskrona BoIS</t>
  </si>
  <si>
    <t>2026-06-22|Varbergs BoIS FC|Landskrona BoIS</t>
  </si>
  <si>
    <t>EST-01967</t>
  </si>
  <si>
    <t>Landskrona BoIS 2 vs 0 Nordic United</t>
  </si>
  <si>
    <t>2026-06-16|Landskrona BoIS|Nordic United</t>
  </si>
  <si>
    <t>EST-01968</t>
  </si>
  <si>
    <t>Sandvikens IF 0 vs 1 Landskrona BoIS</t>
  </si>
  <si>
    <t>2026-05-24|Sandvikens IF|Landskrona BoIS</t>
  </si>
  <si>
    <t>EST-01970</t>
  </si>
  <si>
    <t>Nordic United 2 vs 2 Ljungskile SK</t>
  </si>
  <si>
    <t>2026-08-02|Nordic United|Ljungskile SK</t>
  </si>
  <si>
    <t>EST-01971</t>
  </si>
  <si>
    <t>Ljungskile SK 2 vs 1 Sandvikens IF</t>
  </si>
  <si>
    <t>2026-07-26|Ljungskile SK|Sandvikens IF</t>
  </si>
  <si>
    <t>EST-01972</t>
  </si>
  <si>
    <t>Ljungskile SK 3 vs 2 Örebro SK</t>
  </si>
  <si>
    <t>2026-06-27|Ljungskile SK|Örebro SK</t>
  </si>
  <si>
    <t>EST-01973</t>
  </si>
  <si>
    <t>Ljungskile SK 1 vs 1 Östersunds FK</t>
  </si>
  <si>
    <t>2026-06-14|Ljungskile SK|Östersunds FK</t>
  </si>
  <si>
    <t>EST-01974</t>
  </si>
  <si>
    <t>Ljungskile SK 1 vs 3 Varbergs BoIS FC</t>
  </si>
  <si>
    <t>2026-05-30|Ljungskile SK|Varbergs BoIS FC</t>
  </si>
  <si>
    <t>EST-01975</t>
  </si>
  <si>
    <t>Norrby IF 2 vs 1 Ljungskile SK</t>
  </si>
  <si>
    <t>2026-05-23|Norrby IF|Ljungskile SK</t>
  </si>
  <si>
    <t>EST-01976</t>
  </si>
  <si>
    <t>Östers IF 1 vs 4 Ljungskile SK</t>
  </si>
  <si>
    <t>2026-05-17|Östers IF|Ljungskile SK</t>
  </si>
  <si>
    <t>EST-01977</t>
  </si>
  <si>
    <t>Nordic United 2 vs 0 Örebro SK</t>
  </si>
  <si>
    <t>2026-07-19|Nordic United|Örebro SK</t>
  </si>
  <si>
    <t>EST-01978</t>
  </si>
  <si>
    <t>Norrby IF 0 vs 0 Nordic United</t>
  </si>
  <si>
    <t>2026-06-21|Norrby IF|Nordic United</t>
  </si>
  <si>
    <t>EST-01979</t>
  </si>
  <si>
    <t>Nordic United 1 vs 1 Östersunds FK</t>
  </si>
  <si>
    <t>2026-06-09|Nordic United|Östersunds FK</t>
  </si>
  <si>
    <t>EST-01980</t>
  </si>
  <si>
    <t>Norrby IF 3 vs 1 Örebro SK</t>
  </si>
  <si>
    <t>2026-08-10|Norrby IF|Örebro SK</t>
  </si>
  <si>
    <t>EST-01981</t>
  </si>
  <si>
    <t>Norrby IF 2 vs 2 Östersunds FK</t>
  </si>
  <si>
    <t>2026-07-26|Norrby IF|Östersunds FK</t>
  </si>
  <si>
    <t>EST-01982</t>
  </si>
  <si>
    <t>Varbergs BoIS FC 2 vs 0 Norrby IF</t>
  </si>
  <si>
    <t>2026-06-10|Varbergs BoIS FC|Norrby IF</t>
  </si>
  <si>
    <t>EST-01983</t>
  </si>
  <si>
    <t>Östers IF 2 vs 1 Norrby IF</t>
  </si>
  <si>
    <t>2026-05-30|Östers IF|Norrby IF</t>
  </si>
  <si>
    <t>EST-01984</t>
  </si>
  <si>
    <t>Landskrona BoIS 1 vs 1 Norrby IF</t>
  </si>
  <si>
    <t>2026-05-12|Landskrona BoIS|Norrby IF</t>
  </si>
  <si>
    <t>EST-01985</t>
  </si>
  <si>
    <t>Varbergs BoIS FC 0 vs 1 Sandvikens IF</t>
  </si>
  <si>
    <t>2026-08-09|Varbergs BoIS FC|Sandvikens IF</t>
  </si>
  <si>
    <t>EST-01986</t>
  </si>
  <si>
    <t>Örebro SK 1 vs 1 Sandvikens IF</t>
  </si>
  <si>
    <t>2026-06-22|Örebro SK|Sandvikens IF</t>
  </si>
  <si>
    <t>EST-01987</t>
  </si>
  <si>
    <t>Östersunds FK 2 vs 1 Sandvikens IF</t>
  </si>
  <si>
    <t>2026-05-17|Östersunds FK|Sandvikens IF</t>
  </si>
  <si>
    <t>EST-01988</t>
  </si>
  <si>
    <t>Östers IF 1 vs 0 Sandvikens IF</t>
  </si>
  <si>
    <t>2026-05-13|Östers IF|Sandvikens IF</t>
  </si>
  <si>
    <t>Östers IF 3 vs 0 Varbergs BoIS FC</t>
  </si>
  <si>
    <t>EST-01989</t>
  </si>
  <si>
    <t>Östersunds FK 1 vs 0 Östers IF</t>
  </si>
  <si>
    <t>2026-08-01|Östersunds FK|Östers IF</t>
  </si>
  <si>
    <t>EST-01990</t>
  </si>
  <si>
    <t>Varbergs BoIS FC 2 vs 1 Östers IF</t>
  </si>
  <si>
    <t>2026-06-27|Varbergs BoIS FC|Östers IF</t>
  </si>
  <si>
    <t>EST-01991</t>
  </si>
  <si>
    <t>Östersunds FK 3 vs 2 Örebro SK</t>
  </si>
  <si>
    <t>2026-05-31|Östersunds FK|Örebro SK</t>
  </si>
  <si>
    <t>2026-07-27|Östers IF|Varbergs BoIS FC</t>
  </si>
  <si>
    <t>FC Rosengård 4 vs 2 Jönköpings Södra IF</t>
  </si>
  <si>
    <t>FC Rosengård</t>
  </si>
  <si>
    <t>Jönköpings Södra IF</t>
  </si>
  <si>
    <t>2026-08-02|FC Rosengård|Jönköpings Södra IF</t>
  </si>
  <si>
    <t>EST-01992</t>
  </si>
  <si>
    <t>EST-01993</t>
  </si>
  <si>
    <t>Ängelholms FF</t>
  </si>
  <si>
    <t>EST-01994</t>
  </si>
  <si>
    <t>EST-01995</t>
  </si>
  <si>
    <t>BK Olympic</t>
  </si>
  <si>
    <t>EST-01996</t>
  </si>
  <si>
    <t>EST-01997</t>
  </si>
  <si>
    <t>Eskilsminne IF</t>
  </si>
  <si>
    <t>EST-01998</t>
  </si>
  <si>
    <t>Laholms FK</t>
  </si>
  <si>
    <t>EST-01999</t>
  </si>
  <si>
    <t>Skövde AIK</t>
  </si>
  <si>
    <t>EST-02000</t>
  </si>
  <si>
    <t>Tvååkers IF</t>
  </si>
  <si>
    <t>EST-02001</t>
  </si>
  <si>
    <t>FC Trollhättan</t>
  </si>
  <si>
    <t>EST-02002</t>
  </si>
  <si>
    <t>Hässleholms IF</t>
  </si>
  <si>
    <t>EST-02003</t>
  </si>
  <si>
    <t>Utsiktens BK</t>
  </si>
  <si>
    <t>EST-02004</t>
  </si>
  <si>
    <t>Jönköpings Södra IF 2 vs 0 BK Olympic</t>
  </si>
  <si>
    <t>2026-08-09|Jönköpings Södra IF|BK Olympic</t>
  </si>
  <si>
    <t>EST-02005</t>
  </si>
  <si>
    <t>BK Olympic 3 vs 1 Skövde AIK</t>
  </si>
  <si>
    <t>2026-08-01|BK Olympic|Skövde AIK</t>
  </si>
  <si>
    <t>EST-02006</t>
  </si>
  <si>
    <t>BK Olympic 2 vs 1 Eskilsminne IF</t>
  </si>
  <si>
    <t>2026-06-28|BK Olympic|Eskilsminne IF</t>
  </si>
  <si>
    <t>EST-02007</t>
  </si>
  <si>
    <t>BK Olympic 3 vs 2 Laholms FK</t>
  </si>
  <si>
    <t>2026-06-13|BK Olympic|Laholms FK</t>
  </si>
  <si>
    <t>EST-02008</t>
  </si>
  <si>
    <t>Ängelholms FF 1 vs 1 BK Olympic</t>
  </si>
  <si>
    <t>2026-06-08|Ängelholms FF|BK Olympic</t>
  </si>
  <si>
    <t>EST-02009</t>
  </si>
  <si>
    <t>BK Olympic 1 vs 3 Lunds BK</t>
  </si>
  <si>
    <t>2026-06-03|BK Olympic|Lunds BK</t>
  </si>
  <si>
    <t>EST-02010</t>
  </si>
  <si>
    <t>FC Rosengård 2 vs 1 BK Olympic</t>
  </si>
  <si>
    <t>2026-05-23|FC Rosengård|BK Olympic</t>
  </si>
  <si>
    <t>EST-02011</t>
  </si>
  <si>
    <t>BK Olympic 2 vs 3 Åtvidabergs FF</t>
  </si>
  <si>
    <t>Åtvidabergs FF</t>
  </si>
  <si>
    <t>2026-05-17|BK Olympic|Åtvidabergs FF</t>
  </si>
  <si>
    <t>EST-02012</t>
  </si>
  <si>
    <t>Tvååkers IF 1 vs 0 BK Olympic</t>
  </si>
  <si>
    <t>2026-05-14|Tvååkers IF|BK Olympic</t>
  </si>
  <si>
    <t>EST-02013</t>
  </si>
  <si>
    <t>BK Olympic 2 vs 0 Kristianstad FC</t>
  </si>
  <si>
    <t>Kristianstad FC</t>
  </si>
  <si>
    <t>2026-05-09|BK Olympic|Kristianstad FC</t>
  </si>
  <si>
    <t>EST-02014</t>
  </si>
  <si>
    <t>Trelleborgs FF 2 vs 1 BK Olympic</t>
  </si>
  <si>
    <t>2026-05-02|Trelleborgs FF|BK Olympic</t>
  </si>
  <si>
    <t>EST-02015</t>
  </si>
  <si>
    <t>Eskilsminne IF 0 vs 0 FC Rosengård</t>
  </si>
  <si>
    <t>2026-08-08|Eskilsminne IF|FC Rosengård</t>
  </si>
  <si>
    <t>EST-02016</t>
  </si>
  <si>
    <t>Eskilsminne IF 3 vs 2 Kristianstad FC</t>
  </si>
  <si>
    <t>2026-07-01|Eskilsminne IF|Kristianstad FC</t>
  </si>
  <si>
    <t>EST-02017</t>
  </si>
  <si>
    <t>Eskilsminne IF 2 vs 0 FC Trollhättan</t>
  </si>
  <si>
    <t>2026-06-18|Eskilsminne IF|FC Trollhättan</t>
  </si>
  <si>
    <t>EST-02018</t>
  </si>
  <si>
    <t>Åtvidabergs FF 4 vs 0 Eskilsminne IF</t>
  </si>
  <si>
    <t>2026-06-13|Åtvidabergs FF|Eskilsminne IF</t>
  </si>
  <si>
    <t>EST-02019</t>
  </si>
  <si>
    <t>Eskilsminne IF 2 vs 3 Trelleborgs FF</t>
  </si>
  <si>
    <t>2026-05-30|Eskilsminne IF|Trelleborgs FF</t>
  </si>
  <si>
    <t>EST-02020</t>
  </si>
  <si>
    <t>Lunds BK 4 vs 2 Eskilsminne IF</t>
  </si>
  <si>
    <t>2026-05-22|Lunds BK|Eskilsminne IF</t>
  </si>
  <si>
    <t>EST-02021</t>
  </si>
  <si>
    <t>Eskilsminne IF 1 vs 1 Skövde AIK</t>
  </si>
  <si>
    <t>2026-05-17|Eskilsminne IF|Skövde AIK</t>
  </si>
  <si>
    <t>EST-02022</t>
  </si>
  <si>
    <t>Hässleholms IF 1 vs 3 Eskilsminne IF</t>
  </si>
  <si>
    <t>2026-05-13|Hässleholms IF|Eskilsminne IF</t>
  </si>
  <si>
    <t>EST-02023</t>
  </si>
  <si>
    <t>Eskilsminne IF 4 vs 0 Utsiktens BK</t>
  </si>
  <si>
    <t>2026-05-09|Eskilsminne IF|Utsiktens BK</t>
  </si>
  <si>
    <t>EST-02024</t>
  </si>
  <si>
    <t>Eskilsminne IF 0 vs 6 Ängelholms FF</t>
  </si>
  <si>
    <t>2026-05-01|Eskilsminne IF|Ängelholms FF</t>
  </si>
  <si>
    <t>EST-02025</t>
  </si>
  <si>
    <t>Åtvidabergs FF 3 vs 3 FC Rosengård</t>
  </si>
  <si>
    <t>2026-06-27|Åtvidabergs FF|FC Rosengård</t>
  </si>
  <si>
    <t>EST-02026</t>
  </si>
  <si>
    <t>Trelleborgs FF 3 vs 2 FC Rosengård</t>
  </si>
  <si>
    <t>2026-06-18|Trelleborgs FF|FC Rosengård</t>
  </si>
  <si>
    <t>EST-02027</t>
  </si>
  <si>
    <t>FC Rosengård 3 vs 0 Skövde AIK</t>
  </si>
  <si>
    <t>2026-06-14|FC Rosengård|Skövde AIK</t>
  </si>
  <si>
    <t>EST-02028</t>
  </si>
  <si>
    <t>Utsiktens BK 0 vs 1 FC Rosengård</t>
  </si>
  <si>
    <t>2026-06-08|Utsiktens BK|FC Rosengård</t>
  </si>
  <si>
    <t>EST-02029</t>
  </si>
  <si>
    <t>FC Rosengård 1 vs 2 Ängelholms FF</t>
  </si>
  <si>
    <t>2026-06-02|FC Rosengård|Ängelholms FF</t>
  </si>
  <si>
    <t>EST-02030</t>
  </si>
  <si>
    <t>Laholms FK 1 vs 3 FC Rosengård</t>
  </si>
  <si>
    <t>2026-05-18|Laholms FK|FC Rosengård</t>
  </si>
  <si>
    <t>EST-02031</t>
  </si>
  <si>
    <t>Kristianstad FC 1 vs 2 FC Rosengård</t>
  </si>
  <si>
    <t>2026-05-13|Kristianstad FC|FC Rosengård</t>
  </si>
  <si>
    <t>EST-02032</t>
  </si>
  <si>
    <t>FC Rosengård 0 vs 1 Tvååkers IF</t>
  </si>
  <si>
    <t>2026-05-09|FC Rosengård|Tvååkers IF</t>
  </si>
  <si>
    <t>EST-02033</t>
  </si>
  <si>
    <t>FC Trollhättan 0 vs 2 FC Rosengård</t>
  </si>
  <si>
    <t>2026-05-02|FC Trollhättan|FC Rosengård</t>
  </si>
  <si>
    <t>EST-02034</t>
  </si>
  <si>
    <t>FC Trollhättan 0 vs 1 Laholms FK</t>
  </si>
  <si>
    <t>2026-08-08|FC Trollhättan|Laholms FK</t>
  </si>
  <si>
    <t>EST-02035</t>
  </si>
  <si>
    <t>Laholms FK 0 vs 1 FC Trollhättan</t>
  </si>
  <si>
    <t>2026-08-01|Laholms FK|FC Trollhättan</t>
  </si>
  <si>
    <t>EST-02036</t>
  </si>
  <si>
    <t>FC Trollhättan 1 vs 1 Ängelholms FF</t>
  </si>
  <si>
    <t>2026-06-27|FC Trollhättan|Ängelholms FF</t>
  </si>
  <si>
    <t>EST-02037</t>
  </si>
  <si>
    <t>FC Trollhättan 1 vs 1 Kristianstad FC</t>
  </si>
  <si>
    <t>2026-06-13|FC Trollhättan|Kristianstad FC</t>
  </si>
  <si>
    <t>EST-02038</t>
  </si>
  <si>
    <t>Jönköpings Södra IF 4 vs 1 FC Trollhättan</t>
  </si>
  <si>
    <t>2026-06-06|Jönköpings Södra IF|FC Trollhättan</t>
  </si>
  <si>
    <t>EST-02039</t>
  </si>
  <si>
    <t>FC Trollhättan 3 vs 3 Åtvidabergs FF</t>
  </si>
  <si>
    <t>2026-05-30|FC Trollhättan|Åtvidabergs FF</t>
  </si>
  <si>
    <t>EST-02040</t>
  </si>
  <si>
    <t>Tvååkers IF 1 vs 1 FC Trollhättan</t>
  </si>
  <si>
    <t>2026-05-23|Tvååkers IF|FC Trollhättan</t>
  </si>
  <si>
    <t>EST-02041</t>
  </si>
  <si>
    <t>Trelleborgs FF 2 vs 2 FC Trollhättan</t>
  </si>
  <si>
    <t>2026-05-17|Trelleborgs FF|FC Trollhättan</t>
  </si>
  <si>
    <t>EST-02042</t>
  </si>
  <si>
    <t>FC Trollhättan 1 vs 1 Lunds BK</t>
  </si>
  <si>
    <t>2026-05-09|FC Trollhättan|Lunds BK</t>
  </si>
  <si>
    <t>EST-02043</t>
  </si>
  <si>
    <t>Utsiktens BK 0 vs 2 Hässleholms IF</t>
  </si>
  <si>
    <t>2026-08-08|Utsiktens BK|Hässleholms IF</t>
  </si>
  <si>
    <t>EST-02044</t>
  </si>
  <si>
    <t>Hässleholms IF 2 vs 0 Åtvidabergs FF</t>
  </si>
  <si>
    <t>2026-08-01|Hässleholms IF|Åtvidabergs FF</t>
  </si>
  <si>
    <t>EST-02045</t>
  </si>
  <si>
    <t>Hässleholms IF 4 vs 2 Tvååkers IF</t>
  </si>
  <si>
    <t>2026-06-26|Hässleholms IF|Tvååkers IF</t>
  </si>
  <si>
    <t>EST-02046</t>
  </si>
  <si>
    <t>Skövde AIK 2 vs 2 Hässleholms IF</t>
  </si>
  <si>
    <t>2026-06-18|Skövde AIK|Hässleholms IF</t>
  </si>
  <si>
    <t>EST-02047</t>
  </si>
  <si>
    <t>Hässleholms IF 0 vs 2 Trelleborgs FF</t>
  </si>
  <si>
    <t>2026-06-14|Hässleholms IF|Trelleborgs FF</t>
  </si>
  <si>
    <t>EST-02048</t>
  </si>
  <si>
    <t>Laholms FK 1 vs 2 Hässleholms IF</t>
  </si>
  <si>
    <t>2026-06-04|Laholms FK|Hässleholms IF</t>
  </si>
  <si>
    <t>EST-02049</t>
  </si>
  <si>
    <t>Hässleholms IF 3 vs 0 Utsiktens BK</t>
  </si>
  <si>
    <t>2026-05-30|Hässleholms IF|Utsiktens BK</t>
  </si>
  <si>
    <t>EST-02050</t>
  </si>
  <si>
    <t>Kristianstad FC 1 vs 3 Hässleholms IF</t>
  </si>
  <si>
    <t>2026-05-22|Kristianstad FC|Hässleholms IF</t>
  </si>
  <si>
    <t>EST-02051</t>
  </si>
  <si>
    <t>Jönköpings Södra IF 2 vs 0 Hässleholms IF</t>
  </si>
  <si>
    <t>2026-05-17|Jönköpings Södra IF|Hässleholms IF</t>
  </si>
  <si>
    <t>EST-02052</t>
  </si>
  <si>
    <t>Hässleholms IF 0 vs 1 Lunds BK</t>
  </si>
  <si>
    <t>2026-05-01|Hässleholms IF|Lunds BK</t>
  </si>
  <si>
    <t>EST-02053</t>
  </si>
  <si>
    <t>Jönköpings Södra IF 0 vs 0 Lunds BK</t>
  </si>
  <si>
    <t>2026-06-18|Jönköpings Södra IF|Lunds BK</t>
  </si>
  <si>
    <t>EST-02054</t>
  </si>
  <si>
    <t>Tvååkers IF 2 vs 1 Jönköpings Södra IF</t>
  </si>
  <si>
    <t>2026-06-13|Tvååkers IF|Jönköpings Södra IF</t>
  </si>
  <si>
    <t>EST-02055</t>
  </si>
  <si>
    <t>Skövde AIK 1 vs 0 Jönköpings Södra IF</t>
  </si>
  <si>
    <t>2026-06-01|Skövde AIK|Jönköpings Södra IF</t>
  </si>
  <si>
    <t>EST-02056</t>
  </si>
  <si>
    <t>Jönköpings Södra IF 3 vs 0 Ängelholms FF</t>
  </si>
  <si>
    <t>2026-05-24|Jönköpings Södra IF|Ängelholms FF</t>
  </si>
  <si>
    <t>EST-02057</t>
  </si>
  <si>
    <t>Trelleborgs FF 1 vs 1 Jönköpings Södra IF</t>
  </si>
  <si>
    <t>2026-05-14|Trelleborgs FF|Jönköpings Södra IF</t>
  </si>
  <si>
    <t>EST-02058</t>
  </si>
  <si>
    <t>Jönköpings Södra IF 2 vs 1 Laholms FK</t>
  </si>
  <si>
    <t>2026-05-10|Jönköpings Södra IF|Laholms FK</t>
  </si>
  <si>
    <t>EST-02059</t>
  </si>
  <si>
    <t>Jönköpings Södra IF 3 vs 0 Kristianstad FC</t>
  </si>
  <si>
    <t>2026-05-02|Jönköpings Södra IF|Kristianstad FC</t>
  </si>
  <si>
    <t>EST-02060</t>
  </si>
  <si>
    <t>Kristianstad FC 1 vs 0 Ängelholms FF</t>
  </si>
  <si>
    <t>2026-08-07|Kristianstad FC|Ängelholms FF</t>
  </si>
  <si>
    <t>EST-02061</t>
  </si>
  <si>
    <t>Kristianstad FC 0 vs 0 Trelleborgs FF</t>
  </si>
  <si>
    <t>2026-06-26|Kristianstad FC|Trelleborgs FF</t>
  </si>
  <si>
    <t>EST-02062</t>
  </si>
  <si>
    <t>Kristianstad FC 0 vs 3 Laholms FK</t>
  </si>
  <si>
    <t>2026-06-21|Kristianstad FC|Laholms FK</t>
  </si>
  <si>
    <t>EST-02063</t>
  </si>
  <si>
    <t>Kristianstad FC 1 vs 1 Lunds BK</t>
  </si>
  <si>
    <t>2026-06-07|Kristianstad FC|Lunds BK</t>
  </si>
  <si>
    <t>EST-02064</t>
  </si>
  <si>
    <t>Tvååkers IF 1 vs 2 Kristianstad FC</t>
  </si>
  <si>
    <t>2026-05-30|Tvååkers IF|Kristianstad FC</t>
  </si>
  <si>
    <t>EST-02065</t>
  </si>
  <si>
    <t>Ängelholms FF 0 vs 1 Kristianstad FC</t>
  </si>
  <si>
    <t>2026-05-18|Ängelholms FF|Kristianstad FC</t>
  </si>
  <si>
    <t>EST-02066</t>
  </si>
  <si>
    <t>Laholms FK 3 vs 1 Utsiktens BK</t>
  </si>
  <si>
    <t>2026-06-27|Laholms FK|Utsiktens BK</t>
  </si>
  <si>
    <t>EST-02067</t>
  </si>
  <si>
    <t>Åtvidabergs FF 3 vs 1 Laholms FK</t>
  </si>
  <si>
    <t>2026-05-24|Åtvidabergs FF|Laholms FK</t>
  </si>
  <si>
    <t>EST-02068</t>
  </si>
  <si>
    <t>Laholms FK 4 vs 3 Lunds BK</t>
  </si>
  <si>
    <t>2026-05-13|Laholms FK|Lunds BK</t>
  </si>
  <si>
    <t>EST-02069</t>
  </si>
  <si>
    <t>Tvååkers IF 1 vs 2 Laholms FK</t>
  </si>
  <si>
    <t>2026-05-02|Tvååkers IF|Laholms FK</t>
  </si>
  <si>
    <t>EST-02070</t>
  </si>
  <si>
    <t>Skövde AIK 1 vs 1 Lunds BK</t>
  </si>
  <si>
    <t>2026-08-08|Skövde AIK|Lunds BK</t>
  </si>
  <si>
    <t>EST-02071</t>
  </si>
  <si>
    <t>Lunds BK 2 vs 1 Skövde AIK</t>
  </si>
  <si>
    <t>2026-06-27|Lunds BK|Skövde AIK</t>
  </si>
  <si>
    <t>EST-02072</t>
  </si>
  <si>
    <t>Lunds BK 5 vs 0 Utsiktens BK</t>
  </si>
  <si>
    <t>2026-05-17|Lunds BK|Utsiktens BK</t>
  </si>
  <si>
    <t>EST-02073</t>
  </si>
  <si>
    <t>Trelleborgs FF 4 vs 0 Skövde AIK</t>
  </si>
  <si>
    <t>2026-06-07|Trelleborgs FF|Skövde AIK</t>
  </si>
  <si>
    <t>EST-02074</t>
  </si>
  <si>
    <t>Utsiktens BK 2 vs 3 Skövde AIK</t>
  </si>
  <si>
    <t>2026-05-13|Utsiktens BK|Skövde AIK</t>
  </si>
  <si>
    <t>EST-02075</t>
  </si>
  <si>
    <t>Skövde AIK 1 vs 1 Ängelholms FF</t>
  </si>
  <si>
    <t>2026-05-09|Skövde AIK|Ängelholms FF</t>
  </si>
  <si>
    <t>EST-02076</t>
  </si>
  <si>
    <t>Skövde AIK 0 vs 0 Åtvidabergs FF</t>
  </si>
  <si>
    <t>2026-05-02|Skövde AIK|Åtvidabergs FF</t>
  </si>
  <si>
    <t>EST-02077</t>
  </si>
  <si>
    <t>Utsiktens BK 0 vs 0 Trelleborgs FF</t>
  </si>
  <si>
    <t>2026-05-23|Utsiktens BK|Trelleborgs FF</t>
  </si>
  <si>
    <t>EST-02078</t>
  </si>
  <si>
    <t>Åtvidabergs FF 1 vs 2 Trelleborgs FF</t>
  </si>
  <si>
    <t>2026-05-10|Åtvidabergs FF|Trelleborgs FF</t>
  </si>
  <si>
    <t>EST-02079</t>
  </si>
  <si>
    <t>Tvååkers IF 1 vs 2 Åtvidabergs FF</t>
  </si>
  <si>
    <t>2026-08-08|Tvååkers IF|Åtvidabergs FF</t>
  </si>
  <si>
    <t>EST-02080</t>
  </si>
  <si>
    <t>Tvååkers IF 2 vs 2 Utsiktens BK</t>
  </si>
  <si>
    <t>2026-08-01|Tvååkers IF|Utsiktens BK</t>
  </si>
  <si>
    <t>EST-02081</t>
  </si>
  <si>
    <t>Tvååkers IF 3 vs 2 Ängelholms FF</t>
  </si>
  <si>
    <t>2026-06-18|Tvååkers IF|Ängelholms FF</t>
  </si>
  <si>
    <t>EST-02082</t>
  </si>
  <si>
    <t>Utsiktens BK 0 vs 3 Åtvidabergs FF</t>
  </si>
  <si>
    <t>2026-06-17|Utsiktens BK|Åtvidabergs FF</t>
  </si>
  <si>
    <t>EST-02083</t>
  </si>
  <si>
    <t>Ängelholms FF 4 vs 2 Utsiktens BK</t>
  </si>
  <si>
    <t>2026-06-13|Ängelholms FF|Utsiktens BK</t>
  </si>
  <si>
    <t>EST-02084</t>
  </si>
  <si>
    <t>Åtvidabergs FF 2 vs 2 Tvååkers IF</t>
  </si>
  <si>
    <t>2026-06-07|Åtvidabergs FF|Tvååkers IF</t>
  </si>
  <si>
    <t>EST-02085</t>
  </si>
  <si>
    <t>Ängelholms FF 2 vs 2 Åtvidabergs FF</t>
  </si>
  <si>
    <t>2026-05-14|Ängelholms FF|Åtvidabergs FF</t>
  </si>
  <si>
    <t>FBK Karlstad 0 vs 2 Assyriska FF</t>
  </si>
  <si>
    <t>Assyriska FF</t>
  </si>
  <si>
    <t>2026-08-01|FBK Karlstad|Assyriska FF</t>
  </si>
  <si>
    <t>EST-02086</t>
  </si>
  <si>
    <t>Umeå FC 1 vs 3 AFC Eskilstuna</t>
  </si>
  <si>
    <t>2026-08-09|Umeå FC|AFC Eskilstuna</t>
  </si>
  <si>
    <t>EST-02087</t>
  </si>
  <si>
    <t>Sollentuna FK 1 vs 4 AFC Eskilstuna</t>
  </si>
  <si>
    <t>2026-06-26|Sollentuna FK|AFC Eskilstuna</t>
  </si>
  <si>
    <t>EST-02088</t>
  </si>
  <si>
    <t>Piteå IF 2 vs 2 AFC Eskilstuna</t>
  </si>
  <si>
    <t>Piteå IF</t>
  </si>
  <si>
    <t>2026-06-21|Piteå IF|AFC Eskilstuna</t>
  </si>
  <si>
    <t>EST-02089</t>
  </si>
  <si>
    <t>AFC Eskilstuna 1 vs 0 Assyriska FF</t>
  </si>
  <si>
    <t>2026-06-14|AFC Eskilstuna|Assyriska FF</t>
  </si>
  <si>
    <t>EST-02090</t>
  </si>
  <si>
    <t>AFC Eskilstuna 3 vs 2 Karlbergs BK</t>
  </si>
  <si>
    <t>2026-06-04|AFC Eskilstuna|Karlbergs BK</t>
  </si>
  <si>
    <t>EST-02091</t>
  </si>
  <si>
    <t>Hammarby TFF 1 vs 2 AFC Eskilstuna</t>
  </si>
  <si>
    <t>Hammarby TFF</t>
  </si>
  <si>
    <t>2026-05-30|Hammarby TFF|AFC Eskilstuna</t>
  </si>
  <si>
    <t>EST-02092</t>
  </si>
  <si>
    <t>AFC Eskilstuna 0 vs 3 Vasalunds IF</t>
  </si>
  <si>
    <t>2026-05-24|AFC Eskilstuna|Vasalunds IF</t>
  </si>
  <si>
    <t>EST-02093</t>
  </si>
  <si>
    <t>AFC Eskilstuna 0 vs 0 FC Arlanda</t>
  </si>
  <si>
    <t>FC Arlanda</t>
  </si>
  <si>
    <t>2026-05-18|AFC Eskilstuna|FC Arlanda</t>
  </si>
  <si>
    <t>EST-02094</t>
  </si>
  <si>
    <t>FC Stockholm Internazionale 0 vs 2 AFC Eskilstuna</t>
  </si>
  <si>
    <t>2026-05-13|FC Stockholm Internazionale|AFC Eskilstuna</t>
  </si>
  <si>
    <t>EST-02095</t>
  </si>
  <si>
    <t>Enköpings SK 2 vs 1 AFC Eskilstuna</t>
  </si>
  <si>
    <t>2026-05-08|Enköpings SK|AFC Eskilstuna</t>
  </si>
  <si>
    <t>EST-02096</t>
  </si>
  <si>
    <t>AFC Eskilstuna 0 vs 2 FBK Karlstad</t>
  </si>
  <si>
    <t>2026-05-02|AFC Eskilstuna|FBK Karlstad</t>
  </si>
  <si>
    <t>EST-02097</t>
  </si>
  <si>
    <t>Assyriska FF 3 vs 0 Sollentuna FK</t>
  </si>
  <si>
    <t>2026-08-09|Assyriska FF|Sollentuna FK</t>
  </si>
  <si>
    <t>EST-02098</t>
  </si>
  <si>
    <t>Assyriska FF 3 vs 1 Vasalunds IF</t>
  </si>
  <si>
    <t>2026-06-26|Assyriska FF|Vasalunds IF</t>
  </si>
  <si>
    <t>EST-02099</t>
  </si>
  <si>
    <t>Assyriska FF 2 vs 2 IF Karlstad Fotboll</t>
  </si>
  <si>
    <t>IF Karlstad Fotboll</t>
  </si>
  <si>
    <t>2026-06-21|Assyriska FF|IF Karlstad Fotboll</t>
  </si>
  <si>
    <t>EST-02100</t>
  </si>
  <si>
    <t>FC Arlanda 2 vs 0 Assyriska FF</t>
  </si>
  <si>
    <t>2026-06-07|FC Arlanda|Assyriska FF</t>
  </si>
  <si>
    <t>EST-02101</t>
  </si>
  <si>
    <t>Assyriska FF 4 vs 2 Enköpings SK</t>
  </si>
  <si>
    <t>2026-06-02|Assyriska FF|Enköpings SK</t>
  </si>
  <si>
    <t>EST-02102</t>
  </si>
  <si>
    <t>IFK Stocksund 3 vs 3 Assyriska FF</t>
  </si>
  <si>
    <t>IFK Stocksund</t>
  </si>
  <si>
    <t>2026-05-23|IFK Stocksund|Assyriska FF</t>
  </si>
  <si>
    <t>EST-02103</t>
  </si>
  <si>
    <t>Gefle IF 0 vs 0 Assyriska FF</t>
  </si>
  <si>
    <t>Gefle IF</t>
  </si>
  <si>
    <t>2026-05-17|Gefle IF|Assyriska FF</t>
  </si>
  <si>
    <t>EST-02104</t>
  </si>
  <si>
    <t>Assyriska FF 1 vs 5 Umeå FC</t>
  </si>
  <si>
    <t>2026-05-14|Assyriska FF|Umeå FC</t>
  </si>
  <si>
    <t>EST-02105</t>
  </si>
  <si>
    <t>Hammarby TFF 4 vs 0 Assyriska FF</t>
  </si>
  <si>
    <t>2026-05-09|Hammarby TFF|Assyriska FF</t>
  </si>
  <si>
    <t>EST-02106</t>
  </si>
  <si>
    <t>Assyriska FF 3 vs 3 FC Järfälla</t>
  </si>
  <si>
    <t>2026-05-03|Assyriska FF|FC Järfälla</t>
  </si>
  <si>
    <t>EST-02107</t>
  </si>
  <si>
    <t>IF Karlstad Fotboll 2 vs 1 Enköpings SK</t>
  </si>
  <si>
    <t>2026-08-02|IF Karlstad Fotboll|Enköpings SK</t>
  </si>
  <si>
    <t>EST-02108</t>
  </si>
  <si>
    <t>FC Stockholm Internazionale 2 vs 0 Enköpings SK</t>
  </si>
  <si>
    <t>2026-06-27|FC Stockholm Internazionale|Enköpings SK</t>
  </si>
  <si>
    <t>EST-02109</t>
  </si>
  <si>
    <t>Enköpings SK 3 vs 1 Umeå FC</t>
  </si>
  <si>
    <t>2026-06-21|Enköpings SK|Umeå FC</t>
  </si>
  <si>
    <t>EST-02110</t>
  </si>
  <si>
    <t>Enköpings SK 1 vs 1 Vasalunds IF</t>
  </si>
  <si>
    <t>2026-06-14|Enköpings SK|Vasalunds IF</t>
  </si>
  <si>
    <t>EST-02111</t>
  </si>
  <si>
    <t>Piteå IF 0 vs 2 Enköpings SK</t>
  </si>
  <si>
    <t>2026-06-07|Piteå IF|Enköpings SK</t>
  </si>
  <si>
    <t>EST-02112</t>
  </si>
  <si>
    <t>Enköpings SK 0 vs 1 Hammarby TFF</t>
  </si>
  <si>
    <t>2026-05-23|Enköpings SK|Hammarby TFF</t>
  </si>
  <si>
    <t>EST-02113</t>
  </si>
  <si>
    <t>Enköpings SK 1 vs 0 Sollentuna FK</t>
  </si>
  <si>
    <t>2026-05-17|Enköpings SK|Sollentuna FK</t>
  </si>
  <si>
    <t>EST-02114</t>
  </si>
  <si>
    <t>FC Järfälla 0 vs 3 Enköpings SK</t>
  </si>
  <si>
    <t>2026-05-13|FC Järfälla|Enköpings SK</t>
  </si>
  <si>
    <t>EST-02115</t>
  </si>
  <si>
    <t>Gefle IF 2 vs 1 Enköpings SK</t>
  </si>
  <si>
    <t>2026-05-02|Gefle IF|Enköpings SK</t>
  </si>
  <si>
    <t>EST-02116</t>
  </si>
  <si>
    <t>Hammarby TFF 1 vs 1 FBK Karlstad</t>
  </si>
  <si>
    <t>2026-08-09|Hammarby TFF|FBK Karlstad</t>
  </si>
  <si>
    <t>EST-02117</t>
  </si>
  <si>
    <t>FBK Karlstad 0 vs 7 Hammarby TFF</t>
  </si>
  <si>
    <t>2026-06-26|FBK Karlstad|Hammarby TFF</t>
  </si>
  <si>
    <t>EST-02118</t>
  </si>
  <si>
    <t>Sollentuna FK 0 vs 2 FBK Karlstad</t>
  </si>
  <si>
    <t>2026-06-18|Sollentuna FK|FBK Karlstad</t>
  </si>
  <si>
    <t>EST-02119</t>
  </si>
  <si>
    <t>FC Stockholm Internazionale 3 vs 1 FBK Karlstad</t>
  </si>
  <si>
    <t>2026-06-14|FC Stockholm Internazionale|FBK Karlstad</t>
  </si>
  <si>
    <t>EST-02120</t>
  </si>
  <si>
    <t>FBK Karlstad 2 vs 3 IF Karlstad Fotboll</t>
  </si>
  <si>
    <t>2026-06-05|FBK Karlstad|IF Karlstad Fotboll</t>
  </si>
  <si>
    <t>EST-02121</t>
  </si>
  <si>
    <t>Karlbergs BK 1 vs 1 FBK Karlstad</t>
  </si>
  <si>
    <t>2026-05-31|Karlbergs BK|FBK Karlstad</t>
  </si>
  <si>
    <t>EST-02122</t>
  </si>
  <si>
    <t>FBK Karlstad 0 vs 0 FC Arlanda</t>
  </si>
  <si>
    <t>2026-05-23|FBK Karlstad|FC Arlanda</t>
  </si>
  <si>
    <t>EST-02123</t>
  </si>
  <si>
    <t>FBK Karlstad 1 vs 1 Umeå FC</t>
  </si>
  <si>
    <t>2026-05-17|FBK Karlstad|Umeå FC</t>
  </si>
  <si>
    <t>EST-02124</t>
  </si>
  <si>
    <t>Piteå IF 1 vs 5 FBK Karlstad</t>
  </si>
  <si>
    <t>2026-05-14|Piteå IF|FBK Karlstad</t>
  </si>
  <si>
    <t>EST-02125</t>
  </si>
  <si>
    <t>FBK Karlstad 2 vs 0 FC Järfälla</t>
  </si>
  <si>
    <t>2026-05-09|FBK Karlstad|FC Järfälla</t>
  </si>
  <si>
    <t>EST-02126</t>
  </si>
  <si>
    <t>FC Arlanda 0 vs 0 Piteå IF</t>
  </si>
  <si>
    <t>2026-08-09|FC Arlanda|Piteå IF</t>
  </si>
  <si>
    <t>EST-02127</t>
  </si>
  <si>
    <t>Hammarby TFF 5 vs 1 FC Arlanda</t>
  </si>
  <si>
    <t>2026-08-03|Hammarby TFF|FC Arlanda</t>
  </si>
  <si>
    <t>EST-02128</t>
  </si>
  <si>
    <t>FC Arlanda 1 vs 0 IF Karlstad Fotboll</t>
  </si>
  <si>
    <t>2026-06-27|FC Arlanda|IF Karlstad Fotboll</t>
  </si>
  <si>
    <t>EST-02129</t>
  </si>
  <si>
    <t>FC Arlanda 1 vs 0 IFK Stocksund</t>
  </si>
  <si>
    <t>2026-06-18|FC Arlanda|IFK Stocksund</t>
  </si>
  <si>
    <t>EST-02130</t>
  </si>
  <si>
    <t>FC Järfälla 2 vs 3 FC Arlanda</t>
  </si>
  <si>
    <t>2026-06-13|FC Järfälla|FC Arlanda</t>
  </si>
  <si>
    <t>EST-02131</t>
  </si>
  <si>
    <t>FC Arlanda 2 vs 3 Gefle IF</t>
  </si>
  <si>
    <t>2026-06-01|FC Arlanda|Gefle IF</t>
  </si>
  <si>
    <t>EST-02132</t>
  </si>
  <si>
    <t>FC Arlanda 1 vs 1 Karlbergs BK</t>
  </si>
  <si>
    <t>2026-05-13|FC Arlanda|Karlbergs BK</t>
  </si>
  <si>
    <t>EST-02133</t>
  </si>
  <si>
    <t>FC Arlanda 1 vs 1 Sollentuna FK</t>
  </si>
  <si>
    <t>2026-05-09|FC Arlanda|Sollentuna FK</t>
  </si>
  <si>
    <t>EST-02134</t>
  </si>
  <si>
    <t>Piteå IF 1 vs 2 FC Arlanda</t>
  </si>
  <si>
    <t>2026-05-03|Piteå IF|FC Arlanda</t>
  </si>
  <si>
    <t>EST-02135</t>
  </si>
  <si>
    <t>FC Järfälla 1 vs 4 IF Karlstad Fotboll</t>
  </si>
  <si>
    <t>2026-08-08|FC Järfälla|IF Karlstad Fotboll</t>
  </si>
  <si>
    <t>EST-02136</t>
  </si>
  <si>
    <t>Umeå FC 1 vs 3 FC Järfälla</t>
  </si>
  <si>
    <t>2026-06-28|Umeå FC|FC Järfälla</t>
  </si>
  <si>
    <t>EST-02137</t>
  </si>
  <si>
    <t>Hammarby TFF 1 vs 1 FC Järfälla</t>
  </si>
  <si>
    <t>2026-06-18|Hammarby TFF|FC Järfälla</t>
  </si>
  <si>
    <t>EST-02138</t>
  </si>
  <si>
    <t>FC Järfälla 1 vs 6 IFK Stocksund</t>
  </si>
  <si>
    <t>2026-06-08|FC Järfälla|IFK Stocksund</t>
  </si>
  <si>
    <t>EST-02139</t>
  </si>
  <si>
    <t>Vasalunds IF 3 vs 1 FC Järfälla</t>
  </si>
  <si>
    <t>2026-06-03|Vasalunds IF|FC Järfälla</t>
  </si>
  <si>
    <t>EST-02140</t>
  </si>
  <si>
    <t>FC Järfälla 4 vs 0 Gefle IF</t>
  </si>
  <si>
    <t>2026-05-23|FC Järfälla|Gefle IF</t>
  </si>
  <si>
    <t>EST-02141</t>
  </si>
  <si>
    <t>Karlbergs BK 1 vs 3 FC Järfälla</t>
  </si>
  <si>
    <t>2026-05-16|Karlbergs BK|FC Järfälla</t>
  </si>
  <si>
    <t>EST-02142</t>
  </si>
  <si>
    <t>Vasalunds IF 2 vs 0 FC Stockholm Internazionale</t>
  </si>
  <si>
    <t>2026-08-09|Vasalunds IF|FC Stockholm Internazionale</t>
  </si>
  <si>
    <t>EST-02143</t>
  </si>
  <si>
    <t>Gefle IF 0 vs 2 FC Stockholm Internazionale</t>
  </si>
  <si>
    <t>2026-06-18|Gefle IF|FC Stockholm Internazionale</t>
  </si>
  <si>
    <t>EST-02144</t>
  </si>
  <si>
    <t>FC Stockholm Internazionale 4 vs 1 Vasalunds IF</t>
  </si>
  <si>
    <t>2026-06-08|FC Stockholm Internazionale|Vasalunds IF</t>
  </si>
  <si>
    <t>EST-02145</t>
  </si>
  <si>
    <t>FC Stockholm Internazionale 2 vs 1 Karlbergs BK</t>
  </si>
  <si>
    <t>2026-05-23|FC Stockholm Internazionale|Karlbergs BK</t>
  </si>
  <si>
    <t>EST-02146</t>
  </si>
  <si>
    <t>Hammarby TFF 3 vs 1 FC Stockholm Internazionale</t>
  </si>
  <si>
    <t>2026-05-16|Hammarby TFF|FC Stockholm Internazionale</t>
  </si>
  <si>
    <t>EST-02147</t>
  </si>
  <si>
    <t>IFK Stocksund 1 vs 6 FC Stockholm Internazionale</t>
  </si>
  <si>
    <t>2026-05-09|IFK Stocksund|FC Stockholm Internazionale</t>
  </si>
  <si>
    <t>EST-02148</t>
  </si>
  <si>
    <t>FC Stockholm Internazionale 1 vs 1 Sollentuna FK</t>
  </si>
  <si>
    <t>2026-05-03|FC Stockholm Internazionale|Sollentuna FK</t>
  </si>
  <si>
    <t>EST-02149</t>
  </si>
  <si>
    <t>FC Arlanda 0 vs 0 FC Stockholm Internazionale</t>
  </si>
  <si>
    <t>2026-04-18|FC Arlanda|FC Stockholm Internazionale</t>
  </si>
  <si>
    <t>EST-02150</t>
  </si>
  <si>
    <t>IFK Stocksund 5 vs 0 Gefle IF</t>
  </si>
  <si>
    <t>2026-08-08|IFK Stocksund|Gefle IF</t>
  </si>
  <si>
    <t>EST-02151</t>
  </si>
  <si>
    <t>Piteå IF 0 vs 2 Gefle IF</t>
  </si>
  <si>
    <t>2026-08-01|Piteå IF|Gefle IF</t>
  </si>
  <si>
    <t>EST-02152</t>
  </si>
  <si>
    <t>Gefle IF 2 vs 1 IFK Stocksund</t>
  </si>
  <si>
    <t>2026-06-27|Gefle IF|IFK Stocksund</t>
  </si>
  <si>
    <t>EST-02153</t>
  </si>
  <si>
    <t>IF Karlstad Fotboll 2 vs 0 Gefle IF</t>
  </si>
  <si>
    <t>2026-06-13|IF Karlstad Fotboll|Gefle IF</t>
  </si>
  <si>
    <t>EST-02154</t>
  </si>
  <si>
    <t>Gefle IF 0 vs 4 Hammarby TFF</t>
  </si>
  <si>
    <t>2026-06-06|Gefle IF|Hammarby TFF</t>
  </si>
  <si>
    <t>EST-02155</t>
  </si>
  <si>
    <t>Vasalunds IF 1 vs 0 Gefle IF</t>
  </si>
  <si>
    <t>2026-05-14|Vasalunds IF|Gefle IF</t>
  </si>
  <si>
    <t>EST-02156</t>
  </si>
  <si>
    <t>Umeå FC 2 vs 2 Gefle IF</t>
  </si>
  <si>
    <t>2026-05-09|Umeå FC|Gefle IF</t>
  </si>
  <si>
    <t>EST-02157</t>
  </si>
  <si>
    <t>Karlbergs BK 0 vs 2 Hammarby TFF</t>
  </si>
  <si>
    <t>2026-06-14|Karlbergs BK|Hammarby TFF</t>
  </si>
  <si>
    <t>EST-02158</t>
  </si>
  <si>
    <t>Sollentuna FK 0 vs 2 Hammarby TFF</t>
  </si>
  <si>
    <t>2026-05-13|Sollentuna FK|Hammarby TFF</t>
  </si>
  <si>
    <t>EST-02159</t>
  </si>
  <si>
    <t>IF Karlstad Fotboll 0 vs 2 Hammarby TFF</t>
  </si>
  <si>
    <t>2026-05-02|IF Karlstad Fotboll|Hammarby TFF</t>
  </si>
  <si>
    <t>EST-02160</t>
  </si>
  <si>
    <t>IF Karlstad Fotboll 0 vs 0 Sollentuna FK</t>
  </si>
  <si>
    <t>2026-05-30|IF Karlstad Fotboll|Sollentuna FK</t>
  </si>
  <si>
    <t>EST-02161</t>
  </si>
  <si>
    <t>Umeå FC 0 vs 2 IF Karlstad Fotboll</t>
  </si>
  <si>
    <t>2026-05-24|Umeå FC|IF Karlstad Fotboll</t>
  </si>
  <si>
    <t>EST-02162</t>
  </si>
  <si>
    <t>IF Karlstad Fotboll 5 vs 0 Vasalunds IF</t>
  </si>
  <si>
    <t>2026-05-17|IF Karlstad Fotboll|Vasalunds IF</t>
  </si>
  <si>
    <t>EST-02163</t>
  </si>
  <si>
    <t>IF Karlstad Fotboll 1 vs 0 IFK Stocksund</t>
  </si>
  <si>
    <t>2026-05-14|IF Karlstad Fotboll|IFK Stocksund</t>
  </si>
  <si>
    <t>EST-02164</t>
  </si>
  <si>
    <t>Karlbergs BK 0 vs 0 IF Karlstad Fotboll</t>
  </si>
  <si>
    <t>2026-05-09|Karlbergs BK|IF Karlstad Fotboll</t>
  </si>
  <si>
    <t>EST-02165</t>
  </si>
  <si>
    <t>IFK Stocksund 0 vs 2 Karlbergs BK</t>
  </si>
  <si>
    <t>2026-08-01|IFK Stocksund|Karlbergs BK</t>
  </si>
  <si>
    <t>EST-02166</t>
  </si>
  <si>
    <t>IFK Stocksund 3 vs 3 Sollentuna FK</t>
  </si>
  <si>
    <t>2026-06-13|IFK Stocksund|Sollentuna FK</t>
  </si>
  <si>
    <t>EST-02167</t>
  </si>
  <si>
    <t>Umeå FC 2 vs 2 IFK Stocksund</t>
  </si>
  <si>
    <t>2026-05-31|Umeå FC|IFK Stocksund</t>
  </si>
  <si>
    <t>EST-02168</t>
  </si>
  <si>
    <t>IFK Stocksund 2 vs 3 Piteå IF</t>
  </si>
  <si>
    <t>2026-05-17|IFK Stocksund|Piteå IF</t>
  </si>
  <si>
    <t>EST-02169</t>
  </si>
  <si>
    <t>IFK Stocksund 2 vs 2 Vasalunds IF</t>
  </si>
  <si>
    <t>2026-05-01|IFK Stocksund|Vasalunds IF</t>
  </si>
  <si>
    <t>EST-02170</t>
  </si>
  <si>
    <t>Karlbergs BK 3 vs 1 Piteå IF</t>
  </si>
  <si>
    <t>2026-06-24|Karlbergs BK|Piteå IF</t>
  </si>
  <si>
    <t>EST-02171</t>
  </si>
  <si>
    <t>Vasalunds IF 0 vs 4 Karlbergs BK</t>
  </si>
  <si>
    <t>2026-06-18|Vasalunds IF|Karlbergs BK</t>
  </si>
  <si>
    <t>EST-02172</t>
  </si>
  <si>
    <t>Umeå FC 2 vs 1 Karlbergs BK</t>
  </si>
  <si>
    <t>2026-05-03|Umeå FC|Karlbergs BK</t>
  </si>
  <si>
    <t>EST-02173</t>
  </si>
  <si>
    <t>Umeå FC 2 vs 0 Piteå IF</t>
  </si>
  <si>
    <t>2026-06-12|Umeå FC|Piteå IF</t>
  </si>
  <si>
    <t>EST-02174</t>
  </si>
  <si>
    <t>Sollentuna FK 1 vs 1 Umeå FC</t>
  </si>
  <si>
    <t>2026-06-07|Sollentuna FK|Umeå FC</t>
  </si>
  <si>
    <t>EST-02175</t>
  </si>
  <si>
    <t>Piteå IF 2 vs 2 FC Stockholm Internazionale</t>
  </si>
  <si>
    <t>2026-05-31|Piteå IF|FC Stockholm Internazionale</t>
  </si>
  <si>
    <t>EST-02176</t>
  </si>
  <si>
    <t>Sollentuna FK 2 vs 2 Piteå IF</t>
  </si>
  <si>
    <t>2026-05-24|Sollentuna FK|Piteå IF</t>
  </si>
  <si>
    <t>EST-02177</t>
  </si>
  <si>
    <t>Vasalunds IF 1 vs 2 Piteå IF</t>
  </si>
  <si>
    <t>2026-05-10|Vasalunds IF|Piteå IF</t>
  </si>
  <si>
    <t>EST-02178</t>
  </si>
  <si>
    <t>FK Karlskrona 5 vs 0 Torns IF</t>
  </si>
  <si>
    <t>Torns IF</t>
  </si>
  <si>
    <t>2026-08-08|FK Karlskrona|Torns IF</t>
  </si>
  <si>
    <t>EST-02179</t>
  </si>
  <si>
    <t>Österlen FF 0 vs 3 FK Karlskrona</t>
  </si>
  <si>
    <t>Österlen FF</t>
  </si>
  <si>
    <t>2026-06-27|Österlen FF|FK Karlskrona</t>
  </si>
  <si>
    <t>EST-02180</t>
  </si>
  <si>
    <t>FK Karlskrona 3 vs 1 IFK Karlshamn</t>
  </si>
  <si>
    <t>IFK Karlshamn</t>
  </si>
  <si>
    <t>2026-06-18|FK Karlskrona|IFK Karlshamn</t>
  </si>
  <si>
    <t>EST-02181</t>
  </si>
  <si>
    <t>Linero IF 2 vs 4 FK Karlskrona</t>
  </si>
  <si>
    <t>Linero IF</t>
  </si>
  <si>
    <t>2026-06-14|Linero IF|FK Karlskrona</t>
  </si>
  <si>
    <t>EST-02182</t>
  </si>
  <si>
    <t>Nosaby IF 3 vs 1 FK Karlskrona</t>
  </si>
  <si>
    <t>2026-06-06|Nosaby IF|FK Karlskrona</t>
  </si>
  <si>
    <t>EST-02183</t>
  </si>
  <si>
    <t>FK Karlskrona 1 vs 1 Lilla Torg FF</t>
  </si>
  <si>
    <t>Lilla Torg FF</t>
  </si>
  <si>
    <t>2026-05-31|FK Karlskrona|Lilla Torg FF</t>
  </si>
  <si>
    <t>EST-02184</t>
  </si>
  <si>
    <t>Oskarshamns AIK 0 vs 3 FK Karlskrona</t>
  </si>
  <si>
    <t>Oskarshamns AIK</t>
  </si>
  <si>
    <t>2026-05-24|Oskarshamns AIK|FK Karlskrona</t>
  </si>
  <si>
    <t>EST-02185</t>
  </si>
  <si>
    <t>FK Karlskrona 1 vs 1 Staffanstorp United</t>
  </si>
  <si>
    <t>Staffanstorp United</t>
  </si>
  <si>
    <t>2026-05-16|FK Karlskrona|Staffanstorp United</t>
  </si>
  <si>
    <t>EST-02186</t>
  </si>
  <si>
    <t>Räppe GoIF 1 vs 2 FK Karlskrona</t>
  </si>
  <si>
    <t>Räppe GoIF</t>
  </si>
  <si>
    <t>2026-05-08|Räppe GoIF|FK Karlskrona</t>
  </si>
  <si>
    <t>EST-02187</t>
  </si>
  <si>
    <t>FK Karlskrona 1 vs 0 Sölvesborgs GoIF</t>
  </si>
  <si>
    <t>Sölvesborgs GoIF</t>
  </si>
  <si>
    <t>2026-05-01|FK Karlskrona|Sölvesborgs GoIF</t>
  </si>
  <si>
    <t>EST-02188</t>
  </si>
  <si>
    <t>Växjö Norra IF 4 vs 0 FK Karlskrona</t>
  </si>
  <si>
    <t>Växjö Norra IF</t>
  </si>
  <si>
    <t>2026-04-25|Växjö Norra IF|FK Karlskrona</t>
  </si>
  <si>
    <t>EST-02189</t>
  </si>
  <si>
    <t>Oskarshamns AIK 5 vs 0 IFK Karlshamn</t>
  </si>
  <si>
    <t>2026-08-08|Oskarshamns AIK|IFK Karlshamn</t>
  </si>
  <si>
    <t>EST-02190</t>
  </si>
  <si>
    <t>Lilla Torg FF 2 vs 3 Oskarshamns AIK</t>
  </si>
  <si>
    <t>2026-08-02|Lilla Torg FF|Oskarshamns AIK</t>
  </si>
  <si>
    <t>EST-02191</t>
  </si>
  <si>
    <t>Sölvesborgs GoIF 1 vs 0 Oskarshamns AIK</t>
  </si>
  <si>
    <t>2026-06-27|Sölvesborgs GoIF|Oskarshamns AIK</t>
  </si>
  <si>
    <t>EST-02192</t>
  </si>
  <si>
    <t>Oskarshamns AIK 2 vs 0 Växjö Norra IF</t>
  </si>
  <si>
    <t>2026-06-17|Oskarshamns AIK|Växjö Norra IF</t>
  </si>
  <si>
    <t>EST-02193</t>
  </si>
  <si>
    <t>Räppe GoIF 1 vs 0 Oskarshamns AIK</t>
  </si>
  <si>
    <t>2026-06-12|Räppe GoIF|Oskarshamns AIK</t>
  </si>
  <si>
    <t>EST-02194</t>
  </si>
  <si>
    <t>Oskarshamns AIK 1 vs 1 Österlen FF</t>
  </si>
  <si>
    <t>2026-06-07|Oskarshamns AIK|Österlen FF</t>
  </si>
  <si>
    <t>EST-02195</t>
  </si>
  <si>
    <t>IFK Trelleborg 1 vs 1 Oskarshamns AIK</t>
  </si>
  <si>
    <t>IFK Trelleborg</t>
  </si>
  <si>
    <t>2026-05-30|IFK Trelleborg|Oskarshamns AIK</t>
  </si>
  <si>
    <t>EST-02196</t>
  </si>
  <si>
    <t>IFK Karlshamn 1 vs 5 Oskarshamns AIK</t>
  </si>
  <si>
    <t>2026-05-14|IFK Karlshamn|Oskarshamns AIK</t>
  </si>
  <si>
    <t>EST-02197</t>
  </si>
  <si>
    <t>Oskarshamns AIK 6 vs 1 Torns IF</t>
  </si>
  <si>
    <t>2026-05-09|Oskarshamns AIK|Torns IF</t>
  </si>
  <si>
    <t>EST-02198</t>
  </si>
  <si>
    <t>Nosaby IF 4 vs 0 Oskarshamns AIK</t>
  </si>
  <si>
    <t>2026-05-01|Nosaby IF|Oskarshamns AIK</t>
  </si>
  <si>
    <t>EST-02199</t>
  </si>
  <si>
    <t>IFK Berga 1 vs 1 Oskarshamns AIK</t>
  </si>
  <si>
    <t>IFK Berga</t>
  </si>
  <si>
    <t>2026-04-24|IFK Berga|Oskarshamns AIK</t>
  </si>
  <si>
    <t>EST-02200</t>
  </si>
  <si>
    <t>Räppe GoIF 0 vs 3 IFK Berga</t>
  </si>
  <si>
    <t>2026-08-07|Räppe GoIF|IFK Berga</t>
  </si>
  <si>
    <t>EST-02201</t>
  </si>
  <si>
    <t>IFK Berga 3 vs 1 IFK Trelleborg</t>
  </si>
  <si>
    <t>2026-08-02|IFK Berga|IFK Trelleborg</t>
  </si>
  <si>
    <t>EST-02202</t>
  </si>
  <si>
    <t>IFK Berga 3 vs 1 Växjö Norra IF</t>
  </si>
  <si>
    <t>2026-06-26|IFK Berga|Växjö Norra IF</t>
  </si>
  <si>
    <t>EST-02203</t>
  </si>
  <si>
    <t>IFK Trelleborg 2 vs 1 IFK Berga</t>
  </si>
  <si>
    <t>2026-06-17|IFK Trelleborg|IFK Berga</t>
  </si>
  <si>
    <t>EST-02204</t>
  </si>
  <si>
    <t>IFK Berga 4 vs 1 Torns IF</t>
  </si>
  <si>
    <t>2026-06-13|IFK Berga|Torns IF</t>
  </si>
  <si>
    <t>EST-02205</t>
  </si>
  <si>
    <t>Linero IF 1 vs 0 IFK Berga</t>
  </si>
  <si>
    <t>2026-06-06|Linero IF|IFK Berga</t>
  </si>
  <si>
    <t>EST-02206</t>
  </si>
  <si>
    <t>IFK Berga 3 vs 2 Sölvesborgs GoIF</t>
  </si>
  <si>
    <t>2026-05-29|IFK Berga|Sölvesborgs GoIF</t>
  </si>
  <si>
    <t>EST-02207</t>
  </si>
  <si>
    <t>Lilla Torg FF 2 vs 1 IFK Berga</t>
  </si>
  <si>
    <t>2026-05-24|Lilla Torg FF|IFK Berga</t>
  </si>
  <si>
    <t>EST-02208</t>
  </si>
  <si>
    <t>IFK Berga 6 vs 0 Räppe GoIF</t>
  </si>
  <si>
    <t>2026-05-14|IFK Berga|Räppe GoIF</t>
  </si>
  <si>
    <t>EST-02209</t>
  </si>
  <si>
    <t>Österlen FF 1 vs 2 IFK Berga</t>
  </si>
  <si>
    <t>2026-05-09|Österlen FF|IFK Berga</t>
  </si>
  <si>
    <t>EST-02210</t>
  </si>
  <si>
    <t>Växjö Norra IF 1 vs 1 IFK Berga</t>
  </si>
  <si>
    <t>2026-05-01|Växjö Norra IF|IFK Berga</t>
  </si>
  <si>
    <t>EST-02211</t>
  </si>
  <si>
    <t>IFK Trelleborg 4 vs 0 Växjö Norra IF</t>
  </si>
  <si>
    <t>2026-08-09|IFK Trelleborg|Växjö Norra IF</t>
  </si>
  <si>
    <t>EST-02212</t>
  </si>
  <si>
    <t>Växjö Norra IF 1 vs 1 IFK Trelleborg</t>
  </si>
  <si>
    <t>2026-06-13|Växjö Norra IF|IFK Trelleborg</t>
  </si>
  <si>
    <t>EST-02213</t>
  </si>
  <si>
    <t>Räppe GoIF 0 vs 1 IFK Trelleborg</t>
  </si>
  <si>
    <t>2026-06-06|Räppe GoIF|IFK Trelleborg</t>
  </si>
  <si>
    <t>EST-02214</t>
  </si>
  <si>
    <t>Linero IF 2 vs 1 IFK Trelleborg</t>
  </si>
  <si>
    <t>2026-05-22|Linero IF|IFK Trelleborg</t>
  </si>
  <si>
    <t>EST-02215</t>
  </si>
  <si>
    <t>IFK Trelleborg 1 vs 1 Österlen FF</t>
  </si>
  <si>
    <t>2026-05-16|IFK Trelleborg|Österlen FF</t>
  </si>
  <si>
    <t>EST-02216</t>
  </si>
  <si>
    <t>Sölvesborgs GoIF 0 vs 1 IFK Trelleborg</t>
  </si>
  <si>
    <t>2026-05-10|Sölvesborgs GoIF|IFK Trelleborg</t>
  </si>
  <si>
    <t>EST-02217</t>
  </si>
  <si>
    <t>IFK Trelleborg 5 vs 1 Torns IF</t>
  </si>
  <si>
    <t>2026-05-04|IFK Trelleborg|Torns IF</t>
  </si>
  <si>
    <t>EST-02218</t>
  </si>
  <si>
    <t>IFK Trelleborg 2 vs 1 IFK Karlshamn</t>
  </si>
  <si>
    <t>2026-04-25|IFK Trelleborg|IFK Karlshamn</t>
  </si>
  <si>
    <t>EST-02219</t>
  </si>
  <si>
    <t>Lilla Torg FF 1 vs 0 IFK Trelleborg</t>
  </si>
  <si>
    <t>2026-04-17|Lilla Torg FF|IFK Trelleborg</t>
  </si>
  <si>
    <t>EST-02220</t>
  </si>
  <si>
    <t>Nosaby IF 4 vs 0 Linero IF</t>
  </si>
  <si>
    <t>2026-08-08|Nosaby IF|Linero IF</t>
  </si>
  <si>
    <t>EST-02221</t>
  </si>
  <si>
    <t>Linero IF 0 vs 2 Österlen FF</t>
  </si>
  <si>
    <t>2026-08-01|Linero IF|Österlen FF</t>
  </si>
  <si>
    <t>EST-02222</t>
  </si>
  <si>
    <t>Linero IF 3 vs 1 IFK Karlshamn</t>
  </si>
  <si>
    <t>2026-06-28|Linero IF|IFK Karlshamn</t>
  </si>
  <si>
    <t>EST-02223</t>
  </si>
  <si>
    <t>Staffanstorp United 3 vs 3 Linero IF</t>
  </si>
  <si>
    <t>2026-06-18|Staffanstorp United|Linero IF</t>
  </si>
  <si>
    <t>EST-02224</t>
  </si>
  <si>
    <t>Torns IF 2 vs 1 Linero IF</t>
  </si>
  <si>
    <t>2026-05-29|Torns IF|Linero IF</t>
  </si>
  <si>
    <t>EST-02225</t>
  </si>
  <si>
    <t>Växjö Norra IF 2 vs 1 Linero IF</t>
  </si>
  <si>
    <t>2026-05-14|Växjö Norra IF|Linero IF</t>
  </si>
  <si>
    <t>EST-02226</t>
  </si>
  <si>
    <t>Linero IF 3 vs 0 Nosaby IF</t>
  </si>
  <si>
    <t>2026-05-10|Linero IF|Nosaby IF</t>
  </si>
  <si>
    <t>EST-02227</t>
  </si>
  <si>
    <t>IFK Karlshamn 1 vs 2 Linero IF</t>
  </si>
  <si>
    <t>2026-05-02|IFK Karlshamn|Linero IF</t>
  </si>
  <si>
    <t>EST-02228</t>
  </si>
  <si>
    <t>Linero IF 4 vs 0 Lilla Torg FF</t>
  </si>
  <si>
    <t>2026-04-25|Linero IF|Lilla Torg FF</t>
  </si>
  <si>
    <t>EST-02229</t>
  </si>
  <si>
    <t>Österlen FF 4 vs 1 Sölvesborgs GoIF</t>
  </si>
  <si>
    <t>2026-08-07|Österlen FF|Sölvesborgs GoIF</t>
  </si>
  <si>
    <t>EST-02230</t>
  </si>
  <si>
    <t>Torns IF 2 vs 3 Österlen FF</t>
  </si>
  <si>
    <t>2026-06-17|Torns IF|Österlen FF</t>
  </si>
  <si>
    <t>EST-02231</t>
  </si>
  <si>
    <t>Österlen FF 2 vs 1 Nosaby IF</t>
  </si>
  <si>
    <t>2026-06-12|Österlen FF|Nosaby IF</t>
  </si>
  <si>
    <t>EST-02232</t>
  </si>
  <si>
    <t>Österlen FF 3 vs 1 Staffanstorp United</t>
  </si>
  <si>
    <t>2026-05-30|Österlen FF|Staffanstorp United</t>
  </si>
  <si>
    <t>EST-02233</t>
  </si>
  <si>
    <t>Sölvesborgs GoIF 2 vs 1 Österlen FF</t>
  </si>
  <si>
    <t>2026-05-22|Sölvesborgs GoIF|Österlen FF</t>
  </si>
  <si>
    <t>EST-02234</t>
  </si>
  <si>
    <t>Lilla Torg FF 0 vs 0 Österlen FF</t>
  </si>
  <si>
    <t>2026-04-30|Lilla Torg FF|Österlen FF</t>
  </si>
  <si>
    <t>EST-02235</t>
  </si>
  <si>
    <t>Österlen FF 2 vs 1 Räppe GoIF</t>
  </si>
  <si>
    <t>2026-04-26|Österlen FF|Räppe GoIF</t>
  </si>
  <si>
    <t>EST-02236</t>
  </si>
  <si>
    <t>Nosaby IF 3 vs 3 Lilla Torg FF</t>
  </si>
  <si>
    <t>2026-06-17|Nosaby IF|Lilla Torg FF</t>
  </si>
  <si>
    <t>EST-02237</t>
  </si>
  <si>
    <t>Nosaby IF 2 vs 2 IFK Karlshamn</t>
  </si>
  <si>
    <t>2026-05-30|Nosaby IF|IFK Karlshamn</t>
  </si>
  <si>
    <t>EST-02238</t>
  </si>
  <si>
    <t>Staffanstorp United 5 vs 0 Nosaby IF</t>
  </si>
  <si>
    <t>2026-05-22|Staffanstorp United|Nosaby IF</t>
  </si>
  <si>
    <t>EST-02239</t>
  </si>
  <si>
    <t>Nosaby IF 2 vs 0 Sölvesborgs GoIF</t>
  </si>
  <si>
    <t>2026-05-16|Nosaby IF|Sölvesborgs GoIF</t>
  </si>
  <si>
    <t>EST-02240</t>
  </si>
  <si>
    <t>Torns IF 1 vs 3 Nosaby IF</t>
  </si>
  <si>
    <t>2026-04-24|Torns IF|Nosaby IF</t>
  </si>
  <si>
    <t>EST-02241</t>
  </si>
  <si>
    <t>Nosaby IF 0 vs 0 Växjö Norra IF</t>
  </si>
  <si>
    <t>2026-04-18|Nosaby IF|Växjö Norra IF</t>
  </si>
  <si>
    <t>EST-02242</t>
  </si>
  <si>
    <t>Staffanstorp United 2 vs 2 Växjö Norra IF</t>
  </si>
  <si>
    <t>2026-06-07|Staffanstorp United|Växjö Norra IF</t>
  </si>
  <si>
    <t>EST-02243</t>
  </si>
  <si>
    <t>Växjö Norra IF 0 vs 2 Räppe GoIF</t>
  </si>
  <si>
    <t>2026-05-29|Växjö Norra IF|Räppe GoIF</t>
  </si>
  <si>
    <t>EST-02244</t>
  </si>
  <si>
    <t>IFK Karlshamn 1 vs 2 Växjö Norra IF</t>
  </si>
  <si>
    <t>2026-05-22|IFK Karlshamn|Växjö Norra IF</t>
  </si>
  <si>
    <t>EST-02245</t>
  </si>
  <si>
    <t>Lilla Torg FF 1 vs 1 Växjö Norra IF</t>
  </si>
  <si>
    <t>2026-05-09|Lilla Torg FF|Växjö Norra IF</t>
  </si>
  <si>
    <t>EST-02246</t>
  </si>
  <si>
    <t>Staffanstorp United 1 vs 1 Lilla Torg FF</t>
  </si>
  <si>
    <t>2026-08-08|Staffanstorp United|Lilla Torg FF</t>
  </si>
  <si>
    <t>EST-02247</t>
  </si>
  <si>
    <t>Torns IF 2 vs 0 Staffanstorp United</t>
  </si>
  <si>
    <t>2026-08-03|Torns IF|Staffanstorp United</t>
  </si>
  <si>
    <t>EST-02248</t>
  </si>
  <si>
    <t>Räppe GoIF 1 vs 4 Staffanstorp United</t>
  </si>
  <si>
    <t>2026-06-27|Räppe GoIF|Staffanstorp United</t>
  </si>
  <si>
    <t>EST-02249</t>
  </si>
  <si>
    <t>Lilla Torg FF 4 vs 0 Torns IF</t>
  </si>
  <si>
    <t>2026-06-24|Lilla Torg FF|Torns IF</t>
  </si>
  <si>
    <t>EST-02250</t>
  </si>
  <si>
    <t>Sölvesborgs GoIF 1 vs 1 Räppe GoIF</t>
  </si>
  <si>
    <t>2026-06-18|Sölvesborgs GoIF|Räppe GoIF</t>
  </si>
  <si>
    <t>EST-02251</t>
  </si>
  <si>
    <t>IFK Karlshamn 0 vs 2 Sölvesborgs GoIF</t>
  </si>
  <si>
    <t>2026-06-12|IFK Karlshamn|Sölvesborgs GoIF</t>
  </si>
  <si>
    <t>EST-02252</t>
  </si>
  <si>
    <t>Lilla Torg FF 0 vs 0 Staffanstorp United</t>
  </si>
  <si>
    <t>2026-06-12|Lilla Torg FF|Staffanstorp United</t>
  </si>
  <si>
    <t>EST-02253</t>
  </si>
  <si>
    <t>IFK Karlshamn 2 vs 0 Lilla Torg FF</t>
  </si>
  <si>
    <t>2026-06-07|IFK Karlshamn|Lilla Torg FF</t>
  </si>
  <si>
    <t>EST-02254</t>
  </si>
  <si>
    <t>Sölvesborgs GoIF 1 vs 3 Torns IF</t>
  </si>
  <si>
    <t>2026-06-04|Sölvesborgs GoIF|Torns IF</t>
  </si>
  <si>
    <t>EST-02255</t>
  </si>
  <si>
    <t>Räppe GoIF 1 vs 2 Torns IF</t>
  </si>
  <si>
    <t>2026-05-23|Räppe GoIF|Torns IF</t>
  </si>
  <si>
    <t>EST-02256</t>
  </si>
  <si>
    <t>Torns IF 0 vs 2 Lilla Torg FF</t>
  </si>
  <si>
    <t>2026-05-13|Torns IF|Lilla Torg FF</t>
  </si>
  <si>
    <t>EST-02257</t>
  </si>
  <si>
    <t>Staffanstorp United 1 vs 2 IFK Karlshamn</t>
  </si>
  <si>
    <t>2026-05-10|Staffanstorp United|IFK Karlshamn</t>
  </si>
  <si>
    <t>EST-02258</t>
  </si>
  <si>
    <t>Staffanstorp United 2 vs 1 Räppe GoIF</t>
  </si>
  <si>
    <t>2026-05-02|Staffanstorp United|Räppe GoIF</t>
  </si>
  <si>
    <t>EST-02259</t>
  </si>
  <si>
    <t>Sölvesborgs GoIF 2 vs 3 Staffanstorp United</t>
  </si>
  <si>
    <t>2026-04-25|Sölvesborgs GoIF|Staffanstorp United</t>
  </si>
  <si>
    <t>EST-02260</t>
  </si>
  <si>
    <t>Oskarshamns AIK 4 vs 2 Sölvesborgs GoIF</t>
  </si>
  <si>
    <t>2026-04-18|Oskarshamns AIK|Sölvesborgs GoIF</t>
  </si>
  <si>
    <t>EST-02261</t>
  </si>
  <si>
    <t>IFK Karlshamn 2 vs 2 Räppe GoIF</t>
  </si>
  <si>
    <t>2026-07-31|IFK Karlshamn|Räppe GoIF</t>
  </si>
  <si>
    <t>SWE - 2ª D Norra Götaland</t>
  </si>
  <si>
    <t>2ª D Norra Götaland</t>
  </si>
  <si>
    <t>EST-02262</t>
  </si>
  <si>
    <t>Motala AIF 0 vs 1 Husqvarna FF</t>
  </si>
  <si>
    <t>Motala AIF</t>
  </si>
  <si>
    <t>Husqvarna FF</t>
  </si>
  <si>
    <t>2026-08-09|Motala AIF|Husqvarna FF</t>
  </si>
  <si>
    <t>EST-02263</t>
  </si>
  <si>
    <t>Husqvarna FF 0 vs 0 Lidköpings IF</t>
  </si>
  <si>
    <t>Lidköpings IF</t>
  </si>
  <si>
    <t>2026-07-01|Husqvarna FF|Lidköpings IF</t>
  </si>
  <si>
    <t>EST-02264</t>
  </si>
  <si>
    <t>Husqvarna FF 3 vs 1 IF Karlstad B</t>
  </si>
  <si>
    <t>IF Karlstad B</t>
  </si>
  <si>
    <t>2026-06-27|Husqvarna FF|IF Karlstad B</t>
  </si>
  <si>
    <t>EST-02265</t>
  </si>
  <si>
    <t>Lidköpings IF 1 vs 2 Husqvarna FF</t>
  </si>
  <si>
    <t>2026-06-18|Lidköpings IF|Husqvarna FF</t>
  </si>
  <si>
    <t>EST-02266</t>
  </si>
  <si>
    <t>Husqvarna FF 3 vs 1 Vänersborgs FK</t>
  </si>
  <si>
    <t>Vänersborgs FK</t>
  </si>
  <si>
    <t>2026-06-14|Husqvarna FF|Vänersborgs FK</t>
  </si>
  <si>
    <t>EST-02267</t>
  </si>
  <si>
    <t>Grebbestads IF 1 vs 2 Husqvarna FF</t>
  </si>
  <si>
    <t>Grebbestads IF</t>
  </si>
  <si>
    <t>2026-06-05|Grebbestads IF|Husqvarna FF</t>
  </si>
  <si>
    <t>EST-02268</t>
  </si>
  <si>
    <t>Husqvarna FF 3 vs 1 Stenungsunds IF</t>
  </si>
  <si>
    <t>Stenungsunds IF</t>
  </si>
  <si>
    <t>2026-05-31|Husqvarna FF|Stenungsunds IF</t>
  </si>
  <si>
    <t>EST-02269</t>
  </si>
  <si>
    <t>Vänersborgs IF 0 vs 4 Husqvarna FF</t>
  </si>
  <si>
    <t>Vänersborgs IF</t>
  </si>
  <si>
    <t>2026-05-22|Vänersborgs IF|Husqvarna FF</t>
  </si>
  <si>
    <t>EST-02270</t>
  </si>
  <si>
    <t>Husqvarna FF 1 vs 1 IK Tord</t>
  </si>
  <si>
    <t>IK Tord</t>
  </si>
  <si>
    <t>2026-05-15|Husqvarna FF|IK Tord</t>
  </si>
  <si>
    <t>EST-02271</t>
  </si>
  <si>
    <t>Skara FC 1 vs 1 Husqvarna FF</t>
  </si>
  <si>
    <t>Skara FC</t>
  </si>
  <si>
    <t>2026-05-09|Skara FC|Husqvarna FF</t>
  </si>
  <si>
    <t>EST-02272</t>
  </si>
  <si>
    <t>Husqvarna FF 3 vs 1 IFK Kumla</t>
  </si>
  <si>
    <t>IFK Kumla</t>
  </si>
  <si>
    <t>2026-05-01|Husqvarna FF|IFK Kumla</t>
  </si>
  <si>
    <t>EST-02273</t>
  </si>
  <si>
    <t>IF Karlstad B 0 vs 2 Husqvarna FF</t>
  </si>
  <si>
    <t>2026-04-25|IF Karlstad B|Husqvarna FF</t>
  </si>
  <si>
    <t>EST-02274</t>
  </si>
  <si>
    <t>Skara FC 4 vs 0 Vänersborgs FK</t>
  </si>
  <si>
    <t>2026-08-07|Skara FC|Vänersborgs FK</t>
  </si>
  <si>
    <t>EST-02275</t>
  </si>
  <si>
    <t>Stenungsunds IF 1 vs 1 Skara FC</t>
  </si>
  <si>
    <t>2026-07-31|Stenungsunds IF|Skara FC</t>
  </si>
  <si>
    <t>EST-02276</t>
  </si>
  <si>
    <t>Skara FC 2 vs 0 Herrestads AIF</t>
  </si>
  <si>
    <t>Herrestads AIF</t>
  </si>
  <si>
    <t>2026-06-26|Skara FC|Herrestads AIF</t>
  </si>
  <si>
    <t>EST-02277</t>
  </si>
  <si>
    <t>Ahlafors IF 1 vs 1 Skara FC</t>
  </si>
  <si>
    <t>Ahlafors IF</t>
  </si>
  <si>
    <t>2026-06-18|Ahlafors IF|Skara FC</t>
  </si>
  <si>
    <t>EST-02278</t>
  </si>
  <si>
    <t>Skara FC 4 vs 2 Lidköpings IF</t>
  </si>
  <si>
    <t>2026-06-13|Skara FC|Lidköpings IF</t>
  </si>
  <si>
    <t>EST-02279</t>
  </si>
  <si>
    <t>Vänersborgs FK 1 vs 3 Skara FC</t>
  </si>
  <si>
    <t>2026-06-05|Vänersborgs FK|Skara FC</t>
  </si>
  <si>
    <t>EST-02280</t>
  </si>
  <si>
    <t>Skara FC 1 vs 0 IFK Skövde FK</t>
  </si>
  <si>
    <t>IFK Skövde FK</t>
  </si>
  <si>
    <t>2026-05-29|Skara FC|IFK Skövde FK</t>
  </si>
  <si>
    <t>EST-02281</t>
  </si>
  <si>
    <t>IK Tord 1 vs 2 Skara FC</t>
  </si>
  <si>
    <t>2026-05-21|IK Tord|Skara FC</t>
  </si>
  <si>
    <t>EST-02282</t>
  </si>
  <si>
    <t>IFK Kumla 0 vs 2 Skara FC</t>
  </si>
  <si>
    <t>2026-05-14|IFK Kumla|Skara FC</t>
  </si>
  <si>
    <t>EST-02283</t>
  </si>
  <si>
    <t>Skara FC 3 vs 1 Grebbestads IF</t>
  </si>
  <si>
    <t>2026-05-01|Skara FC|Grebbestads IF</t>
  </si>
  <si>
    <t>EST-02284</t>
  </si>
  <si>
    <t>Vänersborgs IF 1 vs 2 Skara FC</t>
  </si>
  <si>
    <t>2026-04-24|Vänersborgs IF|Skara FC</t>
  </si>
  <si>
    <t>EST-02285</t>
  </si>
  <si>
    <t>Grebbestads IF 1 vs 1 IFK Skövde FK</t>
  </si>
  <si>
    <t>2026-08-08|Grebbestads IF|IFK Skövde FK</t>
  </si>
  <si>
    <t>EST-02286</t>
  </si>
  <si>
    <t>IFK Skövde FK 0 vs 0 Ahlafors IF</t>
  </si>
  <si>
    <t>2026-07-31|IFK Skövde FK|Ahlafors IF</t>
  </si>
  <si>
    <t>EST-02287</t>
  </si>
  <si>
    <t>IFK Skövde FK 1 vs 2 Lidköpings IF</t>
  </si>
  <si>
    <t>2026-06-25|IFK Skövde FK|Lidköpings IF</t>
  </si>
  <si>
    <t>EST-02288</t>
  </si>
  <si>
    <t>Herrestads AIF 1 vs 2 IFK Skövde FK</t>
  </si>
  <si>
    <t>2026-06-18|Herrestads AIF|IFK Skövde FK</t>
  </si>
  <si>
    <t>EST-02289</t>
  </si>
  <si>
    <t>IFK Skövde FK 0 vs 4 Grebbestads IF</t>
  </si>
  <si>
    <t>2026-06-12|IFK Skövde FK|Grebbestads IF</t>
  </si>
  <si>
    <t>EST-02290</t>
  </si>
  <si>
    <t>IF Karlstad B 0 vs 2 IFK Skövde FK</t>
  </si>
  <si>
    <t>2026-06-07|IF Karlstad B|IFK Skövde FK</t>
  </si>
  <si>
    <t>EST-02291</t>
  </si>
  <si>
    <t>IFK Skövde FK 2 vs 1 IFK Kumla</t>
  </si>
  <si>
    <t>2026-05-22|IFK Skövde FK|IFK Kumla</t>
  </si>
  <si>
    <t>EST-02292</t>
  </si>
  <si>
    <t>IFK Skövde FK 6 vs 2 Vänersborgs IF</t>
  </si>
  <si>
    <t>2026-05-15|IFK Skövde FK|Vänersborgs IF</t>
  </si>
  <si>
    <t>EST-02293</t>
  </si>
  <si>
    <t>Motala AIF 0 vs 4 IFK Skövde FK</t>
  </si>
  <si>
    <t>2026-05-09|Motala AIF|IFK Skövde FK</t>
  </si>
  <si>
    <t>EST-02294</t>
  </si>
  <si>
    <t>Ahlafors IF 2 vs 3 IFK Skövde FK</t>
  </si>
  <si>
    <t>2026-05-01|Ahlafors IF|IFK Skövde FK</t>
  </si>
  <si>
    <t>EST-02295</t>
  </si>
  <si>
    <t>IFK Skövde FK 2 vs 0 Stenungsunds IF</t>
  </si>
  <si>
    <t>2026-04-25|IFK Skövde FK|Stenungsunds IF</t>
  </si>
  <si>
    <t>EST-02296</t>
  </si>
  <si>
    <t>IF Karlstad B 1 vs 2 Grebbestads IF</t>
  </si>
  <si>
    <t>2026-07-31|IF Karlstad B|Grebbestads IF</t>
  </si>
  <si>
    <t>EST-02297</t>
  </si>
  <si>
    <t>Grebbestads IF 2 vs 1 IFK Kumla</t>
  </si>
  <si>
    <t>2026-06-24|Grebbestads IF|IFK Kumla</t>
  </si>
  <si>
    <t>EST-02298</t>
  </si>
  <si>
    <t>Grebbestads IF 4 vs 3 Vänersborgs IF</t>
  </si>
  <si>
    <t>2026-06-18|Grebbestads IF|Vänersborgs IF</t>
  </si>
  <si>
    <t>EST-02299</t>
  </si>
  <si>
    <t>Vänersborgs FK 2 vs 3 Grebbestads IF</t>
  </si>
  <si>
    <t>2026-05-29|Vänersborgs FK|Grebbestads IF</t>
  </si>
  <si>
    <t>EST-02300</t>
  </si>
  <si>
    <t>Grebbestads IF 2 vs 0 Motala AIF</t>
  </si>
  <si>
    <t>2026-05-23|Grebbestads IF|Motala AIF</t>
  </si>
  <si>
    <t>EST-02301</t>
  </si>
  <si>
    <t>Lidköpings IF 1 vs 3 Grebbestads IF</t>
  </si>
  <si>
    <t>2026-05-14|Lidköpings IF|Grebbestads IF</t>
  </si>
  <si>
    <t>EST-02302</t>
  </si>
  <si>
    <t>Grebbestads IF 0 vs 2 Ahlafors IF</t>
  </si>
  <si>
    <t>2026-05-09|Grebbestads IF|Ahlafors IF</t>
  </si>
  <si>
    <t>EST-02303</t>
  </si>
  <si>
    <t>Grebbestads IF 3 vs 0 IK Tord</t>
  </si>
  <si>
    <t>2026-04-25|Grebbestads IF|IK Tord</t>
  </si>
  <si>
    <t>EST-02304</t>
  </si>
  <si>
    <t>Ahlafors IF 2 vs 0 IF Karlstad B</t>
  </si>
  <si>
    <t>2026-08-08|Ahlafors IF|IF Karlstad B</t>
  </si>
  <si>
    <t>EST-02305</t>
  </si>
  <si>
    <t>IK Tord 2 vs 2 Ahlafors IF</t>
  </si>
  <si>
    <t>2026-06-27|IK Tord|Ahlafors IF</t>
  </si>
  <si>
    <t>EST-02306</t>
  </si>
  <si>
    <t>Stenungsunds IF 0 vs 4 Ahlafors IF</t>
  </si>
  <si>
    <t>2026-06-12|Stenungsunds IF|Ahlafors IF</t>
  </si>
  <si>
    <t>EST-02307</t>
  </si>
  <si>
    <t>IFK Kumla 1 vs 1 Ahlafors IF</t>
  </si>
  <si>
    <t>2026-06-07|IFK Kumla|Ahlafors IF</t>
  </si>
  <si>
    <t>EST-02308</t>
  </si>
  <si>
    <t>Ahlafors IF 1 vs 2 IK Tord</t>
  </si>
  <si>
    <t>2026-05-30|Ahlafors IF|IK Tord</t>
  </si>
  <si>
    <t>EST-02309</t>
  </si>
  <si>
    <t>IF Karlstad B 1 vs 4 Ahlafors IF</t>
  </si>
  <si>
    <t>2026-05-23|IF Karlstad B|Ahlafors IF</t>
  </si>
  <si>
    <t>EST-02310</t>
  </si>
  <si>
    <t>Ahlafors IF 5 vs 0 Herrestads AIF</t>
  </si>
  <si>
    <t>2026-05-13|Ahlafors IF|Herrestads AIF</t>
  </si>
  <si>
    <t>EST-02311</t>
  </si>
  <si>
    <t>Motala AIF 3 vs 2 Ahlafors IF</t>
  </si>
  <si>
    <t>2026-04-26|Motala AIF|Ahlafors IF</t>
  </si>
  <si>
    <t>EST-02312</t>
  </si>
  <si>
    <t>Herrestads AIF 3 vs 2 IK Tord</t>
  </si>
  <si>
    <t>2026-08-09|Herrestads AIF|IK Tord</t>
  </si>
  <si>
    <t>EST-02313</t>
  </si>
  <si>
    <t>Vänersborgs FK 2 vs 4 Herrestads AIF</t>
  </si>
  <si>
    <t>2026-07-31|Vänersborgs FK|Herrestads AIF</t>
  </si>
  <si>
    <t>EST-02314</t>
  </si>
  <si>
    <t>Vänersborgs IF 2 vs 2 Herrestads AIF</t>
  </si>
  <si>
    <t>2026-06-15|Vänersborgs IF|Herrestads AIF</t>
  </si>
  <si>
    <t>EST-02315</t>
  </si>
  <si>
    <t>Herrestads AIF 1 vs 0 Motala AIF</t>
  </si>
  <si>
    <t>2026-06-07|Herrestads AIF|Motala AIF</t>
  </si>
  <si>
    <t>EST-02316</t>
  </si>
  <si>
    <t>IFK Kumla 1 vs 2 Herrestads AIF</t>
  </si>
  <si>
    <t>2026-05-30|IFK Kumla|Herrestads AIF</t>
  </si>
  <si>
    <t>EST-02317</t>
  </si>
  <si>
    <t>Herrestads AIF 1 vs 1 Vänersborgs FK</t>
  </si>
  <si>
    <t>2026-05-22|Herrestads AIF|Vänersborgs FK</t>
  </si>
  <si>
    <t>EST-02318</t>
  </si>
  <si>
    <t>Herrestads AIF 4 vs 0 Stenungsunds IF</t>
  </si>
  <si>
    <t>2026-05-08|Herrestads AIF|Stenungsunds IF</t>
  </si>
  <si>
    <t>EST-02319</t>
  </si>
  <si>
    <t>IK Tord 2 vs 2 Herrestads AIF</t>
  </si>
  <si>
    <t>2026-05-01|IK Tord|Herrestads AIF</t>
  </si>
  <si>
    <t>EST-02320</t>
  </si>
  <si>
    <t>Herrestads AIF 3 vs 1 Lidköpings IF</t>
  </si>
  <si>
    <t>2026-04-26|Herrestads AIF|Lidköpings IF</t>
  </si>
  <si>
    <t>EST-02321</t>
  </si>
  <si>
    <t>Lidköpings IF 1 vs 2 Stenungsunds IF</t>
  </si>
  <si>
    <t>2026-08-08|Lidköpings IF|Stenungsunds IF</t>
  </si>
  <si>
    <t>EST-02322</t>
  </si>
  <si>
    <t>Vänersborgs IF 1 vs 0 Stenungsunds IF</t>
  </si>
  <si>
    <t>2026-06-26|Vänersborgs IF|Stenungsunds IF</t>
  </si>
  <si>
    <t>EST-02323</t>
  </si>
  <si>
    <t>Vänersborgs FK 2 vs 4 Stenungsunds IF</t>
  </si>
  <si>
    <t>2026-06-18|Vänersborgs FK|Stenungsunds IF</t>
  </si>
  <si>
    <t>EST-02324</t>
  </si>
  <si>
    <t>Stenungsunds IF 5 vs 0 Vänersborgs IF</t>
  </si>
  <si>
    <t>2026-06-04|Stenungsunds IF|Vänersborgs IF</t>
  </si>
  <si>
    <t>EST-02325</t>
  </si>
  <si>
    <t>Stenungsunds IF 6 vs 0 Lidköpings IF</t>
  </si>
  <si>
    <t>2026-05-23|Stenungsunds IF|Lidköpings IF</t>
  </si>
  <si>
    <t>EST-02326</t>
  </si>
  <si>
    <t>Stenungsunds IF 1 vs 1 Motala AIF</t>
  </si>
  <si>
    <t>2026-05-17|Stenungsunds IF|Motala AIF</t>
  </si>
  <si>
    <t>EST-02327</t>
  </si>
  <si>
    <t>Stenungsunds IF 2 vs 0 IF Karlstad B</t>
  </si>
  <si>
    <t>2026-05-03|Stenungsunds IF|IF Karlstad B</t>
  </si>
  <si>
    <t>EST-02328</t>
  </si>
  <si>
    <t>Vänersborgs IF 3 vs 3 Motala AIF</t>
  </si>
  <si>
    <t>2026-08-01|Vänersborgs IF|Motala AIF</t>
  </si>
  <si>
    <t>EST-02329</t>
  </si>
  <si>
    <t>Motala AIF 0 vs 1 Vänersborgs FK</t>
  </si>
  <si>
    <t>2026-06-27|Motala AIF|Vänersborgs FK</t>
  </si>
  <si>
    <t>EST-02330</t>
  </si>
  <si>
    <t>IF Karlstad B 1 vs 3 Motala AIF</t>
  </si>
  <si>
    <t>2026-06-21|IF Karlstad B|Motala AIF</t>
  </si>
  <si>
    <t>EST-02331</t>
  </si>
  <si>
    <t>Motala AIF 0 vs 0 IFK Kumla</t>
  </si>
  <si>
    <t>2026-06-11|Motala AIF|IFK Kumla</t>
  </si>
  <si>
    <t>EST-02332</t>
  </si>
  <si>
    <t>Motala AIF 2 vs 0 Vänersborgs IF</t>
  </si>
  <si>
    <t>2026-05-31|Motala AIF|Vänersborgs IF</t>
  </si>
  <si>
    <t>EST-02333</t>
  </si>
  <si>
    <t>Lidköpings IF 0 vs 3 Motala AIF</t>
  </si>
  <si>
    <t>2026-05-01|Lidköpings IF|Motala AIF</t>
  </si>
  <si>
    <t>EST-02334</t>
  </si>
  <si>
    <t>IFK Kumla 2 vs 1 Vänersborgs IF</t>
  </si>
  <si>
    <t>2026-08-08|IFK Kumla|Vänersborgs IF</t>
  </si>
  <si>
    <t>EST-02335</t>
  </si>
  <si>
    <t>IK Tord 2 vs 0 IFK Kumla</t>
  </si>
  <si>
    <t>2026-07-31|IK Tord|IFK Kumla</t>
  </si>
  <si>
    <t>EST-02336</t>
  </si>
  <si>
    <t>IFK Kumla 1 vs 0 IK Tord</t>
  </si>
  <si>
    <t>2026-06-18|IFK Kumla|IK Tord</t>
  </si>
  <si>
    <t>EST-02337</t>
  </si>
  <si>
    <t>IK Tord 1 vs 1 IF Karlstad B</t>
  </si>
  <si>
    <t>2026-06-13|IK Tord|IF Karlstad B</t>
  </si>
  <si>
    <t>EST-02338</t>
  </si>
  <si>
    <t>IK Tord 0 vs 1 Lidköpings IF</t>
  </si>
  <si>
    <t>2026-06-06|IK Tord|Lidköpings IF</t>
  </si>
  <si>
    <t>EST-02339</t>
  </si>
  <si>
    <t>Lidköpings IF 0 vs 2 IF Karlstad B</t>
  </si>
  <si>
    <t>2026-05-29|Lidköpings IF|IF Karlstad B</t>
  </si>
  <si>
    <t>EST-02340</t>
  </si>
  <si>
    <t>Vänersborgs FK 3 vs 2 IF Karlstad B</t>
  </si>
  <si>
    <t>2026-05-14|Vänersborgs FK|IF Karlstad B</t>
  </si>
  <si>
    <t>EST-02341</t>
  </si>
  <si>
    <t>IK Tord 2 vs 2 Vänersborgs FK</t>
  </si>
  <si>
    <t>2026-05-10|IK Tord|Vänersborgs FK</t>
  </si>
  <si>
    <t>EST-02342</t>
  </si>
  <si>
    <t>Vänersborgs IF 0 vs 1 Lidköpings IF</t>
  </si>
  <si>
    <t>2026-05-08|Vänersborgs IF|Lidköpings IF</t>
  </si>
  <si>
    <t>EST-02343</t>
  </si>
  <si>
    <t>IF Karlstad B 1 vs 1 IFK Kumla</t>
  </si>
  <si>
    <t>2026-05-08|IF Karlstad B|IFK Kumla</t>
  </si>
  <si>
    <t>EST-02344</t>
  </si>
  <si>
    <t>IFK Kumla 0 vs 0 Vänersborgs FK</t>
  </si>
  <si>
    <t>2026-04-25|IFK Kumla|Vänersborgs FK</t>
  </si>
  <si>
    <t>EST-02345</t>
  </si>
  <si>
    <t>Vänersborgs FK 1 vs 2 Vänersborgs IF</t>
  </si>
  <si>
    <t>2026-05-01|Vänersborgs FK|Vänersborgs IF</t>
  </si>
  <si>
    <t>EST-02346</t>
  </si>
  <si>
    <t>Jonsereds IF 2 vs 2 Landvetter IS</t>
  </si>
  <si>
    <t>Jonsereds IF</t>
  </si>
  <si>
    <t>Landvetter IS</t>
  </si>
  <si>
    <t>2026-08-09|Jonsereds IF|Landvetter IS</t>
  </si>
  <si>
    <t>EST-02347</t>
  </si>
  <si>
    <t>Landvetter IS 1 vs 0 Dalstorps IF</t>
  </si>
  <si>
    <t>Dalstorps IF</t>
  </si>
  <si>
    <t>2026-08-02|Landvetter IS|Dalstorps IF</t>
  </si>
  <si>
    <t>EST-02348</t>
  </si>
  <si>
    <t>Onsala BK 2 vs 4 Landvetter IS</t>
  </si>
  <si>
    <t>Onsala BK</t>
  </si>
  <si>
    <t>2026-06-26|Onsala BK|Landvetter IS</t>
  </si>
  <si>
    <t>EST-02349</t>
  </si>
  <si>
    <t>Landvetter IS 1 vs 0 Jonsereds IF</t>
  </si>
  <si>
    <t>2026-06-17|Landvetter IS|Jonsereds IF</t>
  </si>
  <si>
    <t>EST-02350</t>
  </si>
  <si>
    <t>Åstorps FF 0 vs 2 Landvetter IS</t>
  </si>
  <si>
    <t>Åstorps FF</t>
  </si>
  <si>
    <t>2026-06-14|Åstorps FF|Landvetter IS</t>
  </si>
  <si>
    <t>EST-02351</t>
  </si>
  <si>
    <t>Landvetter IS 3 vs 0 Västra Frölunda IF</t>
  </si>
  <si>
    <t>Västra Frölunda IF</t>
  </si>
  <si>
    <t>2026-06-05|Landvetter IS|Västra Frölunda IF</t>
  </si>
  <si>
    <t>EST-02352</t>
  </si>
  <si>
    <t>Landvetter IS 2 vs 1 Qviding FIF</t>
  </si>
  <si>
    <t>2026-05-29|Landvetter IS|Qviding FIF</t>
  </si>
  <si>
    <t>EST-02353</t>
  </si>
  <si>
    <t>BK Astrio 0 vs 2 Landvetter IS</t>
  </si>
  <si>
    <t>2026-05-24|BK Astrio|Landvetter IS</t>
  </si>
  <si>
    <t>EST-02354</t>
  </si>
  <si>
    <t>Landvetter IS 0 vs 1 IF Böljan</t>
  </si>
  <si>
    <t>IF Böljan</t>
  </si>
  <si>
    <t>2026-05-14|Landvetter IS|IF Böljan</t>
  </si>
  <si>
    <t>EST-02355</t>
  </si>
  <si>
    <t>Dalstorps IF 1 vs 0 Landvetter IS</t>
  </si>
  <si>
    <t>2026-05-08|Dalstorps IF|Landvetter IS</t>
  </si>
  <si>
    <t>EST-02356</t>
  </si>
  <si>
    <t>IK Kongahälla 1 vs 1 Landvetter IS</t>
  </si>
  <si>
    <t>IK Kongahälla</t>
  </si>
  <si>
    <t>2026-05-01|IK Kongahälla|Landvetter IS</t>
  </si>
  <si>
    <t>EST-02357</t>
  </si>
  <si>
    <t>Landvetter IS 2 vs 0 Hestrafors IF</t>
  </si>
  <si>
    <t>Hestrafors IF</t>
  </si>
  <si>
    <t>2026-04-24|Landvetter IS|Hestrafors IF</t>
  </si>
  <si>
    <t>EST-02358</t>
  </si>
  <si>
    <t>Lindome GIF 2 vs 3 Jonsereds IF</t>
  </si>
  <si>
    <t>Lindome GIF</t>
  </si>
  <si>
    <t>2026-07-31|Lindome GIF|Jonsereds IF</t>
  </si>
  <si>
    <t>EST-02359</t>
  </si>
  <si>
    <t>Jonsereds IF 1 vs 0 IK Kongahälla</t>
  </si>
  <si>
    <t>2026-06-28|Jonsereds IF|IK Kongahälla</t>
  </si>
  <si>
    <t>EST-02360</t>
  </si>
  <si>
    <t>Jonsereds IF 2 vs 2 Qviding FIF</t>
  </si>
  <si>
    <t>2026-06-13|Jonsereds IF|Qviding FIF</t>
  </si>
  <si>
    <t>EST-02361</t>
  </si>
  <si>
    <t>Jonsereds IF 4 vs 2 Galtabäcks BK</t>
  </si>
  <si>
    <t>2026-06-05|Jonsereds IF|Galtabäcks BK</t>
  </si>
  <si>
    <t>EST-02362</t>
  </si>
  <si>
    <t>Torslanda IK 0 vs 1 Jonsereds IF</t>
  </si>
  <si>
    <t>2026-05-31|Torslanda IK|Jonsereds IF</t>
  </si>
  <si>
    <t>EST-02363</t>
  </si>
  <si>
    <t>Hestrafors IF 5 vs 1 Jonsereds IF</t>
  </si>
  <si>
    <t>2026-05-22|Hestrafors IF|Jonsereds IF</t>
  </si>
  <si>
    <t>EST-02364</t>
  </si>
  <si>
    <t>Jonsereds IF 0 vs 5 Lindome GIF</t>
  </si>
  <si>
    <t>2026-05-17|Jonsereds IF|Lindome GIF</t>
  </si>
  <si>
    <t>EST-02365</t>
  </si>
  <si>
    <t>IK Kongahälla 1 vs 0 Jonsereds IF</t>
  </si>
  <si>
    <t>2026-05-08|IK Kongahälla|Jonsereds IF</t>
  </si>
  <si>
    <t>EST-02366</t>
  </si>
  <si>
    <t>Jonsereds IF 1 vs 1 Dalstorps IF</t>
  </si>
  <si>
    <t>2026-05-01|Jonsereds IF|Dalstorps IF</t>
  </si>
  <si>
    <t>EST-02367</t>
  </si>
  <si>
    <t>Onsala BK 2 vs 3 Jonsereds IF</t>
  </si>
  <si>
    <t>2026-04-26|Onsala BK|Jonsereds IF</t>
  </si>
  <si>
    <t>EST-02368</t>
  </si>
  <si>
    <t>Västra Frölunda IF 3 vs 3 Hestrafors IF</t>
  </si>
  <si>
    <t>2026-08-08|Västra Frölunda IF|Hestrafors IF</t>
  </si>
  <si>
    <t>EST-02369</t>
  </si>
  <si>
    <t>IF Böljan 2 vs 1 Västra Frölunda IF</t>
  </si>
  <si>
    <t>2026-07-31|IF Böljan|Västra Frölunda IF</t>
  </si>
  <si>
    <t>EST-02370</t>
  </si>
  <si>
    <t>Västra Frölunda IF 5 vs 0 Qviding FIF</t>
  </si>
  <si>
    <t>2026-06-24|Västra Frölunda IF|Qviding FIF</t>
  </si>
  <si>
    <t>EST-02371</t>
  </si>
  <si>
    <t>Torslanda IK 1 vs 1 Västra Frölunda IF</t>
  </si>
  <si>
    <t>2026-06-18|Torslanda IK|Västra Frölunda IF</t>
  </si>
  <si>
    <t>EST-02372</t>
  </si>
  <si>
    <t>Västra Frölunda IF 1 vs 1 IF Böljan</t>
  </si>
  <si>
    <t>2026-06-14|Västra Frölunda IF|IF Böljan</t>
  </si>
  <si>
    <t>EST-02373</t>
  </si>
  <si>
    <t>Västra Frölunda IF 1 vs 1 Dalstorps IF</t>
  </si>
  <si>
    <t>2026-05-31|Västra Frölunda IF|Dalstorps IF</t>
  </si>
  <si>
    <t>EST-02374</t>
  </si>
  <si>
    <t>Åstorps FF 0 vs 3 Västra Frölunda IF</t>
  </si>
  <si>
    <t>2026-05-24|Åstorps FF|Västra Frölunda IF</t>
  </si>
  <si>
    <t>EST-02375</t>
  </si>
  <si>
    <t>Västra Frölunda IF 4 vs 0 IK Kongahälla</t>
  </si>
  <si>
    <t>2026-05-14|Västra Frölunda IF|IK Kongahälla</t>
  </si>
  <si>
    <t>EST-02376</t>
  </si>
  <si>
    <t>Västra Frölunda IF 5 vs 3 BK Astrio</t>
  </si>
  <si>
    <t>2026-05-09|Västra Frölunda IF|BK Astrio</t>
  </si>
  <si>
    <t>EST-02377</t>
  </si>
  <si>
    <t>Hestrafors IF 2 vs 4 Västra Frölunda IF</t>
  </si>
  <si>
    <t>2026-05-01|Hestrafors IF|Västra Frölunda IF</t>
  </si>
  <si>
    <t>EST-02378</t>
  </si>
  <si>
    <t>Västra Frölunda IF 0 vs 2 Lindome GIF</t>
  </si>
  <si>
    <t>2026-04-26|Västra Frölunda IF|Lindome GIF</t>
  </si>
  <si>
    <t>EST-02379</t>
  </si>
  <si>
    <t>Dalstorps IF 4 vs 1 IK Kongahälla</t>
  </si>
  <si>
    <t>2026-08-09|Dalstorps IF|IK Kongahälla</t>
  </si>
  <si>
    <t>EST-02380</t>
  </si>
  <si>
    <t>Dalstorps IF 2 vs 2 Lindome GIF</t>
  </si>
  <si>
    <t>2026-06-26|Dalstorps IF|Lindome GIF</t>
  </si>
  <si>
    <t>EST-02381</t>
  </si>
  <si>
    <t>Dalstorps IF 4 vs 0 BK Astrio</t>
  </si>
  <si>
    <t>2026-06-18|Dalstorps IF|BK Astrio</t>
  </si>
  <si>
    <t>EST-02382</t>
  </si>
  <si>
    <t>Hestrafors IF 2 vs 3 Dalstorps IF</t>
  </si>
  <si>
    <t>2026-06-11|Hestrafors IF|Dalstorps IF</t>
  </si>
  <si>
    <t>EST-02383</t>
  </si>
  <si>
    <t>Dalstorps IF 3 vs 1 Onsala BK</t>
  </si>
  <si>
    <t>2026-06-07|Dalstorps IF|Onsala BK</t>
  </si>
  <si>
    <t>EST-02384</t>
  </si>
  <si>
    <t>IK Kongahälla 1 vs 3 Dalstorps IF</t>
  </si>
  <si>
    <t>2026-05-23|IK Kongahälla|Dalstorps IF</t>
  </si>
  <si>
    <t>EST-02385</t>
  </si>
  <si>
    <t>Dalstorps IF 2 vs 4 Åstorps FF</t>
  </si>
  <si>
    <t>2026-05-16|Dalstorps IF|Åstorps FF</t>
  </si>
  <si>
    <t>EST-02386</t>
  </si>
  <si>
    <t>Dalstorps IF 1 vs 0 Galtabäcks BK</t>
  </si>
  <si>
    <t>2026-04-25|Dalstorps IF|Galtabäcks BK</t>
  </si>
  <si>
    <t>Torslanda IK 2 vs 1 Galtabäcks BK</t>
  </si>
  <si>
    <t>2026-08-01|Torslanda IK|Galtabäcks BK</t>
  </si>
  <si>
    <t>EST-02387</t>
  </si>
  <si>
    <t>Hestrafors IF 2 vs 1 Åstorps FF</t>
  </si>
  <si>
    <t>2026-08-01|Hestrafors IF|Åstorps FF</t>
  </si>
  <si>
    <t>EST-02388</t>
  </si>
  <si>
    <t>BK Astrio 1 vs 2 Hestrafors IF</t>
  </si>
  <si>
    <t>2026-06-27|BK Astrio|Hestrafors IF</t>
  </si>
  <si>
    <t>EST-02389</t>
  </si>
  <si>
    <t>IK Kongahälla 0 vs 3 Hestrafors IF</t>
  </si>
  <si>
    <t>2026-06-17|IK Kongahälla|Hestrafors IF</t>
  </si>
  <si>
    <t>EST-02390</t>
  </si>
  <si>
    <t>Torslanda IK 2 vs 2 Hestrafors IF</t>
  </si>
  <si>
    <t>2026-06-06|Torslanda IK|Hestrafors IF</t>
  </si>
  <si>
    <t>EST-02391</t>
  </si>
  <si>
    <t>Hestrafors IF 3 vs 1 IF Böljan</t>
  </si>
  <si>
    <t>2026-05-29|Hestrafors IF|IF Böljan</t>
  </si>
  <si>
    <t>EST-02392</t>
  </si>
  <si>
    <t>Onsala BK 5 vs 1 Hestrafors IF</t>
  </si>
  <si>
    <t>2026-05-16|Onsala BK|Hestrafors IF</t>
  </si>
  <si>
    <t>EST-02393</t>
  </si>
  <si>
    <t>Lindome GIF 2 vs 3 Hestrafors IF</t>
  </si>
  <si>
    <t>2026-05-08|Lindome GIF|Hestrafors IF</t>
  </si>
  <si>
    <t>EST-02394</t>
  </si>
  <si>
    <t>Onsala BK 3 vs 0 IF Böljan</t>
  </si>
  <si>
    <t>2026-08-08|Onsala BK|IF Böljan</t>
  </si>
  <si>
    <t>EST-02395</t>
  </si>
  <si>
    <t>Galtabäcks BK 0 vs 0 IF Böljan</t>
  </si>
  <si>
    <t>2026-06-25|Galtabäcks BK|IF Böljan</t>
  </si>
  <si>
    <t>EST-02396</t>
  </si>
  <si>
    <t>IF Böljan 1 vs 2 Onsala BK</t>
  </si>
  <si>
    <t>2026-06-18|IF Böljan|Onsala BK</t>
  </si>
  <si>
    <t>EST-02397</t>
  </si>
  <si>
    <t>IF Böljan 3 vs 1 BK Astrio</t>
  </si>
  <si>
    <t>2026-06-05|IF Böljan|BK Astrio</t>
  </si>
  <si>
    <t>EST-02398</t>
  </si>
  <si>
    <t>IF Böljan 2 vs 0 Galtabäcks BK</t>
  </si>
  <si>
    <t>2026-05-23|IF Böljan|Galtabäcks BK</t>
  </si>
  <si>
    <t>EST-02399</t>
  </si>
  <si>
    <t>Qviding FIF 2 vs 2 IF Böljan</t>
  </si>
  <si>
    <t>2026-05-08|Qviding FIF|IF Böljan</t>
  </si>
  <si>
    <t>EST-02400</t>
  </si>
  <si>
    <t>IF Böljan 2 vs 2 Torslanda IK</t>
  </si>
  <si>
    <t>2026-05-01|IF Böljan|Torslanda IK</t>
  </si>
  <si>
    <t>EST-02401</t>
  </si>
  <si>
    <t>Åstorps FF 1 vs 1 IF Böljan</t>
  </si>
  <si>
    <t>2026-04-26|Åstorps FF|IF Böljan</t>
  </si>
  <si>
    <t>EST-02402</t>
  </si>
  <si>
    <t>Åstorps FF 0 vs 2 Lindome GIF</t>
  </si>
  <si>
    <t>2026-08-07|Åstorps FF|Lindome GIF</t>
  </si>
  <si>
    <t>EST-02403</t>
  </si>
  <si>
    <t>Lindome GIF 3 vs 0 Åstorps FF</t>
  </si>
  <si>
    <t>2026-06-18|Lindome GIF|Åstorps FF</t>
  </si>
  <si>
    <t>EST-02404</t>
  </si>
  <si>
    <t>BK Astrio 1 vs 2 Lindome GIF</t>
  </si>
  <si>
    <t>2026-06-11|BK Astrio|Lindome GIF</t>
  </si>
  <si>
    <t>EST-02405</t>
  </si>
  <si>
    <t>Lindome GIF 2 vs 2 IK Kongahälla</t>
  </si>
  <si>
    <t>2026-06-05|Lindome GIF|IK Kongahälla</t>
  </si>
  <si>
    <t>EST-02406</t>
  </si>
  <si>
    <t>Galtabäcks BK 1 vs 1 Lindome GIF</t>
  </si>
  <si>
    <t>2026-05-29|Galtabäcks BK|Lindome GIF</t>
  </si>
  <si>
    <t>EST-02407</t>
  </si>
  <si>
    <t>Lindome GIF 2 vs 1 Torslanda IK</t>
  </si>
  <si>
    <t>2026-05-22|Lindome GIF|Torslanda IK</t>
  </si>
  <si>
    <t>EST-02408</t>
  </si>
  <si>
    <t>Lindome GIF 0 vs 2 Onsala BK</t>
  </si>
  <si>
    <t>2026-05-01|Lindome GIF|Onsala BK</t>
  </si>
  <si>
    <t>EST-02409</t>
  </si>
  <si>
    <t>BK Astrio 0 vs 6 Torslanda IK</t>
  </si>
  <si>
    <t>2026-08-09|BK Astrio|Torslanda IK</t>
  </si>
  <si>
    <t>EST-02410</t>
  </si>
  <si>
    <t>Åstorps FF 1 vs 1 Torslanda IK</t>
  </si>
  <si>
    <t>2026-06-27|Åstorps FF|Torslanda IK</t>
  </si>
  <si>
    <t>EST-02411</t>
  </si>
  <si>
    <t>Onsala BK 1 vs 1 Torslanda IK</t>
  </si>
  <si>
    <t>2026-06-14|Onsala BK|Torslanda IK</t>
  </si>
  <si>
    <t>EST-02412</t>
  </si>
  <si>
    <t>Torslanda IK 1 vs 2 Qviding FIF</t>
  </si>
  <si>
    <t>2026-05-14|Torslanda IK|Qviding FIF</t>
  </si>
  <si>
    <t>EST-02413</t>
  </si>
  <si>
    <t>Galtabäcks BK 1 vs 2 Torslanda IK</t>
  </si>
  <si>
    <t>2026-05-08|Galtabäcks BK|Torslanda IK</t>
  </si>
  <si>
    <t>EST-02414</t>
  </si>
  <si>
    <t>Torslanda IK 2 vs 0 BK Astrio</t>
  </si>
  <si>
    <t>2026-04-26|Torslanda IK|BK Astrio</t>
  </si>
  <si>
    <t>EST-02415</t>
  </si>
  <si>
    <t>IK Kongahälla 0 vs 0 Onsala BK</t>
  </si>
  <si>
    <t>2026-07-31|IK Kongahälla|Onsala BK</t>
  </si>
  <si>
    <t>EST-02416</t>
  </si>
  <si>
    <t>Qviding FIF 3 vs 2 Galtabäcks BK</t>
  </si>
  <si>
    <t>2026-06-18|Qviding FIF|Galtabäcks BK</t>
  </si>
  <si>
    <t>EST-02417</t>
  </si>
  <si>
    <t>Galtabäcks BK 1 vs 2 IK Kongahälla</t>
  </si>
  <si>
    <t>2026-06-13|Galtabäcks BK|IK Kongahälla</t>
  </si>
  <si>
    <t>EST-02418</t>
  </si>
  <si>
    <t>Qviding FIF 2 vs 2 Åstorps FF</t>
  </si>
  <si>
    <t>2026-06-06|Qviding FIF|Åstorps FF</t>
  </si>
  <si>
    <t>EST-02419</t>
  </si>
  <si>
    <t>IK Kongahälla 1 vs 2 Åstorps FF</t>
  </si>
  <si>
    <t>2026-05-30|IK Kongahälla|Åstorps FF</t>
  </si>
  <si>
    <t>EST-02420</t>
  </si>
  <si>
    <t>Onsala BK 0 vs 0 BK Astrio</t>
  </si>
  <si>
    <t>2026-05-30|Onsala BK|BK Astrio</t>
  </si>
  <si>
    <t>EST-02421</t>
  </si>
  <si>
    <t>Qviding FIF 1 vs 2 Onsala BK</t>
  </si>
  <si>
    <t>2026-05-22|Qviding FIF|Onsala BK</t>
  </si>
  <si>
    <t>EST-02422</t>
  </si>
  <si>
    <t>Åstorps FF 1 vs 1 Onsala BK</t>
  </si>
  <si>
    <t>2026-05-10|Åstorps FF|Onsala BK</t>
  </si>
  <si>
    <t>EST-02423</t>
  </si>
  <si>
    <t>BK Astrio 0 vs 3 Qviding FIF</t>
  </si>
  <si>
    <t>2026-05-03|BK Astrio|Qviding FIF</t>
  </si>
  <si>
    <t>EST-02424</t>
  </si>
  <si>
    <t>Galtabäcks BK 2 vs 2 Åstorps FF</t>
  </si>
  <si>
    <t>2026-04-30|Galtabäcks BK|Åstorps FF</t>
  </si>
  <si>
    <t>EST-02425</t>
  </si>
  <si>
    <t>Qviding FIF 3 vs 1 IK Kongahälla</t>
  </si>
  <si>
    <t>2026-04-25|Qviding FIF|IK Kongahälla</t>
  </si>
  <si>
    <t>EST-02426</t>
  </si>
  <si>
    <t>BK Astrio 2 vs 1 Galtabäcks BK</t>
  </si>
  <si>
    <t>2026-05-17|BK Astrio|Galtabäcks BK</t>
  </si>
  <si>
    <t>EST-02427</t>
  </si>
  <si>
    <t>Aalesunds FK 2 vs 6 Tromsø IL</t>
  </si>
  <si>
    <t>Aalesunds FK</t>
  </si>
  <si>
    <t>Tromsø IL</t>
  </si>
  <si>
    <t>2026-08-02|Aalesunds FK|Tromsø IL</t>
  </si>
  <si>
    <t>EST-02428</t>
  </si>
  <si>
    <t>Hamarkameratene 1 vs 4 Tromsø IL</t>
  </si>
  <si>
    <t>Hamarkameratene</t>
  </si>
  <si>
    <t>2026-07-18|Hamarkameratene|Tromsø IL</t>
  </si>
  <si>
    <t>EST-02429</t>
  </si>
  <si>
    <t>Tromsø IL 4 vs 0 Vålerenga Fotball</t>
  </si>
  <si>
    <t>Vålerenga Fotball</t>
  </si>
  <si>
    <t>2026-07-11|Tromsø IL|Vålerenga Fotball</t>
  </si>
  <si>
    <t>EST-02430</t>
  </si>
  <si>
    <t>KFUM-Kameratene Oslo 0 vs 0 Tromsø IL</t>
  </si>
  <si>
    <t>KFUM-Kameratene Oslo</t>
  </si>
  <si>
    <t>2026-05-29|KFUM-Kameratene Oslo|Tromsø IL</t>
  </si>
  <si>
    <t>EST-02431</t>
  </si>
  <si>
    <t>Tromsø IL 1 vs 1 Aalesunds FK</t>
  </si>
  <si>
    <t>2026-05-25|Tromsø IL|Aalesunds FK</t>
  </si>
  <si>
    <t>EST-02432</t>
  </si>
  <si>
    <t>FK Bodø/Glimt 5 vs 0 Tromsø IL</t>
  </si>
  <si>
    <t>FK Bodø/Glimt</t>
  </si>
  <si>
    <t>2026-05-16|FK Bodø/Glimt|Tromsø IL</t>
  </si>
  <si>
    <t>EST-02433</t>
  </si>
  <si>
    <t>Tromsø IL 2 vs 0 Molde FK</t>
  </si>
  <si>
    <t>Molde FK</t>
  </si>
  <si>
    <t>2026-05-10|Tromsø IL|Molde FK</t>
  </si>
  <si>
    <t>EST-02434</t>
  </si>
  <si>
    <t>IK Start 1 vs 1 Tromsø IL</t>
  </si>
  <si>
    <t>IK Start</t>
  </si>
  <si>
    <t>2026-05-03|IK Start|Tromsø IL</t>
  </si>
  <si>
    <t>EST-02435</t>
  </si>
  <si>
    <t>Tromsø IL 0 vs 5 SK Brann</t>
  </si>
  <si>
    <t>SK Brann</t>
  </si>
  <si>
    <t>2026-04-29|Tromsø IL|SK Brann</t>
  </si>
  <si>
    <t>EST-02436</t>
  </si>
  <si>
    <t>Tromsø IL 3 vs 1 Sandefjord Fotball</t>
  </si>
  <si>
    <t>Sandefjord Fotball</t>
  </si>
  <si>
    <t>2026-04-26|Tromsø IL|Sandefjord Fotball</t>
  </si>
  <si>
    <t>EST-02437</t>
  </si>
  <si>
    <t>Sarpsborg 08 FF 0 vs 1 Tromsø IL</t>
  </si>
  <si>
    <t>Sarpsborg 08 FF</t>
  </si>
  <si>
    <t>2026-04-19|Sarpsborg 08 FF|Tromsø IL</t>
  </si>
  <si>
    <t>EST-02438</t>
  </si>
  <si>
    <t>Tromsø IL 0 vs 0 Lillestrøm SK</t>
  </si>
  <si>
    <t>Lillestrøm SK</t>
  </si>
  <si>
    <t>2026-04-15|Tromsø IL|Lillestrøm SK</t>
  </si>
  <si>
    <t>EST-02439</t>
  </si>
  <si>
    <t>Viking FK 2 vs 1 Sarpsborg 08 FF</t>
  </si>
  <si>
    <t>Viking FK</t>
  </si>
  <si>
    <t>2026-08-08|Viking FK|Sarpsborg 08 FF</t>
  </si>
  <si>
    <t>EST-02440</t>
  </si>
  <si>
    <t>IK Start 0 vs 3 Viking FK</t>
  </si>
  <si>
    <t>2026-08-01|IK Start|Viking FK</t>
  </si>
  <si>
    <t>EST-02441</t>
  </si>
  <si>
    <t>Aalesunds FK 1 vs 1 Viking FK</t>
  </si>
  <si>
    <t>2026-07-26|Aalesunds FK|Viking FK</t>
  </si>
  <si>
    <t>EST-02442</t>
  </si>
  <si>
    <t>Lillestrøm SK 1 vs 2 Viking FK</t>
  </si>
  <si>
    <t>2026-07-22|Lillestrøm SK|Viking FK</t>
  </si>
  <si>
    <t>EST-02443</t>
  </si>
  <si>
    <t>Viking FK 2 vs 1 Sandefjord Fotball</t>
  </si>
  <si>
    <t>2026-07-18|Viking FK|Sandefjord Fotball</t>
  </si>
  <si>
    <t>EST-02444</t>
  </si>
  <si>
    <t>Sarpsborg 08 FF 1 vs 0 Viking FK</t>
  </si>
  <si>
    <t>2026-07-12|Sarpsborg 08 FF|Viking FK</t>
  </si>
  <si>
    <t>EST-02445</t>
  </si>
  <si>
    <t>Kristiansund BK 1 vs 2 Viking FK</t>
  </si>
  <si>
    <t>Kristiansund BK</t>
  </si>
  <si>
    <t>2026-05-24|Kristiansund BK|Viking FK</t>
  </si>
  <si>
    <t>EST-02446</t>
  </si>
  <si>
    <t>Viking FK 6 vs 3 IK Start</t>
  </si>
  <si>
    <t>2026-05-16|Viking FK|IK Start</t>
  </si>
  <si>
    <t>EST-02447</t>
  </si>
  <si>
    <t>KFUM-Kameratene Oslo 0 vs 2 Viking FK</t>
  </si>
  <si>
    <t>2026-05-10|KFUM-Kameratene Oslo|Viking FK</t>
  </si>
  <si>
    <t>EST-02448</t>
  </si>
  <si>
    <t>Viking FK 3 vs 0 Rosenborg BK</t>
  </si>
  <si>
    <t>Rosenborg BK</t>
  </si>
  <si>
    <t>2026-05-01|Viking FK|Rosenborg BK</t>
  </si>
  <si>
    <t>EST-02449</t>
  </si>
  <si>
    <t>Fredrikstad FK 1 vs 2 Viking FK</t>
  </si>
  <si>
    <t>Fredrikstad FK</t>
  </si>
  <si>
    <t>2026-04-25|Fredrikstad FK|Viking FK</t>
  </si>
  <si>
    <t>EST-02450</t>
  </si>
  <si>
    <t>Viking FK 3 vs 2 SK Brann</t>
  </si>
  <si>
    <t>2026-04-18|Viking FK|SK Brann</t>
  </si>
  <si>
    <t>EST-02451</t>
  </si>
  <si>
    <t>Vålerenga Fotball 1 vs 2 FK Bodø/Glimt</t>
  </si>
  <si>
    <t>2026-08-08|Vålerenga Fotball|FK Bodø/Glimt</t>
  </si>
  <si>
    <t>EST-02452</t>
  </si>
  <si>
    <t>FK Bodø/Glimt 4 vs 0 Lillestrøm SK</t>
  </si>
  <si>
    <t>2026-07-31|FK Bodø/Glimt|Lillestrøm SK</t>
  </si>
  <si>
    <t>EST-02453</t>
  </si>
  <si>
    <t>Sandefjord Fotball 0 vs 3 FK Bodø/Glimt</t>
  </si>
  <si>
    <t>2026-07-26|Sandefjord Fotball|FK Bodø/Glimt</t>
  </si>
  <si>
    <t>EST-02454</t>
  </si>
  <si>
    <t>FK Bodø/Glimt 3 vs 0 Hamarkameratene</t>
  </si>
  <si>
    <t>2026-07-22|FK Bodø/Glimt|Hamarkameratene</t>
  </si>
  <si>
    <t>EST-02455</t>
  </si>
  <si>
    <t>FK Bodø/Glimt 1 vs 0 Fredrikstad FK</t>
  </si>
  <si>
    <t>2026-07-17|FK Bodø/Glimt|Fredrikstad FK</t>
  </si>
  <si>
    <t>EST-02456</t>
  </si>
  <si>
    <t>KFUM-Kameratene Oslo 0 vs 2 FK Bodø/Glimt</t>
  </si>
  <si>
    <t>2026-07-12|KFUM-Kameratene Oslo|FK Bodø/Glimt</t>
  </si>
  <si>
    <t>EST-02457</t>
  </si>
  <si>
    <t>Rosenborg BK 2 vs 2 FK Bodø/Glimt</t>
  </si>
  <si>
    <t>2026-05-29|Rosenborg BK|FK Bodø/Glimt</t>
  </si>
  <si>
    <t>EST-02458</t>
  </si>
  <si>
    <t>FK Bodø/Glimt 3 vs 1 SK Brann</t>
  </si>
  <si>
    <t>2026-05-24|FK Bodø/Glimt|SK Brann</t>
  </si>
  <si>
    <t>EST-02459</t>
  </si>
  <si>
    <t>IK Start 1 vs 4 FK Bodø/Glimt</t>
  </si>
  <si>
    <t>2026-05-20|IK Start|FK Bodø/Glimt</t>
  </si>
  <si>
    <t>EST-02460</t>
  </si>
  <si>
    <t>FK Bodø/Glimt 0 vs 1 Molde FK</t>
  </si>
  <si>
    <t>2026-05-04|FK Bodø/Glimt|Molde FK</t>
  </si>
  <si>
    <t>EST-02461</t>
  </si>
  <si>
    <t>FK Bodø/Glimt 5 vs 0 IK Start</t>
  </si>
  <si>
    <t>2026-04-30|FK Bodø/Glimt|IK Start</t>
  </si>
  <si>
    <t>EST-02462</t>
  </si>
  <si>
    <t>Lillestrøm SK 0 vs 2 Rosenborg BK</t>
  </si>
  <si>
    <t>2026-08-09|Lillestrøm SK|Rosenborg BK</t>
  </si>
  <si>
    <t>EST-02463</t>
  </si>
  <si>
    <t>Lillestrøm SK 2 vs 1 KFUM-Kameratene Oslo</t>
  </si>
  <si>
    <t>2026-07-18|Lillestrøm SK|KFUM-Kameratene Oslo</t>
  </si>
  <si>
    <t>EST-02464</t>
  </si>
  <si>
    <t>Fredrikstad FK 0 vs 2 Lillestrøm SK</t>
  </si>
  <si>
    <t>2026-07-11|Fredrikstad FK|Lillestrøm SK</t>
  </si>
  <si>
    <t>EST-02465</t>
  </si>
  <si>
    <t>Hamarkameratene 2 vs 0 Lillestrøm SK</t>
  </si>
  <si>
    <t>2026-05-25|Hamarkameratene|Lillestrøm SK</t>
  </si>
  <si>
    <t>EST-02466</t>
  </si>
  <si>
    <t>Lillestrøm SK 1 vs 2 Kristiansund BK</t>
  </si>
  <si>
    <t>2026-05-20|Lillestrøm SK|Kristiansund BK</t>
  </si>
  <si>
    <t>EST-02467</t>
  </si>
  <si>
    <t>Lillestrøm SK 3 vs 1 Sandefjord Fotball</t>
  </si>
  <si>
    <t>2026-05-16|Lillestrøm SK|Sandefjord Fotball</t>
  </si>
  <si>
    <t>EST-02468</t>
  </si>
  <si>
    <t>Rosenborg BK 2 vs 0 Lillestrøm SK</t>
  </si>
  <si>
    <t>2026-05-10|Rosenborg BK|Lillestrøm SK</t>
  </si>
  <si>
    <t>EST-02469</t>
  </si>
  <si>
    <t>Lillestrøm SK 4 vs 0 Sarpsborg 08 FF</t>
  </si>
  <si>
    <t>2026-05-03|Lillestrøm SK|Sarpsborg 08 FF</t>
  </si>
  <si>
    <t>EST-02470</t>
  </si>
  <si>
    <t>Lillestrøm SK 0 vs 2 FK Bodø/Glimt</t>
  </si>
  <si>
    <t>2026-04-26|Lillestrøm SK|FK Bodø/Glimt</t>
  </si>
  <si>
    <t>EST-02471</t>
  </si>
  <si>
    <t>Vålerenga Fotball 0 vs 2 Lillestrøm SK</t>
  </si>
  <si>
    <t>2026-04-19|Vålerenga Fotball|Lillestrøm SK</t>
  </si>
  <si>
    <t>EST-02472</t>
  </si>
  <si>
    <t>Kristiansund BK 2 vs 1 Molde FK</t>
  </si>
  <si>
    <t>2026-08-09|Kristiansund BK|Molde FK</t>
  </si>
  <si>
    <t>EST-02473</t>
  </si>
  <si>
    <t>Molde FK 3 vs 3 Sarpsborg 08 FF</t>
  </si>
  <si>
    <t>2026-08-02|Molde FK|Sarpsborg 08 FF</t>
  </si>
  <si>
    <t>EST-02474</t>
  </si>
  <si>
    <t>KFUM-Kameratene Oslo 2 vs 4 Molde FK</t>
  </si>
  <si>
    <t>2026-07-26|KFUM-Kameratene Oslo|Molde FK</t>
  </si>
  <si>
    <t>EST-02475</t>
  </si>
  <si>
    <t>Molde FK 1 vs 2 SK Brann</t>
  </si>
  <si>
    <t>2026-07-18|Molde FK|SK Brann</t>
  </si>
  <si>
    <t>EST-02476</t>
  </si>
  <si>
    <t>Aalesunds FK 2 vs 2 Molde FK</t>
  </si>
  <si>
    <t>2026-07-11|Aalesunds FK|Molde FK</t>
  </si>
  <si>
    <t>EST-02477</t>
  </si>
  <si>
    <t>Molde FK 2 vs 1 Sandefjord Fotball</t>
  </si>
  <si>
    <t>2026-05-30|Molde FK|Sandefjord Fotball</t>
  </si>
  <si>
    <t>EST-02478</t>
  </si>
  <si>
    <t>Sarpsborg 08 FF 2 vs 1 Molde FK</t>
  </si>
  <si>
    <t>2026-05-25|Sarpsborg 08 FF|Molde FK</t>
  </si>
  <si>
    <t>EST-02479</t>
  </si>
  <si>
    <t>Molde FK 1 vs 0 Kristiansund BK</t>
  </si>
  <si>
    <t>2026-05-16|Molde FK|Kristiansund BK</t>
  </si>
  <si>
    <t>EST-02480</t>
  </si>
  <si>
    <t>Molde FK 5 vs 1 Vålerenga Fotball</t>
  </si>
  <si>
    <t>2026-04-26|Molde FK|Vålerenga Fotball</t>
  </si>
  <si>
    <t>EST-02481</t>
  </si>
  <si>
    <t>IK Start 1 vs 1 Molde FK</t>
  </si>
  <si>
    <t>2026-04-19|IK Start|Molde FK</t>
  </si>
  <si>
    <t>EST-02482</t>
  </si>
  <si>
    <t>Hamarkameratene 1 vs 1 Aalesunds FK</t>
  </si>
  <si>
    <t>2026-08-09|Hamarkameratene|Aalesunds FK</t>
  </si>
  <si>
    <t>EST-02483</t>
  </si>
  <si>
    <t>Vålerenga Fotball 0 vs 3 Hamarkameratene</t>
  </si>
  <si>
    <t>2026-07-31|Vålerenga Fotball|Hamarkameratene</t>
  </si>
  <si>
    <t>EST-02484</t>
  </si>
  <si>
    <t>Sarpsborg 08 FF 1 vs 0 Hamarkameratene</t>
  </si>
  <si>
    <t>2026-07-26|Sarpsborg 08 FF|Hamarkameratene</t>
  </si>
  <si>
    <t>EST-02485</t>
  </si>
  <si>
    <t>Sandefjord Fotball 2 vs 2 Hamarkameratene</t>
  </si>
  <si>
    <t>2026-07-12|Sandefjord Fotball|Hamarkameratene</t>
  </si>
  <si>
    <t>EST-02486</t>
  </si>
  <si>
    <t>Aalesunds FK 2 vs 2 Hamarkameratene</t>
  </si>
  <si>
    <t>2026-05-29|Aalesunds FK|Hamarkameratene</t>
  </si>
  <si>
    <t>EST-02487</t>
  </si>
  <si>
    <t>Fredrikstad FK 2 vs 1 Hamarkameratene</t>
  </si>
  <si>
    <t>2026-05-16|Fredrikstad FK|Hamarkameratene</t>
  </si>
  <si>
    <t>EST-02488</t>
  </si>
  <si>
    <t>Hamarkameratene 1 vs 0 Vålerenga Fotball</t>
  </si>
  <si>
    <t>2026-05-08|Hamarkameratene|Vålerenga Fotball</t>
  </si>
  <si>
    <t>EST-02489</t>
  </si>
  <si>
    <t>Kristiansund BK 1 vs 1 Hamarkameratene</t>
  </si>
  <si>
    <t>2026-05-03|Kristiansund BK|Hamarkameratene</t>
  </si>
  <si>
    <t>EST-02490</t>
  </si>
  <si>
    <t>Hamarkameratene 2 vs 1 IK Start</t>
  </si>
  <si>
    <t>2026-04-26|Hamarkameratene|IK Start</t>
  </si>
  <si>
    <t>EST-02491</t>
  </si>
  <si>
    <t>Kristiansund BK 0 vs 0 Sarpsborg 08 FF</t>
  </si>
  <si>
    <t>2026-07-18|Kristiansund BK|Sarpsborg 08 FF</t>
  </si>
  <si>
    <t>EST-02492</t>
  </si>
  <si>
    <t>SK Brann 1 vs 2 Sarpsborg 08 FF</t>
  </si>
  <si>
    <t>2026-05-29|SK Brann|Sarpsborg 08 FF</t>
  </si>
  <si>
    <t>EST-02493</t>
  </si>
  <si>
    <t>Vålerenga Fotball 3 vs 2 Sarpsborg 08 FF</t>
  </si>
  <si>
    <t>2026-05-16|Vålerenga Fotball|Sarpsborg 08 FF</t>
  </si>
  <si>
    <t>EST-02494</t>
  </si>
  <si>
    <t>Sarpsborg 08 FF 2 vs 1 Fredrikstad FK</t>
  </si>
  <si>
    <t>2026-05-09|Sarpsborg 08 FF|Fredrikstad FK</t>
  </si>
  <si>
    <t>EST-02495</t>
  </si>
  <si>
    <t>KFUM-Kameratene Oslo 1 vs 0 Sarpsborg 08 FF</t>
  </si>
  <si>
    <t>2026-04-26|KFUM-Kameratene Oslo|Sarpsborg 08 FF</t>
  </si>
  <si>
    <t>EST-02496</t>
  </si>
  <si>
    <t>SK Brann 3 vs 2 Rosenborg BK</t>
  </si>
  <si>
    <t>2026-08-02|SK Brann|Rosenborg BK</t>
  </si>
  <si>
    <t>EST-02497</t>
  </si>
  <si>
    <t>SK Brann 2 vs 3 Vålerenga Fotball</t>
  </si>
  <si>
    <t>2026-07-26|SK Brann|Vålerenga Fotball</t>
  </si>
  <si>
    <t>EST-02498</t>
  </si>
  <si>
    <t>SK Brann 2 vs 1 IK Start</t>
  </si>
  <si>
    <t>2026-07-12|SK Brann|IK Start</t>
  </si>
  <si>
    <t>EST-02499</t>
  </si>
  <si>
    <t>Aalesunds FK 2 vs 1 SK Brann</t>
  </si>
  <si>
    <t>2026-05-20|Aalesunds FK|SK Brann</t>
  </si>
  <si>
    <t>EST-02500</t>
  </si>
  <si>
    <t>SK Brann 2 vs 1 KFUM-Kameratene Oslo</t>
  </si>
  <si>
    <t>2026-05-16|SK Brann|KFUM-Kameratene Oslo</t>
  </si>
  <si>
    <t>EST-02501</t>
  </si>
  <si>
    <t>SK Brann 3 vs 1 Fredrikstad FK</t>
  </si>
  <si>
    <t>2026-05-02|SK Brann|Fredrikstad FK</t>
  </si>
  <si>
    <t>EST-02502</t>
  </si>
  <si>
    <t>Rosenborg BK 1 vs 1 SK Brann</t>
  </si>
  <si>
    <t>2026-04-25|Rosenborg BK|SK Brann</t>
  </si>
  <si>
    <t>EST-02503</t>
  </si>
  <si>
    <t>Sandefjord Fotball 0 vs 1 KFUM-Kameratene Oslo</t>
  </si>
  <si>
    <t>2026-08-07|Sandefjord Fotball|KFUM-Kameratene Oslo</t>
  </si>
  <si>
    <t>EST-02504</t>
  </si>
  <si>
    <t>Fredrikstad FK 1 vs 0 Sandefjord Fotball</t>
  </si>
  <si>
    <t>2026-08-01|Fredrikstad FK|Sandefjord Fotball</t>
  </si>
  <si>
    <t>EST-02505</t>
  </si>
  <si>
    <t>Sandefjord Fotball 1 vs 1 Fredrikstad FK</t>
  </si>
  <si>
    <t>2026-05-25|Sandefjord Fotball|Fredrikstad FK</t>
  </si>
  <si>
    <t>EST-02506</t>
  </si>
  <si>
    <t>Sandefjord Fotball 2 vs 0 Kristiansund BK</t>
  </si>
  <si>
    <t>2026-05-10|Sandefjord Fotball|Kristiansund BK</t>
  </si>
  <si>
    <t>EST-02507</t>
  </si>
  <si>
    <t>Sandefjord Fotball 1 vs 0 Aalesunds FK</t>
  </si>
  <si>
    <t>2026-05-03|Sandefjord Fotball|Aalesunds FK</t>
  </si>
  <si>
    <t>EST-02508</t>
  </si>
  <si>
    <t>Sandefjord Fotball 0 vs 0 Rosenborg BK</t>
  </si>
  <si>
    <t>2026-04-18|Sandefjord Fotball|Rosenborg BK</t>
  </si>
  <si>
    <t>EST-02509</t>
  </si>
  <si>
    <t>IK Start 0 vs 1 Fredrikstad FK</t>
  </si>
  <si>
    <t>2026-08-08|IK Start|Fredrikstad FK</t>
  </si>
  <si>
    <t>Rosenborg BK 4 vs 0 Fredrikstad FK</t>
  </si>
  <si>
    <t>2026-07-27|Rosenborg BK|Fredrikstad FK</t>
  </si>
  <si>
    <t>EST-02511</t>
  </si>
  <si>
    <t>Fredrikstad FK 2 vs 1 IK Start</t>
  </si>
  <si>
    <t>2026-05-29|Fredrikstad FK|IK Start</t>
  </si>
  <si>
    <t>EST-02512</t>
  </si>
  <si>
    <t>Kristiansund BK 2 vs 0 Fredrikstad FK</t>
  </si>
  <si>
    <t>2026-04-19|Kristiansund BK|Fredrikstad FK</t>
  </si>
  <si>
    <t>EST-02513</t>
  </si>
  <si>
    <t>Vålerenga Fotball 6 vs 1 Aalesunds FK</t>
  </si>
  <si>
    <t>2026-07-16|Vålerenga Fotball|Aalesunds FK</t>
  </si>
  <si>
    <t>EST-02514</t>
  </si>
  <si>
    <t>Vålerenga Fotball 3 vs 1 Kristiansund BK</t>
  </si>
  <si>
    <t>2026-05-29|Vålerenga Fotball|Kristiansund BK</t>
  </si>
  <si>
    <t>EST-02515</t>
  </si>
  <si>
    <t>IK Start 2 vs 0 Vålerenga Fotball</t>
  </si>
  <si>
    <t>2026-05-25|IK Start|Vålerenga Fotball</t>
  </si>
  <si>
    <t>EST-02516</t>
  </si>
  <si>
    <t>Vålerenga Fotball 2 vs 2 KFUM-Kameratene Oslo</t>
  </si>
  <si>
    <t>2026-05-03|Vålerenga Fotball|KFUM-Kameratene Oslo</t>
  </si>
  <si>
    <t>EST-02517</t>
  </si>
  <si>
    <t>Rosenborg BK 2 vs 3 Aalesunds FK</t>
  </si>
  <si>
    <t>2026-05-16|Rosenborg BK|Aalesunds FK</t>
  </si>
  <si>
    <t>EST-02518</t>
  </si>
  <si>
    <t>Aalesunds FK 1 vs 1 Kristiansund BK</t>
  </si>
  <si>
    <t>2026-04-26|Aalesunds FK|Kristiansund BK</t>
  </si>
  <si>
    <t>EST-02519</t>
  </si>
  <si>
    <t>FK Bodø/Glimt 3 vs 0 Aalesunds FK</t>
  </si>
  <si>
    <t>2026-04-18|FK Bodø/Glimt|Aalesunds FK</t>
  </si>
  <si>
    <t>EST-02520</t>
  </si>
  <si>
    <t>KFUM-Kameratene Oslo 2 vs 1 Kristiansund BK</t>
  </si>
  <si>
    <t>2026-08-02|KFUM-Kameratene Oslo|Kristiansund BK</t>
  </si>
  <si>
    <t>EST-02521</t>
  </si>
  <si>
    <t>Kristiansund BK 1 vs 2 IK Start</t>
  </si>
  <si>
    <t>2026-07-25|Kristiansund BK|IK Start</t>
  </si>
  <si>
    <t>EST-02522</t>
  </si>
  <si>
    <t>IK Start 0 vs 3 Rosenborg BK</t>
  </si>
  <si>
    <t>2026-07-18|IK Start|Rosenborg BK</t>
  </si>
  <si>
    <t>EST-02523</t>
  </si>
  <si>
    <t>Rosenborg BK 3 vs 0 Kristiansund BK</t>
  </si>
  <si>
    <t>2026-07-12|Rosenborg BK|Kristiansund BK</t>
  </si>
  <si>
    <t>EST-02524</t>
  </si>
  <si>
    <t>KFUM-Kameratene Oslo 2 vs 0 Rosenborg BK</t>
  </si>
  <si>
    <t>2026-05-25|KFUM-Kameratene Oslo|Rosenborg BK</t>
  </si>
  <si>
    <t>EST-02525</t>
  </si>
  <si>
    <t>Hamarkameratene 4 vs 0 KFUM-Kameratene Oslo</t>
  </si>
  <si>
    <t>2026-04-19|Hamarkameratene|KFUM-Kameratene Oslo</t>
  </si>
  <si>
    <t>Stabæk Fotball 6 vs 0 IL Hødd</t>
  </si>
  <si>
    <t>Stabæk Fotball</t>
  </si>
  <si>
    <t>IL Hødd</t>
  </si>
  <si>
    <t>2026-07-27|Stabæk Fotball|IL Hødd</t>
  </si>
  <si>
    <t>Odds BK 4 vs 1 Åsane Fotball</t>
  </si>
  <si>
    <t>Odds BK</t>
  </si>
  <si>
    <t>Åsane Fotball</t>
  </si>
  <si>
    <t>2026-08-02|Odds BK|Åsane Fotball</t>
  </si>
  <si>
    <t>Lyn 1896 FK 3 vs 2 Sogndal Fotball</t>
  </si>
  <si>
    <t>Lyn 1896 FK</t>
  </si>
  <si>
    <t>Sogndal Fotball</t>
  </si>
  <si>
    <t>2026-08-02|Lyn 1896 FK|Sogndal Fotball</t>
  </si>
  <si>
    <t>Kongsvinger IL</t>
  </si>
  <si>
    <t>Egersunds IK 2 vs 0 Sandnes Ulf</t>
  </si>
  <si>
    <t>Egersunds IK</t>
  </si>
  <si>
    <t>2026-08-02|Egersunds IK|Sandnes Ulf</t>
  </si>
  <si>
    <t>Ranheim Fotball 3 vs 4 FK Haugesund</t>
  </si>
  <si>
    <t>Ranheim Fotball</t>
  </si>
  <si>
    <t>FK Haugesund</t>
  </si>
  <si>
    <t>2026-08-03|Ranheim Fotball|FK Haugesund</t>
  </si>
  <si>
    <t>Kongsvinger IL 1 vs 3 Strømmen IF</t>
  </si>
  <si>
    <t>Strømmen IF</t>
  </si>
  <si>
    <t>2026-08-02|Kongsvinger IL|Strømmen IF</t>
  </si>
  <si>
    <t>EST-02526</t>
  </si>
  <si>
    <t>FK Haugesund 7 vs 2 Raufoss Fotball</t>
  </si>
  <si>
    <t>Raufoss Fotball</t>
  </si>
  <si>
    <t>2026-08-09|FK Haugesund|Raufoss Fotball</t>
  </si>
  <si>
    <t>EST-02527</t>
  </si>
  <si>
    <t>FK Haugesund 1 vs 2 Bryne FK</t>
  </si>
  <si>
    <t>Bryne FK</t>
  </si>
  <si>
    <t>2026-07-25|FK Haugesund|Bryne FK</t>
  </si>
  <si>
    <t>EST-02528</t>
  </si>
  <si>
    <t>Odds BK 1 vs 3 FK Haugesund</t>
  </si>
  <si>
    <t>2026-07-05|Odds BK|FK Haugesund</t>
  </si>
  <si>
    <t>EST-02529</t>
  </si>
  <si>
    <t>FK Haugesund 4 vs 2 Kongsvinger IL</t>
  </si>
  <si>
    <t>2026-06-27|FK Haugesund|Kongsvinger IL</t>
  </si>
  <si>
    <t>EST-02530</t>
  </si>
  <si>
    <t>Egersunds IK 5 vs 2 FK Haugesund</t>
  </si>
  <si>
    <t>2026-06-21|Egersunds IK|FK Haugesund</t>
  </si>
  <si>
    <t>EST-02531</t>
  </si>
  <si>
    <t>FK Haugesund 4 vs 1 Ranheim Fotball</t>
  </si>
  <si>
    <t>2026-06-14|FK Haugesund|Ranheim Fotball</t>
  </si>
  <si>
    <t>EST-02532</t>
  </si>
  <si>
    <t>Raufoss Fotball 3 vs 4 FK Haugesund</t>
  </si>
  <si>
    <t>2026-05-31|Raufoss Fotball|FK Haugesund</t>
  </si>
  <si>
    <t>EST-02533</t>
  </si>
  <si>
    <t>FK Haugesund 3 vs 1 Moss FK</t>
  </si>
  <si>
    <t>Moss FK</t>
  </si>
  <si>
    <t>2026-05-25|FK Haugesund|Moss FK</t>
  </si>
  <si>
    <t>EST-02534</t>
  </si>
  <si>
    <t>Strømmen IF 0 vs 7 FK Haugesund</t>
  </si>
  <si>
    <t>2026-05-20|Strømmen IF|FK Haugesund</t>
  </si>
  <si>
    <t>EST-02535</t>
  </si>
  <si>
    <t>FK Haugesund 1 vs 1 Åsane Fotball</t>
  </si>
  <si>
    <t>2026-05-16|FK Haugesund|Åsane Fotball</t>
  </si>
  <si>
    <t>EST-02536</t>
  </si>
  <si>
    <t>Sogndal Fotball 5 vs 1 FK Haugesund</t>
  </si>
  <si>
    <t>2026-05-10|Sogndal Fotball|FK Haugesund</t>
  </si>
  <si>
    <t>EST-02537</t>
  </si>
  <si>
    <t>Stabæk Fotball 4 vs 3 Lyn 1896 FK</t>
  </si>
  <si>
    <t>2026-08-08|Stabæk Fotball|Lyn 1896 FK</t>
  </si>
  <si>
    <t>EST-02538</t>
  </si>
  <si>
    <t>Raufoss Fotball 0 vs 2 Stabæk Fotball</t>
  </si>
  <si>
    <t>2026-08-02|Raufoss Fotball|Stabæk Fotball</t>
  </si>
  <si>
    <t>EST-02539</t>
  </si>
  <si>
    <t>Ranheim Fotball 2 vs 5 Stabæk Fotball</t>
  </si>
  <si>
    <t>2026-07-03|Ranheim Fotball|Stabæk Fotball</t>
  </si>
  <si>
    <t>EST-02540</t>
  </si>
  <si>
    <t>Stabæk Fotball 2 vs 0 Bryne FK</t>
  </si>
  <si>
    <t>2026-06-27|Stabæk Fotball|Bryne FK</t>
  </si>
  <si>
    <t>EST-02541</t>
  </si>
  <si>
    <t>Strømmen IF 1 vs 0 Stabæk Fotball</t>
  </si>
  <si>
    <t>2026-06-21|Strømmen IF|Stabæk Fotball</t>
  </si>
  <si>
    <t>EST-02542</t>
  </si>
  <si>
    <t>Stabæk Fotball 3 vs 1 Egersunds IK</t>
  </si>
  <si>
    <t>2026-06-14|Stabæk Fotball|Egersunds IK</t>
  </si>
  <si>
    <t>EST-02543</t>
  </si>
  <si>
    <t>Moss FK 2 vs 2 Stabæk Fotball</t>
  </si>
  <si>
    <t>2026-05-30|Moss FK|Stabæk Fotball</t>
  </si>
  <si>
    <t>EST-02544</t>
  </si>
  <si>
    <t>Stabæk Fotball 2 vs 0 Kongsvinger IL</t>
  </si>
  <si>
    <t>2026-05-25|Stabæk Fotball|Kongsvinger IL</t>
  </si>
  <si>
    <t>EST-02545</t>
  </si>
  <si>
    <t>Sogndal Fotball 2 vs 2 Stabæk Fotball</t>
  </si>
  <si>
    <t>2026-05-20|Sogndal Fotball|Stabæk Fotball</t>
  </si>
  <si>
    <t>EST-02546</t>
  </si>
  <si>
    <t>Stabæk Fotball 1 vs 2 Raufoss Fotball</t>
  </si>
  <si>
    <t>2026-05-16|Stabæk Fotball|Raufoss Fotball</t>
  </si>
  <si>
    <t>EST-02547</t>
  </si>
  <si>
    <t>Sandnes Ulf 0 vs 1 Stabæk Fotball</t>
  </si>
  <si>
    <t>2026-05-10|Sandnes Ulf|Stabæk Fotball</t>
  </si>
  <si>
    <t>EST-02548</t>
  </si>
  <si>
    <t>Åsane Fotball 1 vs 2 Kongsvinger IL</t>
  </si>
  <si>
    <t>2026-08-09|Åsane Fotball|Kongsvinger IL</t>
  </si>
  <si>
    <t>EST-02549</t>
  </si>
  <si>
    <t>Sandnes Ulf 1 vs 6 Kongsvinger IL</t>
  </si>
  <si>
    <t>2026-07-26|Sandnes Ulf|Kongsvinger IL</t>
  </si>
  <si>
    <t>EST-02550</t>
  </si>
  <si>
    <t>Kongsvinger IL 5 vs 1 Sogndal Fotball</t>
  </si>
  <si>
    <t>2026-07-03|Kongsvinger IL|Sogndal Fotball</t>
  </si>
  <si>
    <t>EST-02551</t>
  </si>
  <si>
    <t>Kongsvinger IL 4 vs 4 Strømsgodset IF</t>
  </si>
  <si>
    <t>Strømsgodset IF</t>
  </si>
  <si>
    <t>2026-06-21|Kongsvinger IL|Strømsgodset IF</t>
  </si>
  <si>
    <t>EST-02552</t>
  </si>
  <si>
    <t>IL Hødd 1 vs 2 Kongsvinger IL</t>
  </si>
  <si>
    <t>2026-06-14|IL Hødd|Kongsvinger IL</t>
  </si>
  <si>
    <t>EST-02553</t>
  </si>
  <si>
    <t>Kongsvinger IL 3 vs 1 Åsane Fotball</t>
  </si>
  <si>
    <t>2026-05-31|Kongsvinger IL|Åsane Fotball</t>
  </si>
  <si>
    <t>EST-02554</t>
  </si>
  <si>
    <t>Kongsvinger IL 4 vs 2 Odds BK</t>
  </si>
  <si>
    <t>2026-05-20|Kongsvinger IL|Odds BK</t>
  </si>
  <si>
    <t>EST-02555</t>
  </si>
  <si>
    <t>Lyn 1896 FK 0 vs 3 Kongsvinger IL</t>
  </si>
  <si>
    <t>2026-05-16|Lyn 1896 FK|Kongsvinger IL</t>
  </si>
  <si>
    <t>EST-02556</t>
  </si>
  <si>
    <t>Ranheim Fotball 1 vs 1 Kongsvinger IL</t>
  </si>
  <si>
    <t>2026-05-08|Ranheim Fotball|Kongsvinger IL</t>
  </si>
  <si>
    <t>EST-02557</t>
  </si>
  <si>
    <t>Strømsgodset IF 0 vs 2 Egersunds IK</t>
  </si>
  <si>
    <t>2026-08-09|Strømsgodset IF|Egersunds IK</t>
  </si>
  <si>
    <t>EST-02558</t>
  </si>
  <si>
    <t>Bryne FK 0 vs 2 Strømsgodset IF</t>
  </si>
  <si>
    <t>2026-08-01|Bryne FK|Strømsgodset IF</t>
  </si>
  <si>
    <t>EST-02559</t>
  </si>
  <si>
    <t>Strømsgodset IF 1 vs 1 Lyn 1896 FK</t>
  </si>
  <si>
    <t>2026-07-25|Strømsgodset IF|Lyn 1896 FK</t>
  </si>
  <si>
    <t>EST-02560</t>
  </si>
  <si>
    <t>IL Hødd 4 vs 3 Strømsgodset IF</t>
  </si>
  <si>
    <t>2026-07-04|IL Hødd|Strømsgodset IF</t>
  </si>
  <si>
    <t>EST-02561</t>
  </si>
  <si>
    <t>Strømsgodset IF 2 vs 2 Odds BK</t>
  </si>
  <si>
    <t>2026-06-27|Strømsgodset IF|Odds BK</t>
  </si>
  <si>
    <t>EST-02562</t>
  </si>
  <si>
    <t>Strømsgodset IF 6 vs 1 Raufoss Fotball</t>
  </si>
  <si>
    <t>2026-06-14|Strømsgodset IF|Raufoss Fotball</t>
  </si>
  <si>
    <t>EST-02563</t>
  </si>
  <si>
    <t>Egersunds IK 0 vs 5 Strømsgodset IF</t>
  </si>
  <si>
    <t>2026-05-31|Egersunds IK|Strømsgodset IF</t>
  </si>
  <si>
    <t>EST-02564</t>
  </si>
  <si>
    <t>Strømsgodset IF 1 vs 0 Bryne FK</t>
  </si>
  <si>
    <t>2026-05-25|Strømsgodset IF|Bryne FK</t>
  </si>
  <si>
    <t>EST-02565</t>
  </si>
  <si>
    <t>Moss FK 1 vs 1 Strømsgodset IF</t>
  </si>
  <si>
    <t>2026-05-20|Moss FK|Strømsgodset IF</t>
  </si>
  <si>
    <t>EST-02566</t>
  </si>
  <si>
    <t>Strømsgodset IF 5 vs 4 Ranheim Fotball</t>
  </si>
  <si>
    <t>2026-05-16|Strømsgodset IF|Ranheim Fotball</t>
  </si>
  <si>
    <t>EST-02567</t>
  </si>
  <si>
    <t>Åsane Fotball 0 vs 3 Strømsgodset IF</t>
  </si>
  <si>
    <t>2026-05-10|Åsane Fotball|Strømsgodset IF</t>
  </si>
  <si>
    <t>EST-02568</t>
  </si>
  <si>
    <t>Moss FK 3 vs 3 Odds BK</t>
  </si>
  <si>
    <t>2026-08-10|Moss FK|Odds BK</t>
  </si>
  <si>
    <t>EST-02569</t>
  </si>
  <si>
    <t>Strømmen IF 0 vs 0 Odds BK</t>
  </si>
  <si>
    <t>2026-07-26|Strømmen IF|Odds BK</t>
  </si>
  <si>
    <t>EST-02570</t>
  </si>
  <si>
    <t>Odds BK 0 vs 0 IL Hødd</t>
  </si>
  <si>
    <t>2026-06-21|Odds BK|IL Hødd</t>
  </si>
  <si>
    <t>EST-02571</t>
  </si>
  <si>
    <t>Åsane Fotball 2 vs 1 Odds BK</t>
  </si>
  <si>
    <t>2026-06-14|Åsane Fotball|Odds BK</t>
  </si>
  <si>
    <t>EST-02572</t>
  </si>
  <si>
    <t>Odds BK 3 vs 0 Lyn 1896 FK</t>
  </si>
  <si>
    <t>2026-05-30|Odds BK|Lyn 1896 FK</t>
  </si>
  <si>
    <t>EST-02573</t>
  </si>
  <si>
    <t>Odds BK 3 vs 1 Ranheim Fotball</t>
  </si>
  <si>
    <t>2026-05-25|Odds BK|Ranheim Fotball</t>
  </si>
  <si>
    <t>EST-02574</t>
  </si>
  <si>
    <t>Odds BK 2 vs 3 Moss FK</t>
  </si>
  <si>
    <t>2026-05-16|Odds BK|Moss FK</t>
  </si>
  <si>
    <t>EST-02575</t>
  </si>
  <si>
    <t>Egersunds IK 0 vs 1 Odds BK</t>
  </si>
  <si>
    <t>2026-05-11|Egersunds IK|Odds BK</t>
  </si>
  <si>
    <t>EST-02576</t>
  </si>
  <si>
    <t>Sandnes Ulf 3 vs 4 IL Hødd</t>
  </si>
  <si>
    <t>2026-08-09|Sandnes Ulf|IL Hødd</t>
  </si>
  <si>
    <t>EST-02577</t>
  </si>
  <si>
    <t>IL Hødd 2 vs 1 Moss FK</t>
  </si>
  <si>
    <t>2026-08-02|IL Hødd|Moss FK</t>
  </si>
  <si>
    <t>EST-02578</t>
  </si>
  <si>
    <t>Lyn 1896 FK 1 vs 4 IL Hødd</t>
  </si>
  <si>
    <t>2026-06-27|Lyn 1896 FK|IL Hødd</t>
  </si>
  <si>
    <t>EST-02579</t>
  </si>
  <si>
    <t>Bryne FK 1 vs 0 IL Hødd</t>
  </si>
  <si>
    <t>2026-05-31|Bryne FK|IL Hødd</t>
  </si>
  <si>
    <t>EST-02580</t>
  </si>
  <si>
    <t>IL Hødd 3 vs 1 Egersunds IK</t>
  </si>
  <si>
    <t>2026-05-25|IL Hødd|Egersunds IK</t>
  </si>
  <si>
    <t>EST-02581</t>
  </si>
  <si>
    <t>Ranheim Fotball 3 vs 2 IL Hødd</t>
  </si>
  <si>
    <t>2026-05-20|Ranheim Fotball|IL Hødd</t>
  </si>
  <si>
    <t>EST-02582</t>
  </si>
  <si>
    <t>IL Hødd 2 vs 2 Sogndal Fotball</t>
  </si>
  <si>
    <t>2026-05-16|IL Hødd|Sogndal Fotball</t>
  </si>
  <si>
    <t>EST-02583</t>
  </si>
  <si>
    <t>Strømmen IF 1 vs 2 IL Hødd</t>
  </si>
  <si>
    <t>2026-05-10|Strømmen IF|IL Hødd</t>
  </si>
  <si>
    <t>EST-02584</t>
  </si>
  <si>
    <t>Åsane Fotball 3 vs 3 Egersunds IK</t>
  </si>
  <si>
    <t>2026-07-26|Åsane Fotball|Egersunds IK</t>
  </si>
  <si>
    <t>EST-02585</t>
  </si>
  <si>
    <t>Egersunds IK 3 vs 0 Moss FK</t>
  </si>
  <si>
    <t>2026-07-04|Egersunds IK|Moss FK</t>
  </si>
  <si>
    <t>EST-02586</t>
  </si>
  <si>
    <t>Sogndal Fotball 4 vs 2 Egersunds IK</t>
  </si>
  <si>
    <t>2026-06-27|Sogndal Fotball|Egersunds IK</t>
  </si>
  <si>
    <t>EST-02587</t>
  </si>
  <si>
    <t>Egersunds IK 0 vs 0 Lyn 1896 FK</t>
  </si>
  <si>
    <t>2026-05-20|Egersunds IK|Lyn 1896 FK</t>
  </si>
  <si>
    <t>EST-02588</t>
  </si>
  <si>
    <t>Sandnes Ulf 4 vs 2 Egersunds IK</t>
  </si>
  <si>
    <t>2026-05-15|Sandnes Ulf|Egersunds IK</t>
  </si>
  <si>
    <t>EST-02589</t>
  </si>
  <si>
    <t>Strømmen IF 1 vs 4 Ranheim Fotball</t>
  </si>
  <si>
    <t>2026-08-09|Strømmen IF|Ranheim Fotball</t>
  </si>
  <si>
    <t>EST-02590</t>
  </si>
  <si>
    <t>Sogndal Fotball 3 vs 2 Ranheim Fotball</t>
  </si>
  <si>
    <t>2026-07-26|Sogndal Fotball|Ranheim Fotball</t>
  </si>
  <si>
    <t>EST-02591</t>
  </si>
  <si>
    <t>Åsane Fotball 3 vs 0 Ranheim Fotball</t>
  </si>
  <si>
    <t>2026-06-27|Åsane Fotball|Ranheim Fotball</t>
  </si>
  <si>
    <t>EST-02592</t>
  </si>
  <si>
    <t>Ranheim Fotball 3 vs 2 Lyn 1896 FK</t>
  </si>
  <si>
    <t>2026-06-19|Ranheim Fotball|Lyn 1896 FK</t>
  </si>
  <si>
    <t>EST-02593</t>
  </si>
  <si>
    <t>Ranheim Fotball 5 vs 1 Sandnes Ulf</t>
  </si>
  <si>
    <t>2026-05-31|Ranheim Fotball|Sandnes Ulf</t>
  </si>
  <si>
    <t>EST-02594</t>
  </si>
  <si>
    <t>Sogndal Fotball 0 vs 2 Bryne FK</t>
  </si>
  <si>
    <t>2026-08-09|Sogndal Fotball|Bryne FK</t>
  </si>
  <si>
    <t>EST-02595</t>
  </si>
  <si>
    <t>Bryne FK 1 vs 1 Sandnes Ulf</t>
  </si>
  <si>
    <t>2026-07-04|Bryne FK|Sandnes Ulf</t>
  </si>
  <si>
    <t>EST-02596</t>
  </si>
  <si>
    <t>Bryne FK 1 vs 0 Åsane Fotball</t>
  </si>
  <si>
    <t>2026-06-21|Bryne FK|Åsane Fotball</t>
  </si>
  <si>
    <t>EST-02597</t>
  </si>
  <si>
    <t>Lyn 1896 FK 0 vs 3 Bryne FK</t>
  </si>
  <si>
    <t>2026-06-14|Lyn 1896 FK|Bryne FK</t>
  </si>
  <si>
    <t>EST-02598</t>
  </si>
  <si>
    <t>Raufoss Fotball 3 vs 0 Bryne FK</t>
  </si>
  <si>
    <t>2026-05-20|Raufoss Fotball|Bryne FK</t>
  </si>
  <si>
    <t>EST-02599</t>
  </si>
  <si>
    <t>Bryne FK 4 vs 2 Strømmen IF</t>
  </si>
  <si>
    <t>2026-05-16|Bryne FK|Strømmen IF</t>
  </si>
  <si>
    <t>EST-02600</t>
  </si>
  <si>
    <t>Moss FK 2 vs 3 Bryne FK</t>
  </si>
  <si>
    <t>2026-05-10|Moss FK|Bryne FK</t>
  </si>
  <si>
    <t>EST-02601</t>
  </si>
  <si>
    <t>Sandnes Ulf 3 vs 0 Raufoss Fotball</t>
  </si>
  <si>
    <t>2026-06-27|Sandnes Ulf|Raufoss Fotball</t>
  </si>
  <si>
    <t>EST-02602</t>
  </si>
  <si>
    <t>Moss FK 1 vs 4 Sandnes Ulf</t>
  </si>
  <si>
    <t>2026-06-21|Moss FK|Sandnes Ulf</t>
  </si>
  <si>
    <t>EST-02603</t>
  </si>
  <si>
    <t>Sandnes Ulf 2 vs 0 Strømmen IF</t>
  </si>
  <si>
    <t>2026-06-14|Sandnes Ulf|Strømmen IF</t>
  </si>
  <si>
    <t>EST-02604</t>
  </si>
  <si>
    <t>Sandnes Ulf 2 vs 0 Sogndal Fotball</t>
  </si>
  <si>
    <t>2026-05-25|Sandnes Ulf|Sogndal Fotball</t>
  </si>
  <si>
    <t>EST-02605</t>
  </si>
  <si>
    <t>Åsane Fotball 2 vs 0 Sandnes Ulf</t>
  </si>
  <si>
    <t>2026-05-20|Åsane Fotball|Sandnes Ulf</t>
  </si>
  <si>
    <t>EST-02606</t>
  </si>
  <si>
    <t>Moss FK 1 vs 2 Raufoss Fotball</t>
  </si>
  <si>
    <t>2026-07-26|Moss FK|Raufoss Fotball</t>
  </si>
  <si>
    <t>EST-02607</t>
  </si>
  <si>
    <t>Strømmen IF 3 vs 2 Moss FK</t>
  </si>
  <si>
    <t>2026-06-27|Strømmen IF|Moss FK</t>
  </si>
  <si>
    <t>EST-02608</t>
  </si>
  <si>
    <t>Sogndal Fotball 2 vs 4 Moss FK</t>
  </si>
  <si>
    <t>2026-06-14|Sogndal Fotball|Moss FK</t>
  </si>
  <si>
    <t>EST-02609</t>
  </si>
  <si>
    <t>Raufoss Fotball 3 vs 1 Sogndal Fotball</t>
  </si>
  <si>
    <t>2026-06-21|Raufoss Fotball|Sogndal Fotball</t>
  </si>
  <si>
    <t>EST-02610</t>
  </si>
  <si>
    <t>Strømmen IF 2 vs 3 Sogndal Fotball</t>
  </si>
  <si>
    <t>2026-05-31|Strømmen IF|Sogndal Fotball</t>
  </si>
  <si>
    <t>EST-02611</t>
  </si>
  <si>
    <t>Lyn 1896 FK 6 vs 2 Åsane Fotball</t>
  </si>
  <si>
    <t>2026-07-02|Lyn 1896 FK|Åsane Fotball</t>
  </si>
  <si>
    <t>EST-02612</t>
  </si>
  <si>
    <t>Raufoss Fotball 1 vs 0 Strømmen IF</t>
  </si>
  <si>
    <t>2026-07-03|Raufoss Fotball|Strømmen IF</t>
  </si>
  <si>
    <t>EST-02613</t>
  </si>
  <si>
    <t>Åsane Fotball 3 vs 0 Raufoss Fotball</t>
  </si>
  <si>
    <t>2026-05-25|Åsane Fotball|Raufoss Fotball</t>
  </si>
  <si>
    <t>EST-02614</t>
  </si>
  <si>
    <t>Lyn 1896 FK 1 vs 0 Strømmen IF</t>
  </si>
  <si>
    <t>2026-05-25|Lyn 1896 FK|Strømmen IF</t>
  </si>
  <si>
    <t>EST-02615</t>
  </si>
  <si>
    <t>Raufoss Fotball 0 vs 1 Lyn 1896 FK</t>
  </si>
  <si>
    <t>2026-05-10|Raufoss Fotball|Lyn 1896 FK</t>
  </si>
  <si>
    <t>EST-02616</t>
  </si>
  <si>
    <t>Yunnan Yukun 1 vs 0 Chengdu Rongcheng</t>
  </si>
  <si>
    <t>Yunnan Yukun</t>
  </si>
  <si>
    <t>Chengdu Rongcheng</t>
  </si>
  <si>
    <t>2026-08-08|Yunnan Yukun|Chengdu Rongcheng</t>
  </si>
  <si>
    <t>EST-02617</t>
  </si>
  <si>
    <t>Chengdu Rongcheng 1 vs 1 Wuhan Three Towns</t>
  </si>
  <si>
    <t>Wuhan Three Towns</t>
  </si>
  <si>
    <t>2026-08-01|Chengdu Rongcheng|Wuhan Three Towns</t>
  </si>
  <si>
    <t>EST-02618</t>
  </si>
  <si>
    <t>Chengdu Rongcheng 2 vs 2 Beijing Guoan</t>
  </si>
  <si>
    <t>2026-07-26|Chengdu Rongcheng|Beijing Guoan</t>
  </si>
  <si>
    <t>EST-02619</t>
  </si>
  <si>
    <t>Qingdao West Coast 1 vs 1 Chengdu Rongcheng</t>
  </si>
  <si>
    <t>Qingdao West Coast</t>
  </si>
  <si>
    <t>2026-07-17|Qingdao West Coast|Chengdu Rongcheng</t>
  </si>
  <si>
    <t>EST-02620</t>
  </si>
  <si>
    <t>Chengdu Rongcheng 1 vs 1 Chongqing Tonglianglong</t>
  </si>
  <si>
    <t>Chongqing Tonglianglong</t>
  </si>
  <si>
    <t>2026-07-11|Chengdu Rongcheng|Chongqing Tonglianglong</t>
  </si>
  <si>
    <t>EST-02621</t>
  </si>
  <si>
    <t>Qingdao Hainiu 1 vs 1 Chengdu Rongcheng</t>
  </si>
  <si>
    <t>Qingdao Hainiu</t>
  </si>
  <si>
    <t>2026-07-05|Qingdao Hainiu|Chengdu Rongcheng</t>
  </si>
  <si>
    <t>EST-02622</t>
  </si>
  <si>
    <t>Shenzhen Xinpengcheng 2 vs 3 Chengdu Rongcheng</t>
  </si>
  <si>
    <t>2026-06-27|Shenzhen Xinpengcheng|Chengdu Rongcheng</t>
  </si>
  <si>
    <t>EST-02623</t>
  </si>
  <si>
    <t>Chengdu Rongcheng 1 vs 0 Shandong Taishan</t>
  </si>
  <si>
    <t>Shandong Taishan</t>
  </si>
  <si>
    <t>2026-05-30|Chengdu Rongcheng|Shandong Taishan</t>
  </si>
  <si>
    <t>EST-02624</t>
  </si>
  <si>
    <t>Dalian Yingbo 2 vs 0 Chengdu Rongcheng</t>
  </si>
  <si>
    <t>Dalian Yingbo</t>
  </si>
  <si>
    <t>2026-05-23|Dalian Yingbo|Chengdu Rongcheng</t>
  </si>
  <si>
    <t>EST-02625</t>
  </si>
  <si>
    <t>Chengdu Rongcheng 0 vs 1 Shanghai Port</t>
  </si>
  <si>
    <t>Shanghai Port</t>
  </si>
  <si>
    <t>2026-05-19|Chengdu Rongcheng|Shanghai Port</t>
  </si>
  <si>
    <t>EST-02626</t>
  </si>
  <si>
    <t>Tianjin Jinmen Tiger 1 vs 2 Chengdu Rongcheng</t>
  </si>
  <si>
    <t>Tianjin Jinmen Tiger</t>
  </si>
  <si>
    <t>2026-05-15|Tianjin Jinmen Tiger|Chengdu Rongcheng</t>
  </si>
  <si>
    <t>EST-02627</t>
  </si>
  <si>
    <t>Chengdu Rongcheng 3 vs 0 Henan FC</t>
  </si>
  <si>
    <t>Henan FC</t>
  </si>
  <si>
    <t>2026-05-09|Chengdu Rongcheng|Henan FC</t>
  </si>
  <si>
    <t>EST-02628</t>
  </si>
  <si>
    <t>Henan FC 0 vs 0 Qingdao West Coast</t>
  </si>
  <si>
    <t>2026-08-09|Henan FC|Qingdao West Coast</t>
  </si>
  <si>
    <t>EST-02629</t>
  </si>
  <si>
    <t>Qingdao West Coast 2 vs 0 Qingdao Hainiu</t>
  </si>
  <si>
    <t>2026-08-02|Qingdao West Coast|Qingdao Hainiu</t>
  </si>
  <si>
    <t>EST-02630</t>
  </si>
  <si>
    <t>Liaoning Tieren 0 vs 1 Qingdao West Coast</t>
  </si>
  <si>
    <t>Liaoning Tieren</t>
  </si>
  <si>
    <t>2026-07-25|Liaoning Tieren|Qingdao West Coast</t>
  </si>
  <si>
    <t>EST-02631</t>
  </si>
  <si>
    <t>Shenzhen Xinpengcheng 3 vs 0 Qingdao West Coast</t>
  </si>
  <si>
    <t>2026-07-11|Shenzhen Xinpengcheng|Qingdao West Coast</t>
  </si>
  <si>
    <t>EST-02632</t>
  </si>
  <si>
    <t>Qingdao West Coast 2 vs 1 Shanghai Port</t>
  </si>
  <si>
    <t>2026-07-04|Qingdao West Coast|Shanghai Port</t>
  </si>
  <si>
    <t>EST-02633</t>
  </si>
  <si>
    <t>Qingdao West Coast 3 vs 1 Zhejiang Professional FC</t>
  </si>
  <si>
    <t>Zhejiang Professional FC</t>
  </si>
  <si>
    <t>2026-06-28|Qingdao West Coast|Zhejiang Professional FC</t>
  </si>
  <si>
    <t>EST-02634</t>
  </si>
  <si>
    <t>Qingdao West Coast 2 vs 2 Shanghai Shenhua</t>
  </si>
  <si>
    <t>Shanghai Shenhua</t>
  </si>
  <si>
    <t>2026-05-30|Qingdao West Coast|Shanghai Shenhua</t>
  </si>
  <si>
    <t>EST-02635</t>
  </si>
  <si>
    <t>Yunnan Yukun 2 vs 3 Qingdao West Coast</t>
  </si>
  <si>
    <t>2026-05-24|Yunnan Yukun|Qingdao West Coast</t>
  </si>
  <si>
    <t>EST-02636</t>
  </si>
  <si>
    <t>Qingdao West Coast 1 vs 1 Beijing Guoan</t>
  </si>
  <si>
    <t>2026-05-19|Qingdao West Coast|Beijing Guoan</t>
  </si>
  <si>
    <t>EST-02637</t>
  </si>
  <si>
    <t>Dalian Yingbo 2 vs 3 Qingdao West Coast</t>
  </si>
  <si>
    <t>2026-05-15|Dalian Yingbo|Qingdao West Coast</t>
  </si>
  <si>
    <t>EST-02638</t>
  </si>
  <si>
    <t>Qingdao West Coast 1 vs 1 Wuhan Three Towns</t>
  </si>
  <si>
    <t>2026-05-10|Qingdao West Coast|Wuhan Three Towns</t>
  </si>
  <si>
    <t>EST-02639</t>
  </si>
  <si>
    <t>Dalian Yingbo 1 vs 0 Liaoning Tieren</t>
  </si>
  <si>
    <t>2026-08-08|Dalian Yingbo|Liaoning Tieren</t>
  </si>
  <si>
    <t>EST-02640</t>
  </si>
  <si>
    <t>Henan FC 1 vs 1 Dalian Yingbo</t>
  </si>
  <si>
    <t>2026-07-31|Henan FC|Dalian Yingbo</t>
  </si>
  <si>
    <t>EST-02641</t>
  </si>
  <si>
    <t>Zhejiang Professional FC 3 vs 2 Dalian Yingbo</t>
  </si>
  <si>
    <t>2026-07-26|Zhejiang Professional FC|Dalian Yingbo</t>
  </si>
  <si>
    <t>EST-02642</t>
  </si>
  <si>
    <t>Dalian Yingbo 3 vs 1 Shandong Taishan</t>
  </si>
  <si>
    <t>2026-07-18|Dalian Yingbo|Shandong Taishan</t>
  </si>
  <si>
    <t>EST-02643</t>
  </si>
  <si>
    <t>Dalian Yingbo 3 vs 2 Wuhan Three Towns</t>
  </si>
  <si>
    <t>2026-07-04|Dalian Yingbo|Wuhan Three Towns</t>
  </si>
  <si>
    <t>EST-02644</t>
  </si>
  <si>
    <t>Dalian Yingbo 1 vs 4 Shanghai Shenhua</t>
  </si>
  <si>
    <t>2026-06-28|Dalian Yingbo|Shanghai Shenhua</t>
  </si>
  <si>
    <t>EST-02645</t>
  </si>
  <si>
    <t>Tianjin Jinmen Tiger 1 vs 0 Dalian Yingbo</t>
  </si>
  <si>
    <t>2026-05-31|Tianjin Jinmen Tiger|Dalian Yingbo</t>
  </si>
  <si>
    <t>EST-02646</t>
  </si>
  <si>
    <t>Shenzhen Xinpengcheng 1 vs 1 Dalian Yingbo</t>
  </si>
  <si>
    <t>2026-05-19|Shenzhen Xinpengcheng|Dalian Yingbo</t>
  </si>
  <si>
    <t>EST-02647</t>
  </si>
  <si>
    <t>Qingdao Hainiu 3 vs 1 Dalian Yingbo</t>
  </si>
  <si>
    <t>2026-05-10|Qingdao Hainiu|Dalian Yingbo</t>
  </si>
  <si>
    <t>EST-02648</t>
  </si>
  <si>
    <t>Beijing Guoan 3 vs 0 Dalian Yingbo</t>
  </si>
  <si>
    <t>2026-05-06|Beijing Guoan|Dalian Yingbo</t>
  </si>
  <si>
    <t>EST-02649</t>
  </si>
  <si>
    <t>Tianjin Jinmen Tiger 3 vs 2 Yunnan Yukun</t>
  </si>
  <si>
    <t>2026-08-01|Tianjin Jinmen Tiger|Yunnan Yukun</t>
  </si>
  <si>
    <t>EST-02650</t>
  </si>
  <si>
    <t>Yunnan Yukun 4 vs 3 Shenzhen Xinpengcheng</t>
  </si>
  <si>
    <t>2026-07-26|Yunnan Yukun|Shenzhen Xinpengcheng</t>
  </si>
  <si>
    <t>EST-02651</t>
  </si>
  <si>
    <t>Yunnan Yukun 2 vs 2 Shanghai Port</t>
  </si>
  <si>
    <t>2026-07-17|Yunnan Yukun|Shanghai Port</t>
  </si>
  <si>
    <t>EST-02652</t>
  </si>
  <si>
    <t>Shandong Taishan 4 vs 3 Yunnan Yukun</t>
  </si>
  <si>
    <t>2026-07-10|Shandong Taishan|Yunnan Yukun</t>
  </si>
  <si>
    <t>EST-02653</t>
  </si>
  <si>
    <t>Yunnan Yukun 2 vs 1 Henan FC</t>
  </si>
  <si>
    <t>2026-07-03|Yunnan Yukun|Henan FC</t>
  </si>
  <si>
    <t>EST-02654</t>
  </si>
  <si>
    <t>Qingdao Hainiu 4 vs 2 Yunnan Yukun</t>
  </si>
  <si>
    <t>2026-06-26|Qingdao Hainiu|Yunnan Yukun</t>
  </si>
  <si>
    <t>EST-02655</t>
  </si>
  <si>
    <t>Wuhan Three Towns 1 vs 1 Yunnan Yukun</t>
  </si>
  <si>
    <t>2026-05-31|Wuhan Three Towns|Yunnan Yukun</t>
  </si>
  <si>
    <t>EST-02656</t>
  </si>
  <si>
    <t>Chongqing Tonglianglong 0 vs 0 Yunnan Yukun</t>
  </si>
  <si>
    <t>2026-05-20|Chongqing Tonglianglong|Yunnan Yukun</t>
  </si>
  <si>
    <t>EST-02657</t>
  </si>
  <si>
    <t>Yunnan Yukun 1 vs 0 Shanghai Shenhua</t>
  </si>
  <si>
    <t>2026-05-16|Yunnan Yukun|Shanghai Shenhua</t>
  </si>
  <si>
    <t>EST-02658</t>
  </si>
  <si>
    <t>Liaoning Tieren 1 vs 2 Yunnan Yukun</t>
  </si>
  <si>
    <t>2026-05-10|Liaoning Tieren|Yunnan Yukun</t>
  </si>
  <si>
    <t>EST-02692</t>
  </si>
  <si>
    <t>Shandong Taishan 4 vs 1 Shanghai Shenhua</t>
  </si>
  <si>
    <t>2026-05-05|Shandong Taishan|Shanghai Shenhua</t>
  </si>
  <si>
    <t>EST-02693</t>
  </si>
  <si>
    <t>Chongqing Tonglianglong 1 vs 1 Henan FC</t>
  </si>
  <si>
    <t>2026-05-05|Chongqing Tonglianglong|Henan FC</t>
  </si>
  <si>
    <t>EST-02694</t>
  </si>
  <si>
    <t>Yunnan Yukun 1 vs 2 Zhejiang Professional FC</t>
  </si>
  <si>
    <t>2026-05-06|Yunnan Yukun|Zhejiang Professional FC</t>
  </si>
  <si>
    <t>EST-02695</t>
  </si>
  <si>
    <t>Shanghai Shenhua 2 vs 2 Chongqing Tonglianglong</t>
  </si>
  <si>
    <t>2026-05-09|Shanghai Shenhua|Chongqing Tonglianglong</t>
  </si>
  <si>
    <t>EST-02696</t>
  </si>
  <si>
    <t>Shenzhen Xinpengcheng 1 vs 2 Shandong Taishan</t>
  </si>
  <si>
    <t>2026-05-10|Shenzhen Xinpengcheng|Shandong Taishan</t>
  </si>
  <si>
    <t>EST-02697</t>
  </si>
  <si>
    <t>Zhejiang Professional FC 1 vs 1 Tianjin Jinmen Tiger</t>
  </si>
  <si>
    <t>2026-05-10|Zhejiang Professional FC|Tianjin Jinmen Tiger</t>
  </si>
  <si>
    <t>EST-02698</t>
  </si>
  <si>
    <t>Beijing Guoan 2 vs 2 Shanghai Port</t>
  </si>
  <si>
    <t>2026-05-10|Beijing Guoan|Shanghai Port</t>
  </si>
  <si>
    <t>EST-02699</t>
  </si>
  <si>
    <t>Shanghai Port 2 vs 2 Zhejiang Professional FC</t>
  </si>
  <si>
    <t>2026-05-15|Shanghai Port|Zhejiang Professional FC</t>
  </si>
  <si>
    <t>EST-02700</t>
  </si>
  <si>
    <t>Beijing Guoan 4 vs 2 Qingdao Hainiu</t>
  </si>
  <si>
    <t>2026-05-15|Beijing Guoan|Qingdao Hainiu</t>
  </si>
  <si>
    <t>EST-02701</t>
  </si>
  <si>
    <t>Shandong Taishan 3 vs 1 Chongqing Tonglianglong</t>
  </si>
  <si>
    <t>2026-05-16|Shandong Taishan|Chongqing Tonglianglong</t>
  </si>
  <si>
    <t>EST-02702</t>
  </si>
  <si>
    <t>Zhejiang Professional FC 4 vs 1 Shandong Taishan</t>
  </si>
  <si>
    <t>2026-05-20|Zhejiang Professional FC|Shandong Taishan</t>
  </si>
  <si>
    <t>EST-02703</t>
  </si>
  <si>
    <t>Beijing Guoan 1 vs 2 Henan FC</t>
  </si>
  <si>
    <t>2026-05-23|Beijing Guoan|Henan FC</t>
  </si>
  <si>
    <t>EST-02704</t>
  </si>
  <si>
    <t>Qingdao Hainiu 0 vs 1 Chongqing Tonglianglong</t>
  </si>
  <si>
    <t>2026-05-24|Qingdao Hainiu|Chongqing Tonglianglong</t>
  </si>
  <si>
    <t>EST-02705</t>
  </si>
  <si>
    <t>Zhejiang Professional FC 0 vs 5 Liaoning Tieren</t>
  </si>
  <si>
    <t>2026-05-24|Zhejiang Professional FC|Liaoning Tieren</t>
  </si>
  <si>
    <t>EST-02706</t>
  </si>
  <si>
    <t>Shandong Taishan 3 vs 3 Wuhan Three Towns</t>
  </si>
  <si>
    <t>2026-05-24|Shandong Taishan|Wuhan Three Towns</t>
  </si>
  <si>
    <t>EST-02707</t>
  </si>
  <si>
    <t>Henan FC 0 vs 2 Zhejiang Professional FC</t>
  </si>
  <si>
    <t>2026-05-30|Henan FC|Zhejiang Professional FC</t>
  </si>
  <si>
    <t>EST-02708</t>
  </si>
  <si>
    <t>Chongqing Tonglianglong 2 vs 3 Beijing Guoan</t>
  </si>
  <si>
    <t>2026-05-30|Chongqing Tonglianglong|Beijing Guoan</t>
  </si>
  <si>
    <t>EST-02709</t>
  </si>
  <si>
    <t>Liaoning Tieren 1 vs 5 Shandong Taishan</t>
  </si>
  <si>
    <t>2026-06-27|Liaoning Tieren|Shandong Taishan</t>
  </si>
  <si>
    <t>EST-02710</t>
  </si>
  <si>
    <t>Chongqing Tonglianglong 1 vs 0 Tianjin Jinmen Tiger</t>
  </si>
  <si>
    <t>2026-06-27|Chongqing Tonglianglong|Tianjin Jinmen Tiger</t>
  </si>
  <si>
    <t>EST-02711</t>
  </si>
  <si>
    <t>Beijing Guoan 1 vs 0 Wuhan Three Towns</t>
  </si>
  <si>
    <t>2026-06-27|Beijing Guoan|Wuhan Three Towns</t>
  </si>
  <si>
    <t>EST-02712</t>
  </si>
  <si>
    <t>Liaoning Tieren 3 vs 1 Chongqing Tonglianglong</t>
  </si>
  <si>
    <t>2026-07-04|Liaoning Tieren|Chongqing Tonglianglong</t>
  </si>
  <si>
    <t>EST-02713</t>
  </si>
  <si>
    <t>Beijing Guoan 2 vs 0 Shandong Taishan</t>
  </si>
  <si>
    <t>2026-07-04|Beijing Guoan|Shandong Taishan</t>
  </si>
  <si>
    <t>EST-02714</t>
  </si>
  <si>
    <t>Shanghai Shenhua 3 vs 2 Zhejiang Professional FC</t>
  </si>
  <si>
    <t>2026-07-05|Shanghai Shenhua|Zhejiang Professional FC</t>
  </si>
  <si>
    <t>EST-02715</t>
  </si>
  <si>
    <t>Zhejiang Professional FC 3 vs 2 Qingdao Hainiu</t>
  </si>
  <si>
    <t>2026-07-14|Zhejiang Professional FC|Qingdao Hainiu</t>
  </si>
  <si>
    <t>EST-02716</t>
  </si>
  <si>
    <t>Beijing Guoan 1 vs 1 Liaoning Tieren</t>
  </si>
  <si>
    <t>2026-07-17|Beijing Guoan|Liaoning Tieren</t>
  </si>
  <si>
    <t>EST-02717</t>
  </si>
  <si>
    <t>Chongqing Tonglianglong 1 vs 1 Zhejiang Professional FC</t>
  </si>
  <si>
    <t>2026-07-18|Chongqing Tonglianglong|Zhejiang Professional FC</t>
  </si>
  <si>
    <t>EST-02718</t>
  </si>
  <si>
    <t>Wuhan Three Towns 1 vs 0 Chongqing Tonglianglong</t>
  </si>
  <si>
    <t>2026-07-25|Wuhan Three Towns|Chongqing Tonglianglong</t>
  </si>
  <si>
    <t>EST-02719</t>
  </si>
  <si>
    <t>Shandong Taishan 1 vs 2 Henan FC</t>
  </si>
  <si>
    <t>2026-07-26|Shandong Taishan|Henan FC</t>
  </si>
  <si>
    <t>EST-02720</t>
  </si>
  <si>
    <t>Beijing Guoan 2 vs 1 Zhejiang Professional FC</t>
  </si>
  <si>
    <t>2026-08-01|Beijing Guoan|Zhejiang Professional FC</t>
  </si>
  <si>
    <t>EST-02721</t>
  </si>
  <si>
    <t>Shanghai Port 0 vs 1 Shandong Taishan</t>
  </si>
  <si>
    <t>2026-08-01|Shanghai Port|Shandong Taishan</t>
  </si>
  <si>
    <t>EST-02722</t>
  </si>
  <si>
    <t>Shenzhen Xinpengcheng 2 vs 0 Chongqing Tonglianglong</t>
  </si>
  <si>
    <t>2026-08-02|Shenzhen Xinpengcheng|Chongqing Tonglianglong</t>
  </si>
  <si>
    <t>EST-02723</t>
  </si>
  <si>
    <t>Chongqing Tonglianglong 2 vs 3 Shanghai Port</t>
  </si>
  <si>
    <t>2026-08-09|Chongqing Tonglianglong|Shanghai Port</t>
  </si>
  <si>
    <t>EST-02724</t>
  </si>
  <si>
    <t>Shandong Taishan 2 vs 1 Tianjin Jinmen Tiger</t>
  </si>
  <si>
    <t>2026-08-09|Shandong Taishan|Tianjin Jinmen Tiger</t>
  </si>
  <si>
    <t>EST-02749</t>
  </si>
  <si>
    <t>Liaoning Tieren 0 vs 1 Chengdu Rongcheng</t>
  </si>
  <si>
    <t>2026-05-05|Liaoning Tieren|Chengdu Rongcheng</t>
  </si>
  <si>
    <t>EST-02750</t>
  </si>
  <si>
    <t>Shanghai Port 1 vs 1 Shenzhen Xinpengcheng</t>
  </si>
  <si>
    <t>2026-05-06|Shanghai Port|Shenzhen Xinpengcheng</t>
  </si>
  <si>
    <t>EST-02751</t>
  </si>
  <si>
    <t>Henan FC 1 vs 0 Shenzhen Xinpengcheng</t>
  </si>
  <si>
    <t>2026-05-15|Henan FC|Shenzhen Xinpengcheng</t>
  </si>
  <si>
    <t>EST-02752</t>
  </si>
  <si>
    <t>Wuhan Three Towns 2 vs 2 Liaoning Tieren</t>
  </si>
  <si>
    <t>2026-05-16|Wuhan Three Towns|Liaoning Tieren</t>
  </si>
  <si>
    <t>EST-02753</t>
  </si>
  <si>
    <t>Tianjin Jinmen Tiger 1 vs 2 Henan FC</t>
  </si>
  <si>
    <t>2026-05-19|Tianjin Jinmen Tiger|Henan FC</t>
  </si>
  <si>
    <t>EST-02754</t>
  </si>
  <si>
    <t>Liaoning Tieren 2 vs 1 Qingdao Hainiu</t>
  </si>
  <si>
    <t>2026-05-20|Liaoning Tieren|Qingdao Hainiu</t>
  </si>
  <si>
    <t>EST-02755</t>
  </si>
  <si>
    <t>Shanghai Port 1 vs 1 Tianjin Jinmen Tiger</t>
  </si>
  <si>
    <t>2026-05-23|Shanghai Port|Tianjin Jinmen Tiger</t>
  </si>
  <si>
    <t>EST-02756</t>
  </si>
  <si>
    <t>Shanghai Shenhua 1 vs 2 Shenzhen Xinpengcheng</t>
  </si>
  <si>
    <t>2026-05-24|Shanghai Shenhua|Shenzhen Xinpengcheng</t>
  </si>
  <si>
    <t>EST-02757</t>
  </si>
  <si>
    <t>Liaoning Tieren 3 vs 2 Shanghai Port</t>
  </si>
  <si>
    <t>2026-05-29|Liaoning Tieren|Shanghai Port</t>
  </si>
  <si>
    <t>EST-02758</t>
  </si>
  <si>
    <t>Shenzhen Xinpengcheng 3 vs 2 Qingdao Hainiu</t>
  </si>
  <si>
    <t>2026-05-30|Shenzhen Xinpengcheng|Qingdao Hainiu</t>
  </si>
  <si>
    <t>EST-02759</t>
  </si>
  <si>
    <t>Henan FC 1 vs 2 Shanghai Port</t>
  </si>
  <si>
    <t>2026-06-27|Henan FC|Shanghai Port</t>
  </si>
  <si>
    <t>EST-02760</t>
  </si>
  <si>
    <t>Tianjin Jinmen Tiger 3 vs 0 Shenzhen Xinpengcheng</t>
  </si>
  <si>
    <t>2026-07-04|Tianjin Jinmen Tiger|Shenzhen Xinpengcheng</t>
  </si>
  <si>
    <t>EST-02761</t>
  </si>
  <si>
    <t>Henan FC 5 vs 1 Qingdao Hainiu</t>
  </si>
  <si>
    <t>2026-07-17|Henan FC|Qingdao Hainiu</t>
  </si>
  <si>
    <t>EST-02762</t>
  </si>
  <si>
    <t>Wuhan Three Towns 2 vs 0 Shenzhen Xinpengcheng</t>
  </si>
  <si>
    <t>2026-07-18|Wuhan Three Towns|Shenzhen Xinpengcheng</t>
  </si>
  <si>
    <t>EST-02763</t>
  </si>
  <si>
    <t>Shanghai Port 2 vs 0 Shanghai Shenhua</t>
  </si>
  <si>
    <t>2026-07-25|Shanghai Port|Shanghai Shenhua</t>
  </si>
  <si>
    <t>EST-02764</t>
  </si>
  <si>
    <t>Liaoning Tieren 3 vs 1 Shanghai Shenhua</t>
  </si>
  <si>
    <t>2026-08-02|Liaoning Tieren|Shanghai Shenhua</t>
  </si>
  <si>
    <t>EST-02775</t>
  </si>
  <si>
    <t>Tianjin Jinmen Tiger 2 vs 2 Wuhan Three Towns</t>
  </si>
  <si>
    <t>2026-05-01|Tianjin Jinmen Tiger|Wuhan Three Towns</t>
  </si>
  <si>
    <t>EST-02777</t>
  </si>
  <si>
    <t>Qingdao West Coast 1 vs 1 Tianjin Jinmen Tiger</t>
  </si>
  <si>
    <t>2026-05-05|Qingdao West Coast|Tianjin Jinmen Tiger</t>
  </si>
  <si>
    <t>EST-02778</t>
  </si>
  <si>
    <t>Wuhan Three Towns 1 vs 3 Qingdao Hainiu</t>
  </si>
  <si>
    <t>2026-05-06|Wuhan Three Towns|Qingdao Hainiu</t>
  </si>
  <si>
    <t>EST-02779</t>
  </si>
  <si>
    <t>Shanghai Shenhua 2 vs 2 Wuhan Three Towns</t>
  </si>
  <si>
    <t>2026-05-20|Shanghai Shenhua|Wuhan Three Towns</t>
  </si>
  <si>
    <t>EST-02780</t>
  </si>
  <si>
    <t>Shanghai Shenhua 0 vs 2 Tianjin Jinmen Tiger</t>
  </si>
  <si>
    <t>2026-07-18|Shanghai Shenhua|Tianjin Jinmen Tiger</t>
  </si>
  <si>
    <t>EST-02781</t>
  </si>
  <si>
    <t>Qingdao Hainiu 0 vs 2 Tianjin Jinmen Tiger</t>
  </si>
  <si>
    <t>2026-07-25|Qingdao Hainiu|Tianjin Jinmen Tiger</t>
  </si>
  <si>
    <t>EST-02782</t>
  </si>
  <si>
    <t>Qingdao Hainiu 0 vs 1 Shanghai Shenhua</t>
  </si>
  <si>
    <t>2026-08-08|Qingdao Hainiu|Shanghai Shenhua</t>
  </si>
  <si>
    <t>EST-02783</t>
  </si>
  <si>
    <t>EST-02784</t>
  </si>
  <si>
    <t>EST-02785</t>
  </si>
  <si>
    <t>Cashout integral: retorno bruto R$ 0,56; stake R$ 0,50; lucro líquido R$ 0,06. Placar final 1 x 0.</t>
  </si>
  <si>
    <t>PROVA REAL — DIAGNÓSTICO ROBUSTO DA PARTIDA</t>
  </si>
  <si>
    <t>Condição casa/fora · recência · distribuição empírica · convergência dos modelos · prioridade: acerto</t>
  </si>
  <si>
    <t>SELEÇÃO E CONTEXTO</t>
  </si>
  <si>
    <t>País — Liga</t>
  </si>
  <si>
    <t>Histórico</t>
  </si>
  <si>
    <t>CONDIÇÃO ESPECÍFICA — MANDANTE EM CASA × VISITANTE FORA</t>
  </si>
  <si>
    <t>Mandante em casa</t>
  </si>
  <si>
    <t>Visitante fora</t>
  </si>
  <si>
    <t>Leitura combinada</t>
  </si>
  <si>
    <t>Gols marcados / jogo</t>
  </si>
  <si>
    <t>Gols sofridos / jogo</t>
  </si>
  <si>
    <t>Gols totais / jogo</t>
  </si>
  <si>
    <t>Exatamente 1 gol</t>
  </si>
  <si>
    <t>2+ gols</t>
  </si>
  <si>
    <t>Últimos 5 — gols/jogo</t>
  </si>
  <si>
    <t>Indicador</t>
  </si>
  <si>
    <t>Risco</t>
  </si>
  <si>
    <t>Interpretação</t>
  </si>
  <si>
    <t>Poisson direto</t>
  </si>
  <si>
    <t>Conservador (pior modelo)</t>
  </si>
  <si>
    <t>Empírico mandante/casa</t>
  </si>
  <si>
    <t>Empírico visitante/fora</t>
  </si>
  <si>
    <t>Taxa da liga</t>
  </si>
  <si>
    <t>Empírico ajustado</t>
  </si>
  <si>
    <t>Confirmação dupla</t>
  </si>
  <si>
    <t>DISTRIBUIÇÃO E PROTEÇÃO DAS LINHAS</t>
  </si>
  <si>
    <t>Green alternativo</t>
  </si>
  <si>
    <t>Sem Red alternativo</t>
  </si>
  <si>
    <t>CONCLUSÃO TÉCNICA</t>
  </si>
  <si>
    <t>Regra operacional</t>
  </si>
  <si>
    <t>A linha e a odd disponíveis devem ser informadas antes da decisão final. Odd/EV entram somente após a aprovação técnica por probabilidade de acerto.</t>
  </si>
  <si>
    <t>CONVERGÊNCIA DO RISCO DE 0 x 0</t>
  </si>
  <si>
    <t>League One</t>
  </si>
  <si>
    <t>Wuxi Wugou 2 vs 3 Dalian K'un City</t>
  </si>
  <si>
    <t>Wuxi Wugou</t>
  </si>
  <si>
    <t>Dalian K'un City</t>
  </si>
  <si>
    <t>2026-04-19|Wuxi Wugou|Dalian K'un City</t>
  </si>
  <si>
    <t>Meizhou Hakka 0 vs 3 Ningbo Professional</t>
  </si>
  <si>
    <t>Meizhou Hakka</t>
  </si>
  <si>
    <t>Ningbo Professional</t>
  </si>
  <si>
    <t>2026-04-25|Meizhou Hakka|Ningbo Professional</t>
  </si>
  <si>
    <t>Guangxi Hengchen 1 vs 0 Nanjing City</t>
  </si>
  <si>
    <t>Guangxi Hengchen</t>
  </si>
  <si>
    <t>Nanjing City</t>
  </si>
  <si>
    <t>2026-04-25|Guangxi Hengchen|Nanjing City</t>
  </si>
  <si>
    <t>EST-02786</t>
  </si>
  <si>
    <t>Wuxi Wugou 0 vs 0 Shijiazhuang Gongfu FC</t>
  </si>
  <si>
    <t>Shijiazhuang Gongfu FC</t>
  </si>
  <si>
    <t>2026-04-26|Wuxi Wugou|Shijiazhuang Gongfu FC</t>
  </si>
  <si>
    <t>EST-02787</t>
  </si>
  <si>
    <t>Changchun Yatai 1 vs 2 Guangdong GZ-Power</t>
  </si>
  <si>
    <t>Changchun Yatai</t>
  </si>
  <si>
    <t>Guangdong GZ-Power</t>
  </si>
  <si>
    <t>2026-04-26|Changchun Yatai|Guangdong GZ-Power</t>
  </si>
  <si>
    <t>EST-02788</t>
  </si>
  <si>
    <t>Nantong Zhiyun 1 vs 0 Dalian K'un City</t>
  </si>
  <si>
    <t>Nantong Zhiyun</t>
  </si>
  <si>
    <t>2026-04-26|Nantong Zhiyun|Dalian K'un City</t>
  </si>
  <si>
    <t>EST-02789</t>
  </si>
  <si>
    <t>Dalian K'un City 2 vs 2 Foshan Nanshi</t>
  </si>
  <si>
    <t>Foshan Nanshi</t>
  </si>
  <si>
    <t>2026-05-02|Dalian K'un City|Foshan Nanshi</t>
  </si>
  <si>
    <t>EST-02790</t>
  </si>
  <si>
    <t>Yanbian Longding 1 vs 1 Wuxi Wugou</t>
  </si>
  <si>
    <t>Yanbian Longding</t>
  </si>
  <si>
    <t>2026-05-02|Yanbian Longding|Wuxi Wugou</t>
  </si>
  <si>
    <t>EST-02791</t>
  </si>
  <si>
    <t>Jiangxi Dingnan United 1 vs 1 Shaanxi Union</t>
  </si>
  <si>
    <t>Jiangxi Dingnan United</t>
  </si>
  <si>
    <t>Shaanxi Union</t>
  </si>
  <si>
    <t>2026-05-02|Jiangxi Dingnan United|Shaanxi Union</t>
  </si>
  <si>
    <t>EST-02792</t>
  </si>
  <si>
    <t>Guangdong GZ-Power 3 vs 1 Nantong Zhiyun</t>
  </si>
  <si>
    <t>2026-05-02|Guangdong GZ-Power|Nantong Zhiyun</t>
  </si>
  <si>
    <t>EST-02793</t>
  </si>
  <si>
    <t>Shijiazhuang Gongfu FC 0 vs 3 Guangxi Hengchen</t>
  </si>
  <si>
    <t>2026-05-02|Shijiazhuang Gongfu FC|Guangxi Hengchen</t>
  </si>
  <si>
    <t>EST-02794</t>
  </si>
  <si>
    <t>Ningbo Professional 3 vs 1 Changchun Yatai</t>
  </si>
  <si>
    <t>2026-05-03|Ningbo Professional|Changchun Yatai</t>
  </si>
  <si>
    <t>EST-02795</t>
  </si>
  <si>
    <t>Meizhou Hakka 1 vs 4 Shenzhen Juniors</t>
  </si>
  <si>
    <t>Shenzhen Juniors</t>
  </si>
  <si>
    <t>2026-05-03|Meizhou Hakka|Shenzhen Juniors</t>
  </si>
  <si>
    <t>EST-02796</t>
  </si>
  <si>
    <t>Nanjing City 1 vs 0 Suzhou Dongwu</t>
  </si>
  <si>
    <t>Suzhou Dongwu</t>
  </si>
  <si>
    <t>2026-05-03|Nanjing City|Suzhou Dongwu</t>
  </si>
  <si>
    <t>EST-02797</t>
  </si>
  <si>
    <t>Jiangxi Dingnan United 2 vs 3 Changchun Yatai</t>
  </si>
  <si>
    <t>2026-05-09|Jiangxi Dingnan United|Changchun Yatai</t>
  </si>
  <si>
    <t>EST-02798</t>
  </si>
  <si>
    <t>Nanjing City 2 vs 0 Meizhou Hakka</t>
  </si>
  <si>
    <t>2026-05-09|Nanjing City|Meizhou Hakka</t>
  </si>
  <si>
    <t>EST-02799</t>
  </si>
  <si>
    <t>Dalian K'un City 1 vs 1 Guangdong GZ-Power</t>
  </si>
  <si>
    <t>2026-05-10|Dalian K'un City|Guangdong GZ-Power</t>
  </si>
  <si>
    <t>EST-02800</t>
  </si>
  <si>
    <t>Yanbian Longding 1 vs 1 Guangxi Hengchen</t>
  </si>
  <si>
    <t>2026-05-10|Yanbian Longding|Guangxi Hengchen</t>
  </si>
  <si>
    <t>EST-02801</t>
  </si>
  <si>
    <t>Shaanxi Union 1 vs 1 Ningbo Professional</t>
  </si>
  <si>
    <t>2026-05-10|Shaanxi Union|Ningbo Professional</t>
  </si>
  <si>
    <t>EST-02802</t>
  </si>
  <si>
    <t>Shenzhen Juniors 2 vs 0 Shijiazhuang Gongfu FC</t>
  </si>
  <si>
    <t>2026-05-10|Shenzhen Juniors|Shijiazhuang Gongfu FC</t>
  </si>
  <si>
    <t>EST-02803</t>
  </si>
  <si>
    <t>Foshan Nanshi 1 vs 1 Suzhou Dongwu</t>
  </si>
  <si>
    <t>2026-05-10|Foshan Nanshi|Suzhou Dongwu</t>
  </si>
  <si>
    <t>EST-02804</t>
  </si>
  <si>
    <t>Nantong Zhiyun 1 vs 0 Wuxi Wugou</t>
  </si>
  <si>
    <t>2026-05-10|Nantong Zhiyun|Wuxi Wugou</t>
  </si>
  <si>
    <t>EST-02805</t>
  </si>
  <si>
    <t>Ningbo Professional 1 vs 0 Dalian K'un City</t>
  </si>
  <si>
    <t>2026-05-23|Ningbo Professional|Dalian K'un City</t>
  </si>
  <si>
    <t>EST-02806</t>
  </si>
  <si>
    <t>Wuxi Wugou 1 vs 1 Nanjing City</t>
  </si>
  <si>
    <t>2026-05-23|Wuxi Wugou|Nanjing City</t>
  </si>
  <si>
    <t>EST-02807</t>
  </si>
  <si>
    <t>Foshan Nanshi 1 vs 1 Jiangxi Dingnan United</t>
  </si>
  <si>
    <t>2026-05-23|Foshan Nanshi|Jiangxi Dingnan United</t>
  </si>
  <si>
    <t>EST-02808</t>
  </si>
  <si>
    <t>Guangxi Hengchen 0 vs 0 Nantong Zhiyun</t>
  </si>
  <si>
    <t>2026-05-23|Guangxi Hengchen|Nantong Zhiyun</t>
  </si>
  <si>
    <t>EST-02809</t>
  </si>
  <si>
    <t>Changchun Yatai 0 vs 4 Shenzhen Juniors</t>
  </si>
  <si>
    <t>2026-05-24|Changchun Yatai|Shenzhen Juniors</t>
  </si>
  <si>
    <t>EST-02810</t>
  </si>
  <si>
    <t>Suzhou Dongwu 0 vs 3 Shaanxi Union</t>
  </si>
  <si>
    <t>2026-05-24|Suzhou Dongwu|Shaanxi Union</t>
  </si>
  <si>
    <t>EST-02811</t>
  </si>
  <si>
    <t>Guangdong GZ-Power 3 vs 4 Yanbian Longding</t>
  </si>
  <si>
    <t>2026-05-24|Guangdong GZ-Power|Yanbian Longding</t>
  </si>
  <si>
    <t>EST-02812</t>
  </si>
  <si>
    <t>Shijiazhuang Gongfu FC 0 vs 1 Meizhou Hakka</t>
  </si>
  <si>
    <t>2026-05-24|Shijiazhuang Gongfu FC|Meizhou Hakka</t>
  </si>
  <si>
    <t>EST-02813</t>
  </si>
  <si>
    <t>Shaanxi Union 0 vs 1 Nanjing City</t>
  </si>
  <si>
    <t>2026-05-29|Shaanxi Union|Nanjing City</t>
  </si>
  <si>
    <t>EST-02814</t>
  </si>
  <si>
    <t>Ningbo Professional 1 vs 1 Nantong Zhiyun</t>
  </si>
  <si>
    <t>2026-05-29|Ningbo Professional|Nantong Zhiyun</t>
  </si>
  <si>
    <t>EST-02815</t>
  </si>
  <si>
    <t>Guangdong GZ-Power 0 vs 0 Shenzhen Juniors</t>
  </si>
  <si>
    <t>2026-05-29|Guangdong GZ-Power|Shenzhen Juniors</t>
  </si>
  <si>
    <t>EST-02816</t>
  </si>
  <si>
    <t>Yanbian Longding 2 vs 2 Changchun Yatai</t>
  </si>
  <si>
    <t>2026-05-30|Yanbian Longding|Changchun Yatai</t>
  </si>
  <si>
    <t>EST-02817</t>
  </si>
  <si>
    <t>Dalian K'un City 0 vs 0 Shijiazhuang Gongfu FC</t>
  </si>
  <si>
    <t>2026-05-30|Dalian K'un City|Shijiazhuang Gongfu FC</t>
  </si>
  <si>
    <t>EST-02818</t>
  </si>
  <si>
    <t>Suzhou Dongwu 1 vs 3 Wuxi Wugou</t>
  </si>
  <si>
    <t>2026-05-30|Suzhou Dongwu|Wuxi Wugou</t>
  </si>
  <si>
    <t>EST-02819</t>
  </si>
  <si>
    <t>Guangxi Hengchen 3 vs 3 Foshan Nanshi</t>
  </si>
  <si>
    <t>2026-05-30|Guangxi Hengchen|Foshan Nanshi</t>
  </si>
  <si>
    <t>EST-02820</t>
  </si>
  <si>
    <t>Meizhou Hakka 2 vs 2 Jiangxi Dingnan United</t>
  </si>
  <si>
    <t>2026-05-30|Meizhou Hakka|Jiangxi Dingnan United</t>
  </si>
  <si>
    <t>EST-02821</t>
  </si>
  <si>
    <t>Changchun Yatai 2 vs 1 Dalian K'un City</t>
  </si>
  <si>
    <t>2026-06-13|Changchun Yatai|Dalian K'un City</t>
  </si>
  <si>
    <t>EST-02822</t>
  </si>
  <si>
    <t>Nanjing City 1 vs 2 Ningbo Professional</t>
  </si>
  <si>
    <t>2026-06-13|Nanjing City|Ningbo Professional</t>
  </si>
  <si>
    <t>EST-02823</t>
  </si>
  <si>
    <t>Shijiazhuang Gongfu FC 1 vs 1 Suzhou Dongwu</t>
  </si>
  <si>
    <t>2026-06-13|Shijiazhuang Gongfu FC|Suzhou Dongwu</t>
  </si>
  <si>
    <t>EST-02824</t>
  </si>
  <si>
    <t>Jiangxi Dingnan United 1 vs 3 Guangdong GZ-Power</t>
  </si>
  <si>
    <t>2026-06-13|Jiangxi Dingnan United|Guangdong GZ-Power</t>
  </si>
  <si>
    <t>EST-02825</t>
  </si>
  <si>
    <t>Shenzhen Juniors 1 vs 1 Guangxi Hengchen</t>
  </si>
  <si>
    <t>2026-06-14|Shenzhen Juniors|Guangxi Hengchen</t>
  </si>
  <si>
    <t>EST-02826</t>
  </si>
  <si>
    <t>Wuxi Wugou 1 vs 1 Meizhou Hakka</t>
  </si>
  <si>
    <t>2026-06-14|Wuxi Wugou|Meizhou Hakka</t>
  </si>
  <si>
    <t>EST-02827</t>
  </si>
  <si>
    <t>Foshan Nanshi 0 vs 5 Shaanxi Union</t>
  </si>
  <si>
    <t>2026-06-14|Foshan Nanshi|Shaanxi Union</t>
  </si>
  <si>
    <t>EST-02828</t>
  </si>
  <si>
    <t>Nantong Zhiyun 2 vs 0 Yanbian Longding</t>
  </si>
  <si>
    <t>2026-06-14|Nantong Zhiyun|Yanbian Longding</t>
  </si>
  <si>
    <t>EST-02829</t>
  </si>
  <si>
    <t>Changchun Yatai 1 vs 2 Guangxi Hengchen</t>
  </si>
  <si>
    <t>2026-06-27|Changchun Yatai|Guangxi Hengchen</t>
  </si>
  <si>
    <t>EST-02830</t>
  </si>
  <si>
    <t>Dalian K'un City 5 vs 4 Shenzhen Juniors</t>
  </si>
  <si>
    <t>2026-06-27|Dalian K'un City|Shenzhen Juniors</t>
  </si>
  <si>
    <t>EST-02831</t>
  </si>
  <si>
    <t>Foshan Nanshi 0 vs 2 Yanbian Longding</t>
  </si>
  <si>
    <t>2026-06-27|Foshan Nanshi|Yanbian Longding</t>
  </si>
  <si>
    <t>EST-02832</t>
  </si>
  <si>
    <t>Guangdong GZ-Power 2 vs 1 Shaanxi Union</t>
  </si>
  <si>
    <t>2026-06-27|Guangdong GZ-Power|Shaanxi Union</t>
  </si>
  <si>
    <t>EST-02833</t>
  </si>
  <si>
    <t>Nantong Zhiyun 1 vs 3 Meizhou Hakka</t>
  </si>
  <si>
    <t>2026-06-27|Nantong Zhiyun|Meizhou Hakka</t>
  </si>
  <si>
    <t>EST-02834</t>
  </si>
  <si>
    <t>Shijiazhuang Gongfu FC 2 vs 1 Nanjing City</t>
  </si>
  <si>
    <t>2026-06-27|Shijiazhuang Gongfu FC|Nanjing City</t>
  </si>
  <si>
    <t>EST-02835</t>
  </si>
  <si>
    <t>Suzhou Dongwu 1 vs 2 Ningbo Professional</t>
  </si>
  <si>
    <t>2026-06-28|Suzhou Dongwu|Ningbo Professional</t>
  </si>
  <si>
    <t>EST-02836</t>
  </si>
  <si>
    <t>Jiangxi Dingnan United 3 vs 3 Wuxi Wugou</t>
  </si>
  <si>
    <t>2026-06-28|Jiangxi Dingnan United|Wuxi Wugou</t>
  </si>
  <si>
    <t>EST-02837</t>
  </si>
  <si>
    <t>Yanbian Longding 3 vs 0 Jiangxi Dingnan United</t>
  </si>
  <si>
    <t>2026-07-04|Yanbian Longding|Jiangxi Dingnan United</t>
  </si>
  <si>
    <t>EST-02838</t>
  </si>
  <si>
    <t>Ningbo Professional 2 vs 1 Shijiazhuang Gongfu FC</t>
  </si>
  <si>
    <t>2026-07-04|Ningbo Professional|Shijiazhuang Gongfu FC</t>
  </si>
  <si>
    <t>EST-02839</t>
  </si>
  <si>
    <t>Shaanxi Union 2 vs 1 Wuxi Wugou</t>
  </si>
  <si>
    <t>2026-07-04|Shaanxi Union|Wuxi Wugou</t>
  </si>
  <si>
    <t>EST-02840</t>
  </si>
  <si>
    <t>Shenzhen Juniors 0 vs 0 Nantong Zhiyun</t>
  </si>
  <si>
    <t>2026-07-04|Shenzhen Juniors|Nantong Zhiyun</t>
  </si>
  <si>
    <t>EST-02841</t>
  </si>
  <si>
    <t>Suzhou Dongwu 2 vs 2 Guangdong GZ-Power</t>
  </si>
  <si>
    <t>2026-07-04|Suzhou Dongwu|Guangdong GZ-Power</t>
  </si>
  <si>
    <t>EST-02842</t>
  </si>
  <si>
    <t>Guangxi Hengchen 3 vs 1 Dalian K'un City</t>
  </si>
  <si>
    <t>2026-07-05|Guangxi Hengchen|Dalian K'un City</t>
  </si>
  <si>
    <t>EST-02843</t>
  </si>
  <si>
    <t>Meizhou Hakka 1 vs 3 Changchun Yatai</t>
  </si>
  <si>
    <t>2026-07-05|Meizhou Hakka|Changchun Yatai</t>
  </si>
  <si>
    <t>EST-02844</t>
  </si>
  <si>
    <t>Nanjing City 3 vs 1 Foshan Nanshi</t>
  </si>
  <si>
    <t>2026-07-05|Nanjing City|Foshan Nanshi</t>
  </si>
  <si>
    <t>EST-02845</t>
  </si>
  <si>
    <t>Yanbian Longding 3 vs 1 Suzhou Dongwu</t>
  </si>
  <si>
    <t>2026-07-11|Yanbian Longding|Suzhou Dongwu</t>
  </si>
  <si>
    <t>EST-02846</t>
  </si>
  <si>
    <t>Dalian K'un City 2 vs 0 Nanjing City</t>
  </si>
  <si>
    <t>2026-07-11|Dalian K'un City|Nanjing City</t>
  </si>
  <si>
    <t>EST-02847</t>
  </si>
  <si>
    <t>Shaanxi Union 4 vs 0 Meizhou Hakka</t>
  </si>
  <si>
    <t>2026-07-11|Shaanxi Union|Meizhou Hakka</t>
  </si>
  <si>
    <t>EST-02848</t>
  </si>
  <si>
    <t>Guangdong GZ-Power 2 vs 0 Shijiazhuang Gongfu FC</t>
  </si>
  <si>
    <t>2026-07-11|Guangdong GZ-Power|Shijiazhuang Gongfu FC</t>
  </si>
  <si>
    <t>EST-02849</t>
  </si>
  <si>
    <t>Shenzhen Juniors 3 vs 3 Jiangxi Dingnan United</t>
  </si>
  <si>
    <t>2026-07-12|Shenzhen Juniors|Jiangxi Dingnan United</t>
  </si>
  <si>
    <t>EST-02850</t>
  </si>
  <si>
    <t>Ningbo Professional 1 vs 0 Foshan Nanshi</t>
  </si>
  <si>
    <t>2026-07-13|Ningbo Professional|Foshan Nanshi</t>
  </si>
  <si>
    <t>EST-02851</t>
  </si>
  <si>
    <t>Changchun Yatai 1 vs 5 Wuxi Wugou</t>
  </si>
  <si>
    <t>2026-07-17|Changchun Yatai|Wuxi Wugou</t>
  </si>
  <si>
    <t>EST-02852</t>
  </si>
  <si>
    <t>Suzhou Dongwu 0 vs 0 Shenzhen Juniors</t>
  </si>
  <si>
    <t>2026-07-17|Suzhou Dongwu|Shenzhen Juniors</t>
  </si>
  <si>
    <t>EST-02853</t>
  </si>
  <si>
    <t>Foshan Nanshi 1 vs 2 Nantong Zhiyun</t>
  </si>
  <si>
    <t>2026-07-17|Foshan Nanshi|Nantong Zhiyun</t>
  </si>
  <si>
    <t>EST-02854</t>
  </si>
  <si>
    <t>Shijiazhuang Gongfu FC 0 vs 0 Yanbian Longding</t>
  </si>
  <si>
    <t>2026-07-17|Shijiazhuang Gongfu FC|Yanbian Longding</t>
  </si>
  <si>
    <t>EST-02855</t>
  </si>
  <si>
    <t>Guangxi Hengchen 3 vs 0 Shaanxi Union</t>
  </si>
  <si>
    <t>2026-07-18|Guangxi Hengchen|Shaanxi Union</t>
  </si>
  <si>
    <t>EST-02856</t>
  </si>
  <si>
    <t>Meizhou Hakka 2 vs 0 Dalian K'un City</t>
  </si>
  <si>
    <t>2026-07-18|Meizhou Hakka|Dalian K'un City</t>
  </si>
  <si>
    <t>EST-02857</t>
  </si>
  <si>
    <t>Nanjing City 0 vs 1 Guangdong GZ-Power</t>
  </si>
  <si>
    <t>2026-07-18|Nanjing City|Guangdong GZ-Power</t>
  </si>
  <si>
    <t>EST-02858</t>
  </si>
  <si>
    <t>Jiangxi Dingnan United 0 vs 1 Ningbo Professional</t>
  </si>
  <si>
    <t>2026-07-18|Jiangxi Dingnan United|Ningbo Professional</t>
  </si>
  <si>
    <t>EST-02859</t>
  </si>
  <si>
    <t>Changchun Yatai 2 vs 1 Nanjing City</t>
  </si>
  <si>
    <t>2026-07-25|Changchun Yatai|Nanjing City</t>
  </si>
  <si>
    <t>EST-02860</t>
  </si>
  <si>
    <t>Ningbo Professional 1 vs 2 Guangdong GZ-Power</t>
  </si>
  <si>
    <t>2026-07-25|Ningbo Professional|Guangdong GZ-Power</t>
  </si>
  <si>
    <t>EST-02861</t>
  </si>
  <si>
    <t>Foshan Nanshi 0 vs 2 Wuxi Wugou</t>
  </si>
  <si>
    <t>2026-07-25|Foshan Nanshi|Wuxi Wugou</t>
  </si>
  <si>
    <t>EST-02862</t>
  </si>
  <si>
    <t>Shijiazhuang Gongfu FC 1 vs 1 Nantong Zhiyun</t>
  </si>
  <si>
    <t>2026-07-25|Shijiazhuang Gongfu FC|Nantong Zhiyun</t>
  </si>
  <si>
    <t>EST-02863</t>
  </si>
  <si>
    <t>Shaanxi Union 3 vs 0 Shenzhen Juniors</t>
  </si>
  <si>
    <t>2026-07-25|Shaanxi Union|Shenzhen Juniors</t>
  </si>
  <si>
    <t>EST-02864</t>
  </si>
  <si>
    <t>Yanbian Longding 2 vs 1 Meizhou Hakka</t>
  </si>
  <si>
    <t>2026-07-26|Yanbian Longding|Meizhou Hakka</t>
  </si>
  <si>
    <t>EST-02865</t>
  </si>
  <si>
    <t>Dalian K'un City 0 vs 0 Suzhou Dongwu</t>
  </si>
  <si>
    <t>2026-07-26|Dalian K'un City|Suzhou Dongwu</t>
  </si>
  <si>
    <t>EST-02866</t>
  </si>
  <si>
    <t>Guangxi Hengchen 4 vs 4 Jiangxi Dingnan United</t>
  </si>
  <si>
    <t>2026-07-26|Guangxi Hengchen|Jiangxi Dingnan United</t>
  </si>
  <si>
    <t>EST-02867</t>
  </si>
  <si>
    <t>Yanbian Longding 1 vs 1 Nanjing City</t>
  </si>
  <si>
    <t>2026-08-01|Yanbian Longding|Nanjing City</t>
  </si>
  <si>
    <t>EST-02868</t>
  </si>
  <si>
    <t>Dalian K'un City 2 vs 2 Shaanxi Union</t>
  </si>
  <si>
    <t>2026-08-01|Dalian K'un City|Shaanxi Union</t>
  </si>
  <si>
    <t>EST-02869</t>
  </si>
  <si>
    <t>Ningbo Professional 2 vs 4 Guangxi Hengchen</t>
  </si>
  <si>
    <t>2026-08-01|Ningbo Professional|Guangxi Hengchen</t>
  </si>
  <si>
    <t>EST-02870</t>
  </si>
  <si>
    <t>Guangdong GZ-Power 1 vs 1 Foshan Nanshi</t>
  </si>
  <si>
    <t>2026-08-01|Guangdong GZ-Power|Foshan Nanshi</t>
  </si>
  <si>
    <t>EST-02871</t>
  </si>
  <si>
    <t>Nantong Zhiyun 5 vs 1 Jiangxi Dingnan United</t>
  </si>
  <si>
    <t>2026-08-01|Nantong Zhiyun|Jiangxi Dingnan United</t>
  </si>
  <si>
    <t>EST-02872</t>
  </si>
  <si>
    <t>Changchun Yatai 2 vs 2 Shijiazhuang Gongfu FC</t>
  </si>
  <si>
    <t>2026-08-02|Changchun Yatai|Shijiazhuang Gongfu FC</t>
  </si>
  <si>
    <t>EST-02873</t>
  </si>
  <si>
    <t>Shenzhen Juniors 1 vs 0 Wuxi Wugou</t>
  </si>
  <si>
    <t>2026-08-02|Shenzhen Juniors|Wuxi Wugou</t>
  </si>
  <si>
    <t>EST-02874</t>
  </si>
  <si>
    <t>Suzhou Dongwu 1 vs 0 Meizhou Hakka</t>
  </si>
  <si>
    <t>2026-08-02|Suzhou Dongwu|Meizhou Hakka</t>
  </si>
  <si>
    <t>EST-02875</t>
  </si>
  <si>
    <t>Suzhou Dongwu 2 vs 1 Changchun Yatai</t>
  </si>
  <si>
    <t>2026-08-08|Suzhou Dongwu|Changchun Yatai</t>
  </si>
  <si>
    <t>EST-02876</t>
  </si>
  <si>
    <t>Meizhou Hakka 3 vs 2 Foshan Nanshi</t>
  </si>
  <si>
    <t>2026-08-08|Meizhou Hakka|Foshan Nanshi</t>
  </si>
  <si>
    <t>EST-02877</t>
  </si>
  <si>
    <t>Nanjing City 1 vs 1 Nantong Zhiyun</t>
  </si>
  <si>
    <t>2026-08-08|Nanjing City|Nantong Zhiyun</t>
  </si>
  <si>
    <t>EST-02878</t>
  </si>
  <si>
    <t>Shijiazhuang Gongfu FC 2 vs 1 Shaanxi Union</t>
  </si>
  <si>
    <t>2026-08-08|Shijiazhuang Gongfu FC|Shaanxi Union</t>
  </si>
  <si>
    <t>EST-02879</t>
  </si>
  <si>
    <t>Jiangxi Dingnan United 2 vs 1 Dalian K'un City</t>
  </si>
  <si>
    <t>2026-08-08|Jiangxi Dingnan United|Dalian K'un City</t>
  </si>
  <si>
    <t>EST-02880</t>
  </si>
  <si>
    <t>Yanbian Longding 0 vs 1 Shenzhen Juniors</t>
  </si>
  <si>
    <t>2026-08-09|Yanbian Longding|Shenzhen Juniors</t>
  </si>
  <si>
    <t>EST-02881</t>
  </si>
  <si>
    <t>Guangdong GZ-Power 2 vs 0 Guangxi Hengchen</t>
  </si>
  <si>
    <t>2026-08-09|Guangdong GZ-Power|Guangxi Hengchen</t>
  </si>
  <si>
    <t>CHN - League One</t>
  </si>
  <si>
    <t>Fram Reykjavik (Fram Reykjavík) x KR Reykjavik (KR Reykjavík)</t>
  </si>
  <si>
    <t>2 x 5</t>
  </si>
  <si>
    <t>Green no Over 2,50 @ 1,150: o placar 2 x 5 (7 gols) confirmou a entrada e gerou R$ 0,0750 de lucro. Entre as linhas cotadas, Over 3,25 @ 1,300 teria produzido R$ 0,1500 de lucro, R$ 0,0750 acima do resultado realizado. A entrada deixou 0,75 linha de eficiência potencial.</t>
  </si>
  <si>
    <t>Goiás x Londrina</t>
  </si>
  <si>
    <t>Cashout integral no Over 1,00 @ 1,120: retorno bruto de R$ 0,56 sobre stake de R$ 0,50, resultando em lucro líquido real de R$ 0,06. O placar final foi 1 x 0 (1 gol); sem o cashout, a linha usada teria sido devolvida. Entre as alternativas cotadas, Over 0,75 @ 1,100 produziria meio Green de R$ 0,0250, inferior ao lucro obtido no cashout.</t>
  </si>
  <si>
    <t>Paysandu x Confiança</t>
  </si>
  <si>
    <t>Green no Over 1,25 @ 1,170: o placar 2 x 1 (3 gols) confirmou a entrada e gerou R$ 0,0850 de lucro. Entre as linhas cotadas, Over 2,00 @ 1,400 teria produzido R$ 0,2000 de lucro, R$ 0,1150 acima do resultado realizado. A entrada deixou 0,75 linha de eficiência potencial.</t>
  </si>
  <si>
    <t>PAINEL DINÂMICO — CALIBRAÇÃO DAS LINHAS E DISCIPLINA OPERACIONAL</t>
  </si>
  <si>
    <t>Atualização automática pela tblCalibracao · foco em resultado, proteção e eficiência de seleção</t>
  </si>
  <si>
    <t>VISÃO GERAL</t>
  </si>
  <si>
    <t>Registros</t>
  </si>
  <si>
    <t>P/L acumulado</t>
  </si>
  <si>
    <t>Taxa de resultado positivo</t>
  </si>
  <si>
    <t>Linha usada média</t>
  </si>
  <si>
    <t>Eficiência potencial</t>
  </si>
  <si>
    <t>DIAGNÓSTICOS OPERACIONAIS</t>
  </si>
  <si>
    <t>Referência</t>
  </si>
  <si>
    <t>P/L médio por registro</t>
  </si>
  <si>
    <t>Linhas com resultado positivo</t>
  </si>
  <si>
    <t>Linhas com resultado negativo</t>
  </si>
  <si>
    <t>Devoluções / resultado zero</t>
  </si>
  <si>
    <t>Cashouts registrados</t>
  </si>
  <si>
    <t>Jogos 0 x 0</t>
  </si>
  <si>
    <t>Melhor linha superior à usada</t>
  </si>
  <si>
    <t>Eficiência média não capturada</t>
  </si>
  <si>
    <t>&gt; R$ 0</t>
  </si>
  <si>
    <t>Quanto maior, melhor</t>
  </si>
  <si>
    <t>Quanto menor, melhor</t>
  </si>
  <si>
    <t>Proteção efetiva</t>
  </si>
  <si>
    <t>Liquidação real</t>
  </si>
  <si>
    <t>Monitorar cauda</t>
  </si>
  <si>
    <t>Retrospectivo</t>
  </si>
  <si>
    <t>Não é previsão</t>
  </si>
  <si>
    <t>LEITURA DINÂMICA</t>
  </si>
  <si>
    <t>LIMITAÇÃO DO PAINEL</t>
  </si>
  <si>
    <t>O λ histórico não integra a tblCalibracao. Para reativar análises dinâmicas por faixa de λ, será necessário adicionar uma coluna específica e preencher o valor pré-jogo de cada entrada, sem reconstrução retrospectiva.</t>
  </si>
  <si>
    <t>2026-07-05|Anápolis|Botafogo-PB</t>
  </si>
  <si>
    <t>Botafogo-PB 2 vs 0 Confiança</t>
  </si>
  <si>
    <t>EST-02882</t>
  </si>
  <si>
    <t>Volta Redonda 1 vs 1 Brusque</t>
  </si>
  <si>
    <t>2026-05-03|Volta Redonda|Brusque</t>
  </si>
  <si>
    <t>EST-02883</t>
  </si>
  <si>
    <t>Maranhão 3 vs 1 Botafogo-PB</t>
  </si>
  <si>
    <t>2026-05-09|Maranhão|Botafogo-PB</t>
  </si>
  <si>
    <t>EST-02884</t>
  </si>
  <si>
    <t>Brusque 3 vs 0 Ypiranga-RS</t>
  </si>
  <si>
    <t>2026-05-10|Brusque|Ypiranga-RS</t>
  </si>
  <si>
    <t>EST-02885</t>
  </si>
  <si>
    <t>Inter de Limeira 1 vs 2 Santa Cruz</t>
  </si>
  <si>
    <t>2026-05-11|Inter de Limeira|Santa Cruz</t>
  </si>
  <si>
    <t>EST-02886</t>
  </si>
  <si>
    <t>Ferroviária 1 vs 0 Brusque</t>
  </si>
  <si>
    <t>2026-05-17|Ferroviária|Brusque</t>
  </si>
  <si>
    <t>EST-02887</t>
  </si>
  <si>
    <t>Botafogo-PB 0 vs 1 Inter de Limeira</t>
  </si>
  <si>
    <t>2026-05-18|Botafogo-PB|Inter de Limeira</t>
  </si>
  <si>
    <t>EST-02888</t>
  </si>
  <si>
    <t>Inter de Limeira 0 vs 0 Itabaiana</t>
  </si>
  <si>
    <t>2026-05-24|Inter de Limeira|Itabaiana</t>
  </si>
  <si>
    <t>EST-02889</t>
  </si>
  <si>
    <t>Ituano 1 vs 0 Botafogo-PB</t>
  </si>
  <si>
    <t>2026-05-25|Ituano|Botafogo-PB</t>
  </si>
  <si>
    <t>EST-02890</t>
  </si>
  <si>
    <t>Botafogo-PB 2 vs 1 Maringá</t>
  </si>
  <si>
    <t>2026-05-30|Botafogo-PB|Maringá</t>
  </si>
  <si>
    <t>EST-02891</t>
  </si>
  <si>
    <t>Inter de Limeira 2 vs 1 Ypiranga-RS</t>
  </si>
  <si>
    <t>2026-05-31|Inter de Limeira|Ypiranga-RS</t>
  </si>
  <si>
    <t>EST-02892</t>
  </si>
  <si>
    <t>Barra FC 2 vs 2 Brusque</t>
  </si>
  <si>
    <t>2026-06-01|Barra FC|Brusque</t>
  </si>
  <si>
    <t>EST-02893</t>
  </si>
  <si>
    <t>Brusque 0 vs 1 Santa Cruz</t>
  </si>
  <si>
    <t>2026-06-14|Brusque|Santa Cruz</t>
  </si>
  <si>
    <t>EST-02894</t>
  </si>
  <si>
    <t>Ypiranga-RS 1 vs 1 Botafogo-PB</t>
  </si>
  <si>
    <t>2026-06-15|Ypiranga-RS|Botafogo-PB</t>
  </si>
  <si>
    <t>EST-02895</t>
  </si>
  <si>
    <t>Botafogo-PB 2 vs 0 Volta Redonda</t>
  </si>
  <si>
    <t>2026-06-20|Botafogo-PB|Volta Redonda</t>
  </si>
  <si>
    <t>EST-02896</t>
  </si>
  <si>
    <t>Brusque 2 vs 1 Floresta</t>
  </si>
  <si>
    <t>2026-06-21|Brusque|Floresta</t>
  </si>
  <si>
    <t>EST-02897</t>
  </si>
  <si>
    <t>Ferroviária 2 vs 0 Inter de Limeira</t>
  </si>
  <si>
    <t>2026-06-21|Ferroviária|Inter de Limeira</t>
  </si>
  <si>
    <t>EST-02898</t>
  </si>
  <si>
    <t>Inter de Limeira 2 vs 2 Maringá</t>
  </si>
  <si>
    <t>2026-06-27|Inter de Limeira|Maringá</t>
  </si>
  <si>
    <t>EST-02899</t>
  </si>
  <si>
    <t>Botafogo-PB 2 vs 0 Brusque</t>
  </si>
  <si>
    <t>2026-06-30|Botafogo-PB|Brusque</t>
  </si>
  <si>
    <t>EST-02900</t>
  </si>
  <si>
    <t>Maranhão 0 vs 1 Inter de Limeira</t>
  </si>
  <si>
    <t>2026-07-04|Maranhão|Inter de Limeira</t>
  </si>
  <si>
    <t>EST-02901</t>
  </si>
  <si>
    <t>Brusque 3 vs 1 Figueirense</t>
  </si>
  <si>
    <t>2026-07-06|Brusque|Figueirense</t>
  </si>
  <si>
    <t>EST-02902</t>
  </si>
  <si>
    <t>Inter de Limeira 1 vs 0 Amazonas</t>
  </si>
  <si>
    <t>2026-07-12|Inter de Limeira|Amazonas</t>
  </si>
  <si>
    <t>EST-02903</t>
  </si>
  <si>
    <t>Itabaiana 1 vs 0 Brusque</t>
  </si>
  <si>
    <t>2026-07-13|Itabaiana|Brusque</t>
  </si>
  <si>
    <t>EST-02904</t>
  </si>
  <si>
    <t>Brusque 1 vs 0 Ituano</t>
  </si>
  <si>
    <t>2026-07-26|Brusque|Ituano</t>
  </si>
  <si>
    <t>EST-02905</t>
  </si>
  <si>
    <t>Caxias 1 vs 2 Botafogo-PB</t>
  </si>
  <si>
    <t>2026-07-26|Caxias|Botafogo-PB</t>
  </si>
  <si>
    <t>EST-02906</t>
  </si>
  <si>
    <t>Botafogo-PB 2 vs 2 Santa Cruz</t>
  </si>
  <si>
    <t>2026-08-08|Botafogo-PB|Santa Cruz</t>
  </si>
  <si>
    <t>EST-02907</t>
  </si>
  <si>
    <t>Inter de Limeira 2 vs 0 Volta Redonda</t>
  </si>
  <si>
    <t>2026-08-08|Inter de Limeira|Volta Redonda</t>
  </si>
  <si>
    <t>EST-02908</t>
  </si>
  <si>
    <t>Maranhão 2 vs 1 Brusque</t>
  </si>
  <si>
    <t>2026-08-09|Maranhão|Brusque</t>
  </si>
  <si>
    <t>EST-02909</t>
  </si>
  <si>
    <t>Anápolis 2 vs 1 Guarani</t>
  </si>
  <si>
    <t>2026-08-10|Anápolis|Guarani</t>
  </si>
  <si>
    <t>EST-02910</t>
  </si>
  <si>
    <t>Amazonas 1 vs 1 Caxias</t>
  </si>
  <si>
    <t>2026-05-03|Amazonas|Caxias</t>
  </si>
  <si>
    <t>EST-02912</t>
  </si>
  <si>
    <t>Barra FC 0 vs 0 Caxias</t>
  </si>
  <si>
    <t>2026-05-10|Barra FC|Caxias</t>
  </si>
  <si>
    <t>EST-02913</t>
  </si>
  <si>
    <t>Volta Redonda 0 vs 0 Ferroviária</t>
  </si>
  <si>
    <t>2026-05-10|Volta Redonda|Ferroviária</t>
  </si>
  <si>
    <t>EST-02914</t>
  </si>
  <si>
    <t>Santa Cruz 2 vs 0 Volta Redonda</t>
  </si>
  <si>
    <t>2026-05-16|Santa Cruz|Volta Redonda</t>
  </si>
  <si>
    <t>EST-02915</t>
  </si>
  <si>
    <t>Ypiranga-RS 1 vs 4 Maringá</t>
  </si>
  <si>
    <t>2026-05-16|Ypiranga-RS|Maringá</t>
  </si>
  <si>
    <t>EST-02916</t>
  </si>
  <si>
    <t>Maranhão 0 vs 0 Caxias</t>
  </si>
  <si>
    <t>2026-05-23|Maranhão|Caxias</t>
  </si>
  <si>
    <t>EST-02917</t>
  </si>
  <si>
    <t>Maringá 1 vs 1 Santa Cruz</t>
  </si>
  <si>
    <t>2026-05-23|Maringá|Santa Cruz</t>
  </si>
  <si>
    <t>EST-02918</t>
  </si>
  <si>
    <t>Amazonas 1 vs 2 Ferroviária</t>
  </si>
  <si>
    <t>2026-05-24|Amazonas|Ferroviária</t>
  </si>
  <si>
    <t>EST-02919</t>
  </si>
  <si>
    <t>Volta Redonda 2 vs 1 Ypiranga-RS</t>
  </si>
  <si>
    <t>2026-05-24|Volta Redonda|Ypiranga-RS</t>
  </si>
  <si>
    <t>EST-02920</t>
  </si>
  <si>
    <t>Caxias 2 vs 1 Ituano</t>
  </si>
  <si>
    <t>2026-05-30|Caxias|Ituano</t>
  </si>
  <si>
    <t>EST-02921</t>
  </si>
  <si>
    <t>Santa Cruz 1 vs 1 Ferroviária</t>
  </si>
  <si>
    <t>2026-05-31|Santa Cruz|Ferroviária</t>
  </si>
  <si>
    <t>EST-02922</t>
  </si>
  <si>
    <t>Ferroviária 1 vs 0 Barra FC</t>
  </si>
  <si>
    <t>2026-06-15|Ferroviária|Barra FC</t>
  </si>
  <si>
    <t>EST-02923</t>
  </si>
  <si>
    <t>Santa Cruz 0 vs 1 Ypiranga-RS</t>
  </si>
  <si>
    <t>2026-06-20|Santa Cruz|Ypiranga-RS</t>
  </si>
  <si>
    <t>EST-02924</t>
  </si>
  <si>
    <t>Caxias 1 vs 1 Maringá</t>
  </si>
  <si>
    <t>2026-06-21|Caxias|Maringá</t>
  </si>
  <si>
    <t>EST-02925</t>
  </si>
  <si>
    <t>Itabaiana 1 vs 0 Ferroviária</t>
  </si>
  <si>
    <t>2026-06-27|Itabaiana|Ferroviária</t>
  </si>
  <si>
    <t>EST-02926</t>
  </si>
  <si>
    <t>Santa Cruz 1 vs 0 Ituano</t>
  </si>
  <si>
    <t>2026-07-04|Santa Cruz|Ituano</t>
  </si>
  <si>
    <t>EST-02927</t>
  </si>
  <si>
    <t>Ferroviária 0 vs 1 Caxias</t>
  </si>
  <si>
    <t>2026-07-04|Ferroviária|Caxias</t>
  </si>
  <si>
    <t>EST-02928</t>
  </si>
  <si>
    <t>Caxias 0 vs 0 Floresta</t>
  </si>
  <si>
    <t>2026-07-11|Caxias|Floresta</t>
  </si>
  <si>
    <t>EST-02929</t>
  </si>
  <si>
    <t>Barra FC 1 vs 2 Santa Cruz</t>
  </si>
  <si>
    <t>2026-07-12|Barra FC|Santa Cruz</t>
  </si>
  <si>
    <t>EST-02930</t>
  </si>
  <si>
    <t>Ituano 1 vs 3 Ferroviária</t>
  </si>
  <si>
    <t>2026-07-12|Ituano|Ferroviária</t>
  </si>
  <si>
    <t>EST-02931</t>
  </si>
  <si>
    <t>Maranhão 2 vs 1 Ypiranga-RS</t>
  </si>
  <si>
    <t>2026-07-12|Maranhão|Ypiranga-RS</t>
  </si>
  <si>
    <t>EST-02932</t>
  </si>
  <si>
    <t>Ferroviária 0 vs 0 Maranhão</t>
  </si>
  <si>
    <t>2026-07-25|Ferroviária|Maranhão</t>
  </si>
  <si>
    <t>EST-02933</t>
  </si>
  <si>
    <t>Santa Cruz 0 vs 1 Figueirense</t>
  </si>
  <si>
    <t>2026-07-25|Santa Cruz|Figueirense</t>
  </si>
  <si>
    <t>EST-02934</t>
  </si>
  <si>
    <t>Ypiranga-RS 1 vs 0 Barra FC</t>
  </si>
  <si>
    <t>2026-07-26|Ypiranga-RS|Barra FC</t>
  </si>
  <si>
    <t>EST-02935</t>
  </si>
  <si>
    <t>Figueirense 2 vs 2 Ferroviária</t>
  </si>
  <si>
    <t>2026-08-08|Figueirense|Ferroviária</t>
  </si>
  <si>
    <t>EST-02936</t>
  </si>
  <si>
    <t>Ypiranga-RS 4 vs 1 Floresta</t>
  </si>
  <si>
    <t>2026-08-09|Ypiranga-RS|Floresta</t>
  </si>
  <si>
    <t>EST-02937</t>
  </si>
  <si>
    <t>Itabaiana 0 vs 2 Caxias</t>
  </si>
  <si>
    <t>2026-08-09|Itabaiana|Caxias</t>
  </si>
  <si>
    <t>EST-02938</t>
  </si>
  <si>
    <t>Maringá 4 vs 2 Itabaiana</t>
  </si>
  <si>
    <t>2026-05-04|Maringá|Itabaiana</t>
  </si>
  <si>
    <t>EST-02939</t>
  </si>
  <si>
    <t>Ypiranga-RS 2 vs 0 Ituano</t>
  </si>
  <si>
    <t>2026-05-05|Ypiranga-RS|Ituano</t>
  </si>
  <si>
    <t>EST-02940</t>
  </si>
  <si>
    <t>Amazonas 0 vs 1 Figueirense</t>
  </si>
  <si>
    <t>2026-05-10|Amazonas|Figueirense</t>
  </si>
  <si>
    <t>EST-02941</t>
  </si>
  <si>
    <t>Floresta 3 vs 2 Amazonas</t>
  </si>
  <si>
    <t>2026-05-16|Floresta|Amazonas</t>
  </si>
  <si>
    <t>EST-02942</t>
  </si>
  <si>
    <t>Maringá 0 vs 0 Maranhão</t>
  </si>
  <si>
    <t>2026-06-15|Maringá|Maranhão</t>
  </si>
  <si>
    <t>EST-02943</t>
  </si>
  <si>
    <t>Itabaiana 2 vs 2 Ituano</t>
  </si>
  <si>
    <t>2026-06-14|Itabaiana|Ituano</t>
  </si>
  <si>
    <t>EST-02944</t>
  </si>
  <si>
    <t>2026-06-20|Maranhão|Paysandu</t>
  </si>
  <si>
    <t>EST-02945</t>
  </si>
  <si>
    <t>Barra FC 1 vs 1 Amazonas</t>
  </si>
  <si>
    <t>2026-06-21|Barra FC|Amazonas</t>
  </si>
  <si>
    <t>EST-02946</t>
  </si>
  <si>
    <t>Ituano 0 vs 0 Figueirense</t>
  </si>
  <si>
    <t>2026-06-20|Ituano|Figueirense</t>
  </si>
  <si>
    <t>EST-02947</t>
  </si>
  <si>
    <t>Volta Redonda 3 vs 0 Amazonas</t>
  </si>
  <si>
    <t>2026-06-30|Volta Redonda|Amazonas</t>
  </si>
  <si>
    <t>EST-02948</t>
  </si>
  <si>
    <t>Ituano 0 vs 0 Maranhão</t>
  </si>
  <si>
    <t>2026-06-28|Ituano|Maranhão</t>
  </si>
  <si>
    <t>EST-02949</t>
  </si>
  <si>
    <t>Amazonas 0 vs 2 Itabaiana</t>
  </si>
  <si>
    <t>2026-07-06|Amazonas|Itabaiana</t>
  </si>
  <si>
    <t>EST-02950</t>
  </si>
  <si>
    <t>Maringá 4 vs 0 Volta Redonda</t>
  </si>
  <si>
    <t>2026-07-04|Maringá|Volta Redonda</t>
  </si>
  <si>
    <t>EST-02951</t>
  </si>
  <si>
    <t>Floresta 1 vs 1 Maringá</t>
  </si>
  <si>
    <t>2026-07-27|Floresta|Maringá</t>
  </si>
  <si>
    <t>EST-02952</t>
  </si>
  <si>
    <t>Paysandu 2 vs 1 Confiança</t>
  </si>
  <si>
    <t>2026-08-10|Paysandu|Confiança</t>
  </si>
  <si>
    <t>EST-02953</t>
  </si>
  <si>
    <t>Maringá 0 vs 3 Amazonas</t>
  </si>
  <si>
    <t>2026-08-09|Maringá|Amazonas</t>
  </si>
  <si>
    <t>EST-02954</t>
  </si>
  <si>
    <t>Ituano 2 vs 0 Barra FC</t>
  </si>
  <si>
    <t>2026-08-08|Ituano|Barra FC</t>
  </si>
  <si>
    <t>EST-02955</t>
  </si>
  <si>
    <t>Floresta 0 vs 2 Maranhão</t>
  </si>
  <si>
    <t>2026-05-05|Floresta|Maranhão</t>
  </si>
  <si>
    <t>EST-02956</t>
  </si>
  <si>
    <t>Itabaiana 0 vs 0 Floresta</t>
  </si>
  <si>
    <t>2026-05-09|Itabaiana|Floresta</t>
  </si>
  <si>
    <t>EST-02957</t>
  </si>
  <si>
    <t>Floresta 1 vs 2 Figueirense</t>
  </si>
  <si>
    <t>2026-06-14|Floresta|Figueirense</t>
  </si>
  <si>
    <t>EST-02958</t>
  </si>
  <si>
    <t>Floresta 2 vs 1 Barra FC</t>
  </si>
  <si>
    <t>2026-06-27|Floresta|Barra FC</t>
  </si>
  <si>
    <t>EST-02959</t>
  </si>
  <si>
    <t>Figueirense 0 vs 3 Barra FC</t>
  </si>
  <si>
    <t>2026-05-04|Figueirense|Barra FC</t>
  </si>
  <si>
    <t>EST-02960</t>
  </si>
  <si>
    <t>Figueirense 0 vs 1 Itabaiana</t>
  </si>
  <si>
    <t>2026-05-16|Figueirense|Itabaiana</t>
  </si>
  <si>
    <t>EST-02961</t>
  </si>
  <si>
    <t>Figueirense 0 vs 0 Volta Redonda</t>
  </si>
  <si>
    <t>2026-07-13|Figueirense|Volta Redonda</t>
  </si>
  <si>
    <t>EST-02962</t>
  </si>
  <si>
    <t>Itabaiana 0 vs 1 Volta Redonda</t>
  </si>
  <si>
    <t>2026-05-30|Itabaiana|Volta Redonda</t>
  </si>
  <si>
    <t>ATUALIZAÇÃO SEMANAL — FILA DE LIGAS</t>
  </si>
  <si>
    <t>FLUXO OPERACIONAL</t>
  </si>
  <si>
    <t>STATUS DA BASE</t>
  </si>
  <si>
    <t>FILA DETALHADA</t>
  </si>
  <si>
    <t>Perfil</t>
  </si>
  <si>
    <t>Partidas</t>
  </si>
  <si>
    <t>Mín. jogos/equipe</t>
  </si>
  <si>
    <t>Último jogo</t>
  </si>
  <si>
    <t>Fonte sugerida</t>
  </si>
  <si>
    <t>WorldFootball · Futbol24 · Flashscore</t>
  </si>
  <si>
    <t>As fontes usadas são páginas públicas com estruturas diferentes e sujeitas a alterações ou bloqueios. Por isso, um Office Script agendado não consegue reproduzir sozinho a pesquisa e a validação. A alternativa segura é usar esta fila como controle e executar semanalmente uma atualização assistida: pesquisar cada liga, importar resultados concluídos, validar horários e recalcular as janelas.</t>
  </si>
  <si>
    <t>COMANDO SEMANAL RECOMENDADO</t>
  </si>
  <si>
    <t>“Atualize as ligas marcadas como REVISAR e faça manutenção das ligas completas, buscando resultados concluídos desde a última data, mantendo somente a união das últimas 12 partidas por equipe e auditando duplicidades.”</t>
  </si>
  <si>
    <t>Último jogo na base</t>
  </si>
  <si>
    <t>AVALIAÇÃO TÉCNICA — PARTIDAS SELECIONADAS</t>
  </si>
  <si>
    <t>Condição mandante em casa × visitante fora · Poisson · confirmação empírica · prioridade: acerto</t>
  </si>
  <si>
    <t>COMPARATIVO DAS CINCO PARTIDAS</t>
  </si>
  <si>
    <t>Prioridade</t>
  </si>
  <si>
    <t>J casa</t>
  </si>
  <si>
    <t>J fora</t>
  </si>
  <si>
    <t>Risco 0×0</t>
  </si>
  <si>
    <t>2+ emp. mín.</t>
  </si>
  <si>
    <t>3+ emp. mín.</t>
  </si>
  <si>
    <t>Últimos 5</t>
  </si>
  <si>
    <t>LEITURA OPERACIONAL</t>
  </si>
  <si>
    <t>Proteção O2,0</t>
  </si>
  <si>
    <t>Green O2,0</t>
  </si>
  <si>
    <t>Linha elegível</t>
  </si>
  <si>
    <t>Nível O2,0</t>
  </si>
  <si>
    <t>OVER 1,25</t>
  </si>
  <si>
    <t>1ª LINHA OU NÃO APOSTAR</t>
  </si>
  <si>
    <t>Quatro confrontos permanecem elegíveis ao Over 2,00: Brisbane Olympic FC × Rochedale Rovers, Shandong Taishan × Qingdao Hainiu, Brisbane Roar NPL × Gold Coast Knights e Wynnum Wolves × Magic United.
Shandong Taishan × Qingdao Hainiu continua como a opção mais forte, com 83,2% de GREEN e 94,1% de GREEN ou PUSH.
Gold Coast Utd × Eastern Suburbs é uma exceção operacional: a primeira e única linha aceitável é Over 1,25. Se Over 1,25 não estiver disponível ou a odd não justificar a entrada, NÃO APOSTAR. Não substituir automaticamente por Over 1,50 ou Over 2,00.
Regra final: informar as linhas e odds disponíveis antes da montagem do bilhete.</t>
  </si>
  <si>
    <t>14/08/26</t>
  </si>
  <si>
    <t>37. Shandong Taishan × Qingdao Hainiu</t>
  </si>
  <si>
    <t>14/08/26 · Horário a informar</t>
  </si>
  <si>
    <t>λ 4,55 · Over 2,00: 83,2% Green + 10,9% Push · proteção 94,1%</t>
  </si>
  <si>
    <t>Aprovada · FORTE</t>
  </si>
  <si>
    <t>Over 2,00 — odd decimal ainda não informada</t>
  </si>
  <si>
    <t>Linha inteira aprovada: 3+ gols = Green; exatamente 2 gols = devolução; entrada condicionada à odd disponível</t>
  </si>
  <si>
    <t>Aguardando odd</t>
  </si>
  <si>
    <t>Odd pendente; liquidação automática após preencher odd e placar</t>
  </si>
  <si>
    <t>38. Peninsula Power × Brisbane City</t>
  </si>
  <si>
    <t>λ 4,33 · Over 2,00: 80,7% Green + 12,3% Push · proteção 93,0%</t>
  </si>
  <si>
    <t>39. Brisbane Roar NPL × Gold Coast Knights</t>
  </si>
  <si>
    <t>λ 3,75 · Over 2,00: 72,3% Green + 16,5% Push · proteção 88,8%</t>
  </si>
  <si>
    <t>Aprovada · BOA</t>
  </si>
  <si>
    <t>40. Wynnum Wolves × Magic United</t>
  </si>
  <si>
    <t>λ 3,70 · Over 2,00: 71,5% Green + 16,9% Push · proteção 88,4%</t>
  </si>
  <si>
    <t>Top 40 automático · TJT mínimo de 4 jogos · filtro Over 0.5 ≥90% · MLS-Cross excluída</t>
  </si>
  <si>
    <t>41. Brisbane Olympic FC × Rochedale Rovers</t>
  </si>
  <si>
    <t>λ 3,51 · Over 1,50: 86,5% Green · confirmação empírica mínima 87,5% para 2+ gols</t>
  </si>
  <si>
    <t>Over 1,50 @ 1,12</t>
  </si>
  <si>
    <t>Linha escolhida com foco em acerto: 2+ gols geram Green; projeção e histórico casa/fora confirmam boa aderência</t>
  </si>
  <si>
    <t>Em aberto</t>
  </si>
  <si>
    <t>Over 1,50: 2+ gols = Green; 0 ou 1 gol = Red</t>
  </si>
  <si>
    <t>Over 2,00 @ 1,14</t>
  </si>
  <si>
    <t>Over 2,00 @ 1,12</t>
  </si>
  <si>
    <t>Over 2,00 @1,15</t>
  </si>
  <si>
    <t>Lions FC 1 vs 0 Peninsula Power</t>
  </si>
  <si>
    <t>2026-08-01|Lions FC|Peninsula Power</t>
  </si>
  <si>
    <t>Magic United 3 vs 5 Lions FC</t>
  </si>
  <si>
    <t>2026-05-31|Magic United|Lions FC</t>
  </si>
  <si>
    <t>Lions FC 2 vs 1 Rochedale Rovers</t>
  </si>
  <si>
    <t>2026-06-21|Lions FC|Rochedale Rovers</t>
  </si>
  <si>
    <t>Lions FC 2 vs 0 Brisbane Olympic FC</t>
  </si>
  <si>
    <t>2026-07-04|Lions FC|Brisbane Olympic FC</t>
  </si>
  <si>
    <t>Lions FC 2 vs 0 Moreton City Excelsior</t>
  </si>
  <si>
    <t>2026-05-09|Lions FC|Moreton City Excelsior</t>
  </si>
  <si>
    <t>Lions FC 2 vs 2 Brisbane City</t>
  </si>
  <si>
    <t>2026-03-28|Lions FC|Brisbane City</t>
  </si>
  <si>
    <t>Brisbane City 0 vs 4 Lions FC</t>
  </si>
  <si>
    <t>2026-06-06|Brisbane City|Lions FC</t>
  </si>
  <si>
    <t>Lions FC 1 vs 0 Gold Coast Utd</t>
  </si>
  <si>
    <t>2026-04-19|Lions FC|Gold Coast Utd</t>
  </si>
  <si>
    <t>Gold Coast Utd 0 vs 1 Lions FC</t>
  </si>
  <si>
    <t>2026-07-18|Gold Coast Utd|Lions FC</t>
  </si>
  <si>
    <t>Lions FC 6 vs 2 Wynnum Wolves</t>
  </si>
  <si>
    <t>2026-06-28|Lions FC|Wynnum Wolves</t>
  </si>
  <si>
    <t>Gold Coast Knights 2 vs 1 Lions FC</t>
  </si>
  <si>
    <t>2026-07-07|Gold Coast Knights|Lions FC</t>
  </si>
  <si>
    <t>Brisbane Olympic FC 1 vs 2 Moreton City Excelsior</t>
  </si>
  <si>
    <t>Histórico / atualização web</t>
  </si>
  <si>
    <t>Australia Cup</t>
  </si>
  <si>
    <t>Lions FC 1 vs 1 Perth Glory (AET)</t>
  </si>
  <si>
    <t>Perth Glory</t>
  </si>
  <si>
    <t>Lions FC 1 vs 0 Eastern Suburbs</t>
  </si>
  <si>
    <t>FFA Cup Qualifiers</t>
  </si>
  <si>
    <t>Sunshine Coast Wanderers 0 vs 3 Lions FC</t>
  </si>
  <si>
    <t>Sunshine Coast Wanderers</t>
  </si>
  <si>
    <t>42. Moreton City Excelsior × Lions FC</t>
  </si>
  <si>
    <t>λ 4,42 · Over 2,00: 81,7% Green + 11,8% Push · proteção 93,5%</t>
  </si>
  <si>
    <t>Over 1,50 @ 1,115 | Over 1,75 @ 1,13 | Over 2,00 @ 1,15 | Over 2,25 @ 1,275</t>
  </si>
  <si>
    <t>Linha inteira com forte proteção: 3+ gols = Green; exatamente 2 gols = devolução; consenso de 93,5% sem Red</t>
  </si>
  <si>
    <t>Over 2,00: 3+ gols = Green; 2 gols = devolução; 0–1 gol = Red</t>
  </si>
  <si>
    <t>EST-02963</t>
  </si>
  <si>
    <t>EST-02964</t>
  </si>
  <si>
    <t>EST-02965</t>
  </si>
  <si>
    <t>EST-02966</t>
  </si>
  <si>
    <t>43. Lunds BK × Hässleholms IF</t>
  </si>
  <si>
    <t>λ 4,04 · Over 2,00: 75,5% Green + 14,8% Push · proteção 90,3%</t>
  </si>
  <si>
    <t>Over 2,00 @ 1,32</t>
  </si>
  <si>
    <t>Linha inteira com forte proteção: 3+ gols = Green; exatamente 2 = devolução; odd 1,32 oferece valor estimado positivo.</t>
  </si>
  <si>
    <t>44. Hestrafors IF × Qviding FIF</t>
  </si>
  <si>
    <t>λ 4,07 · Over 2,25: 76,2% Green + 14,5% meio Red · 90,7% sem Red completo</t>
  </si>
  <si>
    <t>Over 2,25 @ 1,20</t>
  </si>
  <si>
    <t>Linha 2,25 tecnicamente aderente: 3+ gols = Green; exatamente 2 = meio Red. A odd 1,20 oferece margem financeira limitada.</t>
  </si>
  <si>
    <t>Over 2,25: 3+ gols = Green; 2 gols = meio Red; 0–1 gol = Red</t>
  </si>
  <si>
    <t>45. Ahlafors IF × Grebbestads IF</t>
  </si>
  <si>
    <t>λ 3,70 · Over 1,50: 87,3% Green no consenso · risco 0×0 de 2,8%</t>
  </si>
  <si>
    <t>Linha conservadora e tecnicamente forte: 2+ gols = Green; odd 1,17 mantém valor estimado ligeiramente positivo.</t>
  </si>
  <si>
    <t>Over 1,50: 2+ gols = Green; 0–1 gol = Red</t>
  </si>
  <si>
    <t>46. FOC Farsta × Nyköpings BIS</t>
  </si>
  <si>
    <t>SWE - 2ª D Södra Svealand</t>
  </si>
  <si>
    <t>Base externa · Over 1,50 escolhido · equipes ainda ausentes da base local</t>
  </si>
  <si>
    <t>Registrada · CAUTELA</t>
  </si>
  <si>
    <t>Over 1,50 @ 1,14</t>
  </si>
  <si>
    <t>Aposta já realizada. Linha conservadora: 2+ gols = Green; análise baseada em histórico público, pois as equipes não constam na aba Equipes.</t>
  </si>
  <si>
    <t>47. IK Brage × Örebro SK</t>
  </si>
  <si>
    <t>λ 3,80 · Over 2,00: 72,2% Green + 16,3% Push · proteção 88,5%</t>
  </si>
  <si>
    <t>Over 2,00 @ 1,275</t>
  </si>
  <si>
    <t>Aposta já realizada. Linha inteira com boa proteção: 3+ gols = Green; exatamente 2 = devolução; risco 0×0 estimado em 2,5%.</t>
  </si>
  <si>
    <t>EST-02967</t>
  </si>
  <si>
    <t>Helsingborgs IF 1 vs 2 IFK Värnamo</t>
  </si>
  <si>
    <t>Janela_12_Mandante</t>
  </si>
  <si>
    <t>Janela_12_Visitante</t>
  </si>
  <si>
    <t>Janela_12_Liga</t>
  </si>
  <si>
    <t>EST-02968</t>
  </si>
  <si>
    <t>FF Jaro 1 vs 3 VPS Vaasa</t>
  </si>
  <si>
    <t>EST-02969</t>
  </si>
  <si>
    <t>AC Oulu 0 vs 1 HJK Helsinki</t>
  </si>
  <si>
    <t>EST-02970</t>
  </si>
  <si>
    <t>Ilves 2 vs 0 IFK Mariehamn</t>
  </si>
  <si>
    <t>EST-02971</t>
  </si>
  <si>
    <t>Inter Turku 0 vs 0 FC Lahti</t>
  </si>
  <si>
    <t>EST-02972</t>
  </si>
  <si>
    <t>KuPS 1 vs 1 TPS</t>
  </si>
  <si>
    <t>EST-02973</t>
  </si>
  <si>
    <t>EST-02974</t>
  </si>
  <si>
    <t>Jazz Pori 1 vs 1 OLS Oulu</t>
  </si>
  <si>
    <t>EST-02975</t>
  </si>
  <si>
    <t>KPV 1 vs 2 VJS</t>
  </si>
  <si>
    <t>EST-02976</t>
  </si>
  <si>
    <t>JJK Jyvaskyla 0 vs 0 Tampere Utd</t>
  </si>
  <si>
    <t>EST-02977</t>
  </si>
  <si>
    <t>Keski-Uusimaa 1 vs 0 Inter Turku 2</t>
  </si>
  <si>
    <t>EST-02978</t>
  </si>
  <si>
    <t>RoPS (Rovaniemi) 2 vs 1 KuPS Akatemia</t>
  </si>
  <si>
    <t>EST-02979</t>
  </si>
  <si>
    <t>TPV 1 vs 1 SalPa</t>
  </si>
  <si>
    <t>EST-02980</t>
  </si>
  <si>
    <t>PPJ 2 vs 1 MyPa</t>
  </si>
  <si>
    <t>EST-02981</t>
  </si>
  <si>
    <t>EBK 1 vs 5 EPS</t>
  </si>
  <si>
    <t>EST-02982</t>
  </si>
  <si>
    <t>HJS 3 vs 1 Ilves 2</t>
  </si>
  <si>
    <t>EST-02983</t>
  </si>
  <si>
    <t>P-Iirot Rauma 2 vs 0 GrIFK</t>
  </si>
  <si>
    <t>EST-02984</t>
  </si>
  <si>
    <t>Honka 7 vs 0 NJS</t>
  </si>
  <si>
    <t>EST-02985</t>
  </si>
  <si>
    <t>MuSa 1 vs 2 AIFK</t>
  </si>
  <si>
    <t>EST-02986</t>
  </si>
  <si>
    <t>FC Vaajakoski 3 vs 2 VPS Akatemia</t>
  </si>
  <si>
    <t>EST-02987</t>
  </si>
  <si>
    <t>TP-47 2 vs 1 Närpes Kraft</t>
  </si>
  <si>
    <t>EST-02988</t>
  </si>
  <si>
    <t>JS Hercules 2 vs 2 SJK Akatemia 2</t>
  </si>
  <si>
    <t>Controle histórico: manter até 15 partidas por equipe em Dados · cálculos usam as 12 mais recentes · atualizações organizadas em blocos por liga</t>
  </si>
  <si>
    <t>1. Priorizar ligas com status REVISAR  ·  2. Buscar resultados concluídos nas fontes indicadas  ·  3. Padronizar nomes e horários  ·  4. Inserir somente chaves novas  ·  5. Durante cada atualização, manter os registros da liga juntos e inserir os jogos do mais antigo para o mais recente  ·  6. Manter até 15 jogos por equipe em Dados  ·  7. Recalcular as marcações da janela ativa de 12  ·  8. Auditar duplicidades, placares e fórmulas.</t>
  </si>
  <si>
    <t>EST-02989</t>
  </si>
  <si>
    <t>Wollongong Wolves 1 vs 2 Sydney United</t>
  </si>
  <si>
    <t>EST-02990</t>
  </si>
  <si>
    <t>Brisbane City 2 vs 0 Gold Coast Utd</t>
  </si>
  <si>
    <t>EST-02991</t>
  </si>
  <si>
    <t>Eastern Suburbs 0 vs 0 Wynnum Wolves</t>
  </si>
  <si>
    <t>EST-02992</t>
  </si>
  <si>
    <t>Gold Coast Knights 2 vs 2 Peninsula Power</t>
  </si>
  <si>
    <t>EST-02993</t>
  </si>
  <si>
    <t>Magic United 2 vs 1 Rochedale Rovers</t>
  </si>
  <si>
    <t>EST-02994</t>
  </si>
  <si>
    <t>Adelaide City 1 vs 0 Playford Patriots</t>
  </si>
  <si>
    <t>EST-02995</t>
  </si>
  <si>
    <t>Campbelltown City 2 vs 0 FK Beograd</t>
  </si>
  <si>
    <t>EST-02996</t>
  </si>
  <si>
    <t>Adelaide United U23 5 vs 2 Para</t>
  </si>
  <si>
    <t>EST-02997</t>
  </si>
  <si>
    <t>Croydon 1 vs 1 Sturt Lions</t>
  </si>
  <si>
    <t>EST-02998</t>
  </si>
  <si>
    <t>Sturt Lions 0 vs 0 Adelaide Comets</t>
  </si>
  <si>
    <t>EST-02999</t>
  </si>
  <si>
    <t>Balcatta 3 vs 3 Armadale</t>
  </si>
  <si>
    <t>EST-03000</t>
  </si>
  <si>
    <t>Dianella White Eagle 1 vs 2 Stirling Macedonia</t>
  </si>
  <si>
    <t>EST-03001</t>
  </si>
  <si>
    <t>Fremantle City 2 vs 2 Perth Azzurri</t>
  </si>
  <si>
    <t>EST-03002</t>
  </si>
  <si>
    <t>Olympic Kingsway 1 vs 1 Bayswater City</t>
  </si>
  <si>
    <t>EST-03003</t>
  </si>
  <si>
    <t>Sorrento FC 1 vs 0 Perth RedStar</t>
  </si>
  <si>
    <t>EST-03004</t>
  </si>
  <si>
    <t>Bayswater City 7 vs 1 Sorrento FC</t>
  </si>
  <si>
    <t>EST-03005</t>
  </si>
  <si>
    <t>Fram Reykjavik (Fram Reykjavík) 2 vs 5 KR Reykjavik (KR Reykjavík)</t>
  </si>
  <si>
    <t>EST-03006</t>
  </si>
  <si>
    <t>Aegir 0 vs 2 Volsungur</t>
  </si>
  <si>
    <t>EST-03007</t>
  </si>
  <si>
    <t>EPS 2 vs 2 EBK</t>
  </si>
  <si>
    <t>EST-03008</t>
  </si>
  <si>
    <t>GrIFK 1 vs 1 P-Iirot Rauma</t>
  </si>
  <si>
    <t>EST-03009</t>
  </si>
  <si>
    <t>AIFK 2 vs 0 P-Iirot Rauma</t>
  </si>
  <si>
    <t>EST-03010</t>
  </si>
  <si>
    <t>HJS 1 vs 3 EPS</t>
  </si>
  <si>
    <t>EST-03011</t>
  </si>
  <si>
    <t>GrIFK 2 vs 2 HJS</t>
  </si>
  <si>
    <t>EST-03012</t>
  </si>
  <si>
    <t>HJS 3 vs 0 NJS</t>
  </si>
  <si>
    <t>EST-03013</t>
  </si>
  <si>
    <t>GrIFK 2 vs 0 NJS</t>
  </si>
  <si>
    <t>EST-03014</t>
  </si>
  <si>
    <t>EPS 2 vs 0 P-Iirot Rauma</t>
  </si>
  <si>
    <t>EST-03015</t>
  </si>
  <si>
    <t>NJS 1 vs 3 EBK</t>
  </si>
  <si>
    <t>EST-03016</t>
  </si>
  <si>
    <t>EBK 1 vs 1 P-Iirot Rauma</t>
  </si>
  <si>
    <t>EST-03017</t>
  </si>
  <si>
    <t>EPS 2 vs 1 NJS</t>
  </si>
  <si>
    <t>EST-03018</t>
  </si>
  <si>
    <t>HJS 5 vs 3 EBK</t>
  </si>
  <si>
    <t>EST-03019</t>
  </si>
  <si>
    <t>AIFK 0 vs 1 HJS</t>
  </si>
  <si>
    <t>EST-03020</t>
  </si>
  <si>
    <t>GrIFK 2 vs 1 EBK</t>
  </si>
  <si>
    <t>EST-03021</t>
  </si>
  <si>
    <t>NJS 0 vs 1 P-Iirot Rauma</t>
  </si>
  <si>
    <t>EST-03022</t>
  </si>
  <si>
    <t>Perth Azzurri 1 vs 1 Fremantle City</t>
  </si>
  <si>
    <t>EST-03023</t>
  </si>
  <si>
    <t>Perth Glory U23 3 vs 1 Western Knights</t>
  </si>
  <si>
    <t>EST-03024</t>
  </si>
  <si>
    <t>Armadale 5 vs 0 Balcatta</t>
  </si>
  <si>
    <t>EST-03025</t>
  </si>
  <si>
    <t>Stirling Macedonia 3 vs 4 Dianella White Eagle</t>
  </si>
  <si>
    <t>EST-03026</t>
  </si>
  <si>
    <t>Perth RedStar 1 vs 0 Armadale</t>
  </si>
  <si>
    <t>EST-03027</t>
  </si>
  <si>
    <t>Sorrento FC 1 vs 2 Perth Azzurri</t>
  </si>
  <si>
    <t>EST-03028</t>
  </si>
  <si>
    <t>Dianella White Eagle 2 vs 3 Balcatta</t>
  </si>
  <si>
    <t>EST-03029</t>
  </si>
  <si>
    <t>Western Knights 2 vs 1 Stirling Macedonia</t>
  </si>
  <si>
    <t>EST-03030</t>
  </si>
  <si>
    <t>Perth Glory U23 1 vs 0 Bayswater City</t>
  </si>
  <si>
    <t>EST-03031</t>
  </si>
  <si>
    <t>Fremantle City 2 vs 2 Olympic Kingsway</t>
  </si>
  <si>
    <t>EST-03032</t>
  </si>
  <si>
    <t>Perth RedStar 1 vs 1 Perth Azzurri</t>
  </si>
  <si>
    <t>EST-03033</t>
  </si>
  <si>
    <t>Dianella White Eagle 2 vs 2 Armadale</t>
  </si>
  <si>
    <t>EST-03034</t>
  </si>
  <si>
    <t>Sorrento FC 1 vs 4 Olympic Kingsway</t>
  </si>
  <si>
    <t>EST-03035</t>
  </si>
  <si>
    <t>Balcatta 0 vs 0 Western Knights</t>
  </si>
  <si>
    <t>EST-03036</t>
  </si>
  <si>
    <t>Fremantle City 4 vs 3 Perth Glory U23</t>
  </si>
  <si>
    <t>EST-03037</t>
  </si>
  <si>
    <t>Stirling Macedonia 1 vs 2 Bayswater City</t>
  </si>
  <si>
    <t>EST-03038</t>
  </si>
  <si>
    <t>Olympic Kingsway 3 vs 1 Dianella White Eagle</t>
  </si>
  <si>
    <t>EST-03039</t>
  </si>
  <si>
    <t>Fremantle City 2 vs 2 Perth RedStar</t>
  </si>
  <si>
    <t>EST-03040</t>
  </si>
  <si>
    <t>Stirling Macedonia 3 vs 1 Balcatta</t>
  </si>
  <si>
    <t>EST-03041</t>
  </si>
  <si>
    <t>Sorrento FC 1 vs 2 Bayswater City</t>
  </si>
  <si>
    <t>EST-03042</t>
  </si>
  <si>
    <t>Armadale 3 vs 2 Perth Glory U23</t>
  </si>
  <si>
    <t>EST-03043</t>
  </si>
  <si>
    <t>Western Knights 3 vs 4 Perth Azzurri</t>
  </si>
  <si>
    <t>EST-03044</t>
  </si>
  <si>
    <t>Perth Azzurri 3 vs 3 Stirling Macedonia</t>
  </si>
  <si>
    <t>EST-03045</t>
  </si>
  <si>
    <t>Perth RedStar 2 vs 1 Western Knights</t>
  </si>
  <si>
    <t>EST-03046</t>
  </si>
  <si>
    <t>Armadale 2 vs 1 Fremantle City</t>
  </si>
  <si>
    <t>EST-03047</t>
  </si>
  <si>
    <t>Perth Glory U23 1 vs 2 Olympic Kingsway</t>
  </si>
  <si>
    <t>EST-03048</t>
  </si>
  <si>
    <t>Perth Glory U23 2 vs 4 Perth Azzurri</t>
  </si>
  <si>
    <t>EST-03049</t>
  </si>
  <si>
    <t>Armadale 0 vs 5 Bayswater City</t>
  </si>
  <si>
    <t>EST-03050</t>
  </si>
  <si>
    <t>Fremantle City 5 vs 2 Balcatta</t>
  </si>
  <si>
    <t>EST-03051</t>
  </si>
  <si>
    <t>Dianella White Eagle 1 vs 0 Western Knights</t>
  </si>
  <si>
    <t>EST-03052</t>
  </si>
  <si>
    <t>Western Knights 4 vs 4 Bayswater City</t>
  </si>
  <si>
    <t>EST-03053</t>
  </si>
  <si>
    <t>Perth Glory U23 1 vs 2 Perth RedStar</t>
  </si>
  <si>
    <t>EST-03054</t>
  </si>
  <si>
    <t>Sorrento FC 0 vs 3 Armadale</t>
  </si>
  <si>
    <t>EST-03055</t>
  </si>
  <si>
    <t>Balcatta 1 vs 1 Perth Azzurri</t>
  </si>
  <si>
    <t>EST-03056</t>
  </si>
  <si>
    <t>Fremantle City 1 vs 0 Dianella White Eagle</t>
  </si>
  <si>
    <t>EST-03057</t>
  </si>
  <si>
    <t>Olympic Kingsway 0 vs 3 Stirling Macedonia</t>
  </si>
  <si>
    <t>EST-03058</t>
  </si>
  <si>
    <t>Perth Glory U23 1 vs 1 Stirling Macedonia</t>
  </si>
  <si>
    <t>EST-03059</t>
  </si>
  <si>
    <t>Fremantle City 3 vs 0 Western Knights</t>
  </si>
  <si>
    <t>EST-03060</t>
  </si>
  <si>
    <t>Olympic Kingsway 5 vs 4 Balcatta</t>
  </si>
  <si>
    <t>EST-03061</t>
  </si>
  <si>
    <t>Armadale 1 vs 4 Perth Azzurri</t>
  </si>
  <si>
    <t>EST-03062</t>
  </si>
  <si>
    <t>Dianella White Eagle 2 vs 2 Perth Azzurri</t>
  </si>
  <si>
    <t>EST-03063</t>
  </si>
  <si>
    <t>Fremantle City 1 vs 1 Bayswater City</t>
  </si>
  <si>
    <t>EST-03064</t>
  </si>
  <si>
    <t>Stirling Macedonia 0 vs 1 Perth RedStar</t>
  </si>
  <si>
    <t>EST-03065</t>
  </si>
  <si>
    <t>Armadale 1 vs 6 Olympic Kingsway</t>
  </si>
  <si>
    <t>EST-03066</t>
  </si>
  <si>
    <t>Perth Glory U23 1 vs 3 Balcatta</t>
  </si>
  <si>
    <t>EST-03067</t>
  </si>
  <si>
    <t>Olympic Kingsway 1 vs 2 Perth RedStar</t>
  </si>
  <si>
    <t>EST-03068</t>
  </si>
  <si>
    <t>Sorrento FC 0 vs 2 Fremantle City</t>
  </si>
  <si>
    <t>EST-03069</t>
  </si>
  <si>
    <t>Perth Azzurri 3 vs 3 Western Knights</t>
  </si>
  <si>
    <t>EST-03070</t>
  </si>
  <si>
    <t>Perth RedStar 0 vs 3 Fremantle City</t>
  </si>
  <si>
    <t>EST-03071</t>
  </si>
  <si>
    <t>Balcatta 2 vs 0 Stirling Macedonia</t>
  </si>
  <si>
    <t>EST-03072</t>
  </si>
  <si>
    <t>Perth Glory U23 2 vs 2 Armadale</t>
  </si>
  <si>
    <t>EST-03073</t>
  </si>
  <si>
    <t>Dianella White Eagle 0 vs 3 Olympic Kingsway</t>
  </si>
  <si>
    <t>EST-03074</t>
  </si>
  <si>
    <t>Perth Azzurri 0 vs 2 Bayswater City</t>
  </si>
  <si>
    <t>EST-03075</t>
  </si>
  <si>
    <t>Perth RedStar 0 vs 0 Balcatta</t>
  </si>
  <si>
    <t>EST-03076</t>
  </si>
  <si>
    <t>Western Knights 1 vs 2 Olympic Kingsway</t>
  </si>
  <si>
    <t>EST-03077</t>
  </si>
  <si>
    <t>Perth Glory U23 4 vs 0 Dianella White Eagle</t>
  </si>
  <si>
    <t>EST-03078</t>
  </si>
  <si>
    <t>Stirling Macedonia 1 vs 1 Armadale</t>
  </si>
  <si>
    <t>Croydon 4 vs 2 West Torrens Birkalla</t>
  </si>
  <si>
    <t>Croydon 2 vs 3 MetroStars</t>
  </si>
  <si>
    <t>MetroStars 1 vs 0 Sturt Lions</t>
  </si>
  <si>
    <t>West Torrens Birkalla 4 vs 1 Sturt Lions</t>
  </si>
  <si>
    <t>EST-03079</t>
  </si>
  <si>
    <t>Para 0 vs 2 Adelaide United U23</t>
  </si>
  <si>
    <t>EST-03080</t>
  </si>
  <si>
    <t>Playford Patriots 0 vs 0 Adelaide City</t>
  </si>
  <si>
    <t>EST-03081</t>
  </si>
  <si>
    <t>Sturt Lions 0 vs 2 Croydon</t>
  </si>
  <si>
    <t>EST-03082</t>
  </si>
  <si>
    <t>West Adelaide SC 1 vs 2 West Torrens Birkalla</t>
  </si>
  <si>
    <t>EST-03083</t>
  </si>
  <si>
    <t>FK Beograd 3 vs 1 Campbelltown City</t>
  </si>
  <si>
    <t>EST-03084</t>
  </si>
  <si>
    <t>MetroStars 0 vs 0 Adelaide Comets</t>
  </si>
  <si>
    <t>EST-03085</t>
  </si>
  <si>
    <t>Adelaide Comets 4 vs 0 Para</t>
  </si>
  <si>
    <t>EST-03086</t>
  </si>
  <si>
    <t>Adelaide United U23 3 vs 0 West Torrens Birkalla</t>
  </si>
  <si>
    <t>EST-03087</t>
  </si>
  <si>
    <t>EST-03088</t>
  </si>
  <si>
    <t>Playford Patriots 1 vs 4 West Adelaide SC</t>
  </si>
  <si>
    <t>EST-03089</t>
  </si>
  <si>
    <t>Adelaide City 2 vs 2 FK Beograd</t>
  </si>
  <si>
    <t>EST-03090</t>
  </si>
  <si>
    <t>EST-03091</t>
  </si>
  <si>
    <t>West Torrens Birkalla 4 vs 1 Adelaide Comets</t>
  </si>
  <si>
    <t>EST-03092</t>
  </si>
  <si>
    <t>Para 1 vs 5 Croydon</t>
  </si>
  <si>
    <t>EST-03093</t>
  </si>
  <si>
    <t>Adelaide United U23 0 vs 0 Playford Patriots</t>
  </si>
  <si>
    <t>EST-03094</t>
  </si>
  <si>
    <t>Sturt Lions 2 vs 1 FK Beograd</t>
  </si>
  <si>
    <t>EST-03095</t>
  </si>
  <si>
    <t>MetroStars 4 vs 0 Campbelltown City</t>
  </si>
  <si>
    <t>EST-03096</t>
  </si>
  <si>
    <t>West Adelaide SC 1 vs 2 Adelaide City</t>
  </si>
  <si>
    <t>EST-03097</t>
  </si>
  <si>
    <t>West Torrens Birkalla 1 vs 0 Croydon</t>
  </si>
  <si>
    <t>EST-03098</t>
  </si>
  <si>
    <t>Playford Patriots 2 vs 2 Adelaide Comets</t>
  </si>
  <si>
    <t>EST-03099</t>
  </si>
  <si>
    <t>Campbelltown City 3 vs 0 Para</t>
  </si>
  <si>
    <t>EST-03100</t>
  </si>
  <si>
    <t>FK Beograd 1 vs 2 MetroStars</t>
  </si>
  <si>
    <t>EST-03101</t>
  </si>
  <si>
    <t>West Adelaide SC 3 vs 1 Adelaide United U23</t>
  </si>
  <si>
    <t>EST-03102</t>
  </si>
  <si>
    <t>Campbelltown City 1 vs 2 West Torrens Birkalla</t>
  </si>
  <si>
    <t>EST-03103</t>
  </si>
  <si>
    <t>Adelaide Comets 3 vs 2 West Adelaide SC</t>
  </si>
  <si>
    <t>EST-03104</t>
  </si>
  <si>
    <t>Para 1 vs 5 FK Beograd</t>
  </si>
  <si>
    <t>EST-03105</t>
  </si>
  <si>
    <t>Adelaide United U23 0 vs 0 Adelaide City</t>
  </si>
  <si>
    <t>EST-03106</t>
  </si>
  <si>
    <t>Adelaide United U23 1 vs 1 Adelaide Comets</t>
  </si>
  <si>
    <t>EST-03107</t>
  </si>
  <si>
    <t>West Adelaide SC 5 vs 5 Croydon</t>
  </si>
  <si>
    <t>EST-03108</t>
  </si>
  <si>
    <t>Playford Patriots 4 vs 1 Campbelltown City</t>
  </si>
  <si>
    <t>EST-03109</t>
  </si>
  <si>
    <t>Sturt Lions 6 vs 0 Para</t>
  </si>
  <si>
    <t>EST-03110</t>
  </si>
  <si>
    <t>FK Beograd 2 vs 0 West Torrens Birkalla</t>
  </si>
  <si>
    <t>EST-03111</t>
  </si>
  <si>
    <t>Adelaide City 3 vs 0 MetroStars</t>
  </si>
  <si>
    <t>EST-03112</t>
  </si>
  <si>
    <t>Adelaide Comets 0 vs 1 Adelaide City</t>
  </si>
  <si>
    <t>EST-03113</t>
  </si>
  <si>
    <t>Playford Patriots 0 vs 1 FK Beograd</t>
  </si>
  <si>
    <t>EST-03114</t>
  </si>
  <si>
    <t>Para 0 vs 9 MetroStars</t>
  </si>
  <si>
    <t>EST-03115</t>
  </si>
  <si>
    <t>Campbelltown City 0 vs 0 West Adelaide SC</t>
  </si>
  <si>
    <t>EST-03116</t>
  </si>
  <si>
    <t>Adelaide Comets 1 vs 4 Croydon</t>
  </si>
  <si>
    <t>EST-03117</t>
  </si>
  <si>
    <t>Adelaide City 2 vs 0 Para</t>
  </si>
  <si>
    <t>EST-03118</t>
  </si>
  <si>
    <t>Adelaide United U23 0 vs 0 Campbelltown City</t>
  </si>
  <si>
    <t>EST-03119</t>
  </si>
  <si>
    <t>Sturt Lions 1 vs 0 Playford Patriots</t>
  </si>
  <si>
    <t>EST-03120</t>
  </si>
  <si>
    <t>FK Beograd 1 vs 0 West Adelaide SC</t>
  </si>
  <si>
    <t>EST-03121</t>
  </si>
  <si>
    <t>MetroStars 3 vs 1 West Torrens Birkalla</t>
  </si>
  <si>
    <t>EST-03122</t>
  </si>
  <si>
    <t>Campbelltown City 1 vs 0 Adelaide Comets</t>
  </si>
  <si>
    <t>EST-03123</t>
  </si>
  <si>
    <t>West Torrens Birkalla 11 vs 0 Para</t>
  </si>
  <si>
    <t>EST-03124</t>
  </si>
  <si>
    <t>Adelaide City 2 vs 2 Croydon</t>
  </si>
  <si>
    <t>EST-03125</t>
  </si>
  <si>
    <t>Playford Patriots 1 vs 0 MetroStars</t>
  </si>
  <si>
    <t>EST-03126</t>
  </si>
  <si>
    <t>FK Beograd 0 vs 2 Adelaide United U23</t>
  </si>
  <si>
    <t>EST-03127</t>
  </si>
  <si>
    <t>Adelaide City 1 vs 0 West Torrens Birkalla</t>
  </si>
  <si>
    <t>EST-03128</t>
  </si>
  <si>
    <t>Para 2 vs 4 Playford Patriots</t>
  </si>
  <si>
    <t>EST-03129</t>
  </si>
  <si>
    <t>Adelaide Comets 1 vs 0 FK Beograd</t>
  </si>
  <si>
    <t>EST-03130</t>
  </si>
  <si>
    <t>MetroStars 1 vs 3 West Adelaide SC</t>
  </si>
  <si>
    <t>EST-03131</t>
  </si>
  <si>
    <t>Campbelltown City 0 vs 4 Adelaide City</t>
  </si>
  <si>
    <t>EST-03132</t>
  </si>
  <si>
    <t>Playford Patriots 0 vs 1 West Torrens Birkalla</t>
  </si>
  <si>
    <t>EST-03133</t>
  </si>
  <si>
    <t>West Adelaide SC 2 vs 1 Para</t>
  </si>
  <si>
    <t>EST-03134</t>
  </si>
  <si>
    <t>FK Beograd 4 vs 3 Croydon</t>
  </si>
  <si>
    <t>EST-03135</t>
  </si>
  <si>
    <t>MetroStars 1 vs 1 Adelaide United U23</t>
  </si>
  <si>
    <t>EST-03136</t>
  </si>
  <si>
    <t>Club Aurora 2 vs 4 Bolívar</t>
  </si>
  <si>
    <t>EST-03137</t>
  </si>
  <si>
    <t>The Strongest 1 vs 2 Independiente Petrolero</t>
  </si>
  <si>
    <t>EST-03138</t>
  </si>
  <si>
    <t>SA Bulo Bulo 2 vs 1 Nacional Potosí</t>
  </si>
  <si>
    <t>EST-03139</t>
  </si>
  <si>
    <t>Oriente Petrolero 5 vs 0 Universitario de Vinto</t>
  </si>
  <si>
    <t>EST-03140</t>
  </si>
  <si>
    <t>Real Potosí 2 vs 0 Blooming</t>
  </si>
  <si>
    <t>EST-03141</t>
  </si>
  <si>
    <t>GV San José 2 vs 3 Always Ready</t>
  </si>
  <si>
    <t>EST-03142</t>
  </si>
  <si>
    <t>Universidad de Chile 2 vs 1 Palestino</t>
  </si>
  <si>
    <t>EST-03143</t>
  </si>
  <si>
    <t>Unión La Calera 1 vs 2 Colo-Colo</t>
  </si>
  <si>
    <t>EST-03144</t>
  </si>
  <si>
    <t>O'Higgins 1 vs 3 Deportes Limache</t>
  </si>
  <si>
    <t>EST-03145</t>
  </si>
  <si>
    <t>Audax Italiano 2 vs 2 Ñublense</t>
  </si>
  <si>
    <t>EST-03146</t>
  </si>
  <si>
    <t>Libertad (Ecuador) 2 vs 1 Universidad Católica (Quito)</t>
  </si>
  <si>
    <t>EST-03147</t>
  </si>
  <si>
    <t>Técnico Universitario 0 vs 3 Mushuc Runa</t>
  </si>
  <si>
    <t>EST-03148</t>
  </si>
  <si>
    <t>Deportivo Cuenca 1 vs 2 Manta FC</t>
  </si>
  <si>
    <t>EST-03149</t>
  </si>
  <si>
    <t>Vila Nova 0 vs 1 Sport Recife</t>
  </si>
  <si>
    <t>EST-03150</t>
  </si>
  <si>
    <t>Botafogo SP 2 vs 1 América-MG</t>
  </si>
  <si>
    <t>EST-03151</t>
  </si>
  <si>
    <t>Athletic Club-MG 2 vs 0 Criciúma</t>
  </si>
  <si>
    <t>EST-03152</t>
  </si>
  <si>
    <t>Novorizontino 0 vs 1 Juventude</t>
  </si>
  <si>
    <t>EST-03153</t>
  </si>
  <si>
    <t>Náutico 1 vs 1 Atlético-GO</t>
  </si>
  <si>
    <t>EST-03154</t>
  </si>
  <si>
    <t>Cuiabá 1 vs 1 Fortaleza</t>
  </si>
  <si>
    <t>EST-03155</t>
  </si>
  <si>
    <t>Goiás 1 vs 0 Londrina</t>
  </si>
  <si>
    <t>EST-03156</t>
  </si>
  <si>
    <t>Avaí 0 vs 1 CRB</t>
  </si>
  <si>
    <t>48. Western Knights × Balcatta</t>
  </si>
  <si>
    <t>15/08/26 · Horário a informar</t>
  </si>
  <si>
    <t>λ 4,68 · Over 2,00: 77,1% Green + 12,9% Push · proteção 90,0%</t>
  </si>
  <si>
    <t>Escolha conservadora com proteção: 3+ gols = Green; exatamente 2 = devolução; λ 4,68 e 90,0% estimados sem Red.</t>
  </si>
  <si>
    <t>49. Melbourne City U21 × South Melbourne</t>
  </si>
  <si>
    <t>λ 3,20 · Over 2,00: 60,4% Green + 21,1% Push · proteção 81,5%</t>
  </si>
  <si>
    <t>Over 2,00 @ 1,175</t>
  </si>
  <si>
    <t>Linha inteira com proteção: 3+ gols = Green; exatamente 2 = devolução; risco 0×0 baixo, porém amostra casa/fora ainda preliminar.</t>
  </si>
  <si>
    <t>50. Heidelberg United × Hume City</t>
  </si>
  <si>
    <t>λ 3,50 · Over 1,50: 85,3% Green no consenso · risco 0×0 de 3,5%</t>
  </si>
  <si>
    <t>Over 1,50 @ 1,21</t>
  </si>
  <si>
    <t>Linha conservadora com forte aderência: 2+ gols = Green; consenso de 85,3% e risco 0×0 baixo.</t>
  </si>
  <si>
    <t>51. Armadale × Dianella White Eagle</t>
  </si>
  <si>
    <t>λ 4,80 · Over 2,50: 84,6% Green no consenso · risco 0×0 de 1,0%</t>
  </si>
  <si>
    <t>Over 2,50 @ 1,30</t>
  </si>
  <si>
    <t>Linha escolhida pelo melhor equilíbrio entre retorno e projeção: 3+ gols = Green; λ 4,80 e risco 0×0 muito baixo.</t>
  </si>
  <si>
    <t>Over 2,50: 3+ gols = Green; 0–2 gols = Red</t>
  </si>
  <si>
    <t>52. MetroStars × Croydon</t>
  </si>
  <si>
    <t>λ 4,25 · Over 1,50: 90,3% Green no consenso · risco 0×0 de 2,1%</t>
  </si>
  <si>
    <t>Prioridade em acerto: linha conservadora com 90,3% de Green no consenso; 2+ gols confirmam o bilhete.</t>
  </si>
  <si>
    <t>53. Zhejiang Professional FC × Chengdu Rongcheng</t>
  </si>
  <si>
    <t>λ 3,45 · Over 1,50: 84,6% Green no consenso · risco 0×0 de 3,6%</t>
  </si>
  <si>
    <t>Prioridade em acerto: linha conservadora aprovada; 2+ gols confirmam o bilhete e o risco de 0×0 permanece baixo.</t>
  </si>
  <si>
    <t>54. Liaoning Tieren × Shenzhen Xinpengcheng</t>
  </si>
  <si>
    <t>λ 3,35 · Over 1,50: 84,1% Green no consenso · risco 0×0 de 3,8%</t>
  </si>
  <si>
    <t>55. Tianjin Jinmen Tiger × Beijing Guoan</t>
  </si>
  <si>
    <t>λ 3,33 · Over 1,50: 83,4% Green no consenso · risco 0×0 de 4,0%</t>
  </si>
  <si>
    <t>56. Guangxi Hengchen × Meizhou Hakka</t>
  </si>
  <si>
    <t>λ 3,05 · Over 1,50: 77,7% Green no consenso · risco 0×0 de 6,3%</t>
  </si>
  <si>
    <t>Aprovada · CAUTELA</t>
  </si>
  <si>
    <t>Over 1,50 @ 1,16</t>
  </si>
  <si>
    <t>Linha aprovada no limite operacional: 2+ gols = Green; prioridade em acerto, com atenção ao risco de 0×0 de 6,3%.</t>
  </si>
  <si>
    <t>57. KTP × KaPa</t>
  </si>
  <si>
    <t>λ 3,21 · Over 1,50: 82,2% Green no consenso · risco 0×0 de 4,4%</t>
  </si>
  <si>
    <t>Over 1,50 @ 1,11</t>
  </si>
  <si>
    <t>Prioridade em acerto: linha conservadora com 82,2% de Green; 2+ gols confirmam o bilhete, apesar da odd abaixo da justa.</t>
  </si>
  <si>
    <t>58. SalPa × Jazz Pori</t>
  </si>
  <si>
    <t>Over 1,50 @ 1,125</t>
  </si>
  <si>
    <t>Prioridade em acerto: 87,3% de Green no consenso; exatamente 2 gols já confirmam ganho integral.</t>
  </si>
  <si>
    <t>59. OLS Oulu × RoPS (Rovaniemi)</t>
  </si>
  <si>
    <t>λ 3,68 · Over 1,50: 86,9% Green no consenso · risco 0×0 de 3,0%</t>
  </si>
  <si>
    <t>ESTUDO · FORTE</t>
  </si>
  <si>
    <t>Over 1,50 @ 1,115</t>
  </si>
  <si>
    <t>Bilhete para estudo: prioridade em acerto, com 86,9% de Green; odd abaixo da justa registrada para avaliação posterior.</t>
  </si>
  <si>
    <t>ESTUDO · Over 1,50: 2+ gols = Green; 0–1 gol = Red</t>
  </si>
  <si>
    <t>60. Tampere Utd × TPV</t>
  </si>
  <si>
    <t>λ 3,75 · Over 1,50: 84,5% Green no consenso · risco 0×0 de 4,1%</t>
  </si>
  <si>
    <t>Over 1,50 @ 1,05</t>
  </si>
  <si>
    <t>Prioridade em acerto: 84,5% de Green no consenso; odd baixa registrada conforme escolha da usuária.</t>
  </si>
  <si>
    <t>Over 1,50 @ 1,20 | Over 1,75 @ 1,123 | Over 2,00 @ 1,275 | Over 2,25 @ 1,475</t>
  </si>
  <si>
    <t>Over 2,00 @ 1,15 | Over 2,25 @ 1,26 | Over 2,50 @ 1,40</t>
  </si>
  <si>
    <t>Over 2,00 @ 1,10 | Over 2,25 @ 1,20 | Over 2,50 @ 1,30 | Over 2,75 @ 1,35</t>
  </si>
  <si>
    <t>Over 1,50 @ 1,10 | Over 2,50 @ 1,36 | Over 3,50 @ 1,83</t>
  </si>
  <si>
    <t>Over 1,50 @ 1,12 | Over 2,00 @ 1,16</t>
  </si>
  <si>
    <t>Over 1,25 @ 1,125 | Over 1,50 @ 1,21 | Over 1,75 @ 1,25 | Over 2,00 @ 1,30</t>
  </si>
  <si>
    <t>Over 1,50 @ 1,11 | Over 1,75 @ 1,125 | Over 2,00 @ 1,14 | Over 2,25 @ 1,26</t>
  </si>
  <si>
    <t>Over 1,50 @ 1,125 | Over 1,75 @ 1,14 | Over 2,00 @ 1,17 | Over 2,25 @ 1,30</t>
  </si>
  <si>
    <t>Over 1,50 @ 1,115 | Over 1,75 @ 1,13 | Over 2,00 @ 1,15 | Over 2,25 @ 1,275 | Over 2,50 @ 1,40</t>
  </si>
  <si>
    <t>Over 1,50 @ 1,05 | Over 1,75 @ 1,12 | Over 2,00 @ 1,13 | Over 2,25 @ 1,24</t>
  </si>
  <si>
    <t>61. HPS × Union Plaani</t>
  </si>
  <si>
    <t>λ 4,50 · Over 2,25: 76,3% Green + 13,3% meio Red · risco 0×0 de 2,6%</t>
  </si>
  <si>
    <t>Over 2,25 @ 1,18 | Over 2,50 @ 1,275 | Over 2,75 @ 1,30 | Over 3,00 @ 1,375</t>
  </si>
  <si>
    <t>Escolha com maior proteção entre as linhas disponíveis: 3+ gols = Green; exatamente 2 gols = meio Red.</t>
  </si>
  <si>
    <t>62. HIFK × Atlantis FC</t>
  </si>
  <si>
    <t>λ 4,29 · Over 3,00: 54,8% Green + 18,2% Push · proteção 73,0%</t>
  </si>
  <si>
    <t>Registrada · AGRESSIVA</t>
  </si>
  <si>
    <t>Over 2,25 @ 1,105 | Over 2,50 @ 1,17 | Over 2,75 @ 1,19 | Over 3,00 @ 1,21</t>
  </si>
  <si>
    <t>Over 3,00 @ 1,21</t>
  </si>
  <si>
    <t>Escolha agressiva da usuária: 4+ gols = Green; exatamente 3 gols = devolução; cotação abaixo da justa registrada para estudo.</t>
  </si>
  <si>
    <t>Over 3,00: 4+ gols = Green; 3 gols = devolução; 0–2 gols = Red</t>
  </si>
  <si>
    <t>63. PuiU × Kiffen</t>
  </si>
  <si>
    <t>λ 3,48 · Over 1,50: 82,7% Green no consenso · risco 0×0 de 4,4%</t>
  </si>
  <si>
    <t>Over 1,50 @ 1,14 | Over 1,75 @ 1,16 | Over 2,00 @ 1,18 | Over 2,25 @ 1,325</t>
  </si>
  <si>
    <t>Prioridade em acerto: maior probabilidade de Green entre as linhas disponíveis, com risco de 0×0 baixo.</t>
  </si>
  <si>
    <t>Enfia</t>
  </si>
  <si>
    <t>64. HJS × GrIFK</t>
  </si>
  <si>
    <t>λ 3,86 · Over 2,00: 73,2% Green + 15,9% Push · proteção 89,1%</t>
  </si>
  <si>
    <t>Linha inteira com forte proteção: 3+ gols = Green; exatamente 2 gols = devolução; risco 0×0 de 2,3%.</t>
  </si>
  <si>
    <t>65. Ilves 2 × NJS</t>
  </si>
  <si>
    <t>λ 4,17 · Over 2,50: 70,2% consenso conservador · 78,5% Poisson · superdispersão</t>
  </si>
  <si>
    <t>Registrada · LIMÍTROFE FORTE</t>
  </si>
  <si>
    <t>Over 2,50 @ 1,14 | Over 2,75 @ 1,16 | Over 3,00 @ 1,18 | Over 3,25 @ 1,275</t>
  </si>
  <si>
    <t>Over 2,50 @ 1,14</t>
  </si>
  <si>
    <t>Entrada registrada: cenário empírico forte para 3+ gols; consenso conservador reduzido pela superdispersão.</t>
  </si>
  <si>
    <t>66. FC Vaajakoski × GBK Kokkola</t>
  </si>
  <si>
    <t>λ 5,45 · Over 3,00: 76,6% Green + 12,4% Push · proteção 89,0%</t>
  </si>
  <si>
    <t>Over 3,00 @ 1,24</t>
  </si>
  <si>
    <t>Modelos convergentes e cenário ofensivo forte: 4+ gols = Green; exatamente 3 gols = devolução.</t>
  </si>
  <si>
    <t>67. VPS Akatemia × JS Hercules</t>
  </si>
  <si>
    <t>λ 4,38 · Over 2,50: 79,1% Green no consenso · risco 0×0 de 1,6%</t>
  </si>
  <si>
    <t>Over 2,50 @ 1,16</t>
  </si>
  <si>
    <t>Modelos convergentes: 3+ gols = Green; consenso de 79,1% e risco de 0×0 muito baixo.</t>
  </si>
  <si>
    <t>68. Ranheim Fotball × Strømsgodset IF</t>
  </si>
  <si>
    <t>λ 4,92 · Over 2,50: 85,0% Green no consenso · risco 0×0 de 1,0%</t>
  </si>
  <si>
    <t>Over 2,25 @ 1,16 | Over 2,50 @ 1,24 | Over 2,75 @ 1,275 | Over 3,00 @ 1,325</t>
  </si>
  <si>
    <t>Over 2,50 @ 1,24</t>
  </si>
  <si>
    <t>Mesma probabilidade de Green do Over 2,25, com retorno superior; consenso de 85,0% para 3+ gols.</t>
  </si>
  <si>
    <t>2026-07-27|BK Häcken|AIK</t>
  </si>
  <si>
    <t>2026-07-27|Breidablik|IBV Vestmannaeyjar</t>
  </si>
  <si>
    <t>2026-07-27|KA Akureyri|Thor Akureyri (Þór Akureyri)</t>
  </si>
  <si>
    <t>2026-07-27|CRB|Vila Nova</t>
  </si>
  <si>
    <t>2026-07-27|Atlético-GO|Operário-PR</t>
  </si>
  <si>
    <t>2026-07-27|Sport Recife|Cuiabá</t>
  </si>
  <si>
    <t>2026-07-28|Aegir|Njardvik</t>
  </si>
  <si>
    <t>2026-07-28|Ponte Preta|Athletic Club-MG</t>
  </si>
  <si>
    <t>2026-07-28|Juventude|Avaí</t>
  </si>
  <si>
    <t>2026-07-27|Argentinos Jrs|Estudiantes Rio Cuarto</t>
  </si>
  <si>
    <t>2026-07-27|Rosario Central|Racing Club</t>
  </si>
  <si>
    <t>2026-07-27|Cavalry FC|Supra du Québec</t>
  </si>
  <si>
    <t>2026-07-28|Fortaleza|Botafogo SP</t>
  </si>
  <si>
    <t>2026-07-29|Throttur (Þróttur)|Afturelding</t>
  </si>
  <si>
    <t>2026-07-27|Defensa y Justicia|Deportivo Riestra</t>
  </si>
  <si>
    <t>2026-07-29|Grindavik|Leiknir</t>
  </si>
  <si>
    <t>2026-07-29|Mirassol|Remo</t>
  </si>
  <si>
    <t>2026-07-27|Gimnasia LP|River Plate</t>
  </si>
  <si>
    <t>2026-07-29|Internacional|Flamengo</t>
  </si>
  <si>
    <t>2026-07-03|Independiente del Valle|Manta FC</t>
  </si>
  <si>
    <t>2026-07-29|Vitória|Palmeiras</t>
  </si>
  <si>
    <t>2026-07-27|Instituto Córdoba|Platense</t>
  </si>
  <si>
    <t>2026-07-29|Fluminense|Bahia</t>
  </si>
  <si>
    <t>2026-07-30|Jazz Pori|KuPS Akatemia</t>
  </si>
  <si>
    <t>2026-07-30|FK Karlskrona|Nosaby IF</t>
  </si>
  <si>
    <t>2026-07-27|Independiente Rivadavia|Huracán</t>
  </si>
  <si>
    <t>2026-07-30|Corinthians|Athletico-PR</t>
  </si>
  <si>
    <t>2026-07-30|Coritiba|Cruzeiro</t>
  </si>
  <si>
    <t>2026-07-31|The Strongest|Club Aurora</t>
  </si>
  <si>
    <t>2026-07-31|Montevideo City Torque|M. Wanderers</t>
  </si>
  <si>
    <t>2026-07-31|Real Tomayapo|ABB</t>
  </si>
  <si>
    <t>2026-07-31|New York City FC|Toronto FC</t>
  </si>
  <si>
    <t>2026-08-01|Puebla|Chivas Guadalajara</t>
  </si>
  <si>
    <t>2026-08-01|Pacific FC|Supra du Québec</t>
  </si>
  <si>
    <t>2026-08-01|Western Knights|Perth Glory U23</t>
  </si>
  <si>
    <t>2026-08-01|SJK Akatemia 2|GBK Kokkola</t>
  </si>
  <si>
    <t>2026-08-01|Närpes Kraft|JS Hercules</t>
  </si>
  <si>
    <t>2026-08-01|FC Järfälla|FC Stockholm Internazionale</t>
  </si>
  <si>
    <t>2026-08-01|PuiU|Atlantis FC</t>
  </si>
  <si>
    <t>2026-08-01|Everton de Viña|Colo-Colo</t>
  </si>
  <si>
    <t>2026-08-01|Real Oruro|Independiente Petrolero</t>
  </si>
  <si>
    <t>2026-08-01|Vancouver FC|Atlético Ottawa</t>
  </si>
  <si>
    <t>2026-08-01|SA Bulo Bulo|Blooming</t>
  </si>
  <si>
    <t>2026-08-01|Inter Miami CF|Columbus Crew</t>
  </si>
  <si>
    <t>2026-08-01|FC Cincinnati|San Jose Earthquakes</t>
  </si>
  <si>
    <t>2026-08-01|Club León|Pachuca</t>
  </si>
  <si>
    <t>2026-08-01|Portland Timbers|Seattle Sounders FC</t>
  </si>
  <si>
    <t>2026-08-02|Blacktown City|Sydney FC NPL</t>
  </si>
  <si>
    <t>2026-08-02|South Melbourne|St Albans Saints</t>
  </si>
  <si>
    <t>2026-08-02|Magic United|Brisbane Olympic FC</t>
  </si>
  <si>
    <t>2026-08-02|Brisbane Roar NPL|Moreton City Excelsior</t>
  </si>
  <si>
    <t>2026-08-02|Sydney Olympic|Apia L Tigers</t>
  </si>
  <si>
    <t>2026-08-02|Marconi Stallions|St George City FA</t>
  </si>
  <si>
    <t>2026-08-02|Qviding FIF|BK Astrio</t>
  </si>
  <si>
    <t>2026-08-02|VPS Vaasa|Inter Turku</t>
  </si>
  <si>
    <t>2026-08-02|AFC Eskilstuna|Umeå FC</t>
  </si>
  <si>
    <t>2026-08-02|Trelleborgs FF|Lunds BK</t>
  </si>
  <si>
    <t>2026-08-02|Reipas (Lahden Reipas)|PPJ</t>
  </si>
  <si>
    <t>2026-05-22|Atlantis FC|PuiU</t>
  </si>
  <si>
    <t>2026-05-31|Reipas (Lahden Reipas)|Atlantis FC</t>
  </si>
  <si>
    <t>2026-06-06|Atlantis FC|HIFK</t>
  </si>
  <si>
    <t>2026-06-11|PPJ|Atlantis FC</t>
  </si>
  <si>
    <t>2026-06-27|MyPa|Atlantis FC</t>
  </si>
  <si>
    <t>2026-07-04|Atlantis FC|PEPO</t>
  </si>
  <si>
    <t>2026-07-10|Atlantis FC|Kiffen</t>
  </si>
  <si>
    <t>2026-07-18|Union Plaani|Atlantis FC</t>
  </si>
  <si>
    <t>2026-07-25|Atlantis FC|HPS</t>
  </si>
  <si>
    <t>2026-05-29|KTP|SJK Akatemia</t>
  </si>
  <si>
    <t>2026-06-09|SJK Akatemia|Jippo</t>
  </si>
  <si>
    <t>2026-06-15|SJK Akatemia|Haka</t>
  </si>
  <si>
    <t>2026-06-26|Klubi 04|SJK Akatemia</t>
  </si>
  <si>
    <t>2026-07-03|JäPS|SJK Akatemia</t>
  </si>
  <si>
    <t>2026-07-11|SJK Akatemia|Mikkeli</t>
  </si>
  <si>
    <t>2026-07-17|KaPa|SJK Akatemia</t>
  </si>
  <si>
    <t>2026-07-25|SJK Akatemia|Ekenas</t>
  </si>
  <si>
    <t>2026-07-31|KTP|SJK Akatemia</t>
  </si>
  <si>
    <t>2026-06-05|KaPa|KTP</t>
  </si>
  <si>
    <t>2026-06-08|KTP|Haka</t>
  </si>
  <si>
    <t>2026-06-12|KTP|Ekenas</t>
  </si>
  <si>
    <t>2026-06-27|Haka|KTP</t>
  </si>
  <si>
    <t>2026-07-03|KTP|Jippo</t>
  </si>
  <si>
    <t>2026-07-10|KTP|JäPS</t>
  </si>
  <si>
    <t>2026-07-18|KTP|PK-35</t>
  </si>
  <si>
    <t>2026-07-25|Mikkeli|KTP</t>
  </si>
  <si>
    <t>2026-07-04|Ekenas|PK-35</t>
  </si>
  <si>
    <t>2026-07-10|PK-35|KaPa</t>
  </si>
  <si>
    <t>2026-07-25|PK-35|Jippo</t>
  </si>
  <si>
    <t>2026-07-31|PK-35|Haka</t>
  </si>
  <si>
    <t>2026-06-06|Union Plaani|HPS</t>
  </si>
  <si>
    <t>2026-06-12|HPS|Kiffen</t>
  </si>
  <si>
    <t>2026-06-27|PuiU|HPS</t>
  </si>
  <si>
    <t>2026-07-04|HPS|Reipas (Lahden Reipas)</t>
  </si>
  <si>
    <t>2026-07-11|PEPO|HPS</t>
  </si>
  <si>
    <t>2026-07-18|HPS|MyPa</t>
  </si>
  <si>
    <t>2026-08-01|HPS|HIFK</t>
  </si>
  <si>
    <t>2026-06-08|Kiffen|PuiU</t>
  </si>
  <si>
    <t>2026-06-27|Kiffen|Reipas (Lahden Reipas)</t>
  </si>
  <si>
    <t>2026-07-02|PPJ|Kiffen</t>
  </si>
  <si>
    <t>2026-07-18|Kiffen|PEPO</t>
  </si>
  <si>
    <t>2026-07-25|Kiffen|HIFK</t>
  </si>
  <si>
    <t>2026-08-01|MyPa|Kiffen</t>
  </si>
  <si>
    <t>2026-05-08|Honka|Ilves 2</t>
  </si>
  <si>
    <t>2026-05-17|Ilves 2|P-Iirot Rauma</t>
  </si>
  <si>
    <t>2026-05-23|MuSa|Ilves 2</t>
  </si>
  <si>
    <t>2026-05-29|Ilves 2|HJS</t>
  </si>
  <si>
    <t>2026-06-13|NJS|Ilves 2</t>
  </si>
  <si>
    <t>2026-06-28|Ilves 2|EBK</t>
  </si>
  <si>
    <t>2026-07-05|Ilves 2|EPS</t>
  </si>
  <si>
    <t>2026-07-10|AIFK|Ilves 2</t>
  </si>
  <si>
    <t>2026-07-14|Ilves 2|GrIFK</t>
  </si>
  <si>
    <t>2026-07-18|Ilves 2|Honka</t>
  </si>
  <si>
    <t>2026-07-24|P-Iirot Rauma|Ilves 2</t>
  </si>
  <si>
    <t>2026-05-29|NJS|Honka</t>
  </si>
  <si>
    <t>2026-06-06|Honka|EBK</t>
  </si>
  <si>
    <t>2026-06-13|P-Iirot Rauma|Honka</t>
  </si>
  <si>
    <t>2026-06-26|AIFK|Honka</t>
  </si>
  <si>
    <t>2026-07-04|Honka|MuSa</t>
  </si>
  <si>
    <t>2026-07-13|Honka|HJS</t>
  </si>
  <si>
    <t>2026-07-25|Honka|GrIFK</t>
  </si>
  <si>
    <t>2026-08-01|EPS|Honka</t>
  </si>
  <si>
    <t>2026-05-02|Palmeiras|Santos</t>
  </si>
  <si>
    <t>2026-05-10|Remo|Palmeiras</t>
  </si>
  <si>
    <t>2026-05-16|Palmeiras|Cruzeiro</t>
  </si>
  <si>
    <t>2026-05-23|Flamengo|Palmeiras</t>
  </si>
  <si>
    <t>2026-05-31|Palmeiras|Chapecoense</t>
  </si>
  <si>
    <t>2026-07-22|Coritiba|Palmeiras</t>
  </si>
  <si>
    <t>2026-07-26|Palmeiras|Atlético-MG</t>
  </si>
  <si>
    <t>2026-04-26|Atlético-MG|Flamengo</t>
  </si>
  <si>
    <t>2026-05-03|Flamengo|Vasco da Gama</t>
  </si>
  <si>
    <t>2026-05-10|Grêmio|Flamengo</t>
  </si>
  <si>
    <t>2026-05-17|Athletico-PR|Flamengo</t>
  </si>
  <si>
    <t>2026-05-30|Flamengo|Coritiba</t>
  </si>
  <si>
    <t>2026-07-22|Chapecoense|Flamengo</t>
  </si>
  <si>
    <t>2026-07-26|Flamengo|São Paulo</t>
  </si>
  <si>
    <t>2026-04-18|Chapecoense|Botafogo-RJ</t>
  </si>
  <si>
    <t>2026-04-25|Botafogo-RJ|Internacional</t>
  </si>
  <si>
    <t>2026-05-02|Botafogo-RJ|Remo</t>
  </si>
  <si>
    <t>2026-05-10|Atlético-MG|Botafogo-RJ</t>
  </si>
  <si>
    <t>2026-05-17|Botafogo-RJ|Corinthians</t>
  </si>
  <si>
    <t>2026-05-23|São Paulo|Botafogo-RJ</t>
  </si>
  <si>
    <t>2026-05-30|Bahia|Botafogo-RJ</t>
  </si>
  <si>
    <t>2026-07-16|Botafogo-RJ|Santos</t>
  </si>
  <si>
    <t>2026-07-23|Botafogo-RJ|Vitória</t>
  </si>
  <si>
    <t>2026-07-26|Cruzeiro|Botafogo-RJ</t>
  </si>
  <si>
    <t>2026-05-08|Haka|Ekenas</t>
  </si>
  <si>
    <t>2026-05-18|Haka|Klubi 04</t>
  </si>
  <si>
    <t>2026-05-22|SJK Akatemia|Haka</t>
  </si>
  <si>
    <t>2026-05-29|Haka|Jippo</t>
  </si>
  <si>
    <t>2026-06-05|Haka|JäPS</t>
  </si>
  <si>
    <t>2026-07-05|Mikkeli|Haka</t>
  </si>
  <si>
    <t>2026-07-11|Haka|Ekenas</t>
  </si>
  <si>
    <t>2026-07-17|Klubi 04|Haka</t>
  </si>
  <si>
    <t>2026-07-25|Haka|KaPa</t>
  </si>
  <si>
    <t>2026-05-02|JäPS|PK-35</t>
  </si>
  <si>
    <t>2026-05-07|PK-35|Mikkeli</t>
  </si>
  <si>
    <t>2026-05-17|KaPa|PK-35</t>
  </si>
  <si>
    <t>2026-05-23|Jippo|PK-35</t>
  </si>
  <si>
    <t>2026-05-27|Klubi 04|PK-35</t>
  </si>
  <si>
    <t>2026-05-31|PK-35|Klubi 04</t>
  </si>
  <si>
    <t>2026-06-12|JäPS|PK-35</t>
  </si>
  <si>
    <t>2026-06-26|PK-35|Mikkeli</t>
  </si>
  <si>
    <t>2026-04-25|Närpes Kraft|JBK</t>
  </si>
  <si>
    <t>2026-05-03|VPS Akatemia|Närpes Kraft</t>
  </si>
  <si>
    <t>2026-05-09|FC Vaajakoski|Närpes Kraft</t>
  </si>
  <si>
    <t>2026-05-17|Närpes Kraft|GBK Kokkola</t>
  </si>
  <si>
    <t>2026-05-23|JS Hercules|Närpes Kraft</t>
  </si>
  <si>
    <t>2026-05-31|Närpes Kraft|TP-47</t>
  </si>
  <si>
    <t>2026-06-06|SJK Akatemia 2|Närpes Kraft</t>
  </si>
  <si>
    <t>2026-06-14|Närpes Kraft|Huima / Urho</t>
  </si>
  <si>
    <t>2026-07-04|Närpes Kraft|Jaro 2</t>
  </si>
  <si>
    <t>2026-07-07|JBK|Närpes Kraft</t>
  </si>
  <si>
    <t>2026-07-12|Närpes Kraft|VPS Akatemia</t>
  </si>
  <si>
    <t>2026-07-26|Närpes Kraft|FC Vaajakoski</t>
  </si>
  <si>
    <t>2026-04-25|Huima / Urho|VPS Akatemia</t>
  </si>
  <si>
    <t>2026-05-08|VPS Akatemia|JBK</t>
  </si>
  <si>
    <t>2026-05-18|SJK Akatemia 2|VPS Akatemia</t>
  </si>
  <si>
    <t>2026-05-21|Jaro 2|VPS Akatemia</t>
  </si>
  <si>
    <t>2026-05-27|VPS Akatemia|FC Vaajakoski</t>
  </si>
  <si>
    <t>2026-06-05|JS Hercules|VPS Akatemia</t>
  </si>
  <si>
    <t>2026-06-14|VPS Akatemia|GBK Kokkola</t>
  </si>
  <si>
    <t>2026-06-27|TP-47|VPS Akatemia</t>
  </si>
  <si>
    <t>2026-07-05|VPS Akatemia|Huima / Urho</t>
  </si>
  <si>
    <t>2026-07-19|VPS Akatemia|SJK Akatemia 2</t>
  </si>
  <si>
    <t>2026-07-25|JBK|VPS Akatemia</t>
  </si>
  <si>
    <t>2026-08-03|VPS Akatemia|Jaro 2</t>
  </si>
  <si>
    <t>2026-05-04|JBK|GBK Kokkola</t>
  </si>
  <si>
    <t>2026-05-09|GBK Kokkola|Jaro 2</t>
  </si>
  <si>
    <t>2026-05-23|GBK Kokkola|SJK Akatemia 2</t>
  </si>
  <si>
    <t>2026-05-29|Huima / Urho|GBK Kokkola</t>
  </si>
  <si>
    <t>2026-06-06|GBK Kokkola|FC Vaajakoski</t>
  </si>
  <si>
    <t>2026-06-27|GBK Kokkola|JS Hercules</t>
  </si>
  <si>
    <t>2026-07-04|TP-47|GBK Kokkola</t>
  </si>
  <si>
    <t>2026-07-10|GBK Kokkola|JBK</t>
  </si>
  <si>
    <t>2026-07-15|GBK Kokkola|Närpes Kraft</t>
  </si>
  <si>
    <t>2026-07-22|Jaro 2|GBK Kokkola</t>
  </si>
  <si>
    <t>2026-05-02|JS Hercules|Huima / Urho</t>
  </si>
  <si>
    <t>2026-05-07|SJK Akatemia 2|Huima / Urho</t>
  </si>
  <si>
    <t>2026-05-16|Huima / Urho|FC Vaajakoski</t>
  </si>
  <si>
    <t>2026-05-23|TP-47|Huima / Urho</t>
  </si>
  <si>
    <t>2026-06-06|Huima / Urho|Jaro 2</t>
  </si>
  <si>
    <t>2026-06-27|Huima / Urho|JBK</t>
  </si>
  <si>
    <t>2026-07-11|Huima / Urho|JS Hercules</t>
  </si>
  <si>
    <t>2026-07-17|FC Vaajakoski|Huima / Urho</t>
  </si>
  <si>
    <t>2026-07-25|Huima / Urho|SJK Akatemia 2</t>
  </si>
  <si>
    <t>2026-08-01|Huima / Urho|TP-47</t>
  </si>
  <si>
    <t>2026-04-22|Always Ready|Oriente Petrolero</t>
  </si>
  <si>
    <t>2026-04-25|Guabirá|Always Ready</t>
  </si>
  <si>
    <t>2026-05-02|Always Ready|Nacional Potosí</t>
  </si>
  <si>
    <t>2026-05-10|Independiente Petrolero|Always Ready</t>
  </si>
  <si>
    <t>2026-05-14|Always Ready|The Strongest</t>
  </si>
  <si>
    <t>2026-05-30|ABB|Always Ready</t>
  </si>
  <si>
    <t>2026-07-14|Real Oruro|Always Ready</t>
  </si>
  <si>
    <t>2026-07-18|Always Ready|Universitario de Vinto</t>
  </si>
  <si>
    <t>2026-07-25|Always Ready|SA Bulo Bulo</t>
  </si>
  <si>
    <t>2026-08-02|Always Ready|Bolívar</t>
  </si>
  <si>
    <t>2026-05-01|Throttur (Þróttur)|IR Reykjavik</t>
  </si>
  <si>
    <t>2026-05-08|IR Reykjavik|Grindavik</t>
  </si>
  <si>
    <t>2026-05-18|Fylkir|IR Reykjavik</t>
  </si>
  <si>
    <t>2026-05-22|IR Reykjavik|Kopavogur</t>
  </si>
  <si>
    <t>2026-05-27|Aegir|IR Reykjavik</t>
  </si>
  <si>
    <t>2026-05-31|IR Reykjavik|Vestri</t>
  </si>
  <si>
    <t>2026-06-05|Njardvik|IR Reykjavik</t>
  </si>
  <si>
    <t>2026-06-17|IR Reykjavik|Grotta</t>
  </si>
  <si>
    <t>2026-06-21|IR Reykjavik|Volsungur</t>
  </si>
  <si>
    <t>2026-06-26|Leiknir|IR Reykjavik</t>
  </si>
  <si>
    <t>2026-07-03|IR Reykjavik|Afturelding</t>
  </si>
  <si>
    <t>2026-07-10|IR Reykjavik|Throttur (Þróttur)</t>
  </si>
  <si>
    <t>2026-07-14|Kopavogur|IR Reykjavik</t>
  </si>
  <si>
    <t>2026-07-18|Grindavik|IR Reykjavik</t>
  </si>
  <si>
    <t>2026-07-25|IR Reykjavik|Fylkir</t>
  </si>
  <si>
    <t>2026-05-17|Aegir|Vestri</t>
  </si>
  <si>
    <t>2026-05-23|Njardvik|Aegir</t>
  </si>
  <si>
    <t>2026-05-31|Volsungur|Aegir</t>
  </si>
  <si>
    <t>2026-06-05|Aegir|Leiknir</t>
  </si>
  <si>
    <t>2026-06-17|Vestri|Aegir</t>
  </si>
  <si>
    <t>2026-06-21|Aegir|Throttur (Þróttur)</t>
  </si>
  <si>
    <t>2026-06-26|Grindavik|Aegir</t>
  </si>
  <si>
    <t>2026-06-29|Afturelding|Aegir</t>
  </si>
  <si>
    <t>2026-07-03|Aegir|Fylkir</t>
  </si>
  <si>
    <t>2026-07-10|Aegir|Kopavogur</t>
  </si>
  <si>
    <t>2026-07-18|Grotta|Aegir</t>
  </si>
  <si>
    <t>2026-04-24|SalPa|Inter Turku 2</t>
  </si>
  <si>
    <t>2026-05-02|Inter Turku 2|Tampere Utd</t>
  </si>
  <si>
    <t>2026-05-09|VJS|Inter Turku 2</t>
  </si>
  <si>
    <t>2026-05-17|Inter Turku 2|KuPS Akatemia</t>
  </si>
  <si>
    <t>2026-05-24|Inter Turku 2|Keski-Uusimaa</t>
  </si>
  <si>
    <t>2026-05-29|KPV|Inter Turku 2</t>
  </si>
  <si>
    <t>2026-06-06|TPV|Inter Turku 2</t>
  </si>
  <si>
    <t>2026-06-12|Inter Turku 2|Jazz Pori</t>
  </si>
  <si>
    <t>2026-06-25|JJK Jyvaskyla|Inter Turku 2</t>
  </si>
  <si>
    <t>2026-07-04|OLS Oulu|Inter Turku 2</t>
  </si>
  <si>
    <t>2026-07-10|Inter Turku 2|RoPS (Rovaniemi)</t>
  </si>
  <si>
    <t>2026-07-18|Inter Turku 2|SalPa</t>
  </si>
  <si>
    <t>2026-07-24|Tampere Utd|Inter Turku 2</t>
  </si>
  <si>
    <t>2026-07-31|Inter Turku 2|VJS</t>
  </si>
  <si>
    <t>2026-05-24|KuPS Akatemia|RoPS (Rovaniemi)</t>
  </si>
  <si>
    <t>2026-05-29|Keski-Uusimaa|KuPS Akatemia</t>
  </si>
  <si>
    <t>2026-06-05|KuPS Akatemia|KPV</t>
  </si>
  <si>
    <t>2026-06-12|SalPa|KuPS Akatemia</t>
  </si>
  <si>
    <t>2026-06-28|OLS Oulu|KuPS Akatemia</t>
  </si>
  <si>
    <t>2026-07-04|KuPS Akatemia|Tampere Utd</t>
  </si>
  <si>
    <t>2026-07-11|JJK Jyvaskyla|KuPS Akatemia</t>
  </si>
  <si>
    <t>2026-07-18|TPV|KuPS Akatemia</t>
  </si>
  <si>
    <t>2026-07-26|KuPS Akatemia|VJS</t>
  </si>
  <si>
    <t>2026-08-07|KuPS Akatemia|Inter Turku 2</t>
  </si>
  <si>
    <t>2026-08-07|Jaro 2|JBK</t>
  </si>
  <si>
    <t>2026-08-07|Beijing Guoan|Shenzhen Xinpengcheng</t>
  </si>
  <si>
    <t>2026-08-07|Lions FC|Brisbane Roar NPL</t>
  </si>
  <si>
    <t>2026-08-05|Bolívar|Oriente Petrolero</t>
  </si>
  <si>
    <t>2026-08-05|Nacional Potosí|The Strongest</t>
  </si>
  <si>
    <t>2026-08-05|Keflavík|KA Akureyri</t>
  </si>
  <si>
    <t>2026-08-05|VJS|Keski-Uusimaa</t>
  </si>
  <si>
    <t>2026-08-05|SalPa|JJK Jyvaskyla</t>
  </si>
  <si>
    <t>2026-08-05|RoPS (Rovaniemi)|Jazz Pori</t>
  </si>
  <si>
    <t>2026-08-05|OLS Oulu|TPV</t>
  </si>
  <si>
    <t>2026-08-04|Guabirá|Real Tomayapo</t>
  </si>
  <si>
    <t>2026-08-04|Thor Akureyri (Þór Akureyri)|Breidablik</t>
  </si>
  <si>
    <t>2026-08-04|ABB|Real Oruro</t>
  </si>
  <si>
    <t>2026-08-04|Ilves 2|MuSa</t>
  </si>
  <si>
    <t>2026-08-03|LDU Quito|Delfín SC</t>
  </si>
  <si>
    <t>2026-08-07|Atlantis FC|Reipas (Lahden Reipas)</t>
  </si>
  <si>
    <t>2026-08-07|PPJ|HPS</t>
  </si>
  <si>
    <t>2026-08-03|Valur Reykjavik|Stjarnan</t>
  </si>
  <si>
    <t>2026-08-07|Afturelding|Grindavik</t>
  </si>
  <si>
    <t>2026-08-07|Östersunds FK|GIF Sundsvall</t>
  </si>
  <si>
    <t>2026-08-07|Galtabäcks BK|Qviding FIF</t>
  </si>
  <si>
    <t>2026-08-07|Enköpings SK|Karlbergs BK</t>
  </si>
  <si>
    <t>2026-08-07|West Torrens Birkalla|West Adelaide SC</t>
  </si>
  <si>
    <t>2026-08-07|Adelaide Comets|MetroStars</t>
  </si>
  <si>
    <t>2026-08-03|Vasalunds IF|Sollentuna FK</t>
  </si>
  <si>
    <t>2026-08-03|SJK|HJK Helsinki</t>
  </si>
  <si>
    <t>2026-08-03|Halmstads BK|IK Sirius</t>
  </si>
  <si>
    <t>2026-04-18|P-Iirot Rauma|MuSa</t>
  </si>
  <si>
    <t>2026-04-24|MuSa|Honka</t>
  </si>
  <si>
    <t>2026-05-02|GrIFK|MuSa</t>
  </si>
  <si>
    <t>2026-05-09|MuSa|HJS</t>
  </si>
  <si>
    <t>2026-05-16|EPS|MuSa</t>
  </si>
  <si>
    <t>2026-05-29|AIFK|MuSa</t>
  </si>
  <si>
    <t>2026-06-05|MuSa|NJS</t>
  </si>
  <si>
    <t>2026-06-12|EBK|MuSa</t>
  </si>
  <si>
    <t>2026-06-27|MuSa|P-Iirot Rauma</t>
  </si>
  <si>
    <t>2026-07-09|MuSa|GrIFK</t>
  </si>
  <si>
    <t>2026-07-18|HJS|MuSa</t>
  </si>
  <si>
    <t>2026-07-25|MuSa|EPS</t>
  </si>
  <si>
    <t>2026-04-25|OLS Oulu|Keski-Uusimaa</t>
  </si>
  <si>
    <t>2026-05-02|KPV|OLS Oulu</t>
  </si>
  <si>
    <t>2026-05-09|OLS Oulu|JJK Jyvaskyla</t>
  </si>
  <si>
    <t>2026-05-16|TPV|OLS Oulu</t>
  </si>
  <si>
    <t>2026-05-24|OLS Oulu|Jazz Pori</t>
  </si>
  <si>
    <t>2026-05-28|JJK Jyvaskyla|OLS Oulu</t>
  </si>
  <si>
    <t>2026-06-02|RoPS (Rovaniemi)|OLS Oulu</t>
  </si>
  <si>
    <t>2026-06-06|OLS Oulu|SalPa</t>
  </si>
  <si>
    <t>2026-06-11|Tampere Utd|OLS Oulu</t>
  </si>
  <si>
    <t>2026-07-11|VJS|OLS Oulu</t>
  </si>
  <si>
    <t>2026-07-18|Keski-Uusimaa|OLS Oulu</t>
  </si>
  <si>
    <t>2026-07-26|OLS Oulu|KPV</t>
  </si>
  <si>
    <t>2026-05-02|JJK Jyvaskyla|RoPS (Rovaniemi)</t>
  </si>
  <si>
    <t>2026-05-16|JJK Jyvaskyla|SalPa</t>
  </si>
  <si>
    <t>2026-05-22|Tampere Utd|JJK Jyvaskyla</t>
  </si>
  <si>
    <t>2026-06-02|JJK Jyvaskyla|VJS</t>
  </si>
  <si>
    <t>2026-06-06|JJK Jyvaskyla|Keski-Uusimaa</t>
  </si>
  <si>
    <t>2026-06-13|KPV|JJK Jyvaskyla</t>
  </si>
  <si>
    <t>2026-07-05|TPV|JJK Jyvaskyla</t>
  </si>
  <si>
    <t>2026-07-18|JJK Jyvaskyla|Jazz Pori</t>
  </si>
  <si>
    <t>2026-07-25|RoPS (Rovaniemi)|JJK Jyvaskyla</t>
  </si>
  <si>
    <t>2026-05-03|PPJ|PuiU</t>
  </si>
  <si>
    <t>2026-05-08|Reipas (Lahden Reipas)|PuiU</t>
  </si>
  <si>
    <t>2026-05-16|PuiU|PEPO</t>
  </si>
  <si>
    <t>2026-05-29|PuiU|HIFK</t>
  </si>
  <si>
    <t>2026-06-13|PuiU|MyPa</t>
  </si>
  <si>
    <t>2026-07-04|Union Plaani|PuiU</t>
  </si>
  <si>
    <t>2026-07-11|PuiU|PPJ</t>
  </si>
  <si>
    <t>2026-07-18|PuiU|Reipas (Lahden Reipas)</t>
  </si>
  <si>
    <t>2026-07-24|PEPO|PuiU</t>
  </si>
  <si>
    <t>2026-05-09|PPJ|HIFK</t>
  </si>
  <si>
    <t>2026-05-16|Union Plaani|PPJ</t>
  </si>
  <si>
    <t>2026-05-22|PPJ|Reipas (Lahden Reipas)</t>
  </si>
  <si>
    <t>2026-05-31|HPS|PPJ</t>
  </si>
  <si>
    <t>2026-06-06|MyPa|PPJ</t>
  </si>
  <si>
    <t>2026-06-27|PEPO|PPJ</t>
  </si>
  <si>
    <t>2026-07-16|HIFK|PPJ</t>
  </si>
  <si>
    <t>2026-07-24|PPJ|Union Plaani</t>
  </si>
  <si>
    <t>2026-04-04|Always Ready|Real Tomayapo</t>
  </si>
  <si>
    <t>2026-04-13|Real Tomayapo|Real Potosí</t>
  </si>
  <si>
    <t>2026-04-23|Real Tomayapo|The Strongest</t>
  </si>
  <si>
    <t>2026-04-26|Bolívar|Real Tomayapo</t>
  </si>
  <si>
    <t>2026-05-02|Oriente Petrolero|Real Tomayapo</t>
  </si>
  <si>
    <t>2026-05-09|Real Tomayapo|SA Bulo Bulo</t>
  </si>
  <si>
    <t>2026-05-15|Real Tomayapo|Club Aurora</t>
  </si>
  <si>
    <t>2026-07-07|GV San José|Real Tomayapo</t>
  </si>
  <si>
    <t>2026-07-12|Real Tomayapo|Independiente Petrolero</t>
  </si>
  <si>
    <t>2026-07-19|Blooming|Real Tomayapo</t>
  </si>
  <si>
    <t>2026-07-26|Nacional Potosí|Real Tomayapo</t>
  </si>
  <si>
    <t>2026-04-03|Bolívar|Real Oruro</t>
  </si>
  <si>
    <t>2026-04-12|Real Oruro|Blooming</t>
  </si>
  <si>
    <t>2026-04-23|SA Bulo Bulo|Real Oruro</t>
  </si>
  <si>
    <t>2026-04-26|Real Oruro|The Strongest</t>
  </si>
  <si>
    <t>2026-05-01|Real Potosí|Real Oruro</t>
  </si>
  <si>
    <t>2026-05-12|Club Aurora|Real Oruro</t>
  </si>
  <si>
    <t>2026-07-08|Real Oruro|Universitario de Vinto</t>
  </si>
  <si>
    <t>2026-07-11|Real Oruro|GV San José</t>
  </si>
  <si>
    <t>2026-07-20|Nacional Potosí|Real Oruro</t>
  </si>
  <si>
    <t>2026-07-25|Guabirá|Real Oruro</t>
  </si>
  <si>
    <t>2026-03-29|Brisbane Roar NPL|Magic United</t>
  </si>
  <si>
    <t>2026-04-12|Brisbane City|Magic United</t>
  </si>
  <si>
    <t>2026-04-18|Magic United|Eastern Suburbs</t>
  </si>
  <si>
    <t>2026-04-24|Brisbane Olympic FC|Magic United</t>
  </si>
  <si>
    <t>2026-05-10|Magic United|Wynnum Wolves</t>
  </si>
  <si>
    <t>2026-05-23|Peninsula Power|Magic United</t>
  </si>
  <si>
    <t>2026-06-03|Rochedale Rovers|Magic United</t>
  </si>
  <si>
    <t>2026-06-06|Magic United|Brisbane Roar NPL</t>
  </si>
  <si>
    <t>2026-06-19|Gold Coast Knights|Magic United</t>
  </si>
  <si>
    <t>2026-06-27|Magic United|Brisbane City</t>
  </si>
  <si>
    <t>2026-07-05|Gold Coast Utd|Magic United</t>
  </si>
  <si>
    <t>2026-07-11|Moreton City Excelsior|Magic United</t>
  </si>
  <si>
    <t>2026-07-18|Eastern Suburbs|Magic United</t>
  </si>
  <si>
    <t>2026-03-29|Peninsula Power|Rochedale Rovers</t>
  </si>
  <si>
    <t>2026-04-10|Gold Coast Knights|Rochedale Rovers</t>
  </si>
  <si>
    <t>2026-04-19|Brisbane City|Rochedale Rovers</t>
  </si>
  <si>
    <t>2026-04-25|Eastern Suburbs|Rochedale Rovers</t>
  </si>
  <si>
    <t>2026-05-10|Rochedale Rovers|Brisbane Olympic FC</t>
  </si>
  <si>
    <t>2026-05-23|Gold Coast Utd|Rochedale Rovers</t>
  </si>
  <si>
    <t>2026-06-06|Rochedale Rovers|Peninsula Power</t>
  </si>
  <si>
    <t>2026-06-16|Rochedale Rovers|Moreton City Excelsior</t>
  </si>
  <si>
    <t>2026-06-26|Rochedale Rovers|Gold Coast Knights</t>
  </si>
  <si>
    <t>2026-07-03|Wynnum Wolves|Rochedale Rovers</t>
  </si>
  <si>
    <t>2026-07-10|Brisbane Roar NPL|Rochedale Rovers</t>
  </si>
  <si>
    <t>2026-07-18|Rochedale Rovers|Brisbane City</t>
  </si>
  <si>
    <t>2026-07-31|Rochedale Rovers|Eastern Suburbs</t>
  </si>
  <si>
    <t>2026-03-28|Brisbane Olympic FC|Gold Coast Knights</t>
  </si>
  <si>
    <t>2026-04-11|Brisbane Olympic FC|Eastern Suburbs</t>
  </si>
  <si>
    <t>2026-04-19|Brisbane Roar NPL|Brisbane Olympic FC</t>
  </si>
  <si>
    <t>2026-05-16|Moreton City Excelsior|Brisbane Olympic FC</t>
  </si>
  <si>
    <t>2026-05-22|Wynnum Wolves|Brisbane Olympic FC</t>
  </si>
  <si>
    <t>2026-05-31|Brisbane Olympic FC|Brisbane City</t>
  </si>
  <si>
    <t>2026-06-05|Gold Coast Knights|Brisbane Olympic FC</t>
  </si>
  <si>
    <t>2026-06-21|Brisbane Olympic FC|Peninsula Power</t>
  </si>
  <si>
    <t>2026-06-27|Eastern Suburbs|Brisbane Olympic FC</t>
  </si>
  <si>
    <t>2026-07-12|Gold Coast Utd|Brisbane Olympic FC</t>
  </si>
  <si>
    <t>2026-07-19|Brisbane Olympic FC|Brisbane Roar NPL</t>
  </si>
  <si>
    <t>2026-03-06|Wynnum Wolves|Moreton City Excelsior</t>
  </si>
  <si>
    <t>2026-03-28|Moreton City Excelsior|Eastern Suburbs</t>
  </si>
  <si>
    <t>2026-04-11|Moreton City Excelsior|Gold Coast Utd</t>
  </si>
  <si>
    <t>2026-04-18|Peninsula Power|Moreton City Excelsior</t>
  </si>
  <si>
    <t>2026-04-25|Moreton City Excelsior|Brisbane Roar NPL</t>
  </si>
  <si>
    <t>2026-05-22|Moreton City Excelsior|Brisbane City</t>
  </si>
  <si>
    <t>2026-06-05|Eastern Suburbs|Moreton City Excelsior</t>
  </si>
  <si>
    <t>2026-06-20|Moreton City Excelsior|Wynnum Wolves</t>
  </si>
  <si>
    <t>2026-06-28|Gold Coast Utd|Moreton City Excelsior</t>
  </si>
  <si>
    <t>2026-07-04|Gold Coast Knights|Moreton City Excelsior</t>
  </si>
  <si>
    <t>2026-07-18|Moreton City Excelsior|Peninsula Power</t>
  </si>
  <si>
    <t>2026-04-26|Brisbane City|Wynnum Wolves</t>
  </si>
  <si>
    <t>2026-05-08|Brisbane City|Peninsula Power</t>
  </si>
  <si>
    <t>2026-06-13|Gold Coast Utd|Brisbane City</t>
  </si>
  <si>
    <t>2026-06-20|Eastern Suburbs|Brisbane City</t>
  </si>
  <si>
    <t>2026-07-05|Brisbane City|Brisbane Roar NPL</t>
  </si>
  <si>
    <t>2026-07-12|Gold Coast Knights|Brisbane City</t>
  </si>
  <si>
    <t>2026-07-31|Wynnum Wolves|Brisbane City</t>
  </si>
  <si>
    <t>2026-03-20|Peninsula Power|Gold Coast Utd</t>
  </si>
  <si>
    <t>2026-04-07|Wynnum Wolves|Gold Coast Utd</t>
  </si>
  <si>
    <t>2026-05-10|Eastern Suburbs|Gold Coast Utd</t>
  </si>
  <si>
    <t>2026-05-30|Gold Coast Utd|Peninsula Power</t>
  </si>
  <si>
    <t>2026-06-07|Gold Coast Utd|Wynnum Wolves</t>
  </si>
  <si>
    <t>2026-06-20|Gold Coast Utd|Brisbane Roar NPL</t>
  </si>
  <si>
    <t>2026-07-25|Gold Coast Knights|Gold Coast Utd</t>
  </si>
  <si>
    <t>2026-08-01|Gold Coast Utd|Gold Coast Knights</t>
  </si>
  <si>
    <t>2026-03-01|Eastern Suburbs|Brisbane Roar NPL</t>
  </si>
  <si>
    <t>2026-03-20|Eastern Suburbs|Gold Coast Knights</t>
  </si>
  <si>
    <t>2026-07-04|Eastern Suburbs|Peninsula Power</t>
  </si>
  <si>
    <t>2026-03-22|Brisbane Roar NPL|Wynnum Wolves</t>
  </si>
  <si>
    <t>2026-07-10|Peninsula Power|Wynnum Wolves</t>
  </si>
  <si>
    <t>2026-07-18|Gold Coast Knights|Wynnum Wolves</t>
  </si>
  <si>
    <t>2026-05-10|Gold Coast Knights|Brisbane Roar NPL</t>
  </si>
  <si>
    <t>2026-06-23|Gold Coast Knights|Eastern Suburbs</t>
  </si>
  <si>
    <t>2026-03-13|Wynnum Wolves|Peninsula Power</t>
  </si>
  <si>
    <t>2026-04-12|Brisbane Roar NPL|Peninsula Power</t>
  </si>
  <si>
    <t>2026-02-27|Croydon|Para</t>
  </si>
  <si>
    <t>2026-03-07|Croydon|Adelaide City</t>
  </si>
  <si>
    <t>2026-03-21|Croydon|West Adelaide SC</t>
  </si>
  <si>
    <t>2026-04-11|Croydon|Adelaide Comets</t>
  </si>
  <si>
    <t>2026-04-17|Croydon|West Torrens Birkalla</t>
  </si>
  <si>
    <t>2026-05-09|Croydon|FK Beograd</t>
  </si>
  <si>
    <t>2026-05-23|Croydon|MetroStars</t>
  </si>
  <si>
    <t>2026-06-13|Croydon|Playford Patriots</t>
  </si>
  <si>
    <t>2026-06-26|Croydon|Adelaide United U23</t>
  </si>
  <si>
    <t>2026-07-25|Croydon|Campbelltown City</t>
  </si>
  <si>
    <t>2026-02-28|FK Beograd|Sturt Lions</t>
  </si>
  <si>
    <t>2026-03-21|Para|Sturt Lions</t>
  </si>
  <si>
    <t>2026-04-11|Playford Patriots|Sturt Lions</t>
  </si>
  <si>
    <t>2026-05-08|Adelaide Comets|Sturt Lions</t>
  </si>
  <si>
    <t>2026-05-23|Campbelltown City|Sturt Lions</t>
  </si>
  <si>
    <t>2026-06-05|Adelaide City|Sturt Lions</t>
  </si>
  <si>
    <t>2026-06-13|MetroStars|Sturt Lions</t>
  </si>
  <si>
    <t>2026-06-26|West Torrens Birkalla|Sturt Lions</t>
  </si>
  <si>
    <t>2026-07-18|West Adelaide SC|Sturt Lions</t>
  </si>
  <si>
    <t>2026-07-25|Adelaide United U23|Sturt Lions</t>
  </si>
  <si>
    <t>2026-02-27|Bayswater City|Balcatta</t>
  </si>
  <si>
    <t>2026-03-06|Bayswater City|Armadale</t>
  </si>
  <si>
    <t>2026-03-20|Bayswater City|Western Knights</t>
  </si>
  <si>
    <t>2026-04-02|Bayswater City|Fremantle City</t>
  </si>
  <si>
    <t>2026-04-24|Bayswater City|Perth Azzurri</t>
  </si>
  <si>
    <t>2026-05-08|Bayswater City|Olympic Kingsway</t>
  </si>
  <si>
    <t>2026-06-05|Bayswater City|Dianella White Eagle</t>
  </si>
  <si>
    <t>2026-06-26|Bayswater City|Perth RedStar</t>
  </si>
  <si>
    <t>2026-03-21|Armadale|Sorrento FC</t>
  </si>
  <si>
    <t>2026-04-18|Perth Glory U23|Sorrento FC</t>
  </si>
  <si>
    <t>2026-04-25|Fremantle City|Sorrento FC</t>
  </si>
  <si>
    <t>2026-05-08|Perth RedStar|Sorrento FC</t>
  </si>
  <si>
    <t>2026-06-06|Balcatta|Sorrento FC</t>
  </si>
  <si>
    <t>2026-06-13|Stirling Macedonia|Sorrento FC</t>
  </si>
  <si>
    <t>2026-06-27|Dianella White Eagle|Sorrento FC</t>
  </si>
  <si>
    <t>2026-07-04|Western Knights|Sorrento FC</t>
  </si>
  <si>
    <t>2026-04-18|Honka|AIFK</t>
  </si>
  <si>
    <t>2026-05-05|Ilves 2|AIFK</t>
  </si>
  <si>
    <t>2026-05-23|HJS|AIFK</t>
  </si>
  <si>
    <t>2026-06-13|EPS|AIFK</t>
  </si>
  <si>
    <t>2026-07-02|EBK|AIFK</t>
  </si>
  <si>
    <t>2026-07-17|GrIFK|AIFK</t>
  </si>
  <si>
    <t>2026-07-24|NJS|AIFK</t>
  </si>
  <si>
    <t>2026-04-17|HIFK|Union Plaani</t>
  </si>
  <si>
    <t>2026-05-03|HIFK|Reipas (Lahden Reipas)</t>
  </si>
  <si>
    <t>2026-05-18|HIFK|Kiffen</t>
  </si>
  <si>
    <t>2026-05-22|HIFK|HPS</t>
  </si>
  <si>
    <t>2026-06-13|HIFK|PEPO</t>
  </si>
  <si>
    <t>2026-07-04|HIFK|MyPa</t>
  </si>
  <si>
    <t>2026-04-18|HPS|PuiU</t>
  </si>
  <si>
    <t>2026-05-02|P-Iirot Rauma|EPS</t>
  </si>
  <si>
    <t>2026-05-09|P-Iirot Rauma|EBK</t>
  </si>
  <si>
    <t>2026-05-23|P-Iirot Rauma|NJS</t>
  </si>
  <si>
    <t>2026-07-04|P-Iirot Rauma|HJS</t>
  </si>
  <si>
    <t>2026-04-24|NJS|GrIFK</t>
  </si>
  <si>
    <t>2026-05-09|AIFK|GrIFK</t>
  </si>
  <si>
    <t>2026-05-24|EBK|GrIFK</t>
  </si>
  <si>
    <t>2026-06-27|EPS|GrIFK</t>
  </si>
  <si>
    <t>2026-05-03|TP-47|SJK Akatemia 2</t>
  </si>
  <si>
    <t>2026-05-16|TP-47|Jaro 2</t>
  </si>
  <si>
    <t>2026-06-06|TP-47|JBK</t>
  </si>
  <si>
    <t>2026-07-23|TP-47|JS Hercules</t>
  </si>
  <si>
    <t>2026-04-17|Jaro 2|Närpes Kraft</t>
  </si>
  <si>
    <t>2026-04-12|The Strongest|SA Bulo Bulo</t>
  </si>
  <si>
    <t>2026-05-03|The Strongest|ABB</t>
  </si>
  <si>
    <t>2026-05-10|The Strongest|Real Potosí</t>
  </si>
  <si>
    <t>2026-07-12|The Strongest|Bolívar</t>
  </si>
  <si>
    <t>2026-07-15|The Strongest|Oriente Petrolero</t>
  </si>
  <si>
    <t>2026-04-10|Guabirá|Independiente Petrolero</t>
  </si>
  <si>
    <t>2026-04-21|Bolívar|Independiente Petrolero</t>
  </si>
  <si>
    <t>2026-05-01|SA Bulo Bulo|Independiente Petrolero</t>
  </si>
  <si>
    <t>2026-07-16|ABB|Independiente Petrolero</t>
  </si>
  <si>
    <t>2026-04-11|Club Aurora|Always Ready</t>
  </si>
  <si>
    <t>2026-04-27|Club Aurora|SA Bulo Bulo</t>
  </si>
  <si>
    <t>2026-05-02|Club Aurora|Guabirá</t>
  </si>
  <si>
    <t>2026-07-18|Club Aurora|Oriente Petrolero</t>
  </si>
  <si>
    <t>2026-07-24|Club Aurora|ABB</t>
  </si>
  <si>
    <t>2026-04-11|ABB|Bolívar</t>
  </si>
  <si>
    <t>2026-05-03|GV San José|Bolívar</t>
  </si>
  <si>
    <t>2026-05-10|Blooming|Bolívar</t>
  </si>
  <si>
    <t>2026-05-16|Universitario de Vinto|Bolívar</t>
  </si>
  <si>
    <t>2026-04-04|SA Bulo Bulo|Oriente Petrolero</t>
  </si>
  <si>
    <t>2026-05-12|SA Bulo Bulo|Universitario de Vinto</t>
  </si>
  <si>
    <t>2026-05-29|SA Bulo Bulo|Guabirá</t>
  </si>
  <si>
    <t>2026-07-20|SA Bulo Bulo|ABB</t>
  </si>
  <si>
    <t>2026-04-03|Independiente Petrolero|Nacional Potosí</t>
  </si>
  <si>
    <t>2026-04-22|Blooming|Nacional Potosí</t>
  </si>
  <si>
    <t>2026-05-13|Bolívar|Nacional Potosí</t>
  </si>
  <si>
    <t>2026-05-17|Guabirá|Nacional Potosí</t>
  </si>
  <si>
    <t>2026-07-12|Real Potosí|Nacional Potosí</t>
  </si>
  <si>
    <t>2026-08-02|Oriente Petrolero|Nacional Potosí</t>
  </si>
  <si>
    <t>2026-08-06|Blooming|Always Ready</t>
  </si>
  <si>
    <t>2026-04-05|Universitario de Vinto|The Strongest</t>
  </si>
  <si>
    <t>2026-07-19|GV San José|The Strongest</t>
  </si>
  <si>
    <t>2026-07-26|Blooming|The Strongest</t>
  </si>
  <si>
    <t>2026-07-18|Bolívar|Guabirá</t>
  </si>
  <si>
    <t>2026-07-27|Bolívar|Real Potosí</t>
  </si>
  <si>
    <t>2026-04-04|Real Potosí|Club Aurora</t>
  </si>
  <si>
    <t>2026-04-21|GV San José|Club Aurora</t>
  </si>
  <si>
    <t>2026-06-01|Universitario de Vinto|Club Aurora</t>
  </si>
  <si>
    <t>2026-07-09|Nacional Potosí|Club Aurora</t>
  </si>
  <si>
    <t>2026-08-04|Independiente Petrolero|Club Aurora</t>
  </si>
  <si>
    <t>2026-04-03|Blooming|Guabirá</t>
  </si>
  <si>
    <t>2026-04-22|Real Potosí|Guabirá</t>
  </si>
  <si>
    <t>2026-05-09|Guabirá|GV San José</t>
  </si>
  <si>
    <t>2026-05-14|Oriente Petrolero|Guabirá</t>
  </si>
  <si>
    <t>2026-07-31|Universitario de Vinto|Guabirá</t>
  </si>
  <si>
    <t>2026-08-07|Real Tomayapo|Real Oruro</t>
  </si>
  <si>
    <t>2026-04-05|GV San José|ABB</t>
  </si>
  <si>
    <t>2026-04-21|Universitario de Vinto|ABB</t>
  </si>
  <si>
    <t>2026-04-25|ABB|Blooming</t>
  </si>
  <si>
    <t>2026-05-11|ABB|Oriente Petrolero</t>
  </si>
  <si>
    <t>2026-07-08|Real Potosí|ABB</t>
  </si>
  <si>
    <t>2026-08-07|ABB|Guabirá</t>
  </si>
  <si>
    <t>2026-07-15|Real Potosí|SA Bulo Bulo</t>
  </si>
  <si>
    <t>2026-08-05|GV San José|SA Bulo Bulo</t>
  </si>
  <si>
    <t>2026-04-24|Independiente Petrolero|Universitario de Vinto</t>
  </si>
  <si>
    <t>2026-05-13|Independiente Petrolero|Blooming</t>
  </si>
  <si>
    <t>2026-07-21|Independiente Petrolero|Real Potosí</t>
  </si>
  <si>
    <t>2026-07-25|Independiente Petrolero|Oriente Petrolero</t>
  </si>
  <si>
    <t>2026-04-11|Nacional Potosí|Universitario de Vinto</t>
  </si>
  <si>
    <t>2026-04-25|Nacional Potosí|GV San José</t>
  </si>
  <si>
    <t>2026-04-05|Bahia|Palmeiras</t>
  </si>
  <si>
    <t>2026-04-12|Corinthians|Palmeiras</t>
  </si>
  <si>
    <t>2026-04-19|Palmeiras|Athletico-PR</t>
  </si>
  <si>
    <t>2026-04-26|Red Bull Bragantino|Palmeiras</t>
  </si>
  <si>
    <t>2026-04-05|Flamengo|Santos</t>
  </si>
  <si>
    <t>2026-04-12|Fluminense|Flamengo</t>
  </si>
  <si>
    <t>2026-04-19|Flamengo|Bahia</t>
  </si>
  <si>
    <t>2026-04-04|Vasco da Gama|Botafogo-RJ</t>
  </si>
  <si>
    <t>2026-04-12|Botafogo-RJ|Coritiba</t>
  </si>
  <si>
    <t>2026-04-04|Coritiba|Fluminense</t>
  </si>
  <si>
    <t>2026-04-19|Santos|Fluminense</t>
  </si>
  <si>
    <t>2026-04-26|Fluminense|Chapecoense</t>
  </si>
  <si>
    <t>2026-05-03|Internacional|Fluminense</t>
  </si>
  <si>
    <t>2026-05-09|Fluminense|Vitória</t>
  </si>
  <si>
    <t>2026-05-16|Fluminense|São Paulo</t>
  </si>
  <si>
    <t>2026-05-23|Mirassol|Fluminense</t>
  </si>
  <si>
    <t>2026-05-31|Cruzeiro|Fluminense</t>
  </si>
  <si>
    <t>2026-07-17|Fluminense|Red Bull Bragantino</t>
  </si>
  <si>
    <t>2026-07-26|Grêmio|Fluminense</t>
  </si>
  <si>
    <t>2026-04-03|Palmeiras|Grêmio</t>
  </si>
  <si>
    <t>2026-04-05|Grêmio|Remo</t>
  </si>
  <si>
    <t>2026-04-11|Internacional|Grêmio</t>
  </si>
  <si>
    <t>2026-04-18|Cruzeiro|Grêmio</t>
  </si>
  <si>
    <t>2026-04-26|Grêmio|Coritiba</t>
  </si>
  <si>
    <t>2026-05-02|Athletico-PR|Grêmio</t>
  </si>
  <si>
    <t>2026-05-17|Bahia|Grêmio</t>
  </si>
  <si>
    <t>2026-05-23|Grêmio|Santos</t>
  </si>
  <si>
    <t>2026-05-30|Grêmio|Corinthians</t>
  </si>
  <si>
    <t>2026-07-17|Mirassol|Grêmio</t>
  </si>
  <si>
    <t>2026-04-01|Internacional|São Paulo</t>
  </si>
  <si>
    <t>2026-04-04|São Paulo|Cruzeiro</t>
  </si>
  <si>
    <t>2026-04-11|Vitória|São Paulo</t>
  </si>
  <si>
    <t>2026-04-18|Vasco da Gama|São Paulo</t>
  </si>
  <si>
    <t>2026-04-25|São Paulo|Mirassol</t>
  </si>
  <si>
    <t>2026-05-03|São Paulo|Bahia</t>
  </si>
  <si>
    <t>2026-05-10|Corinthians|São Paulo</t>
  </si>
  <si>
    <t>2026-05-31|Remo|São Paulo</t>
  </si>
  <si>
    <t>2026-07-22|São Paulo|Athletico-PR</t>
  </si>
  <si>
    <t>2026-04-19|Coritiba|Atlético-MG</t>
  </si>
  <si>
    <t>2026-05-02|Vitória|Coritiba</t>
  </si>
  <si>
    <t>2026-05-09|Coritiba|Internacional</t>
  </si>
  <si>
    <t>2026-05-17|Santos|Coritiba</t>
  </si>
  <si>
    <t>2026-05-25|Coritiba|Bahia</t>
  </si>
  <si>
    <t>2026-07-26|Red Bull Bragantino|Coritiba</t>
  </si>
  <si>
    <t>2026-04-12|Athletico-PR|Chapecoense</t>
  </si>
  <si>
    <t>2026-05-03|Chapecoense|Red Bull Bragantino</t>
  </si>
  <si>
    <t>2026-05-10|Mirassol|Chapecoense</t>
  </si>
  <si>
    <t>2026-05-17|Chapecoense|Remo</t>
  </si>
  <si>
    <t>2026-05-24|Cruzeiro|Chapecoense</t>
  </si>
  <si>
    <t>2026-07-17|Bahia|Chapecoense</t>
  </si>
  <si>
    <t>2026-07-25|Santos|Chapecoense</t>
  </si>
  <si>
    <t>2026-04-05|Chapecoense|Vitória</t>
  </si>
  <si>
    <t>2026-04-11|Remo|Vasco da Gama</t>
  </si>
  <si>
    <t>2026-04-19|Red Bull Bragantino|Remo</t>
  </si>
  <si>
    <t>2026-04-25|Remo|Cruzeiro</t>
  </si>
  <si>
    <t>2026-05-24|Remo|Athletico-PR</t>
  </si>
  <si>
    <t>2026-07-23|Corinthians|Remo</t>
  </si>
  <si>
    <t>2026-07-26|Remo|Vitória</t>
  </si>
  <si>
    <t>2026-04-02|Chapecoense|Atlético-MG</t>
  </si>
  <si>
    <t>2026-04-05|Atlético-MG|Athletico-PR</t>
  </si>
  <si>
    <t>2026-04-11|Santos|Atlético-MG</t>
  </si>
  <si>
    <t>2026-05-02|Cruzeiro|Atlético-MG</t>
  </si>
  <si>
    <t>2026-05-16|Atlético-MG|Mirassol</t>
  </si>
  <si>
    <t>2026-05-24|Corinthians|Atlético-MG</t>
  </si>
  <si>
    <t>2026-05-31|Vasco da Gama|Atlético-MG</t>
  </si>
  <si>
    <t>2026-07-21|Atlético-MG|Bahia</t>
  </si>
  <si>
    <t>2026-05-17|Vila Nova|Avaí</t>
  </si>
  <si>
    <t>2026-05-24|América-MG|Vila Nova</t>
  </si>
  <si>
    <t>2026-05-31|Londrina|Vila Nova</t>
  </si>
  <si>
    <t>2026-06-08|Vila Nova|Botafogo SP</t>
  </si>
  <si>
    <t>2026-06-14|Cuiabá|Vila Nova</t>
  </si>
  <si>
    <t>2026-06-20|Vila Nova|Náutico</t>
  </si>
  <si>
    <t>2026-06-26|Novorizontino|Vila Nova</t>
  </si>
  <si>
    <t>2026-07-06|Vila Nova|São Bernardo</t>
  </si>
  <si>
    <t>2026-07-10|Juventude|Vila Nova</t>
  </si>
  <si>
    <t>2026-07-18|Criciúma|Vila Nova</t>
  </si>
  <si>
    <t>2026-07-21|Vila Nova|Fortaleza</t>
  </si>
  <si>
    <t>2026-05-17|Sport Recife|CRB</t>
  </si>
  <si>
    <t>2026-05-23|Juventude|Sport Recife</t>
  </si>
  <si>
    <t>2026-05-30|Sport Recife|Náutico</t>
  </si>
  <si>
    <t>2026-06-10|Sport Recife|Athletic Club-MG</t>
  </si>
  <si>
    <t>2026-06-14|São Bernardo|Sport Recife</t>
  </si>
  <si>
    <t>2026-06-18|Sport Recife|Atlético-GO</t>
  </si>
  <si>
    <t>2026-06-28|Fortaleza|Sport Recife</t>
  </si>
  <si>
    <t>2026-07-04|Criciúma|Sport Recife</t>
  </si>
  <si>
    <t>2026-07-10|Sport Recife|Botafogo SP</t>
  </si>
  <si>
    <t>2026-07-18|Sport Recife|Operário-PR</t>
  </si>
  <si>
    <t>2026-07-22|Goiás|Sport Recife</t>
  </si>
  <si>
    <t>2026-07-26|Criciúma|Náutico</t>
  </si>
  <si>
    <t>2026-07-21|Novorizontino|Criciúma</t>
  </si>
  <si>
    <t>2026-07-08|Ponte Preta|Criciúma</t>
  </si>
  <si>
    <t>2026-06-27|Criciúma|São Bernardo</t>
  </si>
  <si>
    <t>2026-06-23|América-MG|Criciúma</t>
  </si>
  <si>
    <t>2026-06-15|Criciúma|Ceará</t>
  </si>
  <si>
    <t>2026-06-06|Criciúma|Londrina</t>
  </si>
  <si>
    <t>2026-05-30|Avaí|Criciúma</t>
  </si>
  <si>
    <t>2026-05-24|Operário-PR|Criciúma</t>
  </si>
  <si>
    <t>2026-05-17|Criciúma|Atlético-GO</t>
  </si>
  <si>
    <t>2026-05-09|Juventude|Criciúma</t>
  </si>
  <si>
    <t>2026-05-02|Cuiabá|Criciúma</t>
  </si>
  <si>
    <t>2026-07-23|Botafogo SP|Juventude</t>
  </si>
  <si>
    <t>2026-07-17|Juventude|Cuiabá</t>
  </si>
  <si>
    <t>2026-07-05|Náutico|Juventude</t>
  </si>
  <si>
    <t>2026-06-28|Juventude|Ceará</t>
  </si>
  <si>
    <t>2026-06-21|São Bernardo|Juventude</t>
  </si>
  <si>
    <t>2026-06-14|Juventude|Ponte Preta</t>
  </si>
  <si>
    <t>2026-06-05|Operário-PR|Juventude</t>
  </si>
  <si>
    <t>2026-05-29|Juventude|América-MG</t>
  </si>
  <si>
    <t>2026-05-17|Athletic Club-MG|Juventude</t>
  </si>
  <si>
    <t>2026-05-03|Atlético-GO|Juventude</t>
  </si>
  <si>
    <t>2026-08-07|Operário-PR|São Bernardo</t>
  </si>
  <si>
    <t>2026-07-22|Operário-PR|Ponte Preta</t>
  </si>
  <si>
    <t>2026-07-12|Operário-PR|Novorizontino</t>
  </si>
  <si>
    <t>2026-07-07|Athletic Club-MG|Operário-PR</t>
  </si>
  <si>
    <t>2026-06-27|Operário-PR|América-MG</t>
  </si>
  <si>
    <t>2026-06-21|Goiás|Operário-PR</t>
  </si>
  <si>
    <t>2026-06-14|Botafogo SP|Operário-PR</t>
  </si>
  <si>
    <t>2026-05-31|Ceará|Operário-PR</t>
  </si>
  <si>
    <t>2026-05-16|Operário-PR|Náutico</t>
  </si>
  <si>
    <t>2026-05-09|CRB|Operário-PR</t>
  </si>
  <si>
    <t>2026-07-17|Fortaleza|Novorizontino</t>
  </si>
  <si>
    <t>2026-07-12|Atlético-GO|Fortaleza</t>
  </si>
  <si>
    <t>2026-07-02|Fortaleza|Ponte Preta</t>
  </si>
  <si>
    <t>2026-06-21|CRB|Fortaleza</t>
  </si>
  <si>
    <t>2026-06-16|Fortaleza|América-MG</t>
  </si>
  <si>
    <t>2026-06-09|Náutico|Fortaleza</t>
  </si>
  <si>
    <t>2026-05-30|Athletic Club-MG|Fortaleza</t>
  </si>
  <si>
    <t>2026-05-23|Fortaleza|Londrina</t>
  </si>
  <si>
    <t>2026-05-17|Ceará|Fortaleza</t>
  </si>
  <si>
    <t>2026-05-10|Avaí|Fortaleza</t>
  </si>
  <si>
    <t>2026-05-02|Fortaleza|Goiás</t>
  </si>
  <si>
    <t>2026-07-26|Londrina|Novorizontino</t>
  </si>
  <si>
    <t>2026-07-04|Novorizontino|Atlético-GO</t>
  </si>
  <si>
    <t>2026-06-22|Ponte Preta|Novorizontino</t>
  </si>
  <si>
    <t>2026-06-14|Novorizontino|Náutico</t>
  </si>
  <si>
    <t>2026-06-10|Goiás|Novorizontino</t>
  </si>
  <si>
    <t>2026-05-31|São Bernardo|Novorizontino</t>
  </si>
  <si>
    <t>2026-05-23|Novorizontino|Ceará</t>
  </si>
  <si>
    <t>2026-05-16|Cuiabá|Novorizontino</t>
  </si>
  <si>
    <t>2026-05-10|Novorizontino|Botafogo SP</t>
  </si>
  <si>
    <t>2026-05-03|Avaí|Novorizontino</t>
  </si>
  <si>
    <t>2026-07-23|Cuiabá|Atlético-GO</t>
  </si>
  <si>
    <t>2026-07-18|Atlético-GO|Athletic Club-MG</t>
  </si>
  <si>
    <t>2026-06-28|Atlético-GO|Ponte Preta</t>
  </si>
  <si>
    <t>2026-06-12|Atlético-GO|CRB</t>
  </si>
  <si>
    <t>2026-06-08|América-MG|Atlético-GO</t>
  </si>
  <si>
    <t>2026-05-30|Atlético-GO|Goiás</t>
  </si>
  <si>
    <t>2026-05-24|Atlético-GO|São Bernardo</t>
  </si>
  <si>
    <t>2026-05-09|Ceará|Atlético-GO</t>
  </si>
  <si>
    <t>2026-07-22|Ceará|CRB</t>
  </si>
  <si>
    <t>2026-07-16|CRB|Náutico</t>
  </si>
  <si>
    <t>2026-07-12|CRB|Goiás</t>
  </si>
  <si>
    <t>2026-07-04|Londrina|CRB</t>
  </si>
  <si>
    <t>2026-06-30|Botafogo SP|CRB</t>
  </si>
  <si>
    <t>2026-06-07|CRB|São Bernardo</t>
  </si>
  <si>
    <t>2026-05-31|Cuiabá|CRB</t>
  </si>
  <si>
    <t>2026-05-24|CRB|Ponte Preta</t>
  </si>
  <si>
    <t>2026-05-03|América-MG|CRB</t>
  </si>
  <si>
    <t>2026-07-23|Athletic Club-MG|São Bernardo</t>
  </si>
  <si>
    <t>2026-07-13|Ceará|Athletic Club-MG</t>
  </si>
  <si>
    <t>2026-06-28|Athletic Club-MG|Avaí</t>
  </si>
  <si>
    <t>2026-06-20|Londrina|Athletic Club-MG</t>
  </si>
  <si>
    <t>2026-06-14|Athletic Club-MG|Goiás</t>
  </si>
  <si>
    <t>2026-05-25|Botafogo SP|Athletic Club-MG</t>
  </si>
  <si>
    <t>2026-05-09|Athletic Club-MG|Cuiabá</t>
  </si>
  <si>
    <t>2026-05-04|Vila Nova|Athletic Club-MG</t>
  </si>
  <si>
    <t>2026-07-22|Náutico|Londrina</t>
  </si>
  <si>
    <t>2026-07-12|Avaí|Náutico</t>
  </si>
  <si>
    <t>2026-06-28|Náutico|Goiás</t>
  </si>
  <si>
    <t>2026-05-22|Náutico|Cuiabá</t>
  </si>
  <si>
    <t>2026-05-10|Náutico|América-MG</t>
  </si>
  <si>
    <t>2026-05-02|Botafogo SP|Náutico</t>
  </si>
  <si>
    <t>2026-07-17|Londrina|Botafogo SP</t>
  </si>
  <si>
    <t>2026-07-06|Botafogo SP|Avaí</t>
  </si>
  <si>
    <t>2026-06-20|Ceará|Botafogo SP</t>
  </si>
  <si>
    <t>2026-06-01|Ponte Preta|Botafogo SP</t>
  </si>
  <si>
    <t>2026-05-16|Goiás|Botafogo SP</t>
  </si>
  <si>
    <t>2026-08-07|Ceará|Ponte Preta</t>
  </si>
  <si>
    <t>2026-07-26|São Bernardo|Ceará</t>
  </si>
  <si>
    <t>2026-07-17|América-MG|Ceará</t>
  </si>
  <si>
    <t>2026-07-04|Goiás|Ceará</t>
  </si>
  <si>
    <t>2026-06-10|Ceará|Avaí</t>
  </si>
  <si>
    <t>2026-07-12|São Bernardo|Cuiabá</t>
  </si>
  <si>
    <t>2026-07-02|Cuiabá|América-MG</t>
  </si>
  <si>
    <t>2026-06-25|Cuiabá|Londrina</t>
  </si>
  <si>
    <t>2026-06-21|Avaí|Cuiabá</t>
  </si>
  <si>
    <t>2026-06-09|Ponte Preta|Cuiabá</t>
  </si>
  <si>
    <t>2026-07-13|América-MG|Londrina</t>
  </si>
  <si>
    <t>2026-06-15|Londrina|Avaí</t>
  </si>
  <si>
    <t>2026-05-18|Ponte Preta|Londrina</t>
  </si>
  <si>
    <t>2026-05-12|Londrina|São Bernardo</t>
  </si>
  <si>
    <t>2026-05-03|Operário-PR|Londrina</t>
  </si>
  <si>
    <t>2026-07-21|Avaí|América-MG</t>
  </si>
  <si>
    <t>2026-07-17|São Bernardo|Avaí</t>
  </si>
  <si>
    <t>2026-05-24|Avaí|Goiás</t>
  </si>
  <si>
    <t>2026-07-26|América-MG|Goiás</t>
  </si>
  <si>
    <t>2026-05-16|São Bernardo|América-MG</t>
  </si>
  <si>
    <t>2026-07-18|Ponte Preta|Goiás</t>
  </si>
  <si>
    <t>2026-05-09|Ponte Preta|Sport Recife</t>
  </si>
  <si>
    <t>2026-07-26|Bahia|Corinthians</t>
  </si>
  <si>
    <t>2026-05-09|Bahia|Cruzeiro</t>
  </si>
  <si>
    <t>2026-04-25|Bahia|Santos</t>
  </si>
  <si>
    <t>2026-07-22|Internacional|Cruzeiro</t>
  </si>
  <si>
    <t>2026-04-12|Cruzeiro|Red Bull Bragantino</t>
  </si>
  <si>
    <t>2026-07-25|Athletico-PR|Internacional</t>
  </si>
  <si>
    <t>2026-05-30|Athletico-PR|Mirassol</t>
  </si>
  <si>
    <t>2026-05-10|Vasco da Gama|Athletico-PR</t>
  </si>
  <si>
    <t>2026-04-26|Athletico-PR|Vitória</t>
  </si>
  <si>
    <t>2026-05-30|Santos|Vitória</t>
  </si>
  <si>
    <t>2026-05-10|Santos|Red Bull Bragantino</t>
  </si>
  <si>
    <t>2026-04-02|Santos|Remo</t>
  </si>
  <si>
    <t>2026-05-03|Mirassol|Corinthians</t>
  </si>
  <si>
    <t>2026-04-26|Corinthians|Vasco da Gama</t>
  </si>
  <si>
    <t>2026-04-18|Vitória|Corinthians</t>
  </si>
  <si>
    <t>2026-04-05|Corinthians|Internacional</t>
  </si>
  <si>
    <t>2026-07-16|Vitória|Vasco da Gama</t>
  </si>
  <si>
    <t>2026-05-23|Vitória|Internacional</t>
  </si>
  <si>
    <t>2026-05-31|Red Bull Bragantino|Internacional</t>
  </si>
  <si>
    <t>2026-05-16|Internacional|Vasco da Gama</t>
  </si>
  <si>
    <t>2026-07-25|Vasco da Gama|Mirassol</t>
  </si>
  <si>
    <t>2026-04-19|Internacional|Mirassol</t>
  </si>
  <si>
    <t>2026-04-11|Mirassol|Bahia</t>
  </si>
  <si>
    <t>2026-04-05|Mirassol|Red Bull Bragantino</t>
  </si>
  <si>
    <t>2026-05-24|Vasco da Gama|Red Bull Bragantino</t>
  </si>
  <si>
    <t>2026-05-17|Red Bull Bragantino|Vitória</t>
  </si>
  <si>
    <t>2026-04-02|Red Bull Bragantino|Flamengo</t>
  </si>
  <si>
    <t>2026-04-01|Coritiba|Vasco da Gama</t>
  </si>
  <si>
    <t>2026-08-08|Manly United|Marconi Stallions</t>
  </si>
  <si>
    <t>2026-07-25|SD Raiders|Marconi Stallions</t>
  </si>
  <si>
    <t>2026-07-19|Marconi Stallions|Sydney United</t>
  </si>
  <si>
    <t>2026-07-12|Marconi Stallions|Western Sydney Youth</t>
  </si>
  <si>
    <t>2026-07-05|Marconi Stallions|St George Saints</t>
  </si>
  <si>
    <t>2026-06-28|Marconi Stallions|Blacktown City</t>
  </si>
  <si>
    <t>2026-06-21|Marconi Stallions|UNSW</t>
  </si>
  <si>
    <t>2026-06-12|Marconi Stallions|Sydney FC NPL</t>
  </si>
  <si>
    <t>2026-06-07|Marconi Stallions|Wollongong Wolves</t>
  </si>
  <si>
    <t>2026-05-30|Marconi Stallions|Rockdale Ilinden</t>
  </si>
  <si>
    <t>2026-05-24|Apia L Tigers|Marconi Stallions</t>
  </si>
  <si>
    <t>2026-08-08|St George Saints|Apia L Tigers</t>
  </si>
  <si>
    <t>2026-07-25|Apia L Tigers|UNSW</t>
  </si>
  <si>
    <t>2026-07-18|Western Sydney Youth|Apia L Tigers</t>
  </si>
  <si>
    <t>2026-07-11|Apia L Tigers|Sydney FC NPL</t>
  </si>
  <si>
    <t>2026-07-04|Sutherland Sharks|Apia L Tigers</t>
  </si>
  <si>
    <t>2026-06-28|Apia L Tigers|Rockdale Ilinden</t>
  </si>
  <si>
    <t>2026-06-21|Blacktown City|Apia L Tigers</t>
  </si>
  <si>
    <t>2026-06-13|Wollongong Wolves|Apia L Tigers</t>
  </si>
  <si>
    <t>2026-06-06|Apia L Tigers|Manly United</t>
  </si>
  <si>
    <t>2026-05-30|NWS Spirit|Apia L Tigers</t>
  </si>
  <si>
    <t>2026-08-02|Sydney United|NWS Spirit</t>
  </si>
  <si>
    <t>2026-07-25|St George City FA|Sydney United</t>
  </si>
  <si>
    <t>2026-07-12|Sydney United|Rockdale Ilinden</t>
  </si>
  <si>
    <t>2026-07-05|Blacktown City|Sydney United</t>
  </si>
  <si>
    <t>2026-06-26|Sydney FC NPL|Sydney United</t>
  </si>
  <si>
    <t>2026-06-21|Sydney United|SD Raiders</t>
  </si>
  <si>
    <t>2026-06-12|Manly United|Sydney United</t>
  </si>
  <si>
    <t>2026-06-06|Western Sydney Youth|Sydney United</t>
  </si>
  <si>
    <t>2026-05-31|Sydney United|Sutherland Sharks</t>
  </si>
  <si>
    <t>2026-05-23|UNSW|Sydney United</t>
  </si>
  <si>
    <t>2026-05-16|St George Saints|Sydney United</t>
  </si>
  <si>
    <t>2026-08-08|Sutherland Sharks|Sydney FC NPL</t>
  </si>
  <si>
    <t>2026-08-01|Sutherland Sharks|Wollongong Wolves</t>
  </si>
  <si>
    <t>2026-07-26|Rockdale Ilinden|Sutherland Sharks</t>
  </si>
  <si>
    <t>2026-07-18|Sutherland Sharks|Sydney Olympic</t>
  </si>
  <si>
    <t>2026-07-11|Manly United|Sutherland Sharks</t>
  </si>
  <si>
    <t>2026-06-27|UNSW|Sutherland Sharks</t>
  </si>
  <si>
    <t>2026-06-20|Western Sydney Youth|Sutherland Sharks</t>
  </si>
  <si>
    <t>2026-06-13|Sutherland Sharks|Blacktown City</t>
  </si>
  <si>
    <t>2026-06-06|St George Saints|Sutherland Sharks</t>
  </si>
  <si>
    <t>2026-05-23|Sutherland Sharks|NWS Spirit</t>
  </si>
  <si>
    <t>2026-08-08|St George City FA|Rockdale Ilinden</t>
  </si>
  <si>
    <t>2026-08-02|Rockdale Ilinden|Manly United</t>
  </si>
  <si>
    <t>2026-07-18|St George Saints|Rockdale Ilinden</t>
  </si>
  <si>
    <t>2026-07-05|Rockdale Ilinden|NWS Spirit</t>
  </si>
  <si>
    <t>2026-06-21|Sydney Olympic|Rockdale Ilinden</t>
  </si>
  <si>
    <t>2026-06-14|Rockdale Ilinden|SD Raiders</t>
  </si>
  <si>
    <t>2026-06-07|Blacktown City|Rockdale Ilinden</t>
  </si>
  <si>
    <t>2026-05-24|Rockdale Ilinden|Western Sydney Youth</t>
  </si>
  <si>
    <t>2026-07-24|Manly United|Sydney Olympic</t>
  </si>
  <si>
    <t>2026-07-17|Sydney FC NPL|Manly United</t>
  </si>
  <si>
    <t>2026-07-04|Manly United|SD Raiders</t>
  </si>
  <si>
    <t>2026-06-27|Western Sydney Youth|Manly United</t>
  </si>
  <si>
    <t>2026-06-20|Manly United|St George Saints</t>
  </si>
  <si>
    <t>2026-05-30|Manly United|Blacktown City</t>
  </si>
  <si>
    <t>2026-05-23|St George City FA|Manly United</t>
  </si>
  <si>
    <t>2026-08-08|SD Raiders|Western Sydney Youth</t>
  </si>
  <si>
    <t>2026-08-01|St George Saints|SD Raiders</t>
  </si>
  <si>
    <t>2026-07-18|Wollongong Wolves|SD Raiders</t>
  </si>
  <si>
    <t>2026-07-11|SD Raiders|Blacktown City</t>
  </si>
  <si>
    <t>2026-06-30|SD Raiders|Sydney FC NPL</t>
  </si>
  <si>
    <t>2026-06-27|SD Raiders|St George City FA</t>
  </si>
  <si>
    <t>2026-06-10|Sydney Olympic|SD Raiders</t>
  </si>
  <si>
    <t>2026-06-06|SD Raiders|UNSW</t>
  </si>
  <si>
    <t>2026-07-25|St George Saints|Sydney FC NPL</t>
  </si>
  <si>
    <t>2026-07-04|UNSW|Sydney FC NPL</t>
  </si>
  <si>
    <t>2026-06-21|Wollongong Wolves|Sydney FC NPL</t>
  </si>
  <si>
    <t>2026-06-05|Sydney FC NPL|NWS Spirit</t>
  </si>
  <si>
    <t>2026-05-29|Sydney FC NPL|Western Sydney Youth</t>
  </si>
  <si>
    <t>2026-08-01|Western Sydney Youth|UNSW</t>
  </si>
  <si>
    <t>2026-07-25|NWS Spirit|Western Sydney Youth</t>
  </si>
  <si>
    <t>2026-07-04|Western Sydney Youth|Sydney Olympic</t>
  </si>
  <si>
    <t>2026-06-13|Western Sydney Youth|St George City FA</t>
  </si>
  <si>
    <t>2026-08-08|NWS Spirit|Blacktown City</t>
  </si>
  <si>
    <t>2026-07-18|UNSW|NWS Spirit</t>
  </si>
  <si>
    <t>2026-07-11|NWS Spirit|St George Saints</t>
  </si>
  <si>
    <t>2026-06-27|NWS Spirit|Wollongong Wolves</t>
  </si>
  <si>
    <t>2026-06-20|St George City FA|NWS Spirit</t>
  </si>
  <si>
    <t>2026-06-13|NWS Spirit|Sydney Olympic</t>
  </si>
  <si>
    <t>2026-07-19|Blacktown City|St George City FA</t>
  </si>
  <si>
    <t>2026-07-11|St George City FA|UNSW</t>
  </si>
  <si>
    <t>2026-07-05|Wollongong Wolves|St George City FA</t>
  </si>
  <si>
    <t>2026-06-06|St George City FA|Sydney Olympic</t>
  </si>
  <si>
    <t>2026-05-30|St George Saints|St George City FA</t>
  </si>
  <si>
    <t>2026-07-26|Wollongong Wolves|Blacktown City</t>
  </si>
  <si>
    <t>2026-07-11|Sydney Olympic|Wollongong Wolves</t>
  </si>
  <si>
    <t>2026-05-30|UNSW|Wollongong Wolves</t>
  </si>
  <si>
    <t>2026-05-24|Wollongong Wolves|St George Saints</t>
  </si>
  <si>
    <t>2026-05-16|Manly United|Wollongong Wolves</t>
  </si>
  <si>
    <t>2026-05-24|Blacktown City|Sydney Olympic</t>
  </si>
  <si>
    <t>2026-08-08|UNSW|Sydney Olympic</t>
  </si>
  <si>
    <t>2026-06-13|UNSW|St George Saints</t>
  </si>
  <si>
    <t>2026-06-27|St George Saints|Sydney Olympic</t>
  </si>
  <si>
    <t>2026-07-31|Bentleigh Greens|Oakleigh Cannons</t>
  </si>
  <si>
    <t>2026-07-24|Oakleigh Cannons|South Melbourne</t>
  </si>
  <si>
    <t>2026-07-18|Hume City|Oakleigh Cannons</t>
  </si>
  <si>
    <t>2026-07-10|Oakleigh Cannons|Avondale FC</t>
  </si>
  <si>
    <t>2026-07-04|Caroline Springs George Cross|Oakleigh Cannons</t>
  </si>
  <si>
    <t>2026-06-26|Heidelberg United|Oakleigh Cannons</t>
  </si>
  <si>
    <t>2026-06-19|Oakleigh Cannons|Melbourne City U21</t>
  </si>
  <si>
    <t>2026-06-05|Oakleigh Cannons|St Albans Saints</t>
  </si>
  <si>
    <t>2026-05-30|Altona Magic|Oakleigh Cannons</t>
  </si>
  <si>
    <t>2026-05-24|Preston Lions|Oakleigh Cannons</t>
  </si>
  <si>
    <t>2026-05-15|Dandenong City|Oakleigh Cannons</t>
  </si>
  <si>
    <t>2026-05-08|Oakleigh Cannons|Dandenong Thunder</t>
  </si>
  <si>
    <t>2026-08-01|Hume City|Melbourne City U21</t>
  </si>
  <si>
    <t>2026-07-24|St Albans Saints|Hume City</t>
  </si>
  <si>
    <t>2026-07-10|Preston Lions|Hume City</t>
  </si>
  <si>
    <t>2026-07-04|Hume City|Dandenong City</t>
  </si>
  <si>
    <t>2026-06-27|Dandenong Thunder|Hume City</t>
  </si>
  <si>
    <t>2026-06-20|Hume City|Green Gully</t>
  </si>
  <si>
    <t>2026-06-05|Bentleigh Greens|Hume City</t>
  </si>
  <si>
    <t>2026-05-30|Hume City|South Melbourne</t>
  </si>
  <si>
    <t>2026-05-23|Altona Magic|Hume City</t>
  </si>
  <si>
    <t>2026-05-09|Caroline Springs George Cross|Hume City</t>
  </si>
  <si>
    <t>2026-05-02|Hume City|Heidelberg United</t>
  </si>
  <si>
    <t>2026-08-01|Avondale FC|Heidelberg United</t>
  </si>
  <si>
    <t>2026-07-25|Melbourne City U21|Avondale FC</t>
  </si>
  <si>
    <t>2026-07-18|Avondale FC|St Albans Saints</t>
  </si>
  <si>
    <t>2026-07-04|Avondale FC|Preston Lions</t>
  </si>
  <si>
    <t>2026-06-26|Dandenong City|Avondale FC</t>
  </si>
  <si>
    <t>2026-06-20|Avondale FC|Dandenong Thunder</t>
  </si>
  <si>
    <t>2026-06-05|Green Gully|Avondale FC</t>
  </si>
  <si>
    <t>2026-05-30|Avondale FC|Bentleigh Greens</t>
  </si>
  <si>
    <t>2026-05-25|South Melbourne|Avondale FC</t>
  </si>
  <si>
    <t>2026-05-16|Hume City|Avondale FC</t>
  </si>
  <si>
    <t>2026-05-09|Avondale FC|Altona Magic</t>
  </si>
  <si>
    <t>2026-07-18|South Melbourne|Preston Lions</t>
  </si>
  <si>
    <t>2026-07-10|Dandenong City|South Melbourne</t>
  </si>
  <si>
    <t>2026-07-05|South Melbourne|Dandenong Thunder</t>
  </si>
  <si>
    <t>2026-06-28|South Melbourne|Green Gully</t>
  </si>
  <si>
    <t>2026-06-19|Bentleigh Greens|South Melbourne</t>
  </si>
  <si>
    <t>2026-06-07|South Melbourne|Altona Magic</t>
  </si>
  <si>
    <t>2026-05-18|South Melbourne|Caroline Springs George Cross</t>
  </si>
  <si>
    <t>2026-05-08|Heidelberg United|South Melbourne</t>
  </si>
  <si>
    <t>2026-07-31|Preston Lions|Green Gully</t>
  </si>
  <si>
    <t>2026-07-24|Preston Lions|Bentleigh Greens</t>
  </si>
  <si>
    <t>2026-06-27|Caroline Springs George Cross|Preston Lions</t>
  </si>
  <si>
    <t>2026-06-20|Heidelberg United|Preston Lions</t>
  </si>
  <si>
    <t>2026-05-31|St Albans Saints|Preston Lions</t>
  </si>
  <si>
    <t>2026-05-16|Altona Magic|Preston Lions</t>
  </si>
  <si>
    <t>2026-05-08|Preston Lions|Dandenong City</t>
  </si>
  <si>
    <t>2026-05-02|Dandenong Thunder|Preston Lions</t>
  </si>
  <si>
    <t>2026-07-24|Heidelberg United|Caroline Springs George Cross</t>
  </si>
  <si>
    <t>2026-07-18|Altona Magic|Heidelberg United</t>
  </si>
  <si>
    <t>2026-07-11|Melbourne City U21|Heidelberg United</t>
  </si>
  <si>
    <t>2026-07-03|Heidelberg United|St Albans Saints</t>
  </si>
  <si>
    <t>2026-06-05|Dandenong City|Heidelberg United</t>
  </si>
  <si>
    <t>2026-05-29|Heidelberg United|Dandenong Thunder</t>
  </si>
  <si>
    <t>2026-05-22|Green Gully|Heidelberg United</t>
  </si>
  <si>
    <t>2026-05-15|Bentleigh Greens|Heidelberg United</t>
  </si>
  <si>
    <t>2026-08-01|Altona Magic|Caroline Springs George Cross</t>
  </si>
  <si>
    <t>2026-07-18|Caroline Springs George Cross|Melbourne City U21</t>
  </si>
  <si>
    <t>2026-07-12|St Albans Saints|Caroline Springs George Cross</t>
  </si>
  <si>
    <t>2026-06-20|Caroline Springs George Cross|Dandenong City</t>
  </si>
  <si>
    <t>2026-06-06|Dandenong Thunder|Caroline Springs George Cross</t>
  </si>
  <si>
    <t>2026-05-30|Caroline Springs George Cross|Green Gully</t>
  </si>
  <si>
    <t>2026-05-22|Bentleigh Greens|Caroline Springs George Cross</t>
  </si>
  <si>
    <t>2026-07-04|Altona Magic|Melbourne City U21</t>
  </si>
  <si>
    <t>2026-06-26|St Albans Saints|Melbourne City U21</t>
  </si>
  <si>
    <t>2026-05-30|Melbourne City U21|Dandenong City</t>
  </si>
  <si>
    <t>2026-05-24|Melbourne City U21|Dandenong Thunder</t>
  </si>
  <si>
    <t>2026-05-15|Green Gully|Melbourne City U21</t>
  </si>
  <si>
    <t>2026-05-08|Bentleigh Greens|Melbourne City U21</t>
  </si>
  <si>
    <t>2026-05-01|South Melbourne|Melbourne City U21</t>
  </si>
  <si>
    <t>2026-07-25|Dandenong Thunder|Altona Magic</t>
  </si>
  <si>
    <t>2026-07-10|Green Gully|Altona Magic</t>
  </si>
  <si>
    <t>2026-06-26|Bentleigh Greens|Altona Magic</t>
  </si>
  <si>
    <t>2026-06-21|St Albans Saints|Altona Magic</t>
  </si>
  <si>
    <t>2026-05-22|Dandenong City|St Albans Saints</t>
  </si>
  <si>
    <t>2026-05-16|Dandenong Thunder|St Albans Saints</t>
  </si>
  <si>
    <t>2026-05-08|St Albans Saints|Green Gully</t>
  </si>
  <si>
    <t>2026-08-01|Dandenong Thunder|Dandenong City</t>
  </si>
  <si>
    <t>2026-07-24|Green Gully|Dandenong City</t>
  </si>
  <si>
    <t>2026-07-17|Bentleigh Greens|Dandenong City</t>
  </si>
  <si>
    <t>2026-07-11|Dandenong Thunder|Bentleigh Greens</t>
  </si>
  <si>
    <t>2026-07-03|Green Gully|Bentleigh Greens</t>
  </si>
  <si>
    <t>2026-07-17|Green Gully|Dandenong Thunder</t>
  </si>
  <si>
    <t>2026-07-15|Blooming|GV San José</t>
  </si>
  <si>
    <t>2026-05-31|Oriente Petrolero|Blooming</t>
  </si>
  <si>
    <t>2026-08-02|Real Potosí|GV San José</t>
  </si>
  <si>
    <t>2026-07-27|GV San José|Universitario de Vinto</t>
  </si>
  <si>
    <t>2026-04-26|Oriente Petrolero|Real Potosí</t>
  </si>
  <si>
    <t>2026-04-12|Oriente Petrolero|GV San José</t>
  </si>
  <si>
    <t>2026-05-04|Universitario de Vinto|Blooming</t>
  </si>
  <si>
    <t>2026-08-07|Forge FC|Vancouver FC</t>
  </si>
  <si>
    <t>2026-08-02|HFX Wanderers|Forge FC</t>
  </si>
  <si>
    <t>2026-07-26|Inter Toronto|Forge FC</t>
  </si>
  <si>
    <t>2026-07-05|Supra du Québec|Forge FC</t>
  </si>
  <si>
    <t>2026-07-01|Forge FC|Vancouver FC</t>
  </si>
  <si>
    <t>2026-06-10|Forge FC|HFX Wanderers</t>
  </si>
  <si>
    <t>2026-06-07|Inter Toronto|Forge FC</t>
  </si>
  <si>
    <t>2026-05-31|Forge FC|Cavalry FC</t>
  </si>
  <si>
    <t>2026-05-24|Atlético Ottawa|Forge FC</t>
  </si>
  <si>
    <t>2026-05-13|Forge FC|Supra du Québec</t>
  </si>
  <si>
    <t>2026-05-02|HFX Wanderers|Forge FC</t>
  </si>
  <si>
    <t>2026-04-26|Pacific FC|Forge FC</t>
  </si>
  <si>
    <t>2026-08-01|Cavalry FC|Inter Toronto</t>
  </si>
  <si>
    <t>2026-07-24|Vancouver FC|Cavalry FC</t>
  </si>
  <si>
    <t>2026-07-18|Cavalry FC|HFX Wanderers</t>
  </si>
  <si>
    <t>2026-07-04|Atlético Ottawa|Cavalry FC</t>
  </si>
  <si>
    <t>2026-06-10|Inter Toronto|Cavalry FC</t>
  </si>
  <si>
    <t>2026-06-06|Cavalry FC|HFX Wanderers</t>
  </si>
  <si>
    <t>2026-05-24|Cavalry FC|Pacific FC</t>
  </si>
  <si>
    <t>2026-05-17|Vancouver FC|Cavalry FC</t>
  </si>
  <si>
    <t>2026-05-03|Supra du Québec|Cavalry FC</t>
  </si>
  <si>
    <t>2026-04-25|Cavalry FC|Inter Toronto</t>
  </si>
  <si>
    <t>2026-07-17|Supra du Québec|Vancouver FC</t>
  </si>
  <si>
    <t>2026-07-04|Vancouver FC|Inter Toronto</t>
  </si>
  <si>
    <t>2026-06-14|Vancouver FC|Pacific FC</t>
  </si>
  <si>
    <t>2026-06-05|Vancouver FC|Atlético Ottawa</t>
  </si>
  <si>
    <t>2026-05-30|HFX Wanderers|Vancouver FC</t>
  </si>
  <si>
    <t>2026-05-23|Vancouver FC|Supra du Québec</t>
  </si>
  <si>
    <t>2026-05-03|Pacific FC|Vancouver FC</t>
  </si>
  <si>
    <t>2026-08-08|Atlético Ottawa|HFX Wanderers</t>
  </si>
  <si>
    <t>2026-07-26|Atlético Ottawa|Pacific FC</t>
  </si>
  <si>
    <t>2026-07-17|Atlético Ottawa|Inter Toronto</t>
  </si>
  <si>
    <t>2026-07-01|HFX Wanderers|Atlético Ottawa</t>
  </si>
  <si>
    <t>2026-06-09|Atlético Ottawa|Supra du Québec</t>
  </si>
  <si>
    <t>2026-05-30|Pacific FC|Atlético Ottawa</t>
  </si>
  <si>
    <t>2026-05-17|Atlético Ottawa|HFX Wanderers</t>
  </si>
  <si>
    <t>2026-05-01|Inter Toronto|Atlético Ottawa</t>
  </si>
  <si>
    <t>2026-07-24|HFX Wanderers|Supra du Québec</t>
  </si>
  <si>
    <t>2026-06-06|Supra du Québec|Pacific FC</t>
  </si>
  <si>
    <t>2026-05-29|Supra du Québec|Inter Toronto</t>
  </si>
  <si>
    <t>2026-04-24|Supra du Québec|HFX Wanderers</t>
  </si>
  <si>
    <t>2026-07-05|Pacific FC|HFX Wanderers</t>
  </si>
  <si>
    <t>2026-06-26|HFX Wanderers|Pacific FC</t>
  </si>
  <si>
    <t>2026-05-23|HFX Wanderers|Inter Toronto</t>
  </si>
  <si>
    <t>2026-08-08|Pacific FC|Inter Toronto</t>
  </si>
  <si>
    <t>2026-05-17|Pacific FC|Inter Toronto</t>
  </si>
  <si>
    <t>2026-08-01|IF Gnistan|KuPS</t>
  </si>
  <si>
    <t>2026-07-25|KuPS|VPS Vaasa</t>
  </si>
  <si>
    <t>2026-07-18|SJK|KuPS</t>
  </si>
  <si>
    <t>2026-06-27|HJK Helsinki|KuPS</t>
  </si>
  <si>
    <t>2026-06-23|KuPS|Ilves</t>
  </si>
  <si>
    <t>2026-06-17|TPS|KuPS</t>
  </si>
  <si>
    <t>2026-06-13|VPS Vaasa|KuPS</t>
  </si>
  <si>
    <t>2026-05-30|KuPS|Inter Turku</t>
  </si>
  <si>
    <t>2026-05-23|KuPS|FC Lahti</t>
  </si>
  <si>
    <t>2026-05-20|KuPS|FF Jaro</t>
  </si>
  <si>
    <t>2026-05-16|IFK Mariehamn|KuPS</t>
  </si>
  <si>
    <t>2026-05-08|KuPS|SJK</t>
  </si>
  <si>
    <t>2026-08-01|TPS|IFK Mariehamn</t>
  </si>
  <si>
    <t>2026-07-26|HJK Helsinki|TPS</t>
  </si>
  <si>
    <t>2026-07-20|TPS|Ilves</t>
  </si>
  <si>
    <t>2026-07-11|TPS|AC Oulu</t>
  </si>
  <si>
    <t>2026-07-04|SJK|TPS</t>
  </si>
  <si>
    <t>2026-06-27|TPS|FF Jaro</t>
  </si>
  <si>
    <t>2026-06-23|FC Lahti|TPS</t>
  </si>
  <si>
    <t>2026-06-13|Ilves|TPS</t>
  </si>
  <si>
    <t>2026-05-30|TPS|VPS Vaasa</t>
  </si>
  <si>
    <t>2026-05-23|Inter Turku|TPS</t>
  </si>
  <si>
    <t>2026-05-16|AC Oulu|TPS</t>
  </si>
  <si>
    <t>2026-07-26|Inter Turku|IF Gnistan</t>
  </si>
  <si>
    <t>2026-07-19|FF Jaro|Inter Turku</t>
  </si>
  <si>
    <t>2026-06-27|IFK Mariehamn|Inter Turku</t>
  </si>
  <si>
    <t>2026-06-17|HJK Helsinki|Inter Turku</t>
  </si>
  <si>
    <t>2026-06-13|Inter Turku|AC Oulu</t>
  </si>
  <si>
    <t>2026-05-20|Ilves|Inter Turku</t>
  </si>
  <si>
    <t>2026-05-16|SJK|Inter Turku</t>
  </si>
  <si>
    <t>2026-05-05|IF Gnistan|Inter Turku</t>
  </si>
  <si>
    <t>2026-04-29|Inter Turku|HJK Helsinki</t>
  </si>
  <si>
    <t>2026-08-01|FC Lahti|FF Jaro</t>
  </si>
  <si>
    <t>2026-07-26|Ilves|FC Lahti</t>
  </si>
  <si>
    <t>2026-07-20|IFK Mariehamn|FC Lahti</t>
  </si>
  <si>
    <t>2026-07-11|FC Lahti|HJK Helsinki</t>
  </si>
  <si>
    <t>2026-07-04|FC Lahti|IF Gnistan</t>
  </si>
  <si>
    <t>2026-06-27|AC Oulu|FC Lahti</t>
  </si>
  <si>
    <t>2026-06-17|IF Gnistan|FC Lahti</t>
  </si>
  <si>
    <t>2026-06-13|FC Lahti|SJK</t>
  </si>
  <si>
    <t>2026-05-30|FC Lahti|Ilves</t>
  </si>
  <si>
    <t>2026-05-18|FC Lahti|VPS Vaasa</t>
  </si>
  <si>
    <t>2026-08-02|AC Oulu|Ilves</t>
  </si>
  <si>
    <t>2026-07-04|FF Jaro|Ilves</t>
  </si>
  <si>
    <t>2026-06-27|Ilves|SJK</t>
  </si>
  <si>
    <t>2026-06-17|Ilves|FF Jaro</t>
  </si>
  <si>
    <t>2026-05-23|Ilves|IF Gnistan</t>
  </si>
  <si>
    <t>2026-05-16|HJK Helsinki|Ilves</t>
  </si>
  <si>
    <t>2026-07-25|IFK Mariehamn|AC Oulu</t>
  </si>
  <si>
    <t>2026-07-11|IF Gnistan|IFK Mariehamn</t>
  </si>
  <si>
    <t>2026-07-04|VPS Vaasa|IFK Mariehamn</t>
  </si>
  <si>
    <t>2026-06-23|IFK Mariehamn|HJK Helsinki</t>
  </si>
  <si>
    <t>2026-06-18|AC Oulu|IFK Mariehamn</t>
  </si>
  <si>
    <t>2026-06-13|IFK Mariehamn|IF Gnistan</t>
  </si>
  <si>
    <t>2026-05-30|HJK Helsinki|IFK Mariehamn</t>
  </si>
  <si>
    <t>2026-05-23|FF Jaro|IFK Mariehamn</t>
  </si>
  <si>
    <t>2026-07-18|AC Oulu|IF Gnistan</t>
  </si>
  <si>
    <t>2026-06-23|VPS Vaasa|AC Oulu</t>
  </si>
  <si>
    <t>2026-05-31|AC Oulu|FF Jaro</t>
  </si>
  <si>
    <t>2026-05-23|SJK|AC Oulu</t>
  </si>
  <si>
    <t>2026-05-08|Ilves|AC Oulu</t>
  </si>
  <si>
    <t>2026-07-18|HJK Helsinki|VPS Vaasa</t>
  </si>
  <si>
    <t>2026-06-13|FF Jaro|HJK Helsinki</t>
  </si>
  <si>
    <t>2026-05-22|VPS Vaasa|HJK Helsinki</t>
  </si>
  <si>
    <t>2026-07-10|VPS Vaasa|SJK</t>
  </si>
  <si>
    <t>2026-06-27|IF Gnistan|VPS Vaasa</t>
  </si>
  <si>
    <t>2026-06-17|SJK|VPS Vaasa</t>
  </si>
  <si>
    <t>2026-07-24|FF Jaro|SJK</t>
  </si>
  <si>
    <t>2026-06-23|FF Jaro|IF Gnistan</t>
  </si>
  <si>
    <t>2026-05-16|IF Gnistan|FF Jaro</t>
  </si>
  <si>
    <t>2026-08-07|SJK|IF Gnistan</t>
  </si>
  <si>
    <t>2026-07-31|Ekenas|Klubi 04</t>
  </si>
  <si>
    <t>2026-07-25|JäPS|Klubi 04</t>
  </si>
  <si>
    <t>2026-07-21|KaPa|Klubi 04</t>
  </si>
  <si>
    <t>2026-07-11|Klubi 04|Jippo</t>
  </si>
  <si>
    <t>2026-06-14|Mikkeli|Klubi 04</t>
  </si>
  <si>
    <t>2026-05-23|Klubi 04|KTP</t>
  </si>
  <si>
    <t>2026-05-09|Jippo|Klubi 04</t>
  </si>
  <si>
    <t>2026-08-08|SJK Akatemia|PK-35</t>
  </si>
  <si>
    <t>2026-05-16|JäPS|KTP</t>
  </si>
  <si>
    <t>2026-08-07|Haka|Jippo</t>
  </si>
  <si>
    <t>2026-07-30|Jippo|JäPS</t>
  </si>
  <si>
    <t>2026-07-15|Jippo|Mikkeli</t>
  </si>
  <si>
    <t>2026-06-27|Jippo|Ekenas</t>
  </si>
  <si>
    <t>2026-06-13|Jippo|KaPa</t>
  </si>
  <si>
    <t>2026-08-07|JäPS|Mikkeli</t>
  </si>
  <si>
    <t>2026-07-18|Ekenas|JäPS</t>
  </si>
  <si>
    <t>2026-06-28|KaPa|JäPS</t>
  </si>
  <si>
    <t>2026-05-29|KaPa|JäPS</t>
  </si>
  <si>
    <t>2026-05-22|JäPS|Mikkeli</t>
  </si>
  <si>
    <t>2026-08-08|KaPa|Ekenas</t>
  </si>
  <si>
    <t>2026-06-06|Ekenas|Mikkeli</t>
  </si>
  <si>
    <t>2026-05-31|Mikkeli|Ekenas</t>
  </si>
  <si>
    <t>2026-05-23|Ekenas|KaPa</t>
  </si>
  <si>
    <t>2026-07-29|Mikkeli|KaPa</t>
  </si>
  <si>
    <t>2026-05-17|Ekenas|SJK Akatemia</t>
  </si>
  <si>
    <t>2026-08-05|Tampere Utd|KPV</t>
  </si>
  <si>
    <t>2026-08-01|KPV|SalPa</t>
  </si>
  <si>
    <t>2026-07-20|KPV|RoPS (Rovaniemi)</t>
  </si>
  <si>
    <t>2026-07-11|KPV|TPV</t>
  </si>
  <si>
    <t>2026-07-02|Jazz Pori|KPV</t>
  </si>
  <si>
    <t>2026-06-28|KPV|Keski-Uusimaa</t>
  </si>
  <si>
    <t>2026-05-23|VJS|KPV</t>
  </si>
  <si>
    <t>2026-07-22|Keski-Uusimaa|VJS</t>
  </si>
  <si>
    <t>2026-07-18|VJS|Tampere Utd</t>
  </si>
  <si>
    <t>2026-07-04|SalPa|VJS</t>
  </si>
  <si>
    <t>2026-06-29|VJS|TPV</t>
  </si>
  <si>
    <t>2026-06-13|VJS|RoPS (Rovaniemi)</t>
  </si>
  <si>
    <t>2026-07-24|Jazz Pori|TPV</t>
  </si>
  <si>
    <t>2026-07-11|Keski-Uusimaa|Jazz Pori</t>
  </si>
  <si>
    <t>2026-06-25|Jazz Pori|Tampere Utd</t>
  </si>
  <si>
    <t>2026-05-28|Jazz Pori|SalPa</t>
  </si>
  <si>
    <t>2026-05-16|Jazz Pori|RoPS (Rovaniemi)</t>
  </si>
  <si>
    <t>2026-05-09|KuPS Akatemia|Jazz Pori</t>
  </si>
  <si>
    <t>2026-07-31|Keski-Uusimaa|Tampere Utd</t>
  </si>
  <si>
    <t>2026-07-10|Tampere Utd|SalPa</t>
  </si>
  <si>
    <t>2026-06-06|RoPS (Rovaniemi)|Tampere Utd</t>
  </si>
  <si>
    <t>2026-05-29|TPV|Tampere Utd</t>
  </si>
  <si>
    <t>2026-07-25|SalPa|Keski-Uusimaa</t>
  </si>
  <si>
    <t>2026-06-27|RoPS (Rovaniemi)|SalPa</t>
  </si>
  <si>
    <t>2026-08-01|TPV|RoPS (Rovaniemi)</t>
  </si>
  <si>
    <t>2026-07-05|RoPS (Rovaniemi)|Keski-Uusimaa</t>
  </si>
  <si>
    <t>2026-06-14|Keski-Uusimaa|TPV</t>
  </si>
  <si>
    <t>2026-05-23|SalPa|TPV</t>
  </si>
  <si>
    <t>2026-07-18|JS Hercules|JBK</t>
  </si>
  <si>
    <t>2026-07-04|JS Hercules|FC Vaajakoski</t>
  </si>
  <si>
    <t>2026-06-14|Jaro 2|JS Hercules</t>
  </si>
  <si>
    <t>2026-05-27|SJK Akatemia 2|JS Hercules</t>
  </si>
  <si>
    <t>2026-04-25|FC Vaajakoski|JS Hercules</t>
  </si>
  <si>
    <t>2026-07-08|Jaro 2|SJK Akatemia 2</t>
  </si>
  <si>
    <t>2026-06-30|SJK Akatemia 2|FC Vaajakoski</t>
  </si>
  <si>
    <t>2026-06-12|JBK|SJK Akatemia 2</t>
  </si>
  <si>
    <t>2026-08-01|JBK|FC Vaajakoski</t>
  </si>
  <si>
    <t>2026-07-12|FC Vaajakoski|Jaro 2</t>
  </si>
  <si>
    <t>2026-06-14|FC Vaajakoski|TP-47</t>
  </si>
  <si>
    <t>2026-07-18|Jaro 2|TP-47</t>
  </si>
  <si>
    <t>2026-07-12|SJK Akatemia 2|TP-47</t>
  </si>
  <si>
    <t>2026-08-08|GBK Kokkola|Huima / Urho</t>
  </si>
  <si>
    <t>2026-05-16|HPS|Atlantis FC</t>
  </si>
  <si>
    <t>2026-08-08|HIFK|PuiU</t>
  </si>
  <si>
    <t>2026-08-07|Kiffen|Union Plaani</t>
  </si>
  <si>
    <t>2026-05-23|Kiffen|MyPa</t>
  </si>
  <si>
    <t>2026-05-09|PEPO|Kiffen</t>
  </si>
  <si>
    <t>2026-08-07|PEPO|MyPa</t>
  </si>
  <si>
    <t>2026-07-25|Reipas (Lahden Reipas)|MyPa</t>
  </si>
  <si>
    <t>2026-07-11|MyPa|Union Plaani</t>
  </si>
  <si>
    <t>2026-05-29|MyPa|PEPO</t>
  </si>
  <si>
    <t>2026-05-16|MyPa|Reipas (Lahden Reipas)</t>
  </si>
  <si>
    <t>2026-07-31|Union Plaani|PEPO</t>
  </si>
  <si>
    <t>2026-06-04|PEPO|Reipas (Lahden Reipas)</t>
  </si>
  <si>
    <t>2026-06-13|Reipas (Lahden Reipas)|Union Plaani</t>
  </si>
  <si>
    <t>2026-05-23|PEPO|Union Plaani</t>
  </si>
  <si>
    <t>2026-05-29|Union Plaani|Kiffen</t>
  </si>
  <si>
    <t>2026-04-04|Chicago Fire FC|Nashville SC</t>
  </si>
  <si>
    <t>2026-04-11|Chicago Fire FC|Atlanta United FC</t>
  </si>
  <si>
    <t>2026-04-11|Charlotte FC|Nashville SC</t>
  </si>
  <si>
    <t>2026-04-11|Toronto FC|FC Cincinnati</t>
  </si>
  <si>
    <t>2026-04-18|Atlanta United FC|Nashville SC</t>
  </si>
  <si>
    <t>2026-04-18|New York City FC|Charlotte FC</t>
  </si>
  <si>
    <t>2026-04-18|FC Cincinnati|Chicago Fire FC</t>
  </si>
  <si>
    <t>2026-04-22|Atlanta United FC|New England Revolution</t>
  </si>
  <si>
    <t>2026-04-22|Orlando City SC|Charlotte FC</t>
  </si>
  <si>
    <t>2026-04-22|New York City FC|FC Cincinnati</t>
  </si>
  <si>
    <t>2026-04-25|Toronto FC|Atlanta United FC</t>
  </si>
  <si>
    <t>2026-04-25|Nashville SC|Charlotte FC</t>
  </si>
  <si>
    <t>2026-04-25|FC Cincinnati|New York Red Bulls</t>
  </si>
  <si>
    <t>2026-05-02|Atlanta United FC|CF Montréal</t>
  </si>
  <si>
    <t>2026-05-02|New England Revolution|Charlotte FC</t>
  </si>
  <si>
    <t>2026-05-02|Chicago Fire FC|FC Cincinnati</t>
  </si>
  <si>
    <t>2026-05-09|Charlotte FC|FC Cincinnati</t>
  </si>
  <si>
    <t>2026-05-09|Chicago Fire FC|New York Red Bulls</t>
  </si>
  <si>
    <t>2026-05-13|Charlotte FC|New York City FC</t>
  </si>
  <si>
    <t>2026-05-13|D.C. United|Chicago Fire FC</t>
  </si>
  <si>
    <t>2026-05-13|FC Cincinnati|Inter Miami CF</t>
  </si>
  <si>
    <t>2026-05-16|Orlando City SC|Atlanta United FC</t>
  </si>
  <si>
    <t>2026-05-16|Charlotte FC|Toronto FC</t>
  </si>
  <si>
    <t>2026-05-16|CF Montréal|Chicago Fire FC</t>
  </si>
  <si>
    <t>2026-05-23|Charlotte FC|New England Revolution</t>
  </si>
  <si>
    <t>2026-05-23|Chicago Fire FC|Toronto FC</t>
  </si>
  <si>
    <t>2026-05-23|FC Cincinnati|Orlando City SC</t>
  </si>
  <si>
    <t>2026-05-24|Columbus Crew|Atlanta United FC</t>
  </si>
  <si>
    <t>2026-07-17|Nashville SC|Atlanta United FC</t>
  </si>
  <si>
    <t>2026-07-22|Charlotte FC|Atlanta United FC</t>
  </si>
  <si>
    <t>2026-07-22|Inter Miami CF|Chicago Fire FC</t>
  </si>
  <si>
    <t>2026-07-25|New England Revolution|Atlanta United FC</t>
  </si>
  <si>
    <t>2026-07-25|New York Red Bulls|Charlotte FC</t>
  </si>
  <si>
    <t>2026-07-25|New York City FC|Chicago Fire FC</t>
  </si>
  <si>
    <t>2026-07-25|Columbus Crew|FC Cincinnati</t>
  </si>
  <si>
    <t>2026-08-01|Philadelphia Union|Atlanta United FC</t>
  </si>
  <si>
    <t>2026-08-01|Chicago Fire FC|Charlotte FC</t>
  </si>
  <si>
    <t>2026-07-22|Columbus Crew|New York City FC</t>
  </si>
  <si>
    <t>2026-05-16|Philadelphia Union|Columbus Crew</t>
  </si>
  <si>
    <t>2026-05-13|New York Red Bulls|Columbus Crew</t>
  </si>
  <si>
    <t>2026-05-10|New York City FC|Columbus Crew</t>
  </si>
  <si>
    <t>2026-04-25|Columbus Crew|Philadelphia Union</t>
  </si>
  <si>
    <t>2026-04-18|New England Revolution|Columbus Crew</t>
  </si>
  <si>
    <t>2026-04-12|Columbus Crew|Orlando City SC</t>
  </si>
  <si>
    <t>2026-08-01|D.C. United|Nashville SC</t>
  </si>
  <si>
    <t>2026-07-25|D.C. United|Toronto FC</t>
  </si>
  <si>
    <t>2026-05-23|D.C. United|CF Montréal</t>
  </si>
  <si>
    <t>2026-05-09|Nashville SC|D.C. United</t>
  </si>
  <si>
    <t>2026-05-03|New York City FC|D.C. United</t>
  </si>
  <si>
    <t>2026-04-25|D.C. United|Orlando City SC</t>
  </si>
  <si>
    <t>2026-04-22|New York Red Bulls|D.C. United</t>
  </si>
  <si>
    <t>2026-04-18|Philadelphia Union|D.C. United</t>
  </si>
  <si>
    <t>2026-04-11|New England Revolution|D.C. United</t>
  </si>
  <si>
    <t>2026-07-25|CF Montréal|Inter Miami CF</t>
  </si>
  <si>
    <t>2026-05-24|Inter Miami CF|Philadelphia Union</t>
  </si>
  <si>
    <t>2026-05-09|Toronto FC|Inter Miami CF</t>
  </si>
  <si>
    <t>2026-05-02|Inter Miami CF|Orlando City SC</t>
  </si>
  <si>
    <t>2026-04-25|Inter Miami CF|New England Revolution</t>
  </si>
  <si>
    <t>2026-04-11|Inter Miami CF|New York Red Bulls</t>
  </si>
  <si>
    <t>2026-07-25|Orlando City SC|Nashville SC</t>
  </si>
  <si>
    <t>2026-07-22|Nashville SC|CF Montréal</t>
  </si>
  <si>
    <t>2026-05-23|Nashville SC|New York City FC</t>
  </si>
  <si>
    <t>2026-05-13|New England Revolution|Nashville SC</t>
  </si>
  <si>
    <t>2026-05-02|Philadelphia Union|Nashville SC</t>
  </si>
  <si>
    <t>2026-08-01|CF Montréal|New England Revolution</t>
  </si>
  <si>
    <t>2026-07-22|New England Revolution|Toronto FC</t>
  </si>
  <si>
    <t>2026-05-09|New England Revolution|Philadelphia Union</t>
  </si>
  <si>
    <t>2026-07-16|CF Montréal|Toronto FC</t>
  </si>
  <si>
    <t>2026-05-09|CF Montréal|Orlando City SC</t>
  </si>
  <si>
    <t>2026-04-25|CF Montréal|New York City FC</t>
  </si>
  <si>
    <t>2026-04-18|CF Montréal|New York Red Bulls</t>
  </si>
  <si>
    <t>2026-04-11|CF Montréal|Philadelphia Union</t>
  </si>
  <si>
    <t>2026-05-16|New York Red Bulls|New York City FC</t>
  </si>
  <si>
    <t>2026-08-01|New York Red Bulls|Orlando City SC</t>
  </si>
  <si>
    <t>2026-07-22|Philadelphia Union|New York Red Bulls</t>
  </si>
  <si>
    <t>2026-05-13|Orlando City SC|Philadelphia Union</t>
  </si>
  <si>
    <t>2026-04-22|Toronto FC|Philadelphia Union</t>
  </si>
  <si>
    <t>2026-08-01|Colorado Rapids|Austin FC</t>
  </si>
  <si>
    <t>2026-07-25|Houston Dynamo FC|Austin FC</t>
  </si>
  <si>
    <t>2026-07-22|Austin FC|Seattle Sounders FC</t>
  </si>
  <si>
    <t>2026-05-23|St. Louis CITY SC|Austin FC</t>
  </si>
  <si>
    <t>2026-05-16|Austin FC|Sporting Kansas City</t>
  </si>
  <si>
    <t>2026-05-13|San Diego FC|Austin FC</t>
  </si>
  <si>
    <t>2026-05-10|Minnesota United FC|Austin FC</t>
  </si>
  <si>
    <t>2026-05-03|Austin FC|St. Louis CITY SC</t>
  </si>
  <si>
    <t>2026-04-25|Austin FC|Houston Dynamo FC</t>
  </si>
  <si>
    <t>2026-04-22|San Jose Earthquakes|Austin FC</t>
  </si>
  <si>
    <t>2026-07-25|St. Louis CITY SC|Colorado Rapids</t>
  </si>
  <si>
    <t>2026-07-22|Colorado Rapids|San Diego FC</t>
  </si>
  <si>
    <t>2026-05-23|Colorado Rapids|FC Dallas</t>
  </si>
  <si>
    <t>2026-05-16|Real Salt Lake|Colorado Rapids</t>
  </si>
  <si>
    <t>2026-05-13|Minnesota United FC|Colorado Rapids</t>
  </si>
  <si>
    <t>2026-05-09|Colorado Rapids|St. Louis CITY SC</t>
  </si>
  <si>
    <t>2026-05-02|Houston Dynamo FC|Colorado Rapids</t>
  </si>
  <si>
    <t>2026-04-25|Vancouver Whitecaps FC|Colorado Rapids</t>
  </si>
  <si>
    <t>2026-04-22|Los Angeles FC|Colorado Rapids</t>
  </si>
  <si>
    <t>2026-04-11|Colorado Rapids|Houston Dynamo FC</t>
  </si>
  <si>
    <t>2026-08-01|LA Galaxy|FC Dallas</t>
  </si>
  <si>
    <t>2026-07-25|San Diego FC|FC Dallas</t>
  </si>
  <si>
    <t>2026-07-22|Portland Timbers|FC Dallas</t>
  </si>
  <si>
    <t>2026-05-16|San Jose Earthquakes|FC Dallas</t>
  </si>
  <si>
    <t>2026-05-13|FC Dallas|Vancouver Whitecaps FC</t>
  </si>
  <si>
    <t>2026-05-09|FC Dallas|Real Salt Lake</t>
  </si>
  <si>
    <t>2026-04-25|Seattle Sounders FC|FC Dallas</t>
  </si>
  <si>
    <t>2026-04-22|FC Dallas|Minnesota United FC</t>
  </si>
  <si>
    <t>2026-04-18|FC Dallas|LA Galaxy</t>
  </si>
  <si>
    <t>2026-04-11|FC Dallas|St. Louis CITY SC</t>
  </si>
  <si>
    <t>2026-08-01|Sporting Kansas City|Houston Dynamo FC</t>
  </si>
  <si>
    <t>2026-05-23|LA Galaxy|Houston Dynamo FC</t>
  </si>
  <si>
    <t>2026-05-16|Houston Dynamo FC|Vancouver Whitecaps FC</t>
  </si>
  <si>
    <t>2026-05-13|Real Salt Lake|Houston Dynamo FC</t>
  </si>
  <si>
    <t>2026-05-10|Los Angeles FC|Houston Dynamo FC</t>
  </si>
  <si>
    <t>2026-04-22|Houston Dynamo FC|San Diego FC</t>
  </si>
  <si>
    <t>2026-07-25|San Jose Earthquakes|LA Galaxy</t>
  </si>
  <si>
    <t>2026-07-22|LA Galaxy|St. Louis CITY SC</t>
  </si>
  <si>
    <t>2026-07-17|LA Galaxy|Los Angeles FC</t>
  </si>
  <si>
    <t>2026-05-16|Seattle Sounders FC|LA Galaxy</t>
  </si>
  <si>
    <t>2026-05-13|Sporting Kansas City|LA Galaxy</t>
  </si>
  <si>
    <t>2026-05-02|LA Galaxy|Vancouver Whitecaps FC</t>
  </si>
  <si>
    <t>2026-04-26|LA Galaxy|Real Salt Lake</t>
  </si>
  <si>
    <t>2026-08-01|Vancouver Whitecaps FC|Los Angeles FC</t>
  </si>
  <si>
    <t>2026-07-25|Los Angeles FC|Sporting Kansas City</t>
  </si>
  <si>
    <t>2026-07-22|Los Angeles FC|Real Salt Lake</t>
  </si>
  <si>
    <t>2026-05-24|Los Angeles FC|Seattle Sounders FC</t>
  </si>
  <si>
    <t>2026-05-13|St. Louis CITY SC|Los Angeles FC</t>
  </si>
  <si>
    <t>2026-05-02|San Diego FC|Los Angeles FC</t>
  </si>
  <si>
    <t>2026-04-25|Minnesota United FC|Los Angeles FC</t>
  </si>
  <si>
    <t>2026-04-19|Los Angeles FC|San Jose Earthquakes</t>
  </si>
  <si>
    <t>2026-08-01|Minnesota United FC|San Diego FC</t>
  </si>
  <si>
    <t>2026-07-25|Minnesota United FC|Vancouver Whitecaps FC</t>
  </si>
  <si>
    <t>2026-07-22|Sporting Kansas City|Minnesota United FC</t>
  </si>
  <si>
    <t>2026-05-23|Minnesota United FC|Real Salt Lake</t>
  </si>
  <si>
    <t>2026-04-18|Minnesota United FC|Portland Timbers</t>
  </si>
  <si>
    <t>2026-04-11|San Diego FC|Minnesota United FC</t>
  </si>
  <si>
    <t>2026-07-25|Portland Timbers|Real Salt Lake</t>
  </si>
  <si>
    <t>2026-07-16|Seattle Sounders FC|Portland Timbers</t>
  </si>
  <si>
    <t>2026-05-23|Portland Timbers|San Jose Earthquakes</t>
  </si>
  <si>
    <t>2026-05-09|Portland Timbers|Sporting Kansas City</t>
  </si>
  <si>
    <t>2026-05-02|Real Salt Lake|Portland Timbers</t>
  </si>
  <si>
    <t>2026-04-25|San Diego FC|Portland Timbers</t>
  </si>
  <si>
    <t>2026-04-11|Portland Timbers|Los Angeles FC</t>
  </si>
  <si>
    <t>2026-08-01|St. Louis CITY SC|Real Salt Lake</t>
  </si>
  <si>
    <t>2026-04-18|Real Salt Lake|San Diego FC</t>
  </si>
  <si>
    <t>2026-04-04|Real Salt Lake|Sporting Kansas City</t>
  </si>
  <si>
    <t>2026-05-23|San Diego FC|Vancouver Whitecaps FC</t>
  </si>
  <si>
    <t>2026-05-09|Seattle Sounders FC|San Diego FC</t>
  </si>
  <si>
    <t>2026-05-13|Seattle Sounders FC|San Jose Earthquakes</t>
  </si>
  <si>
    <t>2026-05-09|San Jose Earthquakes|Vancouver Whitecaps FC</t>
  </si>
  <si>
    <t>2026-04-25|St. Louis CITY SC|San Jose Earthquakes</t>
  </si>
  <si>
    <t>2026-04-11|Sporting Kansas City|San Jose Earthquakes</t>
  </si>
  <si>
    <t>2026-05-02|Sporting Kansas City|Seattle Sounders FC</t>
  </si>
  <si>
    <t>2026-04-18|Seattle Sounders FC|St. Louis CITY SC</t>
  </si>
  <si>
    <t>2026-04-04|Houston Dynamo FC|Seattle Sounders FC</t>
  </si>
  <si>
    <t>2026-07-16|St. Louis CITY SC|Sporting Kansas City</t>
  </si>
  <si>
    <t>2026-04-17|Vancouver Whitecaps FC|Sporting Kansas City</t>
  </si>
  <si>
    <t>2026-04-04|Vancouver Whitecaps FC|Portland Timbers</t>
  </si>
  <si>
    <t>2026-04-25|Chicago Fire FC|Sporting Kansas City</t>
  </si>
  <si>
    <t>2026-05-09|Atlanta United FC|LA Galaxy</t>
  </si>
  <si>
    <t>2026-05-16|San Diego FC|FC Cincinnati</t>
  </si>
  <si>
    <t>2026-07-22|FC Cincinnati|Vancouver Whitecaps FC</t>
  </si>
  <si>
    <t>2026-05-02|Columbus Crew|Minnesota United FC</t>
  </si>
  <si>
    <t>2026-04-22|Columbus Crew|LA Galaxy</t>
  </si>
  <si>
    <t>2026-07-22|Houston Dynamo FC|D.C. United</t>
  </si>
  <si>
    <t>2026-05-16|D.C. United|St. Louis CITY SC</t>
  </si>
  <si>
    <t>2026-05-17|Inter Miami CF|Portland Timbers</t>
  </si>
  <si>
    <t>2026-04-22|Real Salt Lake|Inter Miami CF</t>
  </si>
  <si>
    <t>2026-04-18|Colorado Rapids|Inter Miami CF</t>
  </si>
  <si>
    <t>2026-05-17|Nashville SC|Los Angeles FC</t>
  </si>
  <si>
    <t>2026-08-08|New England Revolution|Houston Dynamo FC</t>
  </si>
  <si>
    <t>2026-05-16|New England Revolution|Minnesota United FC</t>
  </si>
  <si>
    <t>2026-05-13|CF Montréal|Portland Timbers</t>
  </si>
  <si>
    <t>2026-04-11|Vancouver Whitecaps FC|New York City FC</t>
  </si>
  <si>
    <t>2026-05-23|Sporting Kansas City|New York Red Bulls</t>
  </si>
  <si>
    <t>2026-05-02|New York Red Bulls|FC Dallas</t>
  </si>
  <si>
    <t>2026-07-22|San Jose Earthquakes|Orlando City SC</t>
  </si>
  <si>
    <t>2026-04-18|Orlando City SC|Houston Dynamo FC</t>
  </si>
  <si>
    <t>2026-07-25|Philadelphia Union|Seattle Sounders FC</t>
  </si>
  <si>
    <t>2026-05-02|Toronto FC|San Jose Earthquakes</t>
  </si>
  <si>
    <t>2026-04-18|Toronto FC|Austin FC</t>
  </si>
  <si>
    <t>2026-04-04|Inter Miami CF|Austin FC</t>
  </si>
  <si>
    <t>2026-08-07|LDU Quito|Independiente del Valle</t>
  </si>
  <si>
    <t>2026-08-02|Independiente del Valle|Deportivo Cuenca</t>
  </si>
  <si>
    <t>2026-07-26|Orense|Independiente del Valle</t>
  </si>
  <si>
    <t>2026-07-22|Independiente del Valle|Técnico Universitario</t>
  </si>
  <si>
    <t>2026-07-19|Independiente del Valle|Emelec</t>
  </si>
  <si>
    <t>2026-07-16|Aucas|Independiente del Valle</t>
  </si>
  <si>
    <t>2026-07-11|Mushuc Runa|Independiente del Valle</t>
  </si>
  <si>
    <t>2026-05-31|Guayaquil City FC|Independiente del Valle</t>
  </si>
  <si>
    <t>2026-05-22|Independiente del Valle|Libertad (Ecuador)</t>
  </si>
  <si>
    <t>2026-05-16|Macará|Independiente del Valle</t>
  </si>
  <si>
    <t>2026-05-09|Independiente del Valle|Barcelona SC</t>
  </si>
  <si>
    <t>2026-08-01|Universidad Católica (Quito)|Técnico Universitario</t>
  </si>
  <si>
    <t>2026-07-27|Guayaquil City FC|Universidad Católica (Quito)</t>
  </si>
  <si>
    <t>2026-07-21|Universidad Católica (Quito)|Barcelona SC</t>
  </si>
  <si>
    <t>2026-07-18|Deportivo Cuenca|Universidad Católica (Quito)</t>
  </si>
  <si>
    <t>2026-07-15|Universidad Católica (Quito)|LDU Quito</t>
  </si>
  <si>
    <t>2026-07-10|Leones del Norte|Universidad Católica (Quito)</t>
  </si>
  <si>
    <t>2026-07-06|Universidad Católica (Quito)|Mushuc Runa</t>
  </si>
  <si>
    <t>2026-05-31|Emelec|Universidad Católica (Quito)</t>
  </si>
  <si>
    <t>2026-05-23|Orense|Universidad Católica (Quito)</t>
  </si>
  <si>
    <t>2026-05-16|Universidad Católica (Quito)|Delfín SC</t>
  </si>
  <si>
    <t>2026-05-09|Aucas|Universidad Católica (Quito)</t>
  </si>
  <si>
    <t>2026-05-01|Universidad Católica (Quito)|Independiente del Valle</t>
  </si>
  <si>
    <t>2026-08-08|Barcelona SC|Macará</t>
  </si>
  <si>
    <t>2026-08-02|Macará|Guayaquil City FC</t>
  </si>
  <si>
    <t>2026-07-26|Aucas|Macará</t>
  </si>
  <si>
    <t>2026-07-22|Macará|Deportivo Cuenca</t>
  </si>
  <si>
    <t>2026-07-17|Delfín SC|Macará</t>
  </si>
  <si>
    <t>2026-07-14|Macará|Mushuc Runa</t>
  </si>
  <si>
    <t>2026-07-10|Técnico Universitario|Macará</t>
  </si>
  <si>
    <t>2026-07-05|Macará|LDU Quito</t>
  </si>
  <si>
    <t>2026-06-01|Leones del Norte|Macará</t>
  </si>
  <si>
    <t>2026-05-24|Emelec|Macará</t>
  </si>
  <si>
    <t>2026-05-10|Manta FC|Macará</t>
  </si>
  <si>
    <t>2026-08-08|Aucas|Leones del Norte</t>
  </si>
  <si>
    <t>2026-08-01|Emelec|Aucas</t>
  </si>
  <si>
    <t>2026-07-23|Orense|Aucas</t>
  </si>
  <si>
    <t>2026-07-19|Técnico Universitario|Aucas</t>
  </si>
  <si>
    <t>2026-07-12|Deportivo Cuenca|Aucas</t>
  </si>
  <si>
    <t>2026-07-07|Aucas|Guayaquil City FC</t>
  </si>
  <si>
    <t>2026-05-31|Mushuc Runa|Aucas</t>
  </si>
  <si>
    <t>2026-05-25|Aucas|Manta FC</t>
  </si>
  <si>
    <t>2026-05-16|Barcelona SC|Aucas</t>
  </si>
  <si>
    <t>2026-08-02|Leones del Norte|Barcelona SC</t>
  </si>
  <si>
    <t>2026-07-26|Barcelona SC|LDU Quito</t>
  </si>
  <si>
    <t>2026-07-18|Barcelona SC|Libertad (Ecuador)</t>
  </si>
  <si>
    <t>2026-07-15|Barcelona SC|Guayaquil City FC</t>
  </si>
  <si>
    <t>2026-07-12|Emelec|Barcelona SC</t>
  </si>
  <si>
    <t>2026-07-04|Barcelona SC|Deportivo Cuenca</t>
  </si>
  <si>
    <t>2026-06-01|Técnico Universitario|Barcelona SC</t>
  </si>
  <si>
    <t>2026-05-24|Delfín SC|Barcelona SC</t>
  </si>
  <si>
    <t>2026-07-22|Manta FC|LDU Quito</t>
  </si>
  <si>
    <t>2026-07-18|LDU Quito|Leones del Norte</t>
  </si>
  <si>
    <t>2026-07-01|LDU Quito|Orense</t>
  </si>
  <si>
    <t>2026-05-23|Deportivo Cuenca|LDU Quito</t>
  </si>
  <si>
    <t>2026-05-15|LDU Quito|Técnico Universitario</t>
  </si>
  <si>
    <t>2026-05-11|Mushuc Runa|LDU Quito</t>
  </si>
  <si>
    <t>2026-05-02|LDU Quito|Guayaquil City FC</t>
  </si>
  <si>
    <t>2026-07-26|Delfín SC|Leones del Norte</t>
  </si>
  <si>
    <t>2026-07-23|Leones del Norte|Guayaquil City FC</t>
  </si>
  <si>
    <t>2026-07-15|Leones del Norte|Deportivo Cuenca</t>
  </si>
  <si>
    <t>2026-07-04|Libertad (Ecuador)|Leones del Norte</t>
  </si>
  <si>
    <t>2026-05-24|Técnico Universitario|Leones del Norte</t>
  </si>
  <si>
    <t>2026-05-17|Leones del Norte|Mushuc Runa</t>
  </si>
  <si>
    <t>2026-05-08|Orense|Leones del Norte</t>
  </si>
  <si>
    <t>2026-07-27|Deportivo Cuenca|Emelec</t>
  </si>
  <si>
    <t>2026-05-30|Deportivo Cuenca|Delfín SC</t>
  </si>
  <si>
    <t>2026-05-15|Libertad (Ecuador)|Deportivo Cuenca</t>
  </si>
  <si>
    <t>2026-05-09|Guayaquil City FC|Deportivo Cuenca</t>
  </si>
  <si>
    <t>2026-05-02|Deportivo Cuenca|Técnico Universitario</t>
  </si>
  <si>
    <t>2026-07-31|Libertad (Ecuador)|Orense</t>
  </si>
  <si>
    <t>2026-07-27|Mushuc Runa|Libertad (Ecuador)</t>
  </si>
  <si>
    <t>2026-07-21|Libertad (Ecuador)|Delfín SC</t>
  </si>
  <si>
    <t>2026-07-15|Libertad (Ecuador)|Técnico Universitario</t>
  </si>
  <si>
    <t>2026-07-12|LDU Quito|Libertad (Ecuador)</t>
  </si>
  <si>
    <t>2026-05-30|Manta FC|Libertad (Ecuador)</t>
  </si>
  <si>
    <t>2026-05-10|Emelec|Libertad (Ecuador)</t>
  </si>
  <si>
    <t>2026-05-01|Libertad (Ecuador)|Aucas</t>
  </si>
  <si>
    <t>2026-08-01|Manta FC|Mushuc Runa</t>
  </si>
  <si>
    <t>2026-07-23|Emelec|Mushuc Runa</t>
  </si>
  <si>
    <t>2026-07-20|Mushuc Runa|Orense</t>
  </si>
  <si>
    <t>2026-05-23|Mushuc Runa|Guayaquil City FC</t>
  </si>
  <si>
    <t>2026-05-03|Delfín SC|Mushuc Runa</t>
  </si>
  <si>
    <t>2026-07-19|Guayaquil City FC|Manta FC</t>
  </si>
  <si>
    <t>2026-07-11|Guayaquil City FC|Delfín SC</t>
  </si>
  <si>
    <t>2026-05-18|Guayaquil City FC|Orense</t>
  </si>
  <si>
    <t>2026-08-09|Guayaquil City FC|Emelec</t>
  </si>
  <si>
    <t>2026-07-16|Orense|Emelec</t>
  </si>
  <si>
    <t>2026-07-05|Delfín SC|Emelec</t>
  </si>
  <si>
    <t>2026-05-17|Manta FC|Emelec</t>
  </si>
  <si>
    <t>2026-07-14|Manta FC|Delfín SC</t>
  </si>
  <si>
    <t>2026-05-09|Técnico Universitario|Delfín SC</t>
  </si>
  <si>
    <t>2026-07-25|Técnico Universitario|Manta FC</t>
  </si>
  <si>
    <t>2026-07-06|Orense|Técnico Universitario</t>
  </si>
  <si>
    <t>2026-08-09|Delfín SC|Orense</t>
  </si>
  <si>
    <t>2026-07-11|Manta FC|Orense</t>
  </si>
  <si>
    <t>2026-05-02|Barcelona SC|Manta FC</t>
  </si>
  <si>
    <t>2026-08-08|Grotta|Throttur (Þróttur)</t>
  </si>
  <si>
    <t>2026-07-23|Leiknir|Throttur (Þróttur)</t>
  </si>
  <si>
    <t>2026-07-18|Throttur (Þróttur)|Volsungur</t>
  </si>
  <si>
    <t>2026-07-03|Njardvik|Throttur (Þróttur)</t>
  </si>
  <si>
    <t>2026-06-27|Throttur (Þróttur)|Vestri</t>
  </si>
  <si>
    <t>2026-06-12|Throttur (Þróttur)|Kopavogur</t>
  </si>
  <si>
    <t>2026-06-06|Fylkir|Throttur (Þróttur)</t>
  </si>
  <si>
    <t>2026-06-01|Throttur (Þróttur)|Grindavik</t>
  </si>
  <si>
    <t>2026-05-27|Throttur (Þróttur)|Grotta</t>
  </si>
  <si>
    <t>2026-08-07|Leiknir|Fylkir</t>
  </si>
  <si>
    <t>2026-07-29|Fylkir|Volsungur</t>
  </si>
  <si>
    <t>2026-07-17|Fylkir|Njardvik</t>
  </si>
  <si>
    <t>2026-07-13|Vestri|Fylkir</t>
  </si>
  <si>
    <t>2026-06-26|Fylkir|Kopavogur</t>
  </si>
  <si>
    <t>2026-06-21|Grotta|Fylkir</t>
  </si>
  <si>
    <t>2026-06-17|Grindavik|Fylkir</t>
  </si>
  <si>
    <t>2026-05-31|Afturelding|Fylkir</t>
  </si>
  <si>
    <t>2026-05-27|Fylkir|Leiknir</t>
  </si>
  <si>
    <t>2026-07-16|Afturelding|Leiknir</t>
  </si>
  <si>
    <t>2026-07-11|Volsungur|Afturelding</t>
  </si>
  <si>
    <t>2026-06-26|Afturelding|Njardvik</t>
  </si>
  <si>
    <t>2026-06-21|Vestri|Afturelding</t>
  </si>
  <si>
    <t>2026-06-05|Kopavogur|Afturelding</t>
  </si>
  <si>
    <t>2026-05-27|Grindavik|Afturelding</t>
  </si>
  <si>
    <t>2026-05-22|Afturelding|Throttur (Þróttur)</t>
  </si>
  <si>
    <t>2026-08-09|Volsungur|Kopavogur</t>
  </si>
  <si>
    <t>2026-07-24|Njardvik|Kopavogur</t>
  </si>
  <si>
    <t>2026-07-20|Kopavogur|Vestri</t>
  </si>
  <si>
    <t>2026-07-03|Grotta|Kopavogur</t>
  </si>
  <si>
    <t>2026-06-21|Kopavogur|Grindavik</t>
  </si>
  <si>
    <t>2026-05-31|Leiknir|Kopavogur</t>
  </si>
  <si>
    <t>2026-05-27|Kopavogur|Volsungur</t>
  </si>
  <si>
    <t>2026-08-08|Njardvik|Vestri</t>
  </si>
  <si>
    <t>2026-07-10|Njardvik|Grindavik</t>
  </si>
  <si>
    <t>2026-06-19|Njardvik|Leiknir</t>
  </si>
  <si>
    <t>2026-06-13|Volsungur|Njardvik</t>
  </si>
  <si>
    <t>2026-05-27|Vestri|Njardvik</t>
  </si>
  <si>
    <t>2026-08-03|Vestri|Grotta</t>
  </si>
  <si>
    <t>2026-07-14|Grotta|Grindavik</t>
  </si>
  <si>
    <t>2026-07-10|Leiknir|Grotta</t>
  </si>
  <si>
    <t>2026-06-27|Volsungur|Grotta</t>
  </si>
  <si>
    <t>2026-05-31|Njardvik|Grotta</t>
  </si>
  <si>
    <t>2026-05-23|Grotta|Vestri</t>
  </si>
  <si>
    <t>2026-05-09|Vestri|Kopavogur</t>
  </si>
  <si>
    <t>2026-07-04|Leiknir|Volsungur</t>
  </si>
  <si>
    <t>2026-06-13|Leiknir|Vestri</t>
  </si>
  <si>
    <t>2026-05-22|Leiknir|Grindavik</t>
  </si>
  <si>
    <t>2026-08-06|IR Reykjavik|Aegir</t>
  </si>
  <si>
    <t>2026-07-24|Volsungur|Grindavik</t>
  </si>
  <si>
    <t>2026-06-06|Vestri|Volsungur</t>
  </si>
  <si>
    <t>2026-08-09|Vikingur Reykjavik (Víkingur Reykjavík)|IBV Vestmannaeyjar</t>
  </si>
  <si>
    <t>2026-08-02|Akranes (ÍA Akranes)|Vikingur Reykjavik (Víkingur Reykjavík)</t>
  </si>
  <si>
    <t>2026-07-24|Vikingur Reykjavik (Víkingur Reykjavík)|Keflavík</t>
  </si>
  <si>
    <t>2026-07-18|Thor Akureyri (Þór Akureyri)|Vikingur Reykjavik (Víkingur Reykjavík)</t>
  </si>
  <si>
    <t>2026-07-02|Vikingur Reykjavik (Víkingur Reykjavík)|KA Akureyri</t>
  </si>
  <si>
    <t>2026-06-25|Breidablik|Vikingur Reykjavik (Víkingur Reykjavík)</t>
  </si>
  <si>
    <t>2026-06-21|Fram Reykjavik (Fram Reykjavík)|Vikingur Reykjavik (Víkingur Reykjavík)</t>
  </si>
  <si>
    <t>2026-06-16|Vikingur Reykjavik (Víkingur Reykjavík)|KR Reykjavik (KR Reykjavík)</t>
  </si>
  <si>
    <t>2026-05-31|Valur Reykjavik|Vikingur Reykjavik (Víkingur Reykjavík)</t>
  </si>
  <si>
    <t>2026-05-26|Stjarnan|Vikingur Reykjavik (Víkingur Reykjavík)</t>
  </si>
  <si>
    <t>2026-05-22|Vikingur Reykjavik (Víkingur Reykjavík)|Hafnarfjordur (FH Hafnarfjörður)</t>
  </si>
  <si>
    <t>2026-05-17|IBV Vestmannaeyjar|Vikingur Reykjavik (Víkingur Reykjavík)</t>
  </si>
  <si>
    <t>2026-08-01|IBV Vestmannaeyjar|Fram Reykjavik (Fram Reykjavík)</t>
  </si>
  <si>
    <t>2026-07-26|Fram Reykjavik (Fram Reykjavík)|Hafnarfjordur (FH Hafnarfjörður)</t>
  </si>
  <si>
    <t>2026-07-18|Valur Reykjavik|Fram Reykjavik (Fram Reykjavík)</t>
  </si>
  <si>
    <t>2026-07-12|Fram Reykjavik (Fram Reykjavík)|Thor Akureyri (Þór Akureyri)</t>
  </si>
  <si>
    <t>2026-07-06|Keflavík|Fram Reykjavik (Fram Reykjavík)</t>
  </si>
  <si>
    <t>2026-06-29|Akranes (ÍA Akranes)|Fram Reykjavik (Fram Reykjavík)</t>
  </si>
  <si>
    <t>2026-06-15|KA Akureyri|Fram Reykjavik (Fram Reykjavík)</t>
  </si>
  <si>
    <t>2026-05-29|Fram Reykjavik (Fram Reykjavík)|Breidablik</t>
  </si>
  <si>
    <t>2026-05-22|Stjarnan|Fram Reykjavik (Fram Reykjavík)</t>
  </si>
  <si>
    <t>2026-05-17|KR Reykjavik (KR Reykjavík)|Fram Reykjavik (Fram Reykjavík)</t>
  </si>
  <si>
    <t>2026-05-08|Fram Reykjavik (Fram Reykjavík)|Valur Reykjavik</t>
  </si>
  <si>
    <t>2026-08-05|Hafnarfjordur (FH Hafnarfjörður)|KR Reykjavik (KR Reykjavík)</t>
  </si>
  <si>
    <t>2026-07-19|KR Reykjavik (KR Reykjavík)|Stjarnan</t>
  </si>
  <si>
    <t>2026-07-12|KR Reykjavik (KR Reykjavík)|IBV Vestmannaeyjar</t>
  </si>
  <si>
    <t>2026-07-02|Thor Akureyri (Þór Akureyri)|KR Reykjavik (KR Reykjavík)</t>
  </si>
  <si>
    <t>2026-06-28|Keflavík|KR Reykjavik (KR Reykjavík)</t>
  </si>
  <si>
    <t>2026-06-22|KR Reykjavik (KR Reykjavík)|Akranes (ÍA Akranes)</t>
  </si>
  <si>
    <t>2026-05-31|KR Reykjavik (KR Reykjavík)|KA Akureyri</t>
  </si>
  <si>
    <t>2026-05-26|KR Reykjavik (KR Reykjavík)|Valur Reykjavik</t>
  </si>
  <si>
    <t>2026-05-22|Breidablik|KR Reykjavik (KR Reykjavík)</t>
  </si>
  <si>
    <t>2026-05-08|Stjarnan|KR Reykjavik (KR Reykjavík)</t>
  </si>
  <si>
    <t>2026-08-09|Breidablik|Valur Reykjavik</t>
  </si>
  <si>
    <t>2026-07-20|Hafnarfjordur (FH Hafnarfjörður)|Breidablik</t>
  </si>
  <si>
    <t>2026-07-13|Breidablik|Keflavík</t>
  </si>
  <si>
    <t>2026-07-04|Akranes (ÍA Akranes)|Breidablik</t>
  </si>
  <si>
    <t>2026-06-21|Breidablik|KA Akureyri</t>
  </si>
  <si>
    <t>2026-06-16|Stjarnan|Breidablik</t>
  </si>
  <si>
    <t>2026-05-17|Valur Reykjavik|Breidablik</t>
  </si>
  <si>
    <t>2026-07-12|Hafnarfjordur (FH Hafnarfjörður)|Valur Reykjavik</t>
  </si>
  <si>
    <t>2026-07-04|IBV Vestmannaeyjar|Valur Reykjavik</t>
  </si>
  <si>
    <t>2026-06-28|Thor Akureyri (Þór Akureyri)|Valur Reykjavik</t>
  </si>
  <si>
    <t>2026-06-21|Valur Reykjavik|Keflavík</t>
  </si>
  <si>
    <t>2026-06-16|Akranes (ÍA Akranes)|Valur Reykjavik</t>
  </si>
  <si>
    <t>2026-05-22|KA Akureyri|Valur Reykjavik</t>
  </si>
  <si>
    <t>2026-08-09|Stjarnan|Keflavík</t>
  </si>
  <si>
    <t>2026-07-26|Akranes (ÍA Akranes)|Stjarnan</t>
  </si>
  <si>
    <t>2026-07-03|Hafnarfjordur (FH Hafnarfjörður)|Stjarnan</t>
  </si>
  <si>
    <t>2026-06-28|Stjarnan|KA Akureyri</t>
  </si>
  <si>
    <t>2026-06-21|IBV Vestmannaeyjar|Stjarnan</t>
  </si>
  <si>
    <t>2026-05-31|Thor Akureyri (Þór Akureyri)|Stjarnan</t>
  </si>
  <si>
    <t>2026-05-17|Keflavík|Stjarnan</t>
  </si>
  <si>
    <t>2026-08-09|KA Akureyri|Hafnarfjordur (FH Hafnarfjörður)</t>
  </si>
  <si>
    <t>2026-07-19|IBV Vestmannaeyjar|KA Akureyri</t>
  </si>
  <si>
    <t>2026-07-12|KA Akureyri|Akranes (ÍA Akranes)</t>
  </si>
  <si>
    <t>2026-05-17|Hafnarfjordur (FH Hafnarfjörður)|KA Akureyri</t>
  </si>
  <si>
    <t>2026-07-20|Keflavík|Akranes (ÍA Akranes)</t>
  </si>
  <si>
    <t>2026-06-14|Keflavík|Hafnarfjordur (FH Hafnarfjörður)</t>
  </si>
  <si>
    <t>2026-05-31|IBV Vestmannaeyjar|Keflavík</t>
  </si>
  <si>
    <t>2026-05-22|Keflavík|Thor Akureyri (Þór Akureyri)</t>
  </si>
  <si>
    <t>2026-06-28|Hafnarfjordur (FH Hafnarfjörður)|IBV Vestmannaeyjar</t>
  </si>
  <si>
    <t>2026-06-14|Thor Akureyri (Þór Akureyri)|IBV Vestmannaeyjar</t>
  </si>
  <si>
    <t>2026-05-21|Akranes (ÍA Akranes)|IBV Vestmannaeyjar</t>
  </si>
  <si>
    <t>2026-08-09|Akranes (ÍA Akranes)|Thor Akureyri (Þór Akureyri)</t>
  </si>
  <si>
    <t>2026-06-21|Hafnarfjordur (FH Hafnarfjörður)|Thor Akureyri (Þór Akureyri)</t>
  </si>
  <si>
    <t>2026-05-17|Thor Akureyri (Þór Akureyri)|Akranes (ÍA Akranes)</t>
  </si>
  <si>
    <t>2026-05-29|Hafnarfjordur (FH Hafnarfjörður)|Akranes (ÍA Akranes)</t>
  </si>
  <si>
    <t>2026-08-08|Örgryte IS|AIK</t>
  </si>
  <si>
    <t>2026-08-02|AIK|Örgryte IS</t>
  </si>
  <si>
    <t>2026-07-18|AIK|GAIS</t>
  </si>
  <si>
    <t>2026-07-11|Mjällby AIF|AIK</t>
  </si>
  <si>
    <t>2026-07-05|IFK Göteborg|AIK</t>
  </si>
  <si>
    <t>2026-05-30|AIK|IK Sirius</t>
  </si>
  <si>
    <t>2026-05-24|Hammarby IF|AIK</t>
  </si>
  <si>
    <t>2026-05-17|Västerås SK|AIK</t>
  </si>
  <si>
    <t>2026-05-10|AIK|Djurgårdens IF</t>
  </si>
  <si>
    <t>2026-05-03|IF Elfsborg|AIK</t>
  </si>
  <si>
    <t>2026-04-27|AIK|Malmö FF</t>
  </si>
  <si>
    <t>2026-08-09|Hammarby IF|BK Häcken</t>
  </si>
  <si>
    <t>2026-08-01|BK Häcken|Kalmar FF</t>
  </si>
  <si>
    <t>2026-07-19|Halmstads BK|BK Häcken</t>
  </si>
  <si>
    <t>2026-07-11|Örgryte IS|BK Häcken</t>
  </si>
  <si>
    <t>2026-07-06|BK Häcken|Djurgårdens IF</t>
  </si>
  <si>
    <t>2026-05-31|BK Häcken|Hammarby IF</t>
  </si>
  <si>
    <t>2026-05-25|IF Elfsborg|BK Häcken</t>
  </si>
  <si>
    <t>2026-05-17|Mjällby AIF|BK Häcken</t>
  </si>
  <si>
    <t>2026-05-10|BK Häcken|Malmö FF</t>
  </si>
  <si>
    <t>2026-05-02|Degerfors IF|BK Häcken</t>
  </si>
  <si>
    <t>2026-04-27|BK Häcken|IK Sirius</t>
  </si>
  <si>
    <t>2026-08-09|Malmö FF|Degerfors IF</t>
  </si>
  <si>
    <t>2026-08-02|IFK Göteborg|Degerfors IF</t>
  </si>
  <si>
    <t>2026-07-25|Degerfors IF|Djurgårdens IF</t>
  </si>
  <si>
    <t>2026-07-19|Hammarby IF|Degerfors IF</t>
  </si>
  <si>
    <t>2026-07-12|Västerås SK|Degerfors IF</t>
  </si>
  <si>
    <t>2026-07-04|Degerfors IF|Malmö FF</t>
  </si>
  <si>
    <t>2026-05-31|Degerfors IF|IF Brommapojkarna</t>
  </si>
  <si>
    <t>2026-05-23|Kalmar FF|Degerfors IF</t>
  </si>
  <si>
    <t>2026-05-16|GAIS|Degerfors IF</t>
  </si>
  <si>
    <t>2026-05-09|Degerfors IF|Mjällby AIF</t>
  </si>
  <si>
    <t>2026-04-27|Örgryte IS|Degerfors IF</t>
  </si>
  <si>
    <t>2026-08-03|Djurgårdens IF|Västerås SK</t>
  </si>
  <si>
    <t>2026-07-20|Örgryte IS|Djurgårdens IF</t>
  </si>
  <si>
    <t>2026-07-13|Djurgårdens IF|Halmstads BK</t>
  </si>
  <si>
    <t>2026-05-22|Djurgårdens IF|IF Brommapojkarna</t>
  </si>
  <si>
    <t>2026-05-18|Djurgårdens IF|IK Sirius</t>
  </si>
  <si>
    <t>2026-05-04|Djurgårdens IF|IFK Göteborg</t>
  </si>
  <si>
    <t>2026-04-26|Djurgårdens IF|Hammarby IF</t>
  </si>
  <si>
    <t>2026-04-22|IF Elfsborg|Djurgårdens IF</t>
  </si>
  <si>
    <t>2026-04-17|Djurgårdens IF|Malmö FF</t>
  </si>
  <si>
    <t>2026-08-09|Halmstads BK|GAIS</t>
  </si>
  <si>
    <t>2026-07-26|GAIS|Halmstads BK</t>
  </si>
  <si>
    <t>2026-07-12|GAIS|IF Elfsborg</t>
  </si>
  <si>
    <t>2026-07-06|IF Brommapojkarna|GAIS</t>
  </si>
  <si>
    <t>2026-05-30|GAIS|Kalmar FF</t>
  </si>
  <si>
    <t>2026-05-24|IK Sirius|GAIS</t>
  </si>
  <si>
    <t>2026-05-20|GAIS|Hammarby IF</t>
  </si>
  <si>
    <t>2026-05-09|Västerås SK|GAIS</t>
  </si>
  <si>
    <t>2026-05-03|GAIS|Örgryte IS</t>
  </si>
  <si>
    <t>2026-04-26|IFK Göteborg|GAIS</t>
  </si>
  <si>
    <t>AFC Malmö (Ariana FC Malmö) 1 vs 2 Trelleborgs FF</t>
  </si>
  <si>
    <t>AFC Malmö (Ariana FC Malmö)</t>
  </si>
  <si>
    <t>2026-08-08|AFC Malmö (Ariana FC Malmö)|Trelleborgs FF</t>
  </si>
  <si>
    <t>Ängelholms FF 2 vs 2 AFC Malmö (Ariana FC Malmö)</t>
  </si>
  <si>
    <t>2026-08-01|Ängelholms FF|AFC Malmö (Ariana FC Malmö)</t>
  </si>
  <si>
    <t>AFC Malmö (Ariana FC Malmö) 1 vs 0 Jönköpings Södra IF</t>
  </si>
  <si>
    <t>2026-06-27|AFC Malmö (Ariana FC Malmö)|Jönköpings Södra IF</t>
  </si>
  <si>
    <t>AFC Malmö (Ariana FC Malmö) 1 vs 2 BK Olympic</t>
  </si>
  <si>
    <t>2026-06-21|AFC Malmö (Ariana FC Malmö)|BK Olympic</t>
  </si>
  <si>
    <t>Lunds BK 1 vs 4 AFC Malmö (Ariana FC Malmö)</t>
  </si>
  <si>
    <t>2026-06-12|Lunds BK|AFC Malmö (Ariana FC Malmö)</t>
  </si>
  <si>
    <t>AFC Malmö (Ariana FC Malmö) 2 vs 1 Eskilsminne IF</t>
  </si>
  <si>
    <t>2026-06-07|AFC Malmö (Ariana FC Malmö)|Eskilsminne IF</t>
  </si>
  <si>
    <t>AFC Malmö (Ariana FC Malmö) 4 vs 2 Laholms FK</t>
  </si>
  <si>
    <t>2026-05-30|AFC Malmö (Ariana FC Malmö)|Laholms FK</t>
  </si>
  <si>
    <t>Skövde AIK 0 vs 4 AFC Malmö (Ariana FC Malmö)</t>
  </si>
  <si>
    <t>2026-05-23|Skövde AIK|AFC Malmö (Ariana FC Malmö)</t>
  </si>
  <si>
    <t>AFC Malmö (Ariana FC Malmö) 0 vs 1 Tvååkers IF</t>
  </si>
  <si>
    <t>2026-05-18|AFC Malmö (Ariana FC Malmö)|Tvååkers IF</t>
  </si>
  <si>
    <t>FC Trollhättan 0 vs 2 AFC Malmö (Ariana FC Malmö)</t>
  </si>
  <si>
    <t>2026-05-14|FC Trollhättan|AFC Malmö (Ariana FC Malmö)</t>
  </si>
  <si>
    <t>AFC Malmö (Ariana FC Malmö) 3 vs 2 Hässleholms IF</t>
  </si>
  <si>
    <t>2026-05-08|AFC Malmö (Ariana FC Malmö)|Hässleholms IF</t>
  </si>
  <si>
    <t>Utsiktens BK 0 vs 3 AFC Malmö (Ariana FC Malmö)</t>
  </si>
  <si>
    <t>2026-05-02|Utsiktens BK|AFC Malmö (Ariana FC Malmö)</t>
  </si>
  <si>
    <t>2026-05-03|Ferroviária|Anápolis</t>
  </si>
  <si>
    <t>2026-05-09|Paysandu|Anápolis</t>
  </si>
  <si>
    <t>2026-05-17|Anápolis|Barra FC</t>
  </si>
  <si>
    <t>2026-05-24|Brusque|Anápolis</t>
  </si>
  <si>
    <t>2026-05-31|Anápolis|Maranhão</t>
  </si>
  <si>
    <t>2026-06-13|Amazonas|Anápolis</t>
  </si>
  <si>
    <t>2026-06-20|Anápolis|Itabaiana</t>
  </si>
  <si>
    <t>2026-06-30|Caxias|Anápolis</t>
  </si>
  <si>
    <t>2026-07-12|Anápolis|Maringá</t>
  </si>
  <si>
    <t>2026-07-25|Volta Redonda|Anápolis</t>
  </si>
  <si>
    <t>2026-05-02|Guarani|Santa Cruz</t>
  </si>
  <si>
    <t>2026-05-11|Maringá|Guarani</t>
  </si>
  <si>
    <t>2026-05-17|Guarani|Ituano</t>
  </si>
  <si>
    <t>2026-05-23|Barra FC|Guarani</t>
  </si>
  <si>
    <t>2026-05-31|Guarani|Amazonas</t>
  </si>
  <si>
    <t>2026-06-13|Guarani|Caxias</t>
  </si>
  <si>
    <t>2026-06-22|Confiança|Guarani</t>
  </si>
  <si>
    <t>2026-06-28|Figueirense|Guarani</t>
  </si>
  <si>
    <t>2026-07-04|Guarani|Floresta</t>
  </si>
  <si>
    <t>2026-07-12|Paysandu|Guarani</t>
  </si>
  <si>
    <t>2026-07-27|Guarani|Inter de Limeira</t>
  </si>
  <si>
    <t>2026-05-03|Paysandu|Botafogo-PB</t>
  </si>
  <si>
    <t>2026-05-17|Caxias|Paysandu</t>
  </si>
  <si>
    <t>2026-05-25|Paysandu|Floresta</t>
  </si>
  <si>
    <t>2026-05-31|Figueirense|Paysandu</t>
  </si>
  <si>
    <t>2026-06-14|Paysandu|Inter de Limeira</t>
  </si>
  <si>
    <t>2026-06-21|Maranhão|Paysandu</t>
  </si>
  <si>
    <t>2026-06-27|Paysandu|Santa Cruz</t>
  </si>
  <si>
    <t>2026-07-05|Ypiranga-RS|Paysandu</t>
  </si>
  <si>
    <t>2026-07-26|Amazonas|Paysandu</t>
  </si>
  <si>
    <t>2026-05-02|Confiança|Inter de Limeira</t>
  </si>
  <si>
    <t>2026-05-10|Ituano|Confiança</t>
  </si>
  <si>
    <t>2026-05-18|Confiança|Maranhão</t>
  </si>
  <si>
    <t>2026-05-24|Confiança|Figueirense</t>
  </si>
  <si>
    <t>2026-05-30|Floresta|Confiança</t>
  </si>
  <si>
    <t>2026-06-14|Volta Redonda|Confiança</t>
  </si>
  <si>
    <t>2026-06-28|Ypiranga-RS|Confiança</t>
  </si>
  <si>
    <t>2026-07-04|Confiança|Barra FC</t>
  </si>
  <si>
    <t>2026-07-12|Botafogo-PB|Confiança</t>
  </si>
  <si>
    <t>2026-07-25|Confiança|Itabaiana</t>
  </si>
  <si>
    <t>2026-07-21|Lions FC|Perth Glory</t>
  </si>
  <si>
    <t>2026-06-13|Sunshine Coast Wanderers|Lions FC</t>
  </si>
  <si>
    <t>2026-08-08|Wollongong Wolves|Sydney United</t>
  </si>
  <si>
    <t>2026-07-12|Lions FC|Eastern Suburbs</t>
  </si>
  <si>
    <t>2026-08-08|Brisbane Olympic FC|Moreton City Excelsior</t>
  </si>
  <si>
    <t>2026-08-08|Brisbane City|Gold Coast Utd</t>
  </si>
  <si>
    <t>2026-08-08|Eastern Suburbs|Wynnum Wolves</t>
  </si>
  <si>
    <t>2026-08-08|Gold Coast Knights|Peninsula Power</t>
  </si>
  <si>
    <t>2026-08-08|Magic United|Rochedale Rovers</t>
  </si>
  <si>
    <t>2026-08-07|Adelaide City|Playford Patriots</t>
  </si>
  <si>
    <t>2026-08-07|Campbelltown City|FK Beograd</t>
  </si>
  <si>
    <t>2026-08-07|Croydon|Sturt Lions</t>
  </si>
  <si>
    <t>2026-08-07|Adelaide United U23|Para</t>
  </si>
  <si>
    <t>2026-08-11|Sturt Lions|Adelaide Comets</t>
  </si>
  <si>
    <t>2026-05-08|Perth Azzurri|Fremantle City</t>
  </si>
  <si>
    <t>2026-05-09|Perth Glory U23|Western Knights</t>
  </si>
  <si>
    <t>2026-05-09|Armadale|Balcatta</t>
  </si>
  <si>
    <t>2026-05-09|Stirling Macedonia|Dianella White Eagle</t>
  </si>
  <si>
    <t>2026-05-16|Perth RedStar|Armadale</t>
  </si>
  <si>
    <t>2026-05-16|Sorrento FC|Perth Azzurri</t>
  </si>
  <si>
    <t>2026-05-16|Dianella White Eagle|Balcatta</t>
  </si>
  <si>
    <t>2026-05-16|Western Knights|Stirling Macedonia</t>
  </si>
  <si>
    <t>2026-05-16|Perth Glory U23|Bayswater City</t>
  </si>
  <si>
    <t>2026-05-16|Fremantle City|Olympic Kingsway</t>
  </si>
  <si>
    <t>2026-05-22|Perth RedStar|Perth Azzurri</t>
  </si>
  <si>
    <t>2026-05-23|Dianella White Eagle|Armadale</t>
  </si>
  <si>
    <t>2026-05-23|Sorrento FC|Olympic Kingsway</t>
  </si>
  <si>
    <t>2026-05-23|Balcatta|Western Knights</t>
  </si>
  <si>
    <t>2026-05-23|Fremantle City|Perth Glory U23</t>
  </si>
  <si>
    <t>2026-05-23|Stirling Macedonia|Bayswater City</t>
  </si>
  <si>
    <t>2026-05-29|Olympic Kingsway|Dianella White Eagle</t>
  </si>
  <si>
    <t>2026-05-30|Fremantle City|Perth RedStar</t>
  </si>
  <si>
    <t>2026-05-30|Stirling Macedonia|Balcatta</t>
  </si>
  <si>
    <t>2026-05-30|Sorrento FC|Bayswater City</t>
  </si>
  <si>
    <t>2026-05-30|Armadale|Perth Glory U23</t>
  </si>
  <si>
    <t>2026-05-30|Western Knights|Perth Azzurri</t>
  </si>
  <si>
    <t>2026-06-05|Perth Azzurri|Stirling Macedonia</t>
  </si>
  <si>
    <t>2026-06-06|Perth RedStar|Western Knights</t>
  </si>
  <si>
    <t>2026-06-06|Armadale|Fremantle City</t>
  </si>
  <si>
    <t>2026-06-06|Perth Glory U23|Olympic Kingsway</t>
  </si>
  <si>
    <t>2026-06-13|Perth Glory U23|Perth Azzurri</t>
  </si>
  <si>
    <t>2026-06-13|Armadale|Bayswater City</t>
  </si>
  <si>
    <t>2026-06-13|Fremantle City|Balcatta</t>
  </si>
  <si>
    <t>2026-06-13|Dianella White Eagle|Western Knights</t>
  </si>
  <si>
    <t>2026-06-20|Western Knights|Bayswater City</t>
  </si>
  <si>
    <t>2026-06-20|Perth Glory U23|Perth RedStar</t>
  </si>
  <si>
    <t>2026-06-20|Sorrento FC|Armadale</t>
  </si>
  <si>
    <t>2026-06-20|Balcatta|Perth Azzurri</t>
  </si>
  <si>
    <t>2026-06-20|Fremantle City|Dianella White Eagle</t>
  </si>
  <si>
    <t>2026-06-20|Olympic Kingsway|Stirling Macedonia</t>
  </si>
  <si>
    <t>2026-06-27|Perth Glory U23|Stirling Macedonia</t>
  </si>
  <si>
    <t>2026-06-27|Fremantle City|Western Knights</t>
  </si>
  <si>
    <t>2026-06-27|Olympic Kingsway|Balcatta</t>
  </si>
  <si>
    <t>2026-06-27|Armadale|Perth Azzurri</t>
  </si>
  <si>
    <t>2026-07-04|Dianella White Eagle|Perth Azzurri</t>
  </si>
  <si>
    <t>2026-07-04|Fremantle City|Bayswater City</t>
  </si>
  <si>
    <t>2026-07-04|Stirling Macedonia|Perth RedStar</t>
  </si>
  <si>
    <t>2026-07-04|Armadale|Olympic Kingsway</t>
  </si>
  <si>
    <t>2026-07-04|Perth Glory U23|Balcatta</t>
  </si>
  <si>
    <t>2026-07-11|Olympic Kingsway|Perth RedStar</t>
  </si>
  <si>
    <t>2026-07-11|Sorrento FC|Fremantle City</t>
  </si>
  <si>
    <t>2026-07-17|Perth Azzurri|Western Knights</t>
  </si>
  <si>
    <t>2026-07-18|Perth RedStar|Fremantle City</t>
  </si>
  <si>
    <t>2026-07-18|Balcatta|Stirling Macedonia</t>
  </si>
  <si>
    <t>2026-07-18|Perth Glory U23|Armadale</t>
  </si>
  <si>
    <t>2026-07-18|Dianella White Eagle|Olympic Kingsway</t>
  </si>
  <si>
    <t>2026-07-25|Perth Azzurri|Bayswater City</t>
  </si>
  <si>
    <t>2026-07-25|Perth RedStar|Balcatta</t>
  </si>
  <si>
    <t>2026-07-25|Western Knights|Olympic Kingsway</t>
  </si>
  <si>
    <t>2026-07-25|Perth Glory U23|Dianella White Eagle</t>
  </si>
  <si>
    <t>2026-07-25|Stirling Macedonia|Armadale</t>
  </si>
  <si>
    <t>2026-08-01|Balcatta|Armadale</t>
  </si>
  <si>
    <t>2026-08-01|Dianella White Eagle|Stirling Macedonia</t>
  </si>
  <si>
    <t>2026-08-01|Fremantle City|Perth Azzurri</t>
  </si>
  <si>
    <t>2026-08-01|Olympic Kingsway|Bayswater City</t>
  </si>
  <si>
    <t>2026-08-01|Sorrento FC|Perth RedStar</t>
  </si>
  <si>
    <t>2026-08-07|Bayswater City|Sorrento FC</t>
  </si>
  <si>
    <t>2026-08-13|PPJ|MyPa</t>
  </si>
  <si>
    <t>2026-05-29|EPS|EBK</t>
  </si>
  <si>
    <t>2026-05-29|GrIFK|P-Iirot Rauma</t>
  </si>
  <si>
    <t>2026-06-04|AIFK|P-Iirot Rauma</t>
  </si>
  <si>
    <t>2026-06-06|HJS|EPS</t>
  </si>
  <si>
    <t>2026-06-12|GrIFK|HJS</t>
  </si>
  <si>
    <t>2026-06-27|HJS|NJS</t>
  </si>
  <si>
    <t>2026-07-03|GrIFK|NJS</t>
  </si>
  <si>
    <t>2026-07-11|EPS|P-Iirot Rauma</t>
  </si>
  <si>
    <t>2026-07-11|NJS|EBK</t>
  </si>
  <si>
    <t>2026-07-18|EBK|P-Iirot Rauma</t>
  </si>
  <si>
    <t>2026-07-18|EPS|NJS</t>
  </si>
  <si>
    <t>2026-07-24|HJS|EBK</t>
  </si>
  <si>
    <t>2026-07-31|AIFK|HJS</t>
  </si>
  <si>
    <t>2026-07-31|GrIFK|EBK</t>
  </si>
  <si>
    <t>2026-08-01|NJS|P-Iirot Rauma</t>
  </si>
  <si>
    <t>2026-08-08|Honka|NJS</t>
  </si>
  <si>
    <t>2026-08-08|MuSa|AIFK</t>
  </si>
  <si>
    <t>2026-08-08|EBK|EPS</t>
  </si>
  <si>
    <t>2026-08-08|HJS|Ilves 2</t>
  </si>
  <si>
    <t>2026-08-08|P-Iirot Rauma|GrIFK</t>
  </si>
  <si>
    <t>2026-08-08|TP-47|Närpes Kraft</t>
  </si>
  <si>
    <t>2026-08-08|FC Vaajakoski|VPS Akatemia</t>
  </si>
  <si>
    <t>2026-08-09|JS Hercules|SJK Akatemia 2</t>
  </si>
  <si>
    <t>2026-08-08|FF Jaro|VPS Vaasa</t>
  </si>
  <si>
    <t>2026-08-09|KuPS|TPS</t>
  </si>
  <si>
    <t>2026-08-09|Inter Turku|FC Lahti</t>
  </si>
  <si>
    <t>2026-08-09|Ilves|IFK Mariehamn</t>
  </si>
  <si>
    <t>2026-08-09|AC Oulu|HJK Helsinki</t>
  </si>
  <si>
    <t>2026-08-09|KPV|VJS</t>
  </si>
  <si>
    <t>2026-08-09|Jazz Pori|OLS Oulu</t>
  </si>
  <si>
    <t>2026-08-11|JJK Jyvaskyla|Tampere Utd</t>
  </si>
  <si>
    <t>2026-08-11|Keski-Uusimaa|Inter Turku 2</t>
  </si>
  <si>
    <t>2026-08-11|RoPS (Rovaniemi)|KuPS Akatemia</t>
  </si>
  <si>
    <t>2026-08-11|TPV|SalPa</t>
  </si>
  <si>
    <t>2026-08-09|Klubi 04|KTP</t>
  </si>
  <si>
    <t>2026-08-10|Fram Reykjavik (Fram Reykjavík)|KR Reykjavik (KR Reykjavík)</t>
  </si>
  <si>
    <t>2026-08-13|Aegir|Volsungur</t>
  </si>
  <si>
    <t>2026-08-11|Helsingborgs IF|IFK Värnamo</t>
  </si>
  <si>
    <t>2026-05-15|Para|Adelaide United U23</t>
  </si>
  <si>
    <t>2026-05-15|Playford Patriots|Adelaide City</t>
  </si>
  <si>
    <t>2026-05-15|Sturt Lions|Croydon</t>
  </si>
  <si>
    <t>2026-05-15|West Adelaide SC|West Torrens Birkalla</t>
  </si>
  <si>
    <t>2026-05-16|FK Beograd|Campbelltown City</t>
  </si>
  <si>
    <t>2026-05-16|MetroStars|Adelaide Comets</t>
  </si>
  <si>
    <t>2026-05-22|Adelaide Comets|Para</t>
  </si>
  <si>
    <t>2026-05-22|Adelaide United U23|West Torrens Birkalla</t>
  </si>
  <si>
    <t>2026-05-22|Campbelltown City|Sturt Lions</t>
  </si>
  <si>
    <t>2026-05-22|Playford Patriots|West Adelaide SC</t>
  </si>
  <si>
    <t>2026-05-22|Adelaide City|FK Beograd</t>
  </si>
  <si>
    <t>2026-05-22|Croydon|MetroStars</t>
  </si>
  <si>
    <t>2026-05-29|West Torrens Birkalla|Adelaide Comets</t>
  </si>
  <si>
    <t>2026-05-30|Para|Croydon</t>
  </si>
  <si>
    <t>2026-05-30|Adelaide United U23|Playford Patriots</t>
  </si>
  <si>
    <t>2026-05-30|Sturt Lions|FK Beograd</t>
  </si>
  <si>
    <t>2026-05-30|MetroStars|Campbelltown City</t>
  </si>
  <si>
    <t>2026-05-31|West Adelaide SC|Adelaide City</t>
  </si>
  <si>
    <t>2026-06-05|West Torrens Birkalla|Croydon</t>
  </si>
  <si>
    <t>2026-06-06|Playford Patriots|Adelaide Comets</t>
  </si>
  <si>
    <t>2026-06-06|Campbelltown City|Para</t>
  </si>
  <si>
    <t>2026-06-06|FK Beograd|MetroStars</t>
  </si>
  <si>
    <t>2026-06-07|West Adelaide SC|Adelaide United U23</t>
  </si>
  <si>
    <t>2026-06-12|Campbelltown City|West Torrens Birkalla</t>
  </si>
  <si>
    <t>2026-06-12|Adelaide Comets|West Adelaide SC</t>
  </si>
  <si>
    <t>2026-06-13|Para|FK Beograd</t>
  </si>
  <si>
    <t>2026-06-13|Adelaide United U23|Adelaide City</t>
  </si>
  <si>
    <t>2026-06-20|Adelaide United U23|Adelaide Comets</t>
  </si>
  <si>
    <t>2026-06-20|West Adelaide SC|Croydon</t>
  </si>
  <si>
    <t>2026-06-20|Playford Patriots|Campbelltown City</t>
  </si>
  <si>
    <t>2026-06-20|Sturt Lions|Para</t>
  </si>
  <si>
    <t>2026-06-20|FK Beograd|West Torrens Birkalla</t>
  </si>
  <si>
    <t>2026-06-20|Adelaide City|MetroStars</t>
  </si>
  <si>
    <t>2026-06-26|Adelaide Comets|Adelaide City</t>
  </si>
  <si>
    <t>2026-06-27|Playford Patriots|FK Beograd</t>
  </si>
  <si>
    <t>2026-06-27|Para|MetroStars</t>
  </si>
  <si>
    <t>2026-06-27|Campbelltown City|West Adelaide SC</t>
  </si>
  <si>
    <t>2026-07-03|Adelaide Comets|Croydon</t>
  </si>
  <si>
    <t>2026-07-04|Adelaide City|Para</t>
  </si>
  <si>
    <t>2026-07-04|Adelaide United U23|Campbelltown City</t>
  </si>
  <si>
    <t>2026-07-04|Sturt Lions|Playford Patriots</t>
  </si>
  <si>
    <t>2026-07-04|FK Beograd|West Adelaide SC</t>
  </si>
  <si>
    <t>2026-07-04|MetroStars|West Torrens Birkalla</t>
  </si>
  <si>
    <t>2026-07-17|Campbelltown City|Adelaide Comets</t>
  </si>
  <si>
    <t>2026-07-17|West Torrens Birkalla|Para</t>
  </si>
  <si>
    <t>2026-07-18|Adelaide City|Croydon</t>
  </si>
  <si>
    <t>2026-07-18|Playford Patriots|MetroStars</t>
  </si>
  <si>
    <t>2026-07-19|FK Beograd|Adelaide United U23</t>
  </si>
  <si>
    <t>2026-07-25|Adelaide City|West Torrens Birkalla</t>
  </si>
  <si>
    <t>2026-07-25|Para|Playford Patriots</t>
  </si>
  <si>
    <t>2026-07-25|Adelaide Comets|FK Beograd</t>
  </si>
  <si>
    <t>2026-07-25|MetroStars|West Adelaide SC</t>
  </si>
  <si>
    <t>2026-07-31|Campbelltown City|Adelaide City</t>
  </si>
  <si>
    <t>2026-08-01|Playford Patriots|West Torrens Birkalla</t>
  </si>
  <si>
    <t>2026-08-01|West Adelaide SC|Para</t>
  </si>
  <si>
    <t>2026-08-01|FK Beograd|Croydon</t>
  </si>
  <si>
    <t>2026-08-01|MetroStars|Adelaide United U23</t>
  </si>
  <si>
    <t>2026-08-08|Club Aurora|Bolívar</t>
  </si>
  <si>
    <t>2026-08-08|The Strongest|Independiente Petrolero</t>
  </si>
  <si>
    <t>2026-08-08|SA Bulo Bulo|Nacional Potosí</t>
  </si>
  <si>
    <t>2026-08-09|Oriente Petrolero|Universitario de Vinto</t>
  </si>
  <si>
    <t>2026-08-09|Real Potosí|Blooming</t>
  </si>
  <si>
    <t>2026-08-09|GV San José|Always Ready</t>
  </si>
  <si>
    <t>2026-08-09|Universidad de Chile|Palestino</t>
  </si>
  <si>
    <t>2026-08-09|Unión La Calera|Colo-Colo</t>
  </si>
  <si>
    <t>2026-08-09|O'Higgins|Deportes Limache</t>
  </si>
  <si>
    <t>2026-08-10|Audax Italiano|Ñublense</t>
  </si>
  <si>
    <t>2026-08-10|Libertad (Ecuador)|Universidad Católica (Quito)</t>
  </si>
  <si>
    <t>2026-08-10|Técnico Universitario|Mushuc Runa</t>
  </si>
  <si>
    <t>2026-08-10|Deportivo Cuenca|Manta FC</t>
  </si>
  <si>
    <t>2026-08-08|Vila Nova|Sport Recife</t>
  </si>
  <si>
    <t>2026-08-08|Botafogo SP|América-MG</t>
  </si>
  <si>
    <t>2026-08-09|Athletic Club-MG|Criciúma</t>
  </si>
  <si>
    <t>2026-08-09|Novorizontino|Juventude</t>
  </si>
  <si>
    <t>2026-08-09|Náutico|Atlético-GO</t>
  </si>
  <si>
    <t>2026-08-09|Cuiabá|Fortaleza</t>
  </si>
  <si>
    <t>2026-08-10|Goiás|Londrina</t>
  </si>
  <si>
    <t>2026-08-11|Avaí|CRB</t>
  </si>
  <si>
    <t>Poisson</t>
  </si>
  <si>
    <t>Amostra Insuficiente</t>
  </si>
  <si>
    <t>AUS - Australia Cup</t>
  </si>
  <si>
    <t>AUS - FFA Cup Qualifiers</t>
  </si>
  <si>
    <t>69. BK Olympic × AFC Malmö (Ariana FC Malmö)</t>
  </si>
  <si>
    <t>λ 3,72 · Over 1,50: 87,8% Green no consenso · risco 0×0 de 2,7%</t>
  </si>
  <si>
    <t>Prioridade em acerto: modelos convergentes, 87,8% de Green e histórico casa/fora com 100% de 2+ gols.</t>
  </si>
  <si>
    <t>RADAR OVER — EQUIPES DE ALTA CONFIANÇA</t>
  </si>
  <si>
    <t>FAIXA</t>
  </si>
  <si>
    <t>NÍVEL</t>
  </si>
  <si>
    <t>FREQUÊNCIA DO JOGO</t>
  </si>
  <si>
    <t>PRODUÇÃO DA EQUIPE</t>
  </si>
  <si>
    <t>CASA/FORA</t>
  </si>
  <si>
    <t>SEM MARCAR</t>
  </si>
  <si>
    <t>Over 3</t>
  </si>
  <si>
    <t>Elite</t>
  </si>
  <si>
    <t>4+ ≥75%</t>
  </si>
  <si>
    <t>3+ próprios ≥60%</t>
  </si>
  <si>
    <t>3+ ≥40% em ambas</t>
  </si>
  <si>
    <t>≤10%</t>
  </si>
  <si>
    <t>Forte</t>
  </si>
  <si>
    <t>4+ ≥65%</t>
  </si>
  <si>
    <t>3+ próprios ≥45%</t>
  </si>
  <si>
    <t>3+ ≥30% em ambas</t>
  </si>
  <si>
    <t>≤15%</t>
  </si>
  <si>
    <t>Over 2</t>
  </si>
  <si>
    <t>3+ ≥85%</t>
  </si>
  <si>
    <t>2+ próprios ≥75%</t>
  </si>
  <si>
    <t>2+ ≥60% em ambas</t>
  </si>
  <si>
    <t>Over 1</t>
  </si>
  <si>
    <t>2+ ≥90%</t>
  </si>
  <si>
    <t>1+ próprio ≥90%</t>
  </si>
  <si>
    <t>1+ ≥80% em ambas</t>
  </si>
  <si>
    <t>OVER 3 — ALTO TETO (4+ GOLS NA PARTIDA)</t>
  </si>
  <si>
    <t>Jogos</t>
  </si>
  <si>
    <t>Média própria</t>
  </si>
  <si>
    <t>Média partida</t>
  </si>
  <si>
    <t>4+ jogo</t>
  </si>
  <si>
    <t>3+ próprios</t>
  </si>
  <si>
    <t>3+ casa</t>
  </si>
  <si>
    <t>3+ fora</t>
  </si>
  <si>
    <t>Sem marcar</t>
  </si>
  <si>
    <t>Justificativa</t>
  </si>
  <si>
    <t>ELITE</t>
  </si>
  <si>
    <t>FORTE</t>
  </si>
  <si>
    <t>OBSERVAÇÃO</t>
  </si>
  <si>
    <t>OVER 2 — PERFIL OFENSIVO (3+ GOLS NA PARTIDA)</t>
  </si>
  <si>
    <t>3+ jogo</t>
  </si>
  <si>
    <t>2+ próprios</t>
  </si>
  <si>
    <t>2+ casa</t>
  </si>
  <si>
    <t>2+ fora</t>
  </si>
  <si>
    <t>OVER 1 — SEGURANÇA (2+ GOLS NA PARTIDA)</t>
  </si>
  <si>
    <t>2+ jogo</t>
  </si>
  <si>
    <t>1+ próprio</t>
  </si>
  <si>
    <t>1+ casa</t>
  </si>
  <si>
    <t>1+ fora</t>
  </si>
  <si>
    <t>EXCLUSÕES E REVISÕES RECENTES</t>
  </si>
  <si>
    <t>Guangxi Hengchen × Meizhou Hakka</t>
  </si>
  <si>
    <t>EXCLUÍDA</t>
  </si>
  <si>
    <t>1×0 · Red</t>
  </si>
  <si>
    <t>FC Vaajakoski × GBK Kokkola</t>
  </si>
  <si>
    <t>REVISÃO DE LINHA</t>
  </si>
  <si>
    <t>1×1 · Red</t>
  </si>
  <si>
    <t>Western Knights × Balcatta</t>
  </si>
  <si>
    <t>0×0 · Red</t>
  </si>
  <si>
    <t>HJS × GrIFK</t>
  </si>
  <si>
    <t>PREÇO FRACO</t>
  </si>
  <si>
    <t>0×1 · Red</t>
  </si>
  <si>
    <t>COMO USAR O RADAR</t>
  </si>
  <si>
    <t>1. Localize as duas equipes e confirme se a força aparece na condição correta (mandante em casa e visitante fora). 2. Use o nível como filtro inicial, nunca como aprovação isolada. 3. Recalcule o confronto em Confronto/Prova Real e confira risco de 0×0, frequência de 2+/3+/4+ e odds. 4. ELITE permite estudar linhas superiores; FORTE pede proteção; OBSERVAÇÃO não autoriza aposta automática.</t>
  </si>
  <si>
    <t>Justificativa completa</t>
  </si>
  <si>
    <t>O1,50 @ 1,16</t>
  </si>
  <si>
    <t>Frequência de 2+ gols de apenas 69,0%; risco conservador de 0×0 em 16,7%; Meizhou apresentava 28,6% de 0×0 fora. A combinação não sustentava Over 1,50. Ação: não apostar em Over e apenas sinalizar análise Under separada.</t>
  </si>
  <si>
    <t>O3,00 @ 1,24</t>
  </si>
  <si>
    <t>O confronto tinha alto teto, mas Over 3,00 exigia quatro gols. Vaajakoski tinha 23,1% de jogos sem marcar e apenas 14,3% de 3+ gols fora. Ação: liberar Over 3,00 somente para equipes de alto teto com confirmação na condição.</t>
  </si>
  <si>
    <t>O2,00 @ 1,15</t>
  </si>
  <si>
    <t>EVENTO DE CAUDA</t>
  </si>
  <si>
    <t>Modelos e histórico convergiam, com 92,9% de 2+ gols e nenhum 0×0 na amostra condicional. O resultado foi cauda estatística e não justifica endurecimento isolado da regra. Ação: manter o modelo e monitorar recorrência.</t>
  </si>
  <si>
    <t>O2,00 @ 1,13</t>
  </si>
  <si>
    <t>A proteção histórica era alta, mas a odd 1,13 remunerava pouco o risco residual de 0–1 gol; GrIFK tinha 14,3% de 0×0 fora. Ação: exigir preço mínimo e valor esperado antes da entrada.</t>
  </si>
  <si>
    <t>ELITE: frequência principal 84,6%; produção própria 69,2%; casa 83,3% e fora 57,1%; sem marcar 7,7%. Jogos MLS-Cross excluídos.</t>
  </si>
  <si>
    <t>ELITE: frequência principal 83,3%; produção própria 75,0%; casa 100,0% e fora 50,0%; sem marcar 8,3%. Jogos MLS-Cross excluídos.</t>
  </si>
  <si>
    <t>ELITE: frequência principal 83,3%; produção própria 66,7%; casa 66,7% e fora 66,7%; sem marcar 0,0%. Jogos MLS-Cross excluídos.</t>
  </si>
  <si>
    <t>FORTE: frequência principal 83,3%; produção própria 50,0%; casa 66,7% e fora 33,3%; sem marcar 8,3%. Jogos MLS-Cross excluídos.</t>
  </si>
  <si>
    <t>FORTE: frequência principal 75,0%; produção própria 58,3%; casa 60,0% e fora 57,1%; sem marcar 0,0%. Jogos MLS-Cross excluídos.</t>
  </si>
  <si>
    <t>FORTE: frequência principal 73,3%; produção própria 46,7%; casa 57,1% e fora 37,5%; sem marcar 6,7%. Jogos MLS-Cross excluídos.</t>
  </si>
  <si>
    <t>FORTE: frequência principal 73,3%; produção própria 46,7%; casa 60,0% e fora 40,0%; sem marcar 13,3%. Jogos MLS-Cross excluídos.</t>
  </si>
  <si>
    <t>FORTE: frequência principal 71,4%; produção própria 50,0%; casa 62,5% e fora 33,3%; sem marcar 7,1%. Jogos MLS-Cross excluídos.</t>
  </si>
  <si>
    <t>FORTE: frequência principal 66,7%; produção própria 58,3%; casa 83,3% e fora 33,3%; sem marcar 8,3%. Jogos MLS-Cross excluídos.</t>
  </si>
  <si>
    <t>OBSERVAÇÃO: frequência principal 75,0%; produção própria 43,8%; casa 50,0% e fora 37,5%; sem marcar 6,3%. Jogos MLS-Cross excluídos.</t>
  </si>
  <si>
    <t>OBSERVAÇÃO: frequência principal 70,0%; produção própria 40,0%; casa 60,0% e fora 20,0%; sem marcar 20,0%. Jogos MLS-Cross excluídos.</t>
  </si>
  <si>
    <t>OBSERVAÇÃO: frequência principal 68,4%; produção própria 42,1%; casa 33,3% e fora 57,1%; sem marcar 15,8%. Jogos MLS-Cross excluídos.</t>
  </si>
  <si>
    <t>OBSERVAÇÃO: frequência principal 66,7%; produção própria 41,7%; casa 40,0% e fora 42,9%; sem marcar 8,3%. Jogos MLS-Cross excluídos.</t>
  </si>
  <si>
    <t>OBSERVAÇÃO: frequência principal 61,5%; produção própria 38,5%; casa 50,0% e fora 28,6%; sem marcar 15,4%. Jogos MLS-Cross excluídos.</t>
  </si>
  <si>
    <t>OBSERVAÇÃO: frequência principal 61,5%; produção própria 38,5%; casa 42,9% e fora 33,3%; sem marcar 0,0%. Jogos MLS-Cross excluídos.</t>
  </si>
  <si>
    <t>ELITE: frequência principal 93,8%; produção própria 75,0%; casa 62,5% e fora 87,5%; sem marcar 6,3%. Jogos MLS-Cross excluídos.</t>
  </si>
  <si>
    <t>ELITE: frequência principal 93,3%; produção própria 86,7%; casa 100,0% e fora 75,0%; sem marcar 6,7%. Jogos MLS-Cross excluídos.</t>
  </si>
  <si>
    <t>ELITE: frequência principal 91,7%; produção própria 91,7%; casa 100,0% e fora 83,3%; sem marcar 8,3%. Jogos MLS-Cross excluídos.</t>
  </si>
  <si>
    <t>ELITE: frequência principal 91,7%; produção própria 75,0%; casa 66,7% e fora 83,3%; sem marcar 0,0%. Jogos MLS-Cross excluídos.</t>
  </si>
  <si>
    <t>ELITE: frequência principal 91,7%; produção própria 83,3%; casa 100,0% e fora 71,4%; sem marcar 8,3%. Jogos MLS-Cross excluídos.</t>
  </si>
  <si>
    <t>FORTE: frequência principal 91,7%; produção própria 66,7%; casa 83,3% e fora 50,0%; sem marcar 8,3%. Jogos MLS-Cross excluídos.</t>
  </si>
  <si>
    <t>FORTE: frequência principal 91,7%; produção própria 66,7%; casa 83,3% e fora 50,0%; sem marcar 0,0%. Jogos MLS-Cross excluídos.</t>
  </si>
  <si>
    <t>FORTE: frequência principal 84,6%; produção própria 84,6%; casa 100,0% e fora 71,4%; sem marcar 7,7%. Jogos MLS-Cross excluídos.</t>
  </si>
  <si>
    <t>FORTE: frequência principal 83,3%; produção própria 75,0%; casa 80,0% e fora 71,4%; sem marcar 8,3%. Jogos MLS-Cross excluídos.</t>
  </si>
  <si>
    <t>FORTE: frequência principal 83,3%; produção própria 91,7%; casa 100,0% e fora 85,7%; sem marcar 0,0%. Jogos MLS-Cross excluídos.</t>
  </si>
  <si>
    <t>FORTE: frequência principal 83,3%; produção própria 75,0%; casa 71,4% e fora 80,0%; sem marcar 0,0%. Jogos MLS-Cross excluídos.</t>
  </si>
  <si>
    <t>FORTE: frequência principal 83,3%; produção própria 66,7%; casa 66,7% e fora 66,7%; sem marcar 0,0%. Jogos MLS-Cross excluídos.</t>
  </si>
  <si>
    <t>FORTE: frequência principal 83,3%; produção própria 100,0%; casa 100,0% e fora 100,0%; sem marcar 0,0%. Jogos MLS-Cross excluídos.</t>
  </si>
  <si>
    <t>FORTE: frequência principal 83,3%; produção própria 66,7%; casa 50,0% e fora 83,3%; sem marcar 8,3%. Jogos MLS-Cross excluídos.</t>
  </si>
  <si>
    <t>ELITE: frequência principal 100,0%; produção própria 100,0%; casa 100,0% e fora 100,0%; sem marcar 0,0%. Jogos MLS-Cross excluídos.</t>
  </si>
  <si>
    <t>ELITE: frequência principal 100,0%; produção própria 92,3%; casa 100,0% e fora 85,7%; sem marcar 7,7%. Jogos MLS-Cross excluídos.</t>
  </si>
  <si>
    <t>ELITE: frequência principal 100,0%; produção própria 91,7%; casa 100,0% e fora 83,3%; sem marcar 8,3%. Jogos MLS-Cross excluídos.</t>
  </si>
  <si>
    <t>ELITE: frequência principal 100,0%; produção própria 93,3%; casa 100,0% e fora 87,5%; sem marcar 6,7%. Jogos MLS-Cross excluídos.</t>
  </si>
  <si>
    <t>ELITE: frequência principal 100,0%; produção própria 92,3%; casa 100,0% e fora 83,3%; sem marcar 7,7%. Jogos MLS-Cross excluídos.</t>
  </si>
  <si>
    <t>ELITE: frequência principal 100,0%; produção própria 91,7%; casa 100,0% e fora 85,7%; sem marcar 8,3%. Jogos MLS-Cross excluídos.</t>
  </si>
  <si>
    <t>ELITE: frequência principal 100,0%; produção própria 91,7%; casa 80,0% e fora 100,0%; sem marcar 8,3%. Jogos MLS-Cross excluídos.</t>
  </si>
  <si>
    <t>ELITE: frequência principal 100,0%; produção própria 92,3%; casa 87,5% e fora 100,0%; sem marcar 7,7%. Jogos MLS-Cross excluídos.</t>
  </si>
  <si>
    <t>ELITE: frequência principal 100,0%; produção própria 91,7%; casa 83,3% e fora 100,0%; sem marcar 8,3%. Jogos MLS-Cross excluídos.</t>
  </si>
  <si>
    <t>ELITE: frequência principal 100,0%; produção própria 91,7%; casa 85,7% e fora 100,0%; sem marcar 8,3%. Jogos MLS-Cross excluídos.</t>
  </si>
  <si>
    <t>Base principal: 2.986 partidas únicas · 25 jogos MLS-Cross excluídos · mínimo 10 jogos por equipe · atualização 15/08/2026</t>
  </si>
  <si>
    <t>O radar combina frequência de gols da partida, produção própria e confirmação em casa e fora. Partidas MLS-Cross são excluídas do cálculo porque misturam grupos; cada equipe é classificada apenas pela sua conferência principal (MLS-East ou MLS-West). ELITE exige convergência forte; FORTE admite ressalva; OBSERVAÇÃO não autoriza entrada automática. A análise final do confronto continua obrigatória.</t>
  </si>
  <si>
    <t>70. Orlando City SC × FC Cincinnati</t>
  </si>
  <si>
    <t>λ 3,93 · Over 2,00: 66,0% Green + 17,4% Push · proteção 83,4% no cenário pessimista</t>
  </si>
  <si>
    <t>Over 2,00 @ 1,10</t>
  </si>
  <si>
    <t>Prioridade em acerto e proteção: Cincinnati tem forte capacidade ofensiva, Orlando apresenta fragilidade defensiva; 3+ gols = Green e exatamente 2 = devolução.</t>
  </si>
  <si>
    <t>71. Atlanta United FC × New York Red Bulls</t>
  </si>
  <si>
    <t>λ 3,33 · Over 1,50: 83,4% Green no cenário pessimista · risco 0×0 de 4,0%</t>
  </si>
  <si>
    <t>Prioridade em acerto: 83,4% de Green pessimista, risco baixo de 0×0 e confirmação ofensiva do confronto. Linha 1,50 preserva a maior probabilidade de Green integral.</t>
  </si>
  <si>
    <t>72. Colorado Rapids × Sporting Kansas City</t>
  </si>
  <si>
    <t>λ 3,75 · Over 1,50: 87,8% Green no cenário pessimista · risco 0×0 de 2,7%</t>
  </si>
  <si>
    <t>Prioridade em acerto: 87,8% de Green pessimista, risco baixo de 0×0 e confirmação ofensiva. A linha 1,50 gera Green com dois ou mais gols.</t>
  </si>
  <si>
    <t>Over 1,50 @ 1,071 | Over 2,00 @ 1,10 | Over 2,25 @ 1,20 | Over 2,50 @ 1,30 | Over 2,75 @ 1,35 | Over 3,50 @ 1,66</t>
  </si>
  <si>
    <t>Over 1,50 @ 1,115 | Over 1,75 @ 1,13 | Over 2,00 @ 1,15 | Over 2,25 @ 1,275 | Over 3,50 @ 2,00</t>
  </si>
  <si>
    <t>Over 1,50 @ 1,14 | Over 1,75 @ 1,16 | Over 2,00 @ 1,18 | Over 2,25 @ 1,325 | Over 3,50 @ 2,10</t>
  </si>
  <si>
    <t>73. Nashville SC × Inter Miami CF</t>
  </si>
  <si>
    <t>15/08/26 21:30 · GMT-3</t>
  </si>
  <si>
    <t>λ 3,87 · Over 1,50: 85,6% Green pessimista · BTTS histórico 63,3% e mercado normalizado 64,5% · risco 0×0 de 3,7%</t>
  </si>
  <si>
    <t>1X2: Nashville 2,55 | Empate 3,60 | Inter Miami 2,55 · BTTS: Sim 1,44 | Não 2,62 · Over 1,50 @ 1,14 | Over 1,75 @ 1,17 | Over 2,00 @ 1,20 | Over 2,25 @ 1,35 | Over 3,00 @ 1,75 | Over 4,00 @ 3,10 | Over 5,00 @ 6,25</t>
  </si>
  <si>
    <t>Prioridade em acerto: 85,6% de Green pessimista; 1X2 equilibrado; BTTS Sim do mercado em 64,5% sem margem, alinhado aos 63,3% históricos; risco de 0×0 baixo.</t>
  </si>
  <si>
    <t>74. Nanjing City × Jiangxi Dingnan United</t>
  </si>
  <si>
    <t>16/08/26 · Horário a informar</t>
  </si>
  <si>
    <t>λ 3,50 · Over 1,50: 85,2% Green pessimista · 83,3% histórico de 2+ gols · risco 0×0 de 3,5%</t>
  </si>
  <si>
    <t>1X2: Nanjing 1,95 | Empate 3,25 | Jiangxi Dingnan 3,50 · BTTS: Sim 1,83 | Não 1,83 · Over 1,25 @ 1,21 | Over 1,50 @ 1,325 | Over 1,75 @ 1,40 | Over 2,00 @ 1,525 | Over 3,00 @ 2,85 | Over 3,50 @ 3,45 | Over 4,00 @ 6,25 | Over 4,50 @ 7,00</t>
  </si>
  <si>
    <t>Over 1,50 @ 1,325</t>
  </si>
  <si>
    <t>Prioridade em acerto: 85,2% de Green pessimista, baixo risco de 0×0 e confirmação empírica de 2+ gols. As linhas superiores reduzem o Green integral.</t>
  </si>
  <si>
    <t>75. Shenzhen Juniors × Ningbo Professional</t>
  </si>
  <si>
    <t>λ 2,30 · Under 4,50: 85,4% Green no cenário pessimista · teste de controle de teto, não classificação de jogo morto</t>
  </si>
  <si>
    <t>Under 4,50</t>
  </si>
  <si>
    <t>Aprovada · TESTE</t>
  </si>
  <si>
    <t>1X2: Shenzhen 1,80 | Empate 3,40 | Ningbo 3,75 · BTTS: Sim 1,80 | Não 1,90 · Under 1,25 @ 5,00 | Under 2,00 @ 2,85 | Under 3,00 @ 1,525 | Under 3,75 @ 1,26 | Under 4,00 @ 1,16 | Under 4,25 @ 1,15 | Under 4,50 @ 1,13</t>
  </si>
  <si>
    <t>Under 4,50 @ 1,13</t>
  </si>
  <si>
    <t>Teste do corte de 75% aplicado a Under amplo: 85,4% de Green pessimista. Mercado BTTS neutro e alta dispersão impedem classificar como jogo morto; a entrada avalia apenas o teto de até quatro gols.</t>
  </si>
  <si>
    <t>Under 4,50: 0–4 gols = Green; 5+ gols = Red</t>
  </si>
  <si>
    <t>EST-03157</t>
  </si>
  <si>
    <t>KOR</t>
  </si>
  <si>
    <t>K League 1</t>
  </si>
  <si>
    <t>Gangwon FC 1 vs 2 FC Seoul</t>
  </si>
  <si>
    <t>Gangwon FC</t>
  </si>
  <si>
    <t>FC Seoul</t>
  </si>
  <si>
    <t>2026-04-25|Gangwon FC|FC Seoul</t>
  </si>
  <si>
    <t>EST-03158</t>
  </si>
  <si>
    <t>Incheon United 1 vs 0 Jeju SK FC</t>
  </si>
  <si>
    <t>Incheon United</t>
  </si>
  <si>
    <t>Jeju SK FC</t>
  </si>
  <si>
    <t>2026-04-25|Incheon United|Jeju SK FC</t>
  </si>
  <si>
    <t>EST-03159</t>
  </si>
  <si>
    <t>FC Anyang 0 vs 1 Bucheon FC 1995</t>
  </si>
  <si>
    <t>FC Anyang</t>
  </si>
  <si>
    <t>Bucheon FC 1995</t>
  </si>
  <si>
    <t>2026-05-02|FC Anyang|Bucheon FC 1995</t>
  </si>
  <si>
    <t>EST-03160</t>
  </si>
  <si>
    <t>FC Seoul 2 vs 3 Gimcheon Sangmu</t>
  </si>
  <si>
    <t>Gimcheon Sangmu</t>
  </si>
  <si>
    <t>2026-05-02|FC Seoul|Gimcheon Sangmu</t>
  </si>
  <si>
    <t>EST-03161</t>
  </si>
  <si>
    <t>Incheon United 0 vs 1 Gangwon FC</t>
  </si>
  <si>
    <t>2026-05-02|Incheon United|Gangwon FC</t>
  </si>
  <si>
    <t>EST-03162</t>
  </si>
  <si>
    <t>Jeju SK FC 0 vs 2 Jeonbuk FC</t>
  </si>
  <si>
    <t>Jeonbuk FC</t>
  </si>
  <si>
    <t>2026-05-02|Jeju SK FC|Jeonbuk FC</t>
  </si>
  <si>
    <t>EST-03163</t>
  </si>
  <si>
    <t>Ulsan HD FC 0 vs 1 Pohang Steelers</t>
  </si>
  <si>
    <t>Ulsan HD FC</t>
  </si>
  <si>
    <t>Pohang Steelers</t>
  </si>
  <si>
    <t>2026-05-02|Ulsan HD FC|Pohang Steelers</t>
  </si>
  <si>
    <t>EST-03164</t>
  </si>
  <si>
    <t>Bucheon FC 1995 0 vs 1 Jeju SK FC</t>
  </si>
  <si>
    <t>2026-05-05|Bucheon FC 1995|Jeju SK FC</t>
  </si>
  <si>
    <t>EST-03165</t>
  </si>
  <si>
    <t>Daejeon Hana Citizen 0 vs 0 Incheon United</t>
  </si>
  <si>
    <t>Daejeon Hana Citizen</t>
  </si>
  <si>
    <t>2026-05-05|Daejeon Hana Citizen|Incheon United</t>
  </si>
  <si>
    <t>EST-03166</t>
  </si>
  <si>
    <t>Gangwon FC 1 vs 1 Pohang Steelers</t>
  </si>
  <si>
    <t>2026-05-05|Gangwon FC|Pohang Steelers</t>
  </si>
  <si>
    <t>EST-03167</t>
  </si>
  <si>
    <t>Gimcheon Sangmu 1 vs 2 Ulsan HD FC</t>
  </si>
  <si>
    <t>2026-05-05|Gimcheon Sangmu|Ulsan HD FC</t>
  </si>
  <si>
    <t>EST-03168</t>
  </si>
  <si>
    <t>Jeonbuk FC 4 vs 0 Gwangju FC</t>
  </si>
  <si>
    <t>Gwangju FC</t>
  </si>
  <si>
    <t>2026-05-05|Jeonbuk FC|Gwangju FC</t>
  </si>
  <si>
    <t>EST-03169</t>
  </si>
  <si>
    <t>Gimcheon Sangmu 0 vs 3 Incheon United</t>
  </si>
  <si>
    <t>2026-05-09|Gimcheon Sangmu|Incheon United</t>
  </si>
  <si>
    <t>EST-03170</t>
  </si>
  <si>
    <t>Gwangju FC 0 vs 0 Gangwon FC</t>
  </si>
  <si>
    <t>2026-05-09|Gwangju FC|Gangwon FC</t>
  </si>
  <si>
    <t>EST-03171</t>
  </si>
  <si>
    <t>FC Anyang 1 vs 1 Jeonbuk FC</t>
  </si>
  <si>
    <t>2026-05-10|FC Anyang|Jeonbuk FC</t>
  </si>
  <si>
    <t>EST-03172</t>
  </si>
  <si>
    <t>Ulsan HD FC 1 vs 0 Bucheon FC 1995</t>
  </si>
  <si>
    <t>2026-05-10|Ulsan HD FC|Bucheon FC 1995</t>
  </si>
  <si>
    <t>EST-03173</t>
  </si>
  <si>
    <t>Gangwon FC 2 vs 0 Daejeon Hana Citizen</t>
  </si>
  <si>
    <t>2026-05-12|Gangwon FC|Daejeon Hana Citizen</t>
  </si>
  <si>
    <t>EST-03174</t>
  </si>
  <si>
    <t>Incheon United 0 vs 1 Pohang Steelers</t>
  </si>
  <si>
    <t>2026-05-12|Incheon United|Pohang Steelers</t>
  </si>
  <si>
    <t>EST-03175</t>
  </si>
  <si>
    <t>Bucheon FC 1995 0 vs 0 Jeonbuk FC</t>
  </si>
  <si>
    <t>2026-05-13|Bucheon FC 1995|Jeonbuk FC</t>
  </si>
  <si>
    <t>EST-03176</t>
  </si>
  <si>
    <t>FC Anyang 2 vs 2 Gimcheon Sangmu</t>
  </si>
  <si>
    <t>2026-05-13|FC Anyang|Gimcheon Sangmu</t>
  </si>
  <si>
    <t>EST-03177</t>
  </si>
  <si>
    <t>Ulsan HD FC 2 vs 1 Jeju SK FC</t>
  </si>
  <si>
    <t>2026-05-13|Ulsan HD FC|Jeju SK FC</t>
  </si>
  <si>
    <t>EST-03178</t>
  </si>
  <si>
    <t>Incheon United 4 vs 0 Gwangju FC</t>
  </si>
  <si>
    <t>2026-05-16|Incheon United|Gwangju FC</t>
  </si>
  <si>
    <t>EST-03179</t>
  </si>
  <si>
    <t>Bucheon FC 1995 2 vs 0 Pohang Steelers</t>
  </si>
  <si>
    <t>2026-05-17|Bucheon FC 1995|Pohang Steelers</t>
  </si>
  <si>
    <t>EST-03180</t>
  </si>
  <si>
    <t>Gangwon FC 2 vs 0 Ulsan HD FC</t>
  </si>
  <si>
    <t>2026-05-17|Gangwon FC|Ulsan HD FC</t>
  </si>
  <si>
    <t>EST-03181</t>
  </si>
  <si>
    <t>Jeonbuk FC 1 vs 0 Gimcheon Sangmu</t>
  </si>
  <si>
    <t>2026-05-17|Jeonbuk FC|Gimcheon Sangmu</t>
  </si>
  <si>
    <t>EST-03182</t>
  </si>
  <si>
    <t>Daejeon Hana Citizen 2 vs 2 Bucheon FC 1995</t>
  </si>
  <si>
    <t>2026-07-04|Daejeon Hana Citizen|Bucheon FC 1995</t>
  </si>
  <si>
    <t>EST-03183</t>
  </si>
  <si>
    <t>Jeonbuk FC 1 vs 2 Gangwon FC</t>
  </si>
  <si>
    <t>2026-07-04|Jeonbuk FC|Gangwon FC</t>
  </si>
  <si>
    <t>EST-03184</t>
  </si>
  <si>
    <t>FC Seoul 1 vs 0 Incheon United</t>
  </si>
  <si>
    <t>2026-07-05|FC Seoul|Incheon United</t>
  </si>
  <si>
    <t>EST-03185</t>
  </si>
  <si>
    <t>Gimcheon Sangmu 1 vs 1 Jeju SK FC</t>
  </si>
  <si>
    <t>2026-07-05|Gimcheon Sangmu|Jeju SK FC</t>
  </si>
  <si>
    <t>EST-03186</t>
  </si>
  <si>
    <t>Gwangju FC 1 vs 1 Ulsan HD FC</t>
  </si>
  <si>
    <t>2026-07-05|Gwangju FC|Ulsan HD FC</t>
  </si>
  <si>
    <t>EST-03187</t>
  </si>
  <si>
    <t>Gimcheon Sangmu 1 vs 1 Bucheon FC 1995</t>
  </si>
  <si>
    <t>2026-07-11|Gimcheon Sangmu|Bucheon FC 1995</t>
  </si>
  <si>
    <t>EST-03188</t>
  </si>
  <si>
    <t>Ulsan HD FC 1 vs 3 Jeonbuk FC</t>
  </si>
  <si>
    <t>2026-07-11|Ulsan HD FC|Jeonbuk FC</t>
  </si>
  <si>
    <t>EST-03189</t>
  </si>
  <si>
    <t>FC Seoul 0 vs 0 Gangwon FC</t>
  </si>
  <si>
    <t>2026-07-12|FC Seoul|Gangwon FC</t>
  </si>
  <si>
    <t>EST-03190</t>
  </si>
  <si>
    <t>Incheon United 0 vs 1 FC Anyang</t>
  </si>
  <si>
    <t>2026-07-12|Incheon United|FC Anyang</t>
  </si>
  <si>
    <t>EST-03191</t>
  </si>
  <si>
    <t>Daejeon Hana Citizen 2 vs 2 Ulsan HD FC</t>
  </si>
  <si>
    <t>2026-07-18|Daejeon Hana Citizen|Ulsan HD FC</t>
  </si>
  <si>
    <t>EST-03192</t>
  </si>
  <si>
    <t>Gangwon FC 2 vs 0 Gimcheon Sangmu</t>
  </si>
  <si>
    <t>2026-07-18|Gangwon FC|Gimcheon Sangmu</t>
  </si>
  <si>
    <t>EST-03193</t>
  </si>
  <si>
    <t>Incheon United 1 vs 0 Jeonbuk FC</t>
  </si>
  <si>
    <t>2026-07-18|Incheon United|Jeonbuk FC</t>
  </si>
  <si>
    <t>EST-03194</t>
  </si>
  <si>
    <t>Bucheon FC 1995 1 vs 3 FC Seoul</t>
  </si>
  <si>
    <t>2026-07-19|Bucheon FC 1995|FC Seoul</t>
  </si>
  <si>
    <t>EST-03195</t>
  </si>
  <si>
    <t>Jeju SK FC 1 vs 1 Gangwon FC</t>
  </si>
  <si>
    <t>2026-07-21|Jeju SK FC|Gangwon FC</t>
  </si>
  <si>
    <t>EST-03196</t>
  </si>
  <si>
    <t>Jeonbuk FC 0 vs 0 Daejeon Hana Citizen</t>
  </si>
  <si>
    <t>2026-07-21|Jeonbuk FC|Daejeon Hana Citizen</t>
  </si>
  <si>
    <t>EST-03197</t>
  </si>
  <si>
    <t>Ulsan HD FC 1 vs 2 Incheon United</t>
  </si>
  <si>
    <t>2026-07-21|Ulsan HD FC|Incheon United</t>
  </si>
  <si>
    <t>EST-03198</t>
  </si>
  <si>
    <t>Bucheon FC 1995 2 vs 3 FC Anyang</t>
  </si>
  <si>
    <t>2026-07-22|Bucheon FC 1995|FC Anyang</t>
  </si>
  <si>
    <t>EST-03199</t>
  </si>
  <si>
    <t>Gwangju FC 1 vs 1 Gimcheon Sangmu</t>
  </si>
  <si>
    <t>2026-07-22|Gwangju FC|Gimcheon Sangmu</t>
  </si>
  <si>
    <t>EST-03200</t>
  </si>
  <si>
    <t>Gimcheon Sangmu 3 vs 2 Daejeon Hana Citizen</t>
  </si>
  <si>
    <t>2026-07-25|Gimcheon Sangmu|Daejeon Hana Citizen</t>
  </si>
  <si>
    <t>EST-03201</t>
  </si>
  <si>
    <t>Pohang Steelers 0 vs 2 Jeonbuk FC</t>
  </si>
  <si>
    <t>2026-07-25|Pohang Steelers|Jeonbuk FC</t>
  </si>
  <si>
    <t>EST-03202</t>
  </si>
  <si>
    <t>FC Anyang 2 vs 1 Gangwon FC</t>
  </si>
  <si>
    <t>2026-07-26|FC Anyang|Gangwon FC</t>
  </si>
  <si>
    <t>EST-03203</t>
  </si>
  <si>
    <t>FC Seoul 1 vs 3 Ulsan HD FC</t>
  </si>
  <si>
    <t>2026-07-26|FC Seoul|Ulsan HD FC</t>
  </si>
  <si>
    <t>EST-03204</t>
  </si>
  <si>
    <t>Incheon United 1 vs 1 Bucheon FC 1995</t>
  </si>
  <si>
    <t>2026-07-26|Incheon United|Bucheon FC 1995</t>
  </si>
  <si>
    <t>EST-03205</t>
  </si>
  <si>
    <t>Gangwon FC 0 vs 3 Bucheon FC 1995</t>
  </si>
  <si>
    <t>2026-08-01|Gangwon FC|Bucheon FC 1995</t>
  </si>
  <si>
    <t>EST-03206</t>
  </si>
  <si>
    <t>Jeonbuk FC 0 vs 0 FC Seoul</t>
  </si>
  <si>
    <t>2026-08-01|Jeonbuk FC|FC Seoul</t>
  </si>
  <si>
    <t>EST-03207</t>
  </si>
  <si>
    <t>Pohang Steelers 0 vs 1 Gimcheon Sangmu</t>
  </si>
  <si>
    <t>2026-08-01|Pohang Steelers|Gimcheon Sangmu</t>
  </si>
  <si>
    <t>EST-03208</t>
  </si>
  <si>
    <t>Jeju SK FC 3 vs 3 Incheon United</t>
  </si>
  <si>
    <t>2026-08-02|Jeju SK FC|Incheon United</t>
  </si>
  <si>
    <t>EST-03209</t>
  </si>
  <si>
    <t>Ulsan HD FC 3 vs 1 FC Anyang</t>
  </si>
  <si>
    <t>2026-08-02|Ulsan HD FC|FC Anyang</t>
  </si>
  <si>
    <t>EST-03210</t>
  </si>
  <si>
    <t>Bucheon FC 1995 0 vs 0 Gwangju FC</t>
  </si>
  <si>
    <t>2026-08-08|Bucheon FC 1995|Gwangju FC</t>
  </si>
  <si>
    <t>EST-03211</t>
  </si>
  <si>
    <t>Gimcheon Sangmu 0 vs 0 FC Seoul</t>
  </si>
  <si>
    <t>2026-08-08|Gimcheon Sangmu|FC Seoul</t>
  </si>
  <si>
    <t>EST-03212</t>
  </si>
  <si>
    <t>Jeonbuk FC 1 vs 3 Jeju SK FC</t>
  </si>
  <si>
    <t>2026-08-08|Jeonbuk FC|Jeju SK FC</t>
  </si>
  <si>
    <t>EST-03213</t>
  </si>
  <si>
    <t>Pohang Steelers 0 vs 2 Ulsan HD FC</t>
  </si>
  <si>
    <t>2026-08-08|Pohang Steelers|Ulsan HD FC</t>
  </si>
  <si>
    <t>KOR - K League 1</t>
  </si>
  <si>
    <t>PARCIAL — 6 equipes</t>
  </si>
  <si>
    <t>WorldFootball · AiScore · Sofascore</t>
  </si>
  <si>
    <t>Completar liga posteriormente</t>
  </si>
  <si>
    <t>PRÓXIMAS PARTIDAS — K LEAGUE 1 (GMT−3)</t>
  </si>
  <si>
    <t>Hora GMT−3</t>
  </si>
  <si>
    <t>Fuso original</t>
  </si>
  <si>
    <t>Hora KST</t>
  </si>
  <si>
    <t>Fonte</t>
  </si>
  <si>
    <t>16/08/2026</t>
  </si>
  <si>
    <t>KST (UTC+9)</t>
  </si>
  <si>
    <t>Agendada</t>
  </si>
  <si>
    <t>Dailysports · WorldFootball</t>
  </si>
  <si>
    <t>Analisar</t>
  </si>
  <si>
    <t>EST-03214</t>
  </si>
  <si>
    <t>K League 2</t>
  </si>
  <si>
    <t>Ansan Greeners 2 vs 1 Jeonnam Dragons</t>
  </si>
  <si>
    <t>Ansan Greeners</t>
  </si>
  <si>
    <t>Jeonnam Dragons</t>
  </si>
  <si>
    <t>2026-04-25|Ansan Greeners|Jeonnam Dragons</t>
  </si>
  <si>
    <t>EST-03215</t>
  </si>
  <si>
    <t>Cheonan City FC 1 vs 1 Seongnam FC</t>
  </si>
  <si>
    <t>Cheonan City FC</t>
  </si>
  <si>
    <t>Seongnam FC</t>
  </si>
  <si>
    <t>2026-04-25|Cheonan City FC|Seongnam FC</t>
  </si>
  <si>
    <t>EST-03216</t>
  </si>
  <si>
    <t>Paju Frontier 2 vs 3 Gyeongnam FC</t>
  </si>
  <si>
    <t>Paju Frontier</t>
  </si>
  <si>
    <t>Gyeongnam FC</t>
  </si>
  <si>
    <t>2026-04-25|Paju Frontier|Gyeongnam FC</t>
  </si>
  <si>
    <t>EST-03217</t>
  </si>
  <si>
    <t>Seoul E-Land FC 1 vs 2 Hwaseong FC</t>
  </si>
  <si>
    <t>Seoul E-Land FC</t>
  </si>
  <si>
    <t>Hwaseong FC</t>
  </si>
  <si>
    <t>2026-04-26|Seoul E-Land FC|Hwaseong FC</t>
  </si>
  <si>
    <t>EST-03218</t>
  </si>
  <si>
    <t>Cheonan City FC 1 vs 0 Chungnam Asan FC</t>
  </si>
  <si>
    <t>Chungnam Asan FC</t>
  </si>
  <si>
    <t>2026-05-03|Cheonan City FC|Chungnam Asan FC</t>
  </si>
  <si>
    <t>EST-03219</t>
  </si>
  <si>
    <t>Daegu FC 2 vs 0 Gyeongnam FC</t>
  </si>
  <si>
    <t>Daegu FC</t>
  </si>
  <si>
    <t>2026-05-03|Daegu FC|Gyeongnam FC</t>
  </si>
  <si>
    <t>EST-03220</t>
  </si>
  <si>
    <t>Hwaseong FC 2 vs 0 Ansan Greeners</t>
  </si>
  <si>
    <t>2026-05-03|Hwaseong FC|Ansan Greeners</t>
  </si>
  <si>
    <t>EST-03221</t>
  </si>
  <si>
    <t>Paju Frontier 0 vs 0 Chungbuk Cheongju FC</t>
  </si>
  <si>
    <t>Chungbuk Cheongju FC</t>
  </si>
  <si>
    <t>2026-05-03|Paju Frontier|Chungbuk Cheongju FC</t>
  </si>
  <si>
    <t>EST-03222</t>
  </si>
  <si>
    <t>Seoul E-Land FC 2 vs 1 Gimpo FC</t>
  </si>
  <si>
    <t>Gimpo FC</t>
  </si>
  <si>
    <t>2026-05-03|Seoul E-Land FC|Gimpo FC</t>
  </si>
  <si>
    <t>EST-03223</t>
  </si>
  <si>
    <t>Yongin City 1 vs 2 Seongnam FC</t>
  </si>
  <si>
    <t>Yongin City</t>
  </si>
  <si>
    <t>2026-05-03|Yongin City|Seongnam FC</t>
  </si>
  <si>
    <t>EST-03224</t>
  </si>
  <si>
    <t>Chungbuk Cheongju FC 1 vs 1 Gimpo FC</t>
  </si>
  <si>
    <t>2026-05-09|Chungbuk Cheongju FC|Gimpo FC</t>
  </si>
  <si>
    <t>EST-03225</t>
  </si>
  <si>
    <t>Chungnam Asan FC 3 vs 0 Seoul E-Land FC</t>
  </si>
  <si>
    <t>2026-05-09|Chungnam Asan FC|Seoul E-Land FC</t>
  </si>
  <si>
    <t>EST-03226</t>
  </si>
  <si>
    <t>Suwon Bluewings 0 vs 0 Daegu FC</t>
  </si>
  <si>
    <t>Suwon Bluewings</t>
  </si>
  <si>
    <t>2026-05-09|Suwon Bluewings|Daegu FC</t>
  </si>
  <si>
    <t>EST-03227</t>
  </si>
  <si>
    <t>Ansan Greeners 1 vs 2 Yongin City</t>
  </si>
  <si>
    <t>2026-05-10|Ansan Greeners|Yongin City</t>
  </si>
  <si>
    <t>EST-03228</t>
  </si>
  <si>
    <t>Busan IPark 1 vs 0 Cheonan City FC</t>
  </si>
  <si>
    <t>Busan IPark</t>
  </si>
  <si>
    <t>2026-05-10|Busan IPark|Cheonan City FC</t>
  </si>
  <si>
    <t>EST-03229</t>
  </si>
  <si>
    <t>Seongnam FC 0 vs 0 Jeonnam Dragons</t>
  </si>
  <si>
    <t>2026-05-10|Seongnam FC|Jeonnam Dragons</t>
  </si>
  <si>
    <t>EST-03230</t>
  </si>
  <si>
    <t>Ansan Greeners 0 vs 1 Gimpo FC</t>
  </si>
  <si>
    <t>2026-05-16|Ansan Greeners|Gimpo FC</t>
  </si>
  <si>
    <t>EST-03231</t>
  </si>
  <si>
    <t>Cheonan City FC 0 vs 0 Paju Frontier</t>
  </si>
  <si>
    <t>2026-05-16|Cheonan City FC|Paju Frontier</t>
  </si>
  <si>
    <t>EST-03232</t>
  </si>
  <si>
    <t>Seoul E-Land FC 2 vs 2 Yongin City</t>
  </si>
  <si>
    <t>2026-05-16|Seoul E-Land FC|Yongin City</t>
  </si>
  <si>
    <t>EST-03233</t>
  </si>
  <si>
    <t>Chungnam Asan FC 1 vs 3 Suwon FC</t>
  </si>
  <si>
    <t>Suwon FC</t>
  </si>
  <si>
    <t>2026-05-17|Chungnam Asan FC|Suwon FC</t>
  </si>
  <si>
    <t>EST-03234</t>
  </si>
  <si>
    <t>Gimhae City 1 vs 4 Daegu FC</t>
  </si>
  <si>
    <t>Gimhae City</t>
  </si>
  <si>
    <t>2026-05-17|Gimhae City|Daegu FC</t>
  </si>
  <si>
    <t>EST-03235</t>
  </si>
  <si>
    <t>Seongnam FC 1 vs 1 Gyeongnam FC</t>
  </si>
  <si>
    <t>2026-05-17|Seongnam FC|Gyeongnam FC</t>
  </si>
  <si>
    <t>EST-03236</t>
  </si>
  <si>
    <t>Daegu FC 3 vs 0 Ansan Greeners</t>
  </si>
  <si>
    <t>2026-05-24|Daegu FC|Ansan Greeners</t>
  </si>
  <si>
    <t>EST-03237</t>
  </si>
  <si>
    <t>Seoul E-Land FC 3 vs 1 Seongnam FC</t>
  </si>
  <si>
    <t>2026-05-24|Seoul E-Land FC|Seongnam FC</t>
  </si>
  <si>
    <t>EST-03238</t>
  </si>
  <si>
    <t>Yongin City 0 vs 0 Chungnam Asan FC</t>
  </si>
  <si>
    <t>2026-05-24|Yongin City|Chungnam Asan FC</t>
  </si>
  <si>
    <t>EST-03239</t>
  </si>
  <si>
    <t>Paju Frontier 0 vs 1 Gimpo FC</t>
  </si>
  <si>
    <t>2026-05-25|Paju Frontier|Gimpo FC</t>
  </si>
  <si>
    <t>EST-03240</t>
  </si>
  <si>
    <t>Suwon Bluewings 3 vs 2 Cheonan City FC</t>
  </si>
  <si>
    <t>2026-05-25|Suwon Bluewings|Cheonan City FC</t>
  </si>
  <si>
    <t>EST-03241</t>
  </si>
  <si>
    <t>Busan IPark 4 vs 1 Paju Frontier</t>
  </si>
  <si>
    <t>2026-05-30|Busan IPark|Paju Frontier</t>
  </si>
  <si>
    <t>EST-03242</t>
  </si>
  <si>
    <t>Chungnam Asan FC 2 vs 1 Suwon Bluewings</t>
  </si>
  <si>
    <t>2026-05-30|Chungnam Asan FC|Suwon Bluewings</t>
  </si>
  <si>
    <t>EST-03243</t>
  </si>
  <si>
    <t>Gimhae City 1 vs 2 Gimpo FC</t>
  </si>
  <si>
    <t>2026-05-30|Gimhae City|Gimpo FC</t>
  </si>
  <si>
    <t>EST-03244</t>
  </si>
  <si>
    <t>Suwon FC 0 vs 0 Seongnam FC</t>
  </si>
  <si>
    <t>2026-05-30|Suwon FC|Seongnam FC</t>
  </si>
  <si>
    <t>EST-03245</t>
  </si>
  <si>
    <t>Yongin City 1 vs 1 Daegu FC</t>
  </si>
  <si>
    <t>2026-05-30|Yongin City|Daegu FC</t>
  </si>
  <si>
    <t>EST-03246</t>
  </si>
  <si>
    <t>Ansan Greeners 1 vs 3 Cheonan City FC</t>
  </si>
  <si>
    <t>2026-05-31|Ansan Greeners|Cheonan City FC</t>
  </si>
  <si>
    <t>EST-03247</t>
  </si>
  <si>
    <t>Jeonnam Dragons 0 vs 1 Seoul E-Land FC</t>
  </si>
  <si>
    <t>2026-05-31|Jeonnam Dragons|Seoul E-Land FC</t>
  </si>
  <si>
    <t>EST-03248</t>
  </si>
  <si>
    <t>Busan IPark 2 vs 2 Chungnam Asan FC</t>
  </si>
  <si>
    <t>2026-06-05|Busan IPark|Chungnam Asan FC</t>
  </si>
  <si>
    <t>EST-03249</t>
  </si>
  <si>
    <t>Daegu FC 1 vs 0 Paju Frontier</t>
  </si>
  <si>
    <t>2026-06-05|Daegu FC|Paju Frontier</t>
  </si>
  <si>
    <t>EST-03250</t>
  </si>
  <si>
    <t>Seongnam FC 1 vs 1 Gimhae City</t>
  </si>
  <si>
    <t>2026-06-05|Seongnam FC|Gimhae City</t>
  </si>
  <si>
    <t>EST-03251</t>
  </si>
  <si>
    <t>Cheonan City FC 2 vs 2 Suwon FC</t>
  </si>
  <si>
    <t>2026-06-07|Cheonan City FC|Suwon FC</t>
  </si>
  <si>
    <t>EST-03252</t>
  </si>
  <si>
    <t>Gimpo FC 2 vs 2 Jeonnam Dragons</t>
  </si>
  <si>
    <t>2026-06-07|Gimpo FC|Jeonnam Dragons</t>
  </si>
  <si>
    <t>EST-03253</t>
  </si>
  <si>
    <t>Seoul E-Land FC 1 vs 2 Chungbuk Cheongju FC</t>
  </si>
  <si>
    <t>2026-06-07|Seoul E-Land FC|Chungbuk Cheongju FC</t>
  </si>
  <si>
    <t>EST-03254</t>
  </si>
  <si>
    <t>Ansan Greeners 1 vs 3 Suwon FC</t>
  </si>
  <si>
    <t>2026-07-04|Ansan Greeners|Suwon FC</t>
  </si>
  <si>
    <t>EST-03255</t>
  </si>
  <si>
    <t>Chungbuk Cheongju FC 1 vs 5 Daegu FC</t>
  </si>
  <si>
    <t>2026-07-04|Chungbuk Cheongju FC|Daegu FC</t>
  </si>
  <si>
    <t>EST-03256</t>
  </si>
  <si>
    <t>Paju Frontier 0 vs 1 Yongin City</t>
  </si>
  <si>
    <t>2026-07-04|Paju Frontier|Yongin City</t>
  </si>
  <si>
    <t>EST-03257</t>
  </si>
  <si>
    <t>Suwon Bluewings 1 vs 0 Seongnam FC</t>
  </si>
  <si>
    <t>2026-07-04|Suwon Bluewings|Seongnam FC</t>
  </si>
  <si>
    <t>EST-03258</t>
  </si>
  <si>
    <t>Gimhae City 1 vs 3 Seoul E-Land FC</t>
  </si>
  <si>
    <t>2026-07-05|Gimhae City|Seoul E-Land FC</t>
  </si>
  <si>
    <t>EST-03259</t>
  </si>
  <si>
    <t>Gimpo FC 0 vs 2 Chungnam Asan FC</t>
  </si>
  <si>
    <t>2026-07-05|Gimpo FC|Chungnam Asan FC</t>
  </si>
  <si>
    <t>EST-03260</t>
  </si>
  <si>
    <t>Gyeongnam FC 2 vs 1 Cheonan City FC</t>
  </si>
  <si>
    <t>2026-07-05|Gyeongnam FC|Cheonan City FC</t>
  </si>
  <si>
    <t>EST-03261</t>
  </si>
  <si>
    <t>Cheonan City FC 0 vs 1 Gimhae City</t>
  </si>
  <si>
    <t>2026-07-10|Cheonan City FC|Gimhae City</t>
  </si>
  <si>
    <t>EST-03262</t>
  </si>
  <si>
    <t>Ansan Greeners 2 vs 1 Suwon Bluewings</t>
  </si>
  <si>
    <t>2026-07-11|Ansan Greeners|Suwon Bluewings</t>
  </si>
  <si>
    <t>EST-03263</t>
  </si>
  <si>
    <t>Daegu FC 3 vs 2 Seongnam FC</t>
  </si>
  <si>
    <t>2026-07-11|Daegu FC|Seongnam FC</t>
  </si>
  <si>
    <t>EST-03264</t>
  </si>
  <si>
    <t>Hwaseong FC 1 vs 2 Paju Frontier</t>
  </si>
  <si>
    <t>2026-07-11|Hwaseong FC|Paju Frontier</t>
  </si>
  <si>
    <t>EST-03265</t>
  </si>
  <si>
    <t>Busan IPark 2 vs 0 Gimpo FC</t>
  </si>
  <si>
    <t>2026-07-12|Busan IPark|Gimpo FC</t>
  </si>
  <si>
    <t>EST-03266</t>
  </si>
  <si>
    <t>Chungnam Asan FC 1 vs 1 Gyeongnam FC</t>
  </si>
  <si>
    <t>2026-07-12|Chungnam Asan FC|Gyeongnam FC</t>
  </si>
  <si>
    <t>EST-03267</t>
  </si>
  <si>
    <t>Gimpo FC 1 vs 1 Daegu FC</t>
  </si>
  <si>
    <t>2026-07-18|Gimpo FC|Daegu FC</t>
  </si>
  <si>
    <t>EST-03268</t>
  </si>
  <si>
    <t>Jeonnam Dragons 1 vs 0 Chungnam Asan FC</t>
  </si>
  <si>
    <t>2026-07-18|Jeonnam Dragons|Chungnam Asan FC</t>
  </si>
  <si>
    <t>EST-03269</t>
  </si>
  <si>
    <t>Seongnam FC 1 vs 0 Busan IPark</t>
  </si>
  <si>
    <t>2026-07-18|Seongnam FC|Busan IPark</t>
  </si>
  <si>
    <t>EST-03270</t>
  </si>
  <si>
    <t>Suwon FC 2 vs 2 Seoul E-Land FC</t>
  </si>
  <si>
    <t>2026-07-18|Suwon FC|Seoul E-Land FC</t>
  </si>
  <si>
    <t>EST-03271</t>
  </si>
  <si>
    <t>Chungbuk Cheongju FC 1 vs 0 Cheonan City FC</t>
  </si>
  <si>
    <t>2026-07-19|Chungbuk Cheongju FC|Cheonan City FC</t>
  </si>
  <si>
    <t>EST-03272</t>
  </si>
  <si>
    <t>Gyeongnam FC 5 vs 0 Ansan Greeners</t>
  </si>
  <si>
    <t>2026-07-19|Gyeongnam FC|Ansan Greeners</t>
  </si>
  <si>
    <t>EST-03273</t>
  </si>
  <si>
    <t>Suwon Bluewings 0 vs 0 Paju Frontier</t>
  </si>
  <si>
    <t>2026-07-19|Suwon Bluewings|Paju Frontier</t>
  </si>
  <si>
    <t>EST-03274</t>
  </si>
  <si>
    <t>Seoul E-Land FC 4 vs 3 Cheonan City FC</t>
  </si>
  <si>
    <t>2026-07-24|Seoul E-Land FC|Cheonan City FC</t>
  </si>
  <si>
    <t>EST-03275</t>
  </si>
  <si>
    <t>Daegu FC 1 vs 2 Suwon FC</t>
  </si>
  <si>
    <t>2026-07-25|Daegu FC|Suwon FC</t>
  </si>
  <si>
    <t>EST-03276</t>
  </si>
  <si>
    <t>Hwaseong FC 3 vs 2 Chungnam Asan FC</t>
  </si>
  <si>
    <t>2026-07-25|Hwaseong FC|Chungnam Asan FC</t>
  </si>
  <si>
    <t>EST-03277</t>
  </si>
  <si>
    <t>Gimpo FC 1 vs 1 Yongin City</t>
  </si>
  <si>
    <t>2026-07-26|Gimpo FC|Yongin City</t>
  </si>
  <si>
    <t>EST-03278</t>
  </si>
  <si>
    <t>Paju Frontier 0 vs 1 Ansan Greeners</t>
  </si>
  <si>
    <t>2026-07-26|Paju Frontier|Ansan Greeners</t>
  </si>
  <si>
    <t>EST-03279</t>
  </si>
  <si>
    <t>Cheonan City FC 2 vs 2 Yongin City</t>
  </si>
  <si>
    <t>2026-08-01|Cheonan City FC|Yongin City</t>
  </si>
  <si>
    <t>EST-03280</t>
  </si>
  <si>
    <t>Chungnam Asan FC 2 vs 0 Seongnam FC</t>
  </si>
  <si>
    <t>2026-08-01|Chungnam Asan FC|Seongnam FC</t>
  </si>
  <si>
    <t>EST-03281</t>
  </si>
  <si>
    <t>Hwaseong FC 5 vs 1 Daegu FC</t>
  </si>
  <si>
    <t>2026-08-01|Hwaseong FC|Daegu FC</t>
  </si>
  <si>
    <t>EST-03282</t>
  </si>
  <si>
    <t>Ansan Greeners 2 vs 2 Gimhae City</t>
  </si>
  <si>
    <t>2026-08-02|Ansan Greeners|Gimhae City</t>
  </si>
  <si>
    <t>EST-03283</t>
  </si>
  <si>
    <t>Busan IPark 1 vs 2 Seoul E-Land FC</t>
  </si>
  <si>
    <t>2026-08-02|Busan IPark|Seoul E-Land FC</t>
  </si>
  <si>
    <t>EST-03284</t>
  </si>
  <si>
    <t>Gimpo FC 1 vs 1 Gyeongnam FC</t>
  </si>
  <si>
    <t>2026-08-02|Gimpo FC|Gyeongnam FC</t>
  </si>
  <si>
    <t>EST-03285</t>
  </si>
  <si>
    <t>Jeonnam Dragons 1 vs 2 Paju Frontier</t>
  </si>
  <si>
    <t>2026-08-02|Jeonnam Dragons|Paju Frontier</t>
  </si>
  <si>
    <t>EST-03286</t>
  </si>
  <si>
    <t>Chungnam Asan FC 1 vs 1 Ansan Greeners</t>
  </si>
  <si>
    <t>2026-08-07|Chungnam Asan FC|Ansan Greeners</t>
  </si>
  <si>
    <t>EST-03287</t>
  </si>
  <si>
    <t>Gimpo FC 3 vs 0 Chungbuk Cheongju FC</t>
  </si>
  <si>
    <t>2026-08-07|Gimpo FC|Chungbuk Cheongju FC</t>
  </si>
  <si>
    <t>EST-03288</t>
  </si>
  <si>
    <t>Gyeongnam FC 0 vs 1 Daegu FC</t>
  </si>
  <si>
    <t>2026-08-07|Gyeongnam FC|Daegu FC</t>
  </si>
  <si>
    <t>EST-03289</t>
  </si>
  <si>
    <t>Hwaseong FC 0 vs 0 Seoul E-Land FC</t>
  </si>
  <si>
    <t>2026-08-07|Hwaseong FC|Seoul E-Land FC</t>
  </si>
  <si>
    <t>EST-03290</t>
  </si>
  <si>
    <t>Paju Frontier 0 vs 1 Suwon FC</t>
  </si>
  <si>
    <t>2026-08-08|Paju Frontier|Suwon FC</t>
  </si>
  <si>
    <t>EST-03291</t>
  </si>
  <si>
    <t>Seongnam FC 3 vs 2 Cheonan City FC</t>
  </si>
  <si>
    <t>2026-08-08|Seongnam FC|Cheonan City FC</t>
  </si>
  <si>
    <t>KOR - K League 2</t>
  </si>
  <si>
    <t>PARCIAL — 8 equipes</t>
  </si>
  <si>
    <t>WorldFootball · XScores · AiScore · Sofascore</t>
  </si>
  <si>
    <t>PRÓXIMAS PARTIDAS — K LEAGUE 2 (GMT−3)</t>
  </si>
  <si>
    <t>Flashscore · Sofascore</t>
  </si>
  <si>
    <t>76. Bucheon FC 1995 × Jeonbuk FC</t>
  </si>
  <si>
    <t>16/08/26 07:30 · GMT-3</t>
  </si>
  <si>
    <t>λ 1,92 · Under 4,00: 84,8% Green + 8,2% Push · proteção 93,0% no cenário pessimista · perfil Under estrutural</t>
  </si>
  <si>
    <t>Under 4,00</t>
  </si>
  <si>
    <t>1X2: Bucheon 3,90 | Empate 3,40 | Jeonbuk 1,83 · BTTS: Sim 1,83 | Não 1,83 · Under 1,25 @ 4,40 | Under 1,50 @ 3,30 | Under 1,75 @ 2,85 | Under 2,00 @ 2,425 | Under 3,50 @ 1,275 | Under 3,75 @ 1,20 | Under 4,00 @ 1,12 | Under 4,25 @ 1,105</t>
  </si>
  <si>
    <t>Under 4,00 @ 1,12</t>
  </si>
  <si>
    <t>Prioridade em acerto e proteção: perfil Under estrutural, λ 1,92, BTTS histórico baixo e risco elevado de 0×0; quatro gols devolvem a stake e apenas 5+ geram Red.</t>
  </si>
  <si>
    <t>Under 4,00: 0–3 gols = Green; 4 gols = devolução; 5+ gols = Red</t>
  </si>
  <si>
    <t>77. Seoul E-Land FC × Ansan Greeners</t>
  </si>
  <si>
    <t>λ 3,30 · Over 1,50: 83,4% Green pessimista · 90,0% histórico de 2+ gols · risco 0×0 de 4,0%</t>
  </si>
  <si>
    <t>1X2: Seoul E-Land 1,28 | Empate 5,00 | Ansan 8,00 · BTTS: Sim 1,83 | Não 1,83 · Over 1,50 @ 1,16 | Over 1,75 @ 1,18 | Over 2,00 @ 1,21 | Over 2,25 @ 1,375 | Over 3,25 @ 2,05 | Over 4,00 @ 3,30 | Over 5,00 @ 6,60 | Over 5,25 @ 7,00</t>
  </si>
  <si>
    <t>Prioridade em acerto: 83,4% de Green pessimista, risco baixo de 0×0, 90,0% de 2+ gols e forte favoritismo do Seoul E-Land, que pode sustentar a linha sozinho.</t>
  </si>
  <si>
    <t>78. Gimpo FC × Cheonan City FC</t>
  </si>
  <si>
    <t>λ 3,11 · Over 1,50: 80,8% Green pessimista · 85,7% histórico de 2+ gols · risco 0×0 de 4,9%</t>
  </si>
  <si>
    <t>1X2: Gimpo 1,70 | Empate 3,40 | Cheonan 4,20 · BTTS: Sim 1,83 | Não 1,83 · Over 1,25 @ 1,23 | Over 1,50 @ 1,375 | Over 1,75 @ 1,45 | Over 2,00 @ 1,60 | Over 3,00 @ 3,10 | Over 4,00 @ 7,00</t>
  </si>
  <si>
    <t>Over 1,50 @ 1,375</t>
  </si>
  <si>
    <t>Prioridade em acerto: 80,8% de Green pessimista, histórico de 85,7% com 2+ gols, risco baixo de 0×0 e confirmação ofensiva casa/fora.</t>
  </si>
  <si>
    <t>79. Paju Frontier × Seongnam FC</t>
  </si>
  <si>
    <t>λ 1,96 · Under 3,75: 82,9% Green + 8,2% meio Green · proteção positiva 91,1% · perfil Under estrutural</t>
  </si>
  <si>
    <t>Under 3,75</t>
  </si>
  <si>
    <t>1X2: Paju 3,10 | Empate 3,00 | Seongnam 2,15 · BTTS: Sim 2,00 | Não 1,72 · Under 1,00 @ 6,25 | Under 1,25 @ 3,55 | Under 1,50 @ 2,75 | Under 1,75 @ 2,425 | Under 3,00 @ 1,30 | Under 3,25 @ 1,24 | Under 3,50 @ 1,21 | Under 3,75 @ 1,14</t>
  </si>
  <si>
    <t>Under 3,75 @ 1,14</t>
  </si>
  <si>
    <t>Prioridade em acerto e proteção: perfil Under estrutural, λ baixo, risco elevado de 0×0 e BTTS Não favorecido; quatro gols ainda geram meio Green.</t>
  </si>
  <si>
    <t>Under 3,75: 0–3 gols = Green; 4 gols = meio Green; 5+ gols = Red</t>
  </si>
  <si>
    <t>SELEÇÃO 16/08 — MELHORES CANDIDATAS POR LIGA</t>
  </si>
  <si>
    <t>Triagem técnica sem odds · cenário pessimista · prioridade: Green integral e proteção contra Red</t>
  </si>
  <si>
    <t>Foram processadas 28 partidas em oito ligas com cobertura. A lista abaixo seleciona uma candidata principal por liga; linhas indicadas são pontos de partida para a segunda etapa, não apostas automáticas. Norra Svealand e Södra Svealand ficaram bloqueadas porque ainda não possuem equipes na base. Nenhum confronto apresentou perfil Under estrutural suficientemente forte; portanto, a shortlist é prioritariamente Over.</t>
  </si>
  <si>
    <t>PRINCIPAIS — UMA POR LIGA</t>
  </si>
  <si>
    <t>Prior.</t>
  </si>
  <si>
    <t>Direção</t>
  </si>
  <si>
    <t>Linha inicial</t>
  </si>
  <si>
    <t>Green pess.</t>
  </si>
  <si>
    <t>Proteção</t>
  </si>
  <si>
    <t>λ</t>
  </si>
  <si>
    <t>Próxima ação</t>
  </si>
  <si>
    <t>Kongsvinger IL × FK Haugesund</t>
  </si>
  <si>
    <t>OVER</t>
  </si>
  <si>
    <t>Solicitar odds completas — excepcional</t>
  </si>
  <si>
    <t>ISL - Besta-deild karla</t>
  </si>
  <si>
    <t>KR Reykjavík × Breidablik</t>
  </si>
  <si>
    <t>Degerfors IF × IFK Göteborg</t>
  </si>
  <si>
    <t>Solicitar odds completas — forte</t>
  </si>
  <si>
    <t>Åtvidabergs FF × Skövde AIK</t>
  </si>
  <si>
    <t>Aalesunds FK × Vålerenga</t>
  </si>
  <si>
    <t>Piteå IF × Vasalunds IF</t>
  </si>
  <si>
    <t>Linero IF × Räppe GoIF</t>
  </si>
  <si>
    <t>IFK Värnamo × Östersunds FK</t>
  </si>
  <si>
    <t>OBSERVAR</t>
  </si>
  <si>
    <t>Sem linha aprovada</t>
  </si>
  <si>
    <t>Não avançar sem mercado muito confirmatório</t>
  </si>
  <si>
    <t>RESERVAS FORTES — CASO AS ODDS DAS PRINCIPAIS NÃO CONFIRMEM</t>
  </si>
  <si>
    <t>Sogndal Fotball × Sandnes Ulf</t>
  </si>
  <si>
    <t>Reserva elite da OBOS</t>
  </si>
  <si>
    <t>Trelleborgs FF × Eskilsminne IF</t>
  </si>
  <si>
    <t>Reserva forte</t>
  </si>
  <si>
    <t>FC Rosengård × Utsiktens BK</t>
  </si>
  <si>
    <t>IBV Vestmannaeyjar × ÍA Akranes</t>
  </si>
  <si>
    <t>Reserva forte da Islândia</t>
  </si>
  <si>
    <t>SK Brann × HamKam</t>
  </si>
  <si>
    <t>Molde FK × Tromsø IL</t>
  </si>
  <si>
    <t>Djurgårdens IF × AIK</t>
  </si>
  <si>
    <t>Österlen FF × Oskarshamns AIK</t>
  </si>
  <si>
    <t>LIGAS BLOQUEADAS — SEM BASE LOCAL</t>
  </si>
  <si>
    <t>Partidas em 16/08</t>
  </si>
  <si>
    <t>SWE - 2ª D Norra Svealand</t>
  </si>
  <si>
    <t>Nenhuma equipe cadastrada em Equipes</t>
  </si>
  <si>
    <t>Começar pelas três líderes gerais: Kongsvinger × Haugesund, KR Reykjavík × Breidablik e Degerfors × IFK Göteborg. Solicitar 1X2, BTTS e todas as linhas Over asiáticas. Se o mercado não confirmar, usar as reservas fortes. A Superettan não produziu candidata acima do corte de 75%; IFK Värnamo × Östersund permanece apenas em observação.</t>
  </si>
  <si>
    <t>80. Kongsvinger IL × FK Haugesund</t>
  </si>
  <si>
    <t>16/08/26 12:00 · GMT-3</t>
  </si>
  <si>
    <t>λ 5,97 · Over 2,50: 93,1% Green pessimista · BTTS histórico 91,7% e mercado normalizado 75,0% · risco 0×0 de 0,3%</t>
  </si>
  <si>
    <t>Aprovada · EXCEPCIONAL</t>
  </si>
  <si>
    <t>1X2: Kongsvinger 1,83 | Empate 4,33 | Haugesund 3,30 · BTTS: Sim 1,25 | Não 3,75 · Over 2,25 @ 1,14 | Over 2,50 @ 1,21 | Over 2,75 @ 1,24 | Over 3,00 @ 1,275 | Over 5,00 @ 3,00 | Over 6,00 @ 5,50 | Over 6,50 @ 6,00</t>
  </si>
  <si>
    <t>Over 2,50 @ 1,21</t>
  </si>
  <si>
    <t>Prioridade em acerto: 93,1% de Green pessimista, histórico de 100% com 2+ gols, BTTS fortemente confirmado e risco de 0×0 praticamente nulo.</t>
  </si>
  <si>
    <t>81. KR Reykjavik (KR Reykjavík) × Breidablik</t>
  </si>
  <si>
    <t>16/08/26 14:00 · GMT-3</t>
  </si>
  <si>
    <t>λ 5,00 · Over 2,50: 83,5% Green pessimista · BTTS histórico 75,0% e mercado normalizado 76,6% · risco 0×0 de 1,3%</t>
  </si>
  <si>
    <t>1X2: KR Reykjavík 1,50 | Empate 4,20 | Breidablik 4,50 · BTTS: Sim 1,22 | Não 4,00 · Over 2,25 @ 1,115 | Over 2,50 @ 1,18 | Over 2,75 @ 1,20 | Over 3,00 @ 1,23 | Over 4,00 @ 1,65 | Over 5,00 @ 2,60 | Over 6,00 @ 4,50 | Over 6,75 @ 6,25</t>
  </si>
  <si>
    <t>Over 2,50 @ 1,18</t>
  </si>
  <si>
    <t>Prioridade em acerto: 83,5% de Green pessimista, λ elevado, BTTS fortemente confirmado pelo histórico e mercado e risco muito baixo de 0×0.</t>
  </si>
  <si>
    <t>82. Sogndal Fotball × Sandnes Ulf</t>
  </si>
  <si>
    <t>λ 4,12 · Over 2,00: 76,9% Green + 14,1% Push · proteção 91,0% no cenário pessimista · histórico de 100% com 2+ gols</t>
  </si>
  <si>
    <t>1X2: Sogndal 2,00 | Empate 3,90 | Sandnes Ulf 3,20 · BTTS: Sim 1,36 | Não 3,00 · Over 1,50 @ 1,10 | Over 1,75 @ 1,115 | Over 2,00 @ 1,13 | Over 2,25 @ 1,25 | Over 2,50 @ 1,35 | Over 4,00 @ 2,425 | Over 5,00 @ 4,50 | Over 5,75 @ 6,60</t>
  </si>
  <si>
    <t>Prioridade em acerto com proteção: modelos e histórico convergem para gols; três ou mais confirmam Green e exatamente dois devolvem a stake.</t>
  </si>
  <si>
    <t>83. São Paulo × Coritiba</t>
  </si>
  <si>
    <t>15/08/26 · Horário não informado</t>
  </si>
  <si>
    <t>Não informado · bilhete retroativo inserido após o resultado</t>
  </si>
  <si>
    <t>Registro retroativo</t>
  </si>
  <si>
    <t>Over 1,25 @ 1,22</t>
  </si>
  <si>
    <t>Bilhete informado pela usuária após a partida; linha, odd, stake e placar preservados conforme registro.</t>
  </si>
  <si>
    <t>Over 1,25: 2+ gols = Green; 1 gol = meio Red; 0 gols = Red</t>
  </si>
  <si>
    <t>Cashout integral · retorno bruto R$ 0,55 · stake R$ 0,50 · lucro líquido R$ 0,05 · placar final 1 × 1</t>
  </si>
  <si>
    <t>84. Athletico-PR × Red Bull Bragantino</t>
  </si>
  <si>
    <t>Bilhete informado após a partida; linha, odd, stake e placar preservados conforme registro da usuária.</t>
  </si>
  <si>
    <t>Over 1,00: 2+ gols = Green; 1 gol = devolução; 0 gols = Red</t>
  </si>
  <si>
    <t>85. Atlético-GO × Vila Nova</t>
  </si>
  <si>
    <t>86. Degerfors IF × IFK Göteborg</t>
  </si>
  <si>
    <t>16/08/26 · Horário não informado</t>
  </si>
  <si>
    <t>1X2: Degerfors 2,85 | Empate 3,50 | IFK Göteborg 2,25 · BTTS: Sim 1,70 | Não 2,05 · Over 1,25 @ 1,16 | Over 1,50 @ 1,26 | Over 1,75 @ 1,325 | Over 2,00 @ 1,40 | Over 3,50 @ 3,10 | Over 4,00 @ 5,25 | Over 4,50 @ 6,00</t>
  </si>
  <si>
    <t>Over 2,00 @ 1,40</t>
  </si>
  <si>
    <t>λ 4,20 · Over 2,00: 79,0% Green + 13,2% devolução · proteção 92,2% no cenário pessimista · risco de 0×0 de 1,5%</t>
  </si>
  <si>
    <t>Prioridade em acerto com proteção: o modelo projeta 79,0% de Green e 92,2% de proteção; dois gols devolvem a stake e três ou mais confirmam Green.</t>
  </si>
  <si>
    <t>BACKTEST — LINHA ESCOLHIDA VS. LINHAS SUPERIORES</t>
  </si>
  <si>
    <t>Estratégia</t>
  </si>
  <si>
    <t>Amostra</t>
  </si>
  <si>
    <t>P/L linha escolhida</t>
  </si>
  <si>
    <t>P/L alternativa</t>
  </si>
  <si>
    <t>Diferença</t>
  </si>
  <si>
    <t>ROI alternativa</t>
  </si>
  <si>
    <t>Linha escolhida — 64 bilhetes</t>
  </si>
  <si>
    <t>Próxima linha cotada</t>
  </si>
  <si>
    <t>Linha escolhida +0,25</t>
  </si>
  <si>
    <t>Linha escolhida +0,50</t>
  </si>
  <si>
    <t>Linha escolhida +0,75</t>
  </si>
  <si>
    <t>Referência simulada com liquidação asiática, sem efeito de cashout.</t>
  </si>
  <si>
    <t>Teste principal: usa a primeira linha superior realmente disponível.</t>
  </si>
  <si>
    <t>Comparação somente quando a linha exata +0,25 estava cotada.</t>
  </si>
  <si>
    <t>Comparação somente quando a linha exata +0,50 estava cotada.</t>
  </si>
  <si>
    <t>Comparação somente quando a linha exata +0,75 estava cotada.</t>
  </si>
  <si>
    <t>Conclusão: nos 49 bilhetes com linha superior cotada, avançar automaticamente a linha reduziu o P/L de R$ 0,645 para −R$ 1,168. O conservadorismo deixou gols na mesa em jogos isolados, mas preservou mais capital no conjunto.</t>
  </si>
  <si>
    <t>REGRA EXPERIMENTAL — AVANÇO INTELIGENTE DE LINHA</t>
  </si>
  <si>
    <t>P/L conservador</t>
  </si>
  <si>
    <t>P/L seletivo</t>
  </si>
  <si>
    <t>Ganho</t>
  </si>
  <si>
    <t>Green central mínimo</t>
  </si>
  <si>
    <t>Evita avançar quando o Green integral depende demais da cauda.</t>
  </si>
  <si>
    <t>Proteção mínima</t>
  </si>
  <si>
    <t>Inclui Green, meio Green e devolução; limita a exposição ao Red.</t>
  </si>
  <si>
    <t>Valor esperado mínimo</t>
  </si>
  <si>
    <t>A odd da linha superior precisa remunerar o risco adicional.</t>
  </si>
  <si>
    <t>Melhora mínima de EV</t>
  </si>
  <si>
    <t>+1 p.p.</t>
  </si>
  <si>
    <t>A alternativa precisa superar a linha conservadora, não apenas ter EV positivo.</t>
  </si>
  <si>
    <t>Resultado cronológico</t>
  </si>
  <si>
    <t>Aplicar somente à maior linha cotada que cumpra todos os filtros</t>
  </si>
  <si>
    <t>4 alterações nos 40 primeiros jogos e 3 nos 24 finais; ganho positivo nos dois blocos.</t>
  </si>
  <si>
    <t>Status: hipótese experimental. A melhoria foi de apenas R$ 0,075 em 64 bilhetes; usar como sinal de revisão manual, não como aprovação automática.</t>
  </si>
  <si>
    <t>MOTOR TURBO — PERFIL EXPLOSIVO E REGIME DA LIGA</t>
  </si>
  <si>
    <t>O V1 permanece intacto nas linhas 8–51. O V2 abaixo amplia a leitura quando teto empírico e dispersão confirmam potencial de cauda.</t>
  </si>
  <si>
    <t>Peso / referência</t>
  </si>
  <si>
    <t>Frequência de 1+ gol</t>
  </si>
  <si>
    <t>Frequência de 2+ gols</t>
  </si>
  <si>
    <t>Frequência de 3+ gols</t>
  </si>
  <si>
    <t>Frequência de 4+ gols</t>
  </si>
  <si>
    <t>Dispersão média</t>
  </si>
  <si>
    <t>Fator da liga</t>
  </si>
  <si>
    <t>Peso Turbo</t>
  </si>
  <si>
    <t>Base empírica</t>
  </si>
  <si>
    <t>1,00 = Poisson</t>
  </si>
  <si>
    <t>1,00 = liga neutra</t>
  </si>
  <si>
    <t>15% a 65%</t>
  </si>
  <si>
    <t>Regra da liga</t>
  </si>
  <si>
    <t>Green mínimo</t>
  </si>
  <si>
    <t>V1</t>
  </si>
  <si>
    <t>V2 Turbo</t>
  </si>
  <si>
    <t>Liga fechada (&lt;2,60)</t>
  </si>
  <si>
    <t>Liga neutra (2,60–3,19)</t>
  </si>
  <si>
    <t>Liga aberta (≥3,20)</t>
  </si>
  <si>
    <t>Regra ativa</t>
  </si>
  <si>
    <t>Consenso conservador</t>
  </si>
  <si>
    <t>Mistura adaptativa</t>
  </si>
  <si>
    <t>MIN(Poisson; BN)</t>
  </si>
  <si>
    <t>Linha base</t>
  </si>
  <si>
    <t>COMPARAÇÃO V1 × VERSÃO TURBO POR LINHA</t>
  </si>
  <si>
    <t>V1 Green</t>
  </si>
  <si>
    <t>Empírico Green</t>
  </si>
  <si>
    <t>Turbo Green</t>
  </si>
  <si>
    <t>V1 Proteção</t>
  </si>
  <si>
    <t>Empírico Proteção</t>
  </si>
  <si>
    <t>Turbo Proteção</t>
  </si>
  <si>
    <t>Δ Turbo</t>
  </si>
  <si>
    <t>Dominância unilateral</t>
  </si>
  <si>
    <t>MODELO 01 — SIMULADOR CONSERVADOR DE CONFRONTO</t>
  </si>
  <si>
    <t>V1 · Poisson, binomial negativa e consenso conservador de linhas asiáticas</t>
  </si>
  <si>
    <t>MODELO 02 — DETECÇÃO DE PARTIDAS EXPLOSIVAS</t>
  </si>
  <si>
    <t>V2 · Modelo 01 acrescido de teto empírico, dispersão, regime da liga e dominância unilateral</t>
  </si>
  <si>
    <t>RADAR OVER</t>
  </si>
  <si>
    <t>Bônus V2</t>
  </si>
  <si>
    <t>Over 3 — 4+ gols</t>
  </si>
  <si>
    <t>Over 2 — 3+ gols</t>
  </si>
  <si>
    <t>V1 + teto + dominância + radar</t>
  </si>
  <si>
    <t>ORIENTAÇÃO MODELO 02 — maior linha acima do Modelo 01 confirmada por Green, proteção, explosividade e Radar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</si>
</sst>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dd/mm/yy;@"/>
    <numFmt numFmtId="165" formatCode="0.0%"/>
    <numFmt numFmtId="166" formatCode="0.000"/>
    <numFmt numFmtId="167" formatCode="&quot;Over &quot;0.00"/>
    <numFmt numFmtId="168" formatCode="dd/mm/yy"/>
    <numFmt numFmtId="169" formatCode="0\ &quot;reg.&quot;"/>
    <numFmt numFmtId="170" formatCode="[$R$-416]\ #,##0.00;[Red]\-[$R$-416]\ #,##0.00"/>
    <numFmt numFmtId="171" formatCode="&quot;R$&quot;\ #,##0.00"/>
    <numFmt numFmtId="172" formatCode="[$R$-416]\ #,##0.00"/>
    <numFmt numFmtId="173" formatCode="\R&quot;R$&quot;\ #,##0.00"/>
    <numFmt numFmtId="174" formatCode="[$R$-416]\ #,##0.000"/>
    <numFmt numFmtId="175" formatCode="&quot;R$&quot;\ #,##0.000;[Red]\-&quot;R$&quot;\ #,##0.000"/>
    <numFmt numFmtId="176" formatCode="0.0%;[Red]\-0.0%"/>
  </numFmts>
  <fonts count="59" x14ac:knownFonts="1">
    <font>
      <sz val="11"/>
      <color theme="1"/>
      <name val="Aptos Narrow"/>
      <family val="2"/>
      <charset val="1"/>
    </font>
    <font>
      <b/>
      <sz val="10"/>
      <color rgb="FFFFFFFF"/>
      <name val="Aptos"/>
      <family val="2"/>
    </font>
    <font>
      <sz val="10"/>
      <color theme="1"/>
      <name val="Aptos"/>
      <family val="2"/>
    </font>
    <font>
      <sz val="10"/>
      <name val="Aptos"/>
      <family val="2"/>
    </font>
    <font>
      <i/>
      <sz val="10"/>
      <color rgb="FF666666"/>
      <name val="Aptos"/>
      <family val="2"/>
    </font>
    <font>
      <b/>
      <sz val="10"/>
      <name val="Aptos"/>
      <family val="2"/>
    </font>
    <font>
      <sz val="10"/>
      <color rgb="FF1F4E78"/>
      <name val="Aptos"/>
      <family val="2"/>
    </font>
    <font>
      <b/>
      <sz val="10"/>
      <color rgb="FFFFFFFF"/>
      <name val="Aptos"/>
    </font>
    <font>
      <b/>
      <sz val="11"/>
      <color rgb="FFFFFFFF"/>
      <name val="Aptos Narrow"/>
      <family val="2"/>
      <charset val="1"/>
    </font>
    <font>
      <b/>
      <sz val="18"/>
      <color rgb="FFFFFFFF"/>
      <name val="Aptos Narrow"/>
      <family val="2"/>
      <charset val="1"/>
    </font>
    <font>
      <i/>
      <sz val="11"/>
      <color rgb="FF666666"/>
      <name val="Aptos Narrow"/>
      <family val="2"/>
      <charset val="1"/>
    </font>
    <font>
      <b/>
      <sz val="11"/>
      <color theme="1"/>
      <name val="Aptos Narrow"/>
      <family val="2"/>
      <charset val="1"/>
    </font>
    <font>
      <sz val="10"/>
      <color rgb="FF1F1F1F"/>
      <name val="Aptos"/>
      <family val="2"/>
    </font>
    <font>
      <sz val="10"/>
      <color rgb="FF000000"/>
      <name val="Aptos"/>
      <family val="2"/>
    </font>
    <font>
      <sz val="11"/>
      <color rgb="FF000000"/>
      <name val="Aptos Narrow"/>
      <family val="2"/>
      <charset val="1"/>
    </font>
    <font>
      <b/>
      <sz val="11"/>
      <color theme="0"/>
      <name val="Aptos Narrow"/>
      <family val="2"/>
      <charset val="1"/>
    </font>
    <font>
      <sz val="8"/>
      <name val="Aptos Narrow"/>
      <family val="2"/>
      <charset val="1"/>
    </font>
    <font>
      <sz val="10"/>
      <color theme="1"/>
      <name val="Aptos"/>
    </font>
    <font>
      <sz val="9"/>
      <color theme="1"/>
      <name val="Aptos Narrow"/>
      <family val="2"/>
      <charset val="1"/>
    </font>
    <font>
      <i/>
      <sz val="11"/>
      <color rgb="FF555555"/>
      <name val="Aptos Narrow"/>
      <family val="2"/>
      <charset val="1"/>
    </font>
    <font>
      <b/>
      <sz val="10"/>
      <color rgb="FF7F6000"/>
      <name val="Aptos"/>
      <family val="2"/>
    </font>
    <font>
      <b/>
      <sz val="9"/>
      <color theme="1"/>
      <name val="Aptos Narrow"/>
      <family val="2"/>
      <charset val="1"/>
    </font>
    <font>
      <b/>
      <sz val="10"/>
      <color rgb="FF1F1F1F"/>
      <name val="Aptos"/>
      <family val="2"/>
    </font>
    <font>
      <b/>
      <sz val="18"/>
      <color rgb="FFFFFFFF"/>
      <name val="Aptos"/>
      <family val="2"/>
    </font>
    <font>
      <sz val="10"/>
      <color rgb="FF666666"/>
      <name val="Aptos"/>
      <family val="2"/>
    </font>
    <font>
      <sz val="10"/>
      <color rgb="FF555555"/>
      <name val="Aptos"/>
      <family val="2"/>
    </font>
    <font>
      <i/>
      <sz val="10"/>
      <color rgb="FF7F6000"/>
      <name val="Aptos"/>
      <family val="2"/>
    </font>
    <font>
      <b/>
      <sz val="15"/>
      <color rgb="FFFFFFFF"/>
      <name val="Aptos Narrow"/>
      <family val="2"/>
      <charset val="1"/>
    </font>
    <font>
      <b/>
      <sz val="13"/>
      <color rgb="FFFFFFFF"/>
      <name val="Aptos Narrow"/>
      <family val="2"/>
      <charset val="1"/>
    </font>
    <font>
      <b/>
      <sz val="11"/>
      <color rgb="FF17365D"/>
      <name val="Aptos Narrow"/>
      <family val="2"/>
      <charset val="1"/>
    </font>
    <font>
      <sz val="9"/>
      <color rgb="FF17365D"/>
      <name val="Aptos Narrow"/>
      <family val="2"/>
      <charset val="1"/>
    </font>
    <font>
      <b/>
      <sz val="11"/>
      <color rgb="FF7F6000"/>
      <name val="Aptos Narrow"/>
      <family val="2"/>
      <charset val="1"/>
    </font>
    <font>
      <b/>
      <sz val="11"/>
      <color rgb="FF274E13"/>
      <name val="Aptos Narrow"/>
      <family val="2"/>
      <charset val="1"/>
    </font>
    <font>
      <b/>
      <sz val="10"/>
      <color theme="1"/>
      <name val="Aptos Narrow"/>
      <family val="2"/>
      <charset val="1"/>
    </font>
    <font>
      <b/>
      <sz val="10"/>
      <color rgb="FF006100"/>
      <name val="Aptos Narrow"/>
      <family val="2"/>
      <charset val="1"/>
    </font>
    <font>
      <b/>
      <sz val="10"/>
      <color rgb="FFFFFFFF"/>
      <name val="Aptos Narrow"/>
      <family val="2"/>
      <charset val="1"/>
    </font>
    <font>
      <b/>
      <sz val="10"/>
      <color rgb="FF006100"/>
      <name val="Aptos"/>
      <family val="2"/>
    </font>
    <font>
      <sz val="10"/>
      <color theme="1"/>
      <name val="Aptos Narrow"/>
      <family val="2"/>
      <charset val="1"/>
    </font>
    <font>
      <b/>
      <sz val="9"/>
      <color rgb="FFFFFFFF"/>
      <name val="Aptos Narrow"/>
      <family val="2"/>
      <charset val="1"/>
    </font>
    <font>
      <b/>
      <sz val="12"/>
      <color rgb="FFFFFFFF"/>
      <name val="Aptos Narrow"/>
      <family val="2"/>
      <charset val="1"/>
    </font>
    <font>
      <b/>
      <sz val="11"/>
      <color rgb="FF000000"/>
      <name val="Aptos Narrow"/>
      <family val="2"/>
      <charset val="1"/>
    </font>
    <font>
      <b/>
      <sz val="11"/>
      <color rgb="FF1F1F1F"/>
      <name val="Aptos Narrow"/>
      <family val="2"/>
      <charset val="1"/>
    </font>
    <font>
      <sz val="11"/>
      <color rgb="FF595959"/>
      <name val="Aptos Narrow"/>
      <family val="2"/>
      <charset val="1"/>
    </font>
    <font>
      <b/>
      <sz val="12"/>
      <color rgb="FF1F1F1F"/>
      <name val="Aptos Narrow"/>
      <family val="2"/>
      <charset val="1"/>
    </font>
    <font>
      <i/>
      <sz val="11"/>
      <color rgb="FF7F6000"/>
      <name val="Aptos Narrow"/>
      <family val="2"/>
      <charset val="1"/>
    </font>
    <font>
      <sz val="11"/>
      <color rgb="FF008000"/>
      <name val="Aptos Narrow"/>
      <family val="2"/>
      <charset val="1"/>
    </font>
    <font>
      <sz val="11"/>
      <color rgb="FF666666"/>
      <name val="Aptos Narrow"/>
      <family val="2"/>
      <charset val="1"/>
    </font>
    <font>
      <b/>
      <sz val="16"/>
      <color rgb="FFFFFFFF"/>
      <name val="Aptos Narrow"/>
      <family val="2"/>
      <charset val="1"/>
    </font>
    <font>
      <b/>
      <sz val="16"/>
      <color theme="1"/>
      <name val="Aptos Narrow"/>
      <family val="2"/>
      <charset val="1"/>
    </font>
    <font>
      <b/>
      <sz val="15"/>
      <color theme="1"/>
      <name val="Aptos Narrow"/>
      <family val="2"/>
      <charset val="1"/>
    </font>
    <font>
      <b/>
      <sz val="18"/>
      <color rgb="FFFFFFFF"/>
      <name val="Aptos"/>
    </font>
    <font>
      <i/>
      <sz val="10"/>
      <color rgb="FF666666"/>
      <name val="Aptos"/>
    </font>
    <font>
      <sz val="11"/>
      <color theme="1"/>
      <name val="Aptos"/>
    </font>
    <font>
      <sz val="11"/>
      <color rgb="FF263238"/>
      <name val="Aptos"/>
    </font>
    <font>
      <b/>
      <sz val="11"/>
      <color rgb="FFFFFFFF"/>
      <name val="Aptos"/>
    </font>
    <font>
      <b/>
      <sz val="12"/>
      <color rgb="FFFFFFFF"/>
      <name val="Aptos"/>
    </font>
    <font>
      <i/>
      <sz val="11"/>
      <color rgb="FF666666"/>
      <name val="Aptos"/>
    </font>
    <font>
      <b/>
      <sz val="11"/>
      <color theme="1"/>
      <name val="Aptos"/>
    </font>
    <font>
      <sz val="11"/>
      <color rgb="FF222222"/>
      <name val="Aptos Narrow"/>
      <family val="2"/>
      <charset val="1"/>
    </font>
  </fonts>
  <fills count="41">
    <fill>
      <patternFill patternType="none"/>
    </fill>
    <fill>
      <patternFill patternType="gray125"/>
    </fill>
    <fill>
      <patternFill patternType="solid">
        <fgColor rgb="FF1F4E78"/>
        <bgColor rgb="FF003366"/>
      </patternFill>
    </fill>
    <fill>
      <patternFill patternType="solid">
        <fgColor rgb="FF1F4E78"/>
        <bgColor rgb="FF1F4E78"/>
      </patternFill>
    </fill>
    <fill>
      <patternFill patternType="solid">
        <fgColor rgb="FFD9EAF7"/>
        <bgColor indexed="64"/>
      </patternFill>
    </fill>
    <fill>
      <patternFill patternType="solid">
        <fgColor rgb="FF1F4E78"/>
        <bgColor indexed="64"/>
      </patternFill>
    </fill>
    <fill>
      <patternFill patternType="solid">
        <fgColor rgb="FF4472C4"/>
        <bgColor indexed="64"/>
      </patternFill>
    </fill>
    <fill>
      <patternFill patternType="solid">
        <fgColor rgb="FFFFF2CC"/>
        <bgColor indexed="64"/>
      </patternFill>
    </fill>
    <fill>
      <patternFill patternType="solid">
        <fgColor rgb="FFF2F2F2"/>
        <bgColor indexed="64"/>
      </patternFill>
    </fill>
    <fill>
      <patternFill patternType="solid">
        <fgColor rgb="FFE2F0D9"/>
        <bgColor indexed="64"/>
      </patternFill>
    </fill>
    <fill>
      <patternFill patternType="solid">
        <fgColor rgb="FFC6EFCE"/>
        <bgColor indexed="64"/>
      </patternFill>
    </fill>
    <fill>
      <patternFill patternType="solid">
        <fgColor rgb="FF17365D"/>
        <bgColor indexed="64"/>
      </patternFill>
    </fill>
    <fill>
      <patternFill patternType="solid">
        <fgColor rgb="FFDDEBF7"/>
        <bgColor indexed="64"/>
      </patternFill>
    </fill>
    <fill>
      <patternFill patternType="solid">
        <fgColor rgb="FFFFFFFF"/>
        <bgColor indexed="64"/>
      </patternFill>
    </fill>
    <fill>
      <patternFill patternType="solid">
        <fgColor rgb="FFF7F9FC"/>
        <bgColor indexed="64"/>
      </patternFill>
    </fill>
    <fill>
      <patternFill patternType="solid">
        <fgColor rgb="FFEAF2F8"/>
        <bgColor indexed="64"/>
      </patternFill>
    </fill>
    <fill>
      <patternFill patternType="solid">
        <fgColor rgb="FFEEF3F8"/>
        <bgColor indexed="64"/>
      </patternFill>
    </fill>
    <fill>
      <patternFill patternType="solid">
        <fgColor rgb="FFE7E6E6"/>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rgb="FFD9EAD3"/>
        <bgColor indexed="64"/>
      </patternFill>
    </fill>
    <fill>
      <patternFill patternType="solid">
        <fgColor rgb="FF1F4E79"/>
        <bgColor indexed="64"/>
      </patternFill>
    </fill>
    <fill>
      <patternFill patternType="solid">
        <fgColor rgb="FFD9E1F2"/>
        <bgColor indexed="64"/>
      </patternFill>
    </fill>
    <fill>
      <patternFill patternType="solid">
        <fgColor rgb="FFF7F7F7"/>
        <bgColor indexed="64"/>
      </patternFill>
    </fill>
    <fill>
      <patternFill patternType="solid">
        <fgColor rgb="FFC6E0B4"/>
        <bgColor indexed="64"/>
      </patternFill>
    </fill>
    <fill>
      <patternFill patternType="solid">
        <fgColor rgb="FF2F75B5"/>
        <bgColor indexed="64"/>
      </patternFill>
    </fill>
    <fill>
      <patternFill patternType="solid">
        <fgColor rgb="FFF3F6F9"/>
        <bgColor indexed="64"/>
      </patternFill>
    </fill>
    <fill>
      <patternFill patternType="solid">
        <fgColor rgb="FFF5F8FB"/>
        <bgColor indexed="64"/>
      </patternFill>
    </fill>
    <fill>
      <patternFill patternType="solid">
        <fgColor rgb="FF10233F"/>
        <bgColor indexed="64"/>
      </patternFill>
    </fill>
    <fill>
      <patternFill patternType="solid">
        <fgColor rgb="FF176B87"/>
        <bgColor indexed="64"/>
      </patternFill>
    </fill>
    <fill>
      <patternFill patternType="solid">
        <fgColor rgb="FFDCEAF1"/>
        <bgColor indexed="64"/>
      </patternFill>
    </fill>
    <fill>
      <patternFill patternType="solid">
        <fgColor rgb="FFF4CCCC"/>
        <bgColor indexed="64"/>
      </patternFill>
    </fill>
    <fill>
      <patternFill patternType="solid">
        <fgColor rgb="FF17324D"/>
        <bgColor indexed="64"/>
      </patternFill>
    </fill>
    <fill>
      <patternFill patternType="solid">
        <fgColor rgb="FFEEF4F8"/>
        <bgColor indexed="64"/>
      </patternFill>
    </fill>
    <fill>
      <patternFill patternType="solid">
        <fgColor rgb="FF0F6B78"/>
        <bgColor indexed="64"/>
      </patternFill>
    </fill>
    <fill>
      <patternFill patternType="solid">
        <fgColor rgb="FFC00000"/>
        <bgColor indexed="64"/>
      </patternFill>
    </fill>
    <fill>
      <patternFill patternType="solid">
        <fgColor rgb="FF7F1D1D"/>
        <bgColor indexed="64"/>
      </patternFill>
    </fill>
    <fill>
      <patternFill patternType="solid">
        <fgColor rgb="FF5B9BD5"/>
        <bgColor indexed="64"/>
      </patternFill>
    </fill>
    <fill>
      <patternFill patternType="solid">
        <fgColor rgb="FF7030A0"/>
        <bgColor indexed="64"/>
      </patternFill>
    </fill>
    <fill>
      <patternFill patternType="solid">
        <fgColor rgb="FFE4DFEC"/>
        <bgColor indexed="64"/>
      </patternFill>
    </fill>
    <fill>
      <patternFill patternType="solid">
        <fgColor rgb="FF70AD47"/>
        <bgColor indexed="64"/>
      </patternFill>
    </fill>
  </fills>
  <borders count="59">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
      <left/>
      <right/>
      <top style="thin">
        <color auto="1"/>
      </top>
      <bottom/>
      <diagonal/>
    </border>
    <border>
      <left/>
      <right/>
      <top/>
      <bottom style="thin">
        <color auto="1"/>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style="thin">
        <color rgb="FFB4C6E7"/>
      </left>
      <right/>
      <top style="thin">
        <color rgb="FFB4C6E7"/>
      </top>
      <bottom style="thin">
        <color rgb="FFB4C6E7"/>
      </bottom>
      <diagonal/>
    </border>
    <border>
      <left style="thin">
        <color rgb="FFB4C6E7"/>
      </left>
      <right/>
      <top style="thin">
        <color rgb="FFB4C6E7"/>
      </top>
      <bottom/>
      <diagonal/>
    </border>
    <border>
      <left style="thin">
        <color rgb="FFB4C6E7"/>
      </left>
      <right/>
      <top/>
      <bottom/>
      <diagonal/>
    </border>
    <border>
      <left style="thin">
        <color rgb="FFB4C6E7"/>
      </left>
      <right/>
      <top/>
      <bottom style="thin">
        <color rgb="FFB4C6E7"/>
      </bottom>
      <diagonal/>
    </border>
    <border>
      <left/>
      <right style="thin">
        <color rgb="FFB4C6E7"/>
      </right>
      <top style="thin">
        <color rgb="FFB4C6E7"/>
      </top>
      <bottom/>
      <diagonal/>
    </border>
    <border>
      <left/>
      <right style="thin">
        <color rgb="FFB4C6E7"/>
      </right>
      <top/>
      <bottom/>
      <diagonal/>
    </border>
    <border>
      <left/>
      <right style="thin">
        <color rgb="FFB4C6E7"/>
      </right>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B4C6E7"/>
      </right>
      <top style="thin">
        <color rgb="FFB4C6E7"/>
      </top>
      <bottom/>
      <diagonal/>
    </border>
    <border>
      <left style="thick">
        <color rgb="FF17365D"/>
      </left>
      <right style="thick">
        <color rgb="FF17365D"/>
      </right>
      <top style="thick">
        <color rgb="FF17365D"/>
      </top>
      <bottom style="thick">
        <color rgb="FF17365D"/>
      </bottom>
      <diagonal/>
    </border>
    <border>
      <left style="thick">
        <color rgb="FF17365D"/>
      </left>
      <right style="thick">
        <color rgb="FF17365D"/>
      </right>
      <top style="thick">
        <color rgb="FF17365D"/>
      </top>
      <bottom/>
      <diagonal/>
    </border>
    <border>
      <left/>
      <right/>
      <top/>
      <bottom style="thin">
        <color rgb="FFD9E2F3"/>
      </bottom>
      <diagonal/>
    </border>
    <border>
      <left style="thin">
        <color rgb="FFB4C6E7"/>
      </left>
      <right style="thin">
        <color rgb="FFB4C6E7"/>
      </right>
      <top/>
      <bottom style="thin">
        <color rgb="FFB4C6E7"/>
      </bottom>
      <diagonal/>
    </border>
    <border>
      <left style="thin">
        <color rgb="FFB4C6E7"/>
      </left>
      <right style="thin">
        <color rgb="FFB4C6E7"/>
      </right>
      <top/>
      <bottom/>
      <diagonal/>
    </border>
    <border>
      <left style="thin">
        <color rgb="FF4472C4"/>
      </left>
      <right style="thin">
        <color rgb="FF4472C4"/>
      </right>
      <top style="thin">
        <color rgb="FF4472C4"/>
      </top>
      <bottom style="thin">
        <color rgb="FF4472C4"/>
      </bottom>
      <diagonal/>
    </border>
    <border>
      <left/>
      <right/>
      <top/>
      <bottom style="thin">
        <color rgb="FFB4C6E7"/>
      </bottom>
      <diagonal/>
    </border>
    <border>
      <left style="thick">
        <color rgb="FF17365D"/>
      </left>
      <right style="thick">
        <color rgb="FF17365D"/>
      </right>
      <top/>
      <bottom/>
      <diagonal/>
    </border>
    <border>
      <left/>
      <right/>
      <top/>
      <bottom style="thin">
        <color rgb="FF1F4E78"/>
      </bottom>
      <diagonal/>
    </border>
    <border>
      <left style="thin">
        <color rgb="FFA6A6A6"/>
      </left>
      <right style="thin">
        <color rgb="FFA6A6A6"/>
      </right>
      <top style="thin">
        <color rgb="FFA6A6A6"/>
      </top>
      <bottom style="thin">
        <color rgb="FFA6A6A6"/>
      </bottom>
      <diagonal/>
    </border>
    <border>
      <left style="thick">
        <color rgb="FF17365D"/>
      </left>
      <right style="thick">
        <color rgb="FF17365D"/>
      </right>
      <top style="thin">
        <color rgb="FFD9D9D9"/>
      </top>
      <bottom/>
      <diagonal/>
    </border>
    <border>
      <left style="thin">
        <color rgb="FFB4C6E7"/>
      </left>
      <right style="thin">
        <color rgb="FFB4C6E7"/>
      </right>
      <top style="thin">
        <color rgb="FFD9D9D9"/>
      </top>
      <bottom style="thin">
        <color rgb="FFD9D9D9"/>
      </bottom>
      <diagonal/>
    </border>
    <border>
      <left style="thin">
        <color rgb="FFD9D9D9"/>
      </left>
      <right style="thin">
        <color rgb="FFB4C6E7"/>
      </right>
      <top style="thin">
        <color rgb="FFD9D9D9"/>
      </top>
      <bottom style="thin">
        <color rgb="FFD9D9D9"/>
      </bottom>
      <diagonal/>
    </border>
    <border>
      <left style="thin">
        <color rgb="FFB4C6E7"/>
      </left>
      <right style="thin">
        <color rgb="FFD9D9D9"/>
      </right>
      <top style="thin">
        <color rgb="FFD9D9D9"/>
      </top>
      <bottom style="thin">
        <color rgb="FFD9D9D9"/>
      </bottom>
      <diagonal/>
    </border>
    <border>
      <left style="thin">
        <color rgb="FFB4C6E7"/>
      </left>
      <right/>
      <top style="thin">
        <color rgb="FFD9D9D9"/>
      </top>
      <bottom style="thin">
        <color rgb="FFD9D9D9"/>
      </bottom>
      <diagonal/>
    </border>
    <border>
      <left style="thick">
        <color rgb="FF1F4E78"/>
      </left>
      <right style="thick">
        <color rgb="FF1F4E78"/>
      </right>
      <top style="thick">
        <color rgb="FF1F4E78"/>
      </top>
      <bottom style="thick">
        <color rgb="FF1F4E78"/>
      </bottom>
      <diagonal/>
    </border>
    <border>
      <left style="thin">
        <color rgb="FFD9D9D9"/>
      </left>
      <right style="thin">
        <color rgb="FFB4C6E7"/>
      </right>
      <top style="thin">
        <color rgb="FFD9D9D9"/>
      </top>
      <bottom/>
      <diagonal/>
    </border>
    <border>
      <left style="thin">
        <color rgb="FFB4C6E7"/>
      </left>
      <right style="thin">
        <color rgb="FFB4C6E7"/>
      </right>
      <top style="thin">
        <color rgb="FFD9D9D9"/>
      </top>
      <bottom/>
      <diagonal/>
    </border>
    <border>
      <left style="thin">
        <color rgb="FFB4C6E7"/>
      </left>
      <right/>
      <top style="thin">
        <color rgb="FFD9D9D9"/>
      </top>
      <bottom/>
      <diagonal/>
    </border>
    <border>
      <left style="thick">
        <color rgb="FF1F4E78"/>
      </left>
      <right style="thick">
        <color rgb="FF1F4E78"/>
      </right>
      <top style="thick">
        <color rgb="FF1F4E78"/>
      </top>
      <bottom/>
      <diagonal/>
    </border>
    <border>
      <left/>
      <right style="thin">
        <color rgb="FFB4C6E7"/>
      </right>
      <top style="thin">
        <color rgb="FFD9D9D9"/>
      </top>
      <bottom/>
      <diagonal/>
    </border>
    <border>
      <left style="thin">
        <color rgb="FFB4C6E7"/>
      </left>
      <right style="thin">
        <color rgb="FFD9D9D9"/>
      </right>
      <top style="thin">
        <color rgb="FFD9D9D9"/>
      </top>
      <bottom/>
      <diagonal/>
    </border>
    <border>
      <left/>
      <right style="thick">
        <color rgb="FF17365D"/>
      </right>
      <top style="thin">
        <color rgb="FFD9D9D9"/>
      </top>
      <bottom style="thin">
        <color rgb="FFD9D9D9"/>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bottom style="thin">
        <color rgb="FFE5E5E5"/>
      </bottom>
      <diagonal/>
    </border>
    <border>
      <left/>
      <right/>
      <top style="thin">
        <color rgb="FFE5E5E5"/>
      </top>
      <bottom style="thin">
        <color rgb="FFE5E5E5"/>
      </bottom>
      <diagonal/>
    </border>
    <border>
      <left/>
      <right/>
      <top style="thin">
        <color rgb="FFE5E5E5"/>
      </top>
      <bottom/>
      <diagonal/>
    </border>
    <border>
      <left style="thin">
        <color rgb="FFCCCCCC"/>
      </left>
      <right style="thin">
        <color rgb="FFCCCCCC"/>
      </right>
      <top/>
      <bottom/>
      <diagonal/>
    </border>
    <border>
      <left style="thin">
        <color auto="1"/>
      </left>
      <right/>
      <top style="thin">
        <color auto="1"/>
      </top>
      <bottom style="thin">
        <color rgb="FFB4C7E7"/>
      </bottom>
      <diagonal/>
    </border>
    <border>
      <left/>
      <right/>
      <top style="thin">
        <color auto="1"/>
      </top>
      <bottom style="thin">
        <color rgb="FFB4C7E7"/>
      </bottom>
      <diagonal/>
    </border>
    <border>
      <left style="thin">
        <color auto="1"/>
      </left>
      <right/>
      <top style="thin">
        <color rgb="FFB4C7E7"/>
      </top>
      <bottom style="thin">
        <color rgb="FFB4C7E7"/>
      </bottom>
      <diagonal/>
    </border>
    <border>
      <left/>
      <right/>
      <top style="thin">
        <color rgb="FFB4C7E7"/>
      </top>
      <bottom style="thin">
        <color rgb="FFB4C7E7"/>
      </bottom>
      <diagonal/>
    </border>
    <border>
      <left style="thin">
        <color auto="1"/>
      </left>
      <right/>
      <top style="thin">
        <color rgb="FFB4C7E7"/>
      </top>
      <bottom style="thin">
        <color auto="1"/>
      </bottom>
      <diagonal/>
    </border>
    <border>
      <left/>
      <right/>
      <top style="thin">
        <color rgb="FFB4C7E7"/>
      </top>
      <bottom style="thin">
        <color auto="1"/>
      </bottom>
      <diagonal/>
    </border>
    <border>
      <left/>
      <right style="thin">
        <color rgb="FF7F8C8D"/>
      </right>
      <top style="thin">
        <color auto="1"/>
      </top>
      <bottom style="thin">
        <color rgb="FFB4C7E7"/>
      </bottom>
      <diagonal/>
    </border>
    <border>
      <left/>
      <right style="thin">
        <color rgb="FF7F8C8D"/>
      </right>
      <top style="thin">
        <color rgb="FFB4C7E7"/>
      </top>
      <bottom style="thin">
        <color rgb="FFB4C7E7"/>
      </bottom>
      <diagonal/>
    </border>
    <border>
      <left/>
      <right style="thin">
        <color rgb="FF7F8C8D"/>
      </right>
      <top style="thin">
        <color rgb="FFB4C7E7"/>
      </top>
      <bottom style="thin">
        <color auto="1"/>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379">
    <xf numFmtId="0" fontId="0" fillId="0" borderId="0" xfId="0"/>
    <xf numFmtId="0" fontId="2" fillId="0" borderId="0" xfId="0" applyFont="1"/>
    <xf numFmtId="0" fontId="4" fillId="0" borderId="0" xfId="0" applyFont="1"/>
    <xf numFmtId="0" fontId="1" fillId="2" borderId="1" xfId="0" applyFont="1" applyFill="1" applyBorder="1"/>
    <xf numFmtId="0" fontId="5" fillId="0" borderId="0" xfId="0" applyFont="1"/>
    <xf numFmtId="164" fontId="2" fillId="0" borderId="0" xfId="0" applyNumberFormat="1" applyFont="1"/>
    <xf numFmtId="20" fontId="2" fillId="0" borderId="0" xfId="0" applyNumberFormat="1" applyFont="1"/>
    <xf numFmtId="0" fontId="3" fillId="0" borderId="2" xfId="0" applyFont="1" applyBorder="1"/>
    <xf numFmtId="0" fontId="3" fillId="0" borderId="2" xfId="0" applyFont="1" applyBorder="1" applyAlignment="1">
      <alignment horizontal="center"/>
    </xf>
    <xf numFmtId="1" fontId="3" fillId="0" borderId="2" xfId="0" applyNumberFormat="1" applyFont="1" applyBorder="1" applyAlignment="1">
      <alignment horizontal="center"/>
    </xf>
    <xf numFmtId="2" fontId="3" fillId="0" borderId="2" xfId="0" applyNumberFormat="1" applyFont="1" applyBorder="1" applyAlignment="1">
      <alignment horizontal="center"/>
    </xf>
    <xf numFmtId="165" fontId="3" fillId="0" borderId="2" xfId="0" applyNumberFormat="1" applyFont="1" applyBorder="1" applyAlignment="1">
      <alignment horizontal="center"/>
    </xf>
    <xf numFmtId="0" fontId="3" fillId="0" borderId="2" xfId="0" applyFont="1" applyBorder="1" applyAlignment="1">
      <alignment horizontal="left"/>
    </xf>
    <xf numFmtId="0" fontId="2" fillId="0" borderId="0" xfId="0" applyFont="1" applyAlignment="1">
      <alignment horizontal="left"/>
    </xf>
    <xf numFmtId="2" fontId="2" fillId="0" borderId="0" xfId="0" applyNumberFormat="1" applyFont="1"/>
    <xf numFmtId="1" fontId="2" fillId="0" borderId="0" xfId="0" applyNumberFormat="1" applyFont="1"/>
    <xf numFmtId="165" fontId="2" fillId="0" borderId="0" xfId="0" applyNumberFormat="1" applyFont="1"/>
    <xf numFmtId="0" fontId="1" fillId="2" borderId="3" xfId="0" applyFont="1" applyFill="1" applyBorder="1"/>
    <xf numFmtId="0" fontId="1" fillId="2" borderId="4" xfId="0" applyFont="1" applyFill="1" applyBorder="1"/>
    <xf numFmtId="0" fontId="6" fillId="0" borderId="0" xfId="0" applyFont="1" applyAlignment="1">
      <alignment wrapText="1"/>
    </xf>
    <xf numFmtId="0" fontId="1" fillId="3" borderId="2" xfId="0" applyFont="1" applyFill="1" applyBorder="1" applyAlignment="1">
      <alignment horizontal="center" vertical="center"/>
    </xf>
    <xf numFmtId="0" fontId="7" fillId="5"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9" fillId="5" borderId="0" xfId="0" applyFont="1" applyFill="1"/>
    <xf numFmtId="0" fontId="10" fillId="0" borderId="0" xfId="0" applyFont="1"/>
    <xf numFmtId="0" fontId="8" fillId="6" borderId="0" xfId="0" applyFont="1" applyFill="1"/>
    <xf numFmtId="2" fontId="0" fillId="0" borderId="0" xfId="0" applyNumberFormat="1" applyAlignment="1">
      <alignment horizontal="center"/>
    </xf>
    <xf numFmtId="1" fontId="0" fillId="0" borderId="0" xfId="0" applyNumberFormat="1" applyAlignment="1">
      <alignment horizontal="center"/>
    </xf>
    <xf numFmtId="0" fontId="0" fillId="0" borderId="0" xfId="0" applyAlignment="1">
      <alignment horizontal="center"/>
    </xf>
    <xf numFmtId="165" fontId="0" fillId="0" borderId="0" xfId="0" applyNumberFormat="1" applyAlignment="1">
      <alignment horizont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0" xfId="0" applyFont="1" applyAlignment="1">
      <alignment vertical="center"/>
    </xf>
    <xf numFmtId="0" fontId="2" fillId="0" borderId="0" xfId="0" applyFont="1" applyAlignment="1">
      <alignment vertical="center"/>
    </xf>
    <xf numFmtId="2" fontId="2" fillId="0" borderId="0" xfId="0" applyNumberFormat="1" applyFont="1" applyAlignment="1">
      <alignment vertical="center"/>
    </xf>
    <xf numFmtId="0" fontId="4" fillId="0" borderId="0" xfId="0" applyFont="1" applyAlignment="1">
      <alignment vertical="center"/>
    </xf>
    <xf numFmtId="2" fontId="12" fillId="4" borderId="1" xfId="0" applyNumberFormat="1" applyFont="1" applyFill="1" applyBorder="1" applyAlignment="1">
      <alignment horizontal="center" vertical="center"/>
    </xf>
    <xf numFmtId="0" fontId="0" fillId="4" borderId="0" xfId="0" applyFill="1" applyAlignment="1">
      <alignment wrapText="1"/>
    </xf>
    <xf numFmtId="0" fontId="8" fillId="6" borderId="0" xfId="0" applyFont="1" applyFill="1" applyAlignment="1">
      <alignment horizontal="center" wrapText="1"/>
    </xf>
    <xf numFmtId="0" fontId="13" fillId="0" borderId="0" xfId="0" applyFont="1"/>
    <xf numFmtId="2" fontId="14" fillId="0" borderId="0" xfId="0" applyNumberFormat="1" applyFont="1" applyAlignment="1">
      <alignment horizontal="center"/>
    </xf>
    <xf numFmtId="0" fontId="8" fillId="6" borderId="0" xfId="0" applyFont="1" applyFill="1" applyAlignment="1">
      <alignment horizontal="center"/>
    </xf>
    <xf numFmtId="0" fontId="8" fillId="11" borderId="0" xfId="0" applyFont="1" applyFill="1"/>
    <xf numFmtId="0" fontId="0" fillId="13" borderId="0" xfId="0" applyFill="1"/>
    <xf numFmtId="0" fontId="21" fillId="0" borderId="18" xfId="0" applyFont="1" applyBorder="1" applyAlignment="1">
      <alignment horizontal="center"/>
    </xf>
    <xf numFmtId="0" fontId="21" fillId="0" borderId="19" xfId="0" applyFont="1" applyBorder="1" applyAlignment="1">
      <alignment horizontal="center"/>
    </xf>
    <xf numFmtId="166" fontId="2" fillId="0" borderId="0" xfId="0" applyNumberFormat="1" applyFont="1"/>
    <xf numFmtId="0" fontId="22" fillId="4" borderId="7" xfId="0" applyFont="1" applyFill="1" applyBorder="1" applyAlignment="1">
      <alignment vertical="center"/>
    </xf>
    <xf numFmtId="0" fontId="1" fillId="11" borderId="7" xfId="0" applyFont="1" applyFill="1" applyBorder="1" applyAlignment="1">
      <alignment horizontal="center" vertical="center" wrapText="1"/>
    </xf>
    <xf numFmtId="0" fontId="12" fillId="14" borderId="9" xfId="0" applyFont="1" applyFill="1" applyBorder="1" applyAlignment="1">
      <alignment vertical="center"/>
    </xf>
    <xf numFmtId="0" fontId="18" fillId="0" borderId="15" xfId="0" applyFont="1" applyBorder="1"/>
    <xf numFmtId="0" fontId="18" fillId="0" borderId="21" xfId="0" applyFont="1" applyBorder="1"/>
    <xf numFmtId="2" fontId="18" fillId="0" borderId="21" xfId="0" applyNumberFormat="1" applyFont="1" applyBorder="1"/>
    <xf numFmtId="0" fontId="18" fillId="0" borderId="12" xfId="0" applyFont="1" applyBorder="1"/>
    <xf numFmtId="168" fontId="18" fillId="0" borderId="16" xfId="0" applyNumberFormat="1" applyFont="1" applyBorder="1" applyAlignment="1">
      <alignment horizontal="center"/>
    </xf>
    <xf numFmtId="0" fontId="18" fillId="0" borderId="7" xfId="0" applyFont="1" applyBorder="1" applyAlignment="1">
      <alignment horizontal="left"/>
    </xf>
    <xf numFmtId="0" fontId="18" fillId="0" borderId="7" xfId="0" applyFont="1" applyBorder="1" applyAlignment="1">
      <alignment horizontal="center"/>
    </xf>
    <xf numFmtId="2" fontId="18" fillId="0" borderId="7" xfId="0" applyNumberFormat="1" applyFont="1" applyBorder="1" applyAlignment="1">
      <alignment horizontal="center"/>
    </xf>
    <xf numFmtId="170" fontId="18" fillId="0" borderId="7" xfId="0" applyNumberFormat="1" applyFont="1" applyBorder="1" applyAlignment="1">
      <alignment horizontal="center"/>
    </xf>
    <xf numFmtId="1" fontId="18" fillId="0" borderId="7" xfId="0" applyNumberFormat="1" applyFont="1" applyBorder="1" applyAlignment="1">
      <alignment horizontal="center"/>
    </xf>
    <xf numFmtId="0" fontId="18" fillId="0" borderId="9" xfId="0" applyFont="1" applyBorder="1" applyAlignment="1">
      <alignment horizontal="center"/>
    </xf>
    <xf numFmtId="168" fontId="18" fillId="0" borderId="13" xfId="0" applyNumberFormat="1" applyFont="1" applyBorder="1" applyAlignment="1">
      <alignment horizontal="center"/>
    </xf>
    <xf numFmtId="0" fontId="18" fillId="0" borderId="17" xfId="0" applyFont="1" applyBorder="1" applyAlignment="1">
      <alignment horizontal="left"/>
    </xf>
    <xf numFmtId="0" fontId="18" fillId="0" borderId="17" xfId="0" applyFont="1" applyBorder="1" applyAlignment="1">
      <alignment horizontal="center"/>
    </xf>
    <xf numFmtId="2" fontId="18" fillId="0" borderId="17" xfId="0" applyNumberFormat="1" applyFont="1" applyBorder="1" applyAlignment="1">
      <alignment horizontal="center"/>
    </xf>
    <xf numFmtId="170" fontId="18" fillId="0" borderId="17" xfId="0" applyNumberFormat="1" applyFont="1" applyBorder="1" applyAlignment="1">
      <alignment horizontal="center"/>
    </xf>
    <xf numFmtId="0" fontId="21" fillId="0" borderId="17" xfId="0" applyFont="1" applyBorder="1" applyAlignment="1">
      <alignment horizontal="center"/>
    </xf>
    <xf numFmtId="0" fontId="18" fillId="0" borderId="10" xfId="0" applyFont="1" applyBorder="1" applyAlignment="1">
      <alignment horizontal="center"/>
    </xf>
    <xf numFmtId="0" fontId="18" fillId="0" borderId="16" xfId="0" applyFont="1" applyBorder="1" applyAlignment="1">
      <alignment horizontal="center"/>
    </xf>
    <xf numFmtId="0" fontId="18" fillId="0" borderId="22" xfId="0" applyFont="1" applyBorder="1"/>
    <xf numFmtId="0" fontId="18" fillId="0" borderId="21" xfId="0" applyFont="1" applyBorder="1" applyAlignment="1">
      <alignment horizontal="center"/>
    </xf>
    <xf numFmtId="0" fontId="18" fillId="0" borderId="15" xfId="0" applyFont="1" applyBorder="1" applyAlignment="1">
      <alignment horizontal="center"/>
    </xf>
    <xf numFmtId="0" fontId="18" fillId="0" borderId="12" xfId="0" applyFont="1" applyBorder="1" applyAlignment="1">
      <alignment horizontal="center"/>
    </xf>
    <xf numFmtId="0" fontId="18" fillId="0" borderId="14" xfId="0" applyFont="1" applyBorder="1" applyAlignment="1">
      <alignment horizontal="center"/>
    </xf>
    <xf numFmtId="0" fontId="18" fillId="0" borderId="11" xfId="0" applyFont="1" applyBorder="1" applyAlignment="1">
      <alignment horizontal="center"/>
    </xf>
    <xf numFmtId="0" fontId="18" fillId="0" borderId="13" xfId="0" applyFont="1" applyBorder="1" applyAlignment="1">
      <alignment horizontal="center"/>
    </xf>
    <xf numFmtId="0" fontId="21" fillId="0" borderId="22" xfId="0" applyFont="1" applyBorder="1" applyAlignment="1">
      <alignment horizontal="center"/>
    </xf>
    <xf numFmtId="0" fontId="21" fillId="0" borderId="13" xfId="0" applyFont="1" applyBorder="1" applyAlignment="1">
      <alignment horizontal="center"/>
    </xf>
    <xf numFmtId="0" fontId="21" fillId="0" borderId="10" xfId="0" applyFont="1" applyBorder="1" applyAlignment="1">
      <alignment horizontal="center"/>
    </xf>
    <xf numFmtId="0" fontId="2" fillId="0" borderId="0" xfId="0" applyFont="1" applyAlignment="1">
      <alignment horizontal="center"/>
    </xf>
    <xf numFmtId="166" fontId="0" fillId="0" borderId="0" xfId="0" applyNumberFormat="1"/>
    <xf numFmtId="0" fontId="0" fillId="0" borderId="0" xfId="0" applyAlignment="1">
      <alignment wrapText="1"/>
    </xf>
    <xf numFmtId="0" fontId="0" fillId="0" borderId="6" xfId="0" applyBorder="1" applyAlignment="1">
      <alignment wrapText="1"/>
    </xf>
    <xf numFmtId="171" fontId="0" fillId="0" borderId="0" xfId="0" applyNumberFormat="1"/>
    <xf numFmtId="0" fontId="8" fillId="6" borderId="6" xfId="0" applyFont="1" applyFill="1" applyBorder="1"/>
    <xf numFmtId="0" fontId="11" fillId="17" borderId="6" xfId="0" applyFont="1" applyFill="1" applyBorder="1" applyAlignment="1">
      <alignment wrapText="1"/>
    </xf>
    <xf numFmtId="0" fontId="11" fillId="17" borderId="6" xfId="0" applyFont="1" applyFill="1" applyBorder="1" applyAlignment="1">
      <alignment horizontal="center" wrapText="1"/>
    </xf>
    <xf numFmtId="0" fontId="29" fillId="4" borderId="0" xfId="0" applyFont="1" applyFill="1" applyAlignment="1">
      <alignment horizontal="center"/>
    </xf>
    <xf numFmtId="0" fontId="11" fillId="17" borderId="0" xfId="0" applyFont="1" applyFill="1"/>
    <xf numFmtId="0" fontId="11" fillId="17" borderId="0" xfId="0" applyFont="1" applyFill="1" applyAlignment="1">
      <alignment horizontal="center"/>
    </xf>
    <xf numFmtId="0" fontId="29" fillId="4" borderId="23" xfId="0" applyFont="1" applyFill="1" applyBorder="1" applyAlignment="1">
      <alignment horizontal="center"/>
    </xf>
    <xf numFmtId="0" fontId="29" fillId="4" borderId="23" xfId="0" applyFont="1" applyFill="1" applyBorder="1" applyAlignment="1">
      <alignment horizontal="center" wrapText="1"/>
    </xf>
    <xf numFmtId="0" fontId="15" fillId="18" borderId="6" xfId="0" applyFont="1" applyFill="1" applyBorder="1" applyAlignment="1">
      <alignment horizontal="center"/>
    </xf>
    <xf numFmtId="171" fontId="8" fillId="18" borderId="6" xfId="0" applyNumberFormat="1" applyFont="1" applyFill="1" applyBorder="1" applyAlignment="1">
      <alignment horizontal="center"/>
    </xf>
    <xf numFmtId="166" fontId="18" fillId="0" borderId="17" xfId="0" applyNumberFormat="1" applyFont="1" applyBorder="1" applyAlignment="1">
      <alignment horizontal="center"/>
    </xf>
    <xf numFmtId="171" fontId="18" fillId="0" borderId="17" xfId="0" applyNumberFormat="1" applyFont="1" applyBorder="1" applyAlignment="1">
      <alignment horizontal="center"/>
    </xf>
    <xf numFmtId="0" fontId="30" fillId="4" borderId="17" xfId="0" applyFont="1" applyFill="1" applyBorder="1" applyAlignment="1">
      <alignment horizontal="center"/>
    </xf>
    <xf numFmtId="3" fontId="0" fillId="0" borderId="0" xfId="0" applyNumberFormat="1"/>
    <xf numFmtId="0" fontId="0" fillId="0" borderId="20" xfId="0" applyBorder="1"/>
    <xf numFmtId="3" fontId="0" fillId="0" borderId="20" xfId="0" applyNumberFormat="1" applyBorder="1"/>
    <xf numFmtId="2" fontId="0" fillId="0" borderId="0" xfId="0" applyNumberFormat="1"/>
    <xf numFmtId="0" fontId="0" fillId="0" borderId="24" xfId="0" applyBorder="1"/>
    <xf numFmtId="168" fontId="2" fillId="0" borderId="0" xfId="0" applyNumberFormat="1" applyFont="1"/>
    <xf numFmtId="165" fontId="0" fillId="0" borderId="0" xfId="0" applyNumberFormat="1"/>
    <xf numFmtId="166" fontId="18" fillId="0" borderId="7" xfId="0" applyNumberFormat="1" applyFont="1" applyBorder="1" applyAlignment="1">
      <alignment horizontal="center"/>
    </xf>
    <xf numFmtId="171" fontId="18" fillId="0" borderId="7" xfId="0" applyNumberFormat="1" applyFont="1" applyBorder="1" applyAlignment="1">
      <alignment horizontal="center"/>
    </xf>
    <xf numFmtId="0" fontId="21" fillId="0" borderId="7" xfId="0" applyFont="1" applyBorder="1" applyAlignment="1">
      <alignment horizontal="center"/>
    </xf>
    <xf numFmtId="0" fontId="3" fillId="19" borderId="1" xfId="0" applyFont="1" applyFill="1" applyBorder="1" applyAlignment="1">
      <alignment vertical="center"/>
    </xf>
    <xf numFmtId="2" fontId="12" fillId="19" borderId="1" xfId="0" applyNumberFormat="1" applyFont="1" applyFill="1" applyBorder="1" applyAlignment="1">
      <alignment horizontal="center" vertical="center"/>
    </xf>
    <xf numFmtId="0" fontId="3" fillId="19" borderId="1" xfId="0" applyFont="1" applyFill="1" applyBorder="1" applyAlignment="1">
      <alignment horizontal="center" vertical="center"/>
    </xf>
    <xf numFmtId="0" fontId="3" fillId="19" borderId="0" xfId="0" applyFont="1" applyFill="1" applyAlignment="1">
      <alignment vertical="center"/>
    </xf>
    <xf numFmtId="0" fontId="11" fillId="0" borderId="0" xfId="0" applyFont="1" applyAlignment="1">
      <alignment horizontal="center"/>
    </xf>
    <xf numFmtId="0" fontId="32" fillId="20" borderId="0" xfId="0" applyFont="1" applyFill="1" applyAlignment="1">
      <alignment horizontal="center"/>
    </xf>
    <xf numFmtId="0" fontId="24" fillId="13" borderId="7" xfId="0" applyFont="1" applyFill="1" applyBorder="1" applyAlignment="1">
      <alignment horizontal="left" vertical="center" wrapText="1"/>
    </xf>
    <xf numFmtId="0" fontId="22" fillId="7" borderId="7" xfId="0" applyFont="1" applyFill="1" applyBorder="1" applyAlignment="1">
      <alignment horizontal="left" vertical="center"/>
    </xf>
    <xf numFmtId="0" fontId="36" fillId="10" borderId="7" xfId="0" applyFont="1" applyFill="1" applyBorder="1" applyAlignment="1">
      <alignment horizontal="center" vertical="center" wrapText="1"/>
    </xf>
    <xf numFmtId="0" fontId="37" fillId="0" borderId="0" xfId="0" applyFont="1"/>
    <xf numFmtId="0" fontId="38" fillId="6" borderId="0" xfId="0" applyFont="1" applyFill="1" applyAlignment="1">
      <alignment horizontal="center" wrapText="1"/>
    </xf>
    <xf numFmtId="0" fontId="12" fillId="0" borderId="0" xfId="0" applyFont="1" applyAlignment="1">
      <alignment vertical="center"/>
    </xf>
    <xf numFmtId="0" fontId="12" fillId="13" borderId="0" xfId="0" applyFont="1" applyFill="1" applyAlignment="1">
      <alignment vertical="center"/>
    </xf>
    <xf numFmtId="0" fontId="22" fillId="13" borderId="0" xfId="0" applyFont="1" applyFill="1" applyAlignment="1">
      <alignment vertical="center"/>
    </xf>
    <xf numFmtId="0" fontId="22" fillId="14" borderId="7" xfId="0" applyFont="1" applyFill="1" applyBorder="1" applyAlignment="1">
      <alignment horizontal="center" vertical="center" wrapText="1"/>
    </xf>
    <xf numFmtId="0" fontId="22" fillId="12" borderId="7" xfId="0" applyFont="1" applyFill="1" applyBorder="1" applyAlignment="1">
      <alignment horizontal="center" vertical="center" wrapText="1"/>
    </xf>
    <xf numFmtId="0" fontId="20" fillId="7" borderId="7" xfId="0" applyFont="1" applyFill="1" applyBorder="1" applyAlignment="1">
      <alignment horizontal="center" vertical="center" wrapText="1"/>
    </xf>
    <xf numFmtId="0" fontId="37" fillId="0" borderId="0" xfId="0" applyFont="1" applyAlignment="1">
      <alignment vertical="center"/>
    </xf>
    <xf numFmtId="167" fontId="22" fillId="14" borderId="7" xfId="0" applyNumberFormat="1" applyFont="1" applyFill="1" applyBorder="1" applyAlignment="1">
      <alignment horizontal="center" vertical="center"/>
    </xf>
    <xf numFmtId="165" fontId="12" fillId="13" borderId="7" xfId="0" applyNumberFormat="1" applyFont="1" applyFill="1" applyBorder="1" applyAlignment="1">
      <alignment horizontal="center" vertical="center"/>
    </xf>
    <xf numFmtId="0" fontId="12" fillId="13" borderId="7" xfId="0" applyFont="1" applyFill="1" applyBorder="1" applyAlignment="1">
      <alignment horizontal="center" vertical="center"/>
    </xf>
    <xf numFmtId="0" fontId="22" fillId="0" borderId="0" xfId="0" applyFont="1" applyAlignment="1">
      <alignment vertical="center"/>
    </xf>
    <xf numFmtId="0" fontId="17" fillId="0" borderId="0" xfId="0" applyFont="1" applyAlignment="1">
      <alignment vertical="center"/>
    </xf>
    <xf numFmtId="0" fontId="17" fillId="13" borderId="0" xfId="0" applyFont="1" applyFill="1" applyAlignment="1">
      <alignment vertical="center"/>
    </xf>
    <xf numFmtId="0" fontId="22" fillId="4" borderId="7" xfId="0" applyFont="1" applyFill="1" applyBorder="1" applyAlignment="1">
      <alignment horizontal="center" vertical="center"/>
    </xf>
    <xf numFmtId="0" fontId="1" fillId="11" borderId="7" xfId="0" applyFont="1" applyFill="1" applyBorder="1" applyAlignment="1">
      <alignment horizontal="center" vertical="center"/>
    </xf>
    <xf numFmtId="0" fontId="12" fillId="13" borderId="0" xfId="0" applyFont="1" applyFill="1" applyAlignment="1">
      <alignment horizontal="center" vertical="center"/>
    </xf>
    <xf numFmtId="2" fontId="22" fillId="9" borderId="7" xfId="0" applyNumberFormat="1" applyFont="1" applyFill="1" applyBorder="1" applyAlignment="1">
      <alignment horizontal="center" vertical="center"/>
    </xf>
    <xf numFmtId="2" fontId="12" fillId="14" borderId="7" xfId="0" applyNumberFormat="1" applyFont="1" applyFill="1" applyBorder="1" applyAlignment="1">
      <alignment horizontal="center" vertical="center"/>
    </xf>
    <xf numFmtId="1" fontId="22" fillId="13" borderId="7" xfId="0" applyNumberFormat="1" applyFont="1" applyFill="1" applyBorder="1" applyAlignment="1">
      <alignment horizontal="center" vertical="center"/>
    </xf>
    <xf numFmtId="2" fontId="22" fillId="13" borderId="7" xfId="0" applyNumberFormat="1" applyFont="1" applyFill="1" applyBorder="1" applyAlignment="1">
      <alignment horizontal="center" vertical="center"/>
    </xf>
    <xf numFmtId="2" fontId="22" fillId="12" borderId="7" xfId="0" applyNumberFormat="1" applyFont="1" applyFill="1" applyBorder="1" applyAlignment="1">
      <alignment horizontal="center" vertical="center"/>
    </xf>
    <xf numFmtId="169" fontId="20" fillId="7" borderId="7" xfId="0" applyNumberFormat="1" applyFont="1" applyFill="1" applyBorder="1" applyAlignment="1">
      <alignment horizontal="center" vertical="center"/>
    </xf>
    <xf numFmtId="0" fontId="36" fillId="10" borderId="7" xfId="0" applyFont="1" applyFill="1" applyBorder="1" applyAlignment="1">
      <alignment horizontal="center" vertical="center"/>
    </xf>
    <xf numFmtId="0" fontId="25" fillId="13" borderId="7" xfId="0" applyFont="1" applyFill="1" applyBorder="1" applyAlignment="1">
      <alignment horizontal="left" vertical="center"/>
    </xf>
    <xf numFmtId="9" fontId="0" fillId="0" borderId="0" xfId="0" applyNumberFormat="1"/>
    <xf numFmtId="0" fontId="11" fillId="22" borderId="0" xfId="0" applyFont="1" applyFill="1"/>
    <xf numFmtId="2" fontId="11" fillId="22" borderId="0" xfId="0" applyNumberFormat="1" applyFont="1" applyFill="1"/>
    <xf numFmtId="0" fontId="11" fillId="20" borderId="0" xfId="0" applyFont="1" applyFill="1"/>
    <xf numFmtId="2" fontId="11" fillId="20" borderId="0" xfId="0" applyNumberFormat="1" applyFont="1" applyFill="1"/>
    <xf numFmtId="0" fontId="38" fillId="6" borderId="0" xfId="0" applyFont="1" applyFill="1" applyAlignment="1">
      <alignment wrapText="1"/>
    </xf>
    <xf numFmtId="0" fontId="38" fillId="13" borderId="0" xfId="0" applyFont="1" applyFill="1" applyAlignment="1">
      <alignment horizontal="center" wrapText="1"/>
    </xf>
    <xf numFmtId="0" fontId="0" fillId="13" borderId="0" xfId="0" applyFill="1" applyAlignment="1">
      <alignment horizontal="center"/>
    </xf>
    <xf numFmtId="0" fontId="37" fillId="0" borderId="0" xfId="0" applyFont="1" applyAlignment="1">
      <alignment horizontal="center"/>
    </xf>
    <xf numFmtId="2" fontId="11" fillId="20" borderId="0" xfId="0" applyNumberFormat="1" applyFont="1" applyFill="1" applyAlignment="1">
      <alignment horizontal="center"/>
    </xf>
    <xf numFmtId="165" fontId="22" fillId="13" borderId="7" xfId="0" applyNumberFormat="1" applyFont="1" applyFill="1" applyBorder="1" applyAlignment="1">
      <alignment horizontal="center" vertical="center"/>
    </xf>
    <xf numFmtId="0" fontId="22" fillId="13" borderId="7" xfId="0" applyFont="1" applyFill="1" applyBorder="1" applyAlignment="1">
      <alignment horizontal="center" vertical="center"/>
    </xf>
    <xf numFmtId="1" fontId="36" fillId="10" borderId="7" xfId="0" applyNumberFormat="1" applyFont="1" applyFill="1" applyBorder="1" applyAlignment="1">
      <alignment horizontal="center" vertical="center"/>
    </xf>
    <xf numFmtId="165" fontId="36" fillId="10" borderId="7" xfId="0" applyNumberFormat="1" applyFont="1" applyFill="1" applyBorder="1" applyAlignment="1">
      <alignment horizontal="center" vertical="center"/>
    </xf>
    <xf numFmtId="0" fontId="21" fillId="0" borderId="16" xfId="0" applyFont="1" applyBorder="1" applyAlignment="1">
      <alignment horizontal="center"/>
    </xf>
    <xf numFmtId="0" fontId="21" fillId="0" borderId="21" xfId="0" applyFont="1" applyBorder="1" applyAlignment="1">
      <alignment horizontal="center"/>
    </xf>
    <xf numFmtId="0" fontId="21" fillId="0" borderId="12" xfId="0" applyFont="1" applyBorder="1" applyAlignment="1">
      <alignment horizontal="center"/>
    </xf>
    <xf numFmtId="0" fontId="21" fillId="0" borderId="15" xfId="0" applyFont="1" applyBorder="1" applyAlignment="1">
      <alignment horizontal="center"/>
    </xf>
    <xf numFmtId="0" fontId="21" fillId="0" borderId="11" xfId="0" applyFont="1" applyBorder="1" applyAlignment="1">
      <alignment horizontal="center"/>
    </xf>
    <xf numFmtId="0" fontId="21" fillId="0" borderId="14" xfId="0" applyFont="1" applyBorder="1" applyAlignment="1">
      <alignment horizontal="center"/>
    </xf>
    <xf numFmtId="2" fontId="18" fillId="0" borderId="10" xfId="0" applyNumberFormat="1" applyFont="1" applyBorder="1" applyAlignment="1">
      <alignment horizontal="center"/>
    </xf>
    <xf numFmtId="0" fontId="30" fillId="4" borderId="13" xfId="0" applyFont="1" applyFill="1" applyBorder="1" applyAlignment="1">
      <alignment horizontal="center"/>
    </xf>
    <xf numFmtId="0" fontId="21" fillId="0" borderId="25" xfId="0" applyFont="1" applyBorder="1" applyAlignment="1">
      <alignment horizontal="center"/>
    </xf>
    <xf numFmtId="0" fontId="40" fillId="22" borderId="0" xfId="0" applyFont="1" applyFill="1" applyAlignment="1">
      <alignment horizontal="center"/>
    </xf>
    <xf numFmtId="0" fontId="0" fillId="0" borderId="24" xfId="0" applyBorder="1" applyAlignment="1">
      <alignment horizontal="center"/>
    </xf>
    <xf numFmtId="2" fontId="0" fillId="0" borderId="24" xfId="0" applyNumberFormat="1" applyBorder="1"/>
    <xf numFmtId="0" fontId="0" fillId="0" borderId="0" xfId="0" applyAlignment="1">
      <alignment vertical="top" wrapText="1"/>
    </xf>
    <xf numFmtId="0" fontId="0" fillId="0" borderId="24" xfId="0" applyBorder="1" applyAlignment="1">
      <alignment vertical="top" wrapText="1"/>
    </xf>
    <xf numFmtId="0" fontId="11" fillId="22" borderId="0" xfId="0" applyFont="1" applyFill="1" applyAlignment="1">
      <alignment horizontal="center"/>
    </xf>
    <xf numFmtId="0" fontId="7" fillId="5" borderId="2" xfId="0" applyFont="1" applyFill="1" applyBorder="1" applyAlignment="1">
      <alignment horizontal="center" vertical="center" wrapText="1"/>
    </xf>
    <xf numFmtId="2" fontId="12" fillId="4" borderId="0" xfId="0" applyNumberFormat="1" applyFont="1" applyFill="1" applyAlignment="1">
      <alignment horizontal="center" vertical="center"/>
    </xf>
    <xf numFmtId="2" fontId="12" fillId="19" borderId="0" xfId="0" applyNumberFormat="1" applyFont="1" applyFill="1" applyAlignment="1">
      <alignment horizontal="center" vertical="center"/>
    </xf>
    <xf numFmtId="172" fontId="0" fillId="0" borderId="0" xfId="0" applyNumberFormat="1"/>
    <xf numFmtId="170" fontId="0" fillId="0" borderId="0" xfId="0" applyNumberFormat="1"/>
    <xf numFmtId="173" fontId="0" fillId="0" borderId="0" xfId="0" applyNumberFormat="1"/>
    <xf numFmtId="0" fontId="29" fillId="12" borderId="0" xfId="0" applyFont="1" applyFill="1" applyAlignment="1">
      <alignment horizontal="center"/>
    </xf>
    <xf numFmtId="0" fontId="0" fillId="0" borderId="0" xfId="0" applyAlignment="1">
      <alignment horizontal="center" wrapText="1"/>
    </xf>
    <xf numFmtId="0" fontId="11" fillId="4" borderId="0" xfId="0" applyFont="1" applyFill="1" applyAlignment="1">
      <alignment horizontal="center"/>
    </xf>
    <xf numFmtId="0" fontId="45" fillId="0" borderId="0" xfId="0" applyFont="1"/>
    <xf numFmtId="1" fontId="0" fillId="0" borderId="0" xfId="0" applyNumberFormat="1"/>
    <xf numFmtId="0" fontId="18" fillId="0" borderId="28" xfId="0" applyFont="1" applyBorder="1" applyAlignment="1">
      <alignment horizontal="center"/>
    </xf>
    <xf numFmtId="0" fontId="18" fillId="0" borderId="29" xfId="0" applyFont="1" applyBorder="1" applyAlignment="1">
      <alignment horizontal="center"/>
    </xf>
    <xf numFmtId="0" fontId="18" fillId="0" borderId="30" xfId="0" applyFont="1" applyBorder="1" applyAlignment="1">
      <alignment horizontal="center"/>
    </xf>
    <xf numFmtId="0" fontId="18" fillId="0" borderId="31" xfId="0" applyFont="1" applyBorder="1" applyAlignment="1">
      <alignment horizontal="center"/>
    </xf>
    <xf numFmtId="0" fontId="18" fillId="0" borderId="32" xfId="0" applyFont="1" applyBorder="1" applyAlignment="1">
      <alignment horizontal="center"/>
    </xf>
    <xf numFmtId="0" fontId="21" fillId="0" borderId="33" xfId="0" applyFont="1" applyBorder="1" applyAlignment="1">
      <alignment horizontal="center"/>
    </xf>
    <xf numFmtId="0" fontId="18" fillId="0" borderId="34" xfId="0" applyFont="1" applyBorder="1" applyAlignment="1">
      <alignment horizontal="center"/>
    </xf>
    <xf numFmtId="0" fontId="18" fillId="0" borderId="35" xfId="0" applyFont="1" applyBorder="1" applyAlignment="1">
      <alignment horizontal="center"/>
    </xf>
    <xf numFmtId="0" fontId="18" fillId="0" borderId="36" xfId="0" applyFont="1" applyBorder="1" applyAlignment="1">
      <alignment horizontal="center"/>
    </xf>
    <xf numFmtId="0" fontId="21" fillId="0" borderId="37" xfId="0" applyFont="1" applyBorder="1" applyAlignment="1">
      <alignment horizontal="center"/>
    </xf>
    <xf numFmtId="0" fontId="18" fillId="0" borderId="38" xfId="0" applyFont="1" applyBorder="1" applyAlignment="1">
      <alignment horizontal="center"/>
    </xf>
    <xf numFmtId="0" fontId="18" fillId="0" borderId="39" xfId="0" applyFont="1" applyBorder="1" applyAlignment="1">
      <alignment horizontal="center"/>
    </xf>
    <xf numFmtId="0" fontId="18" fillId="0" borderId="40" xfId="0" applyFont="1" applyBorder="1" applyAlignment="1">
      <alignment horizontal="center"/>
    </xf>
    <xf numFmtId="0" fontId="0" fillId="0" borderId="41" xfId="0" applyBorder="1"/>
    <xf numFmtId="0" fontId="0" fillId="0" borderId="42" xfId="0" applyBorder="1"/>
    <xf numFmtId="0" fontId="0" fillId="0" borderId="43" xfId="0" applyBorder="1"/>
    <xf numFmtId="174" fontId="0" fillId="0" borderId="41" xfId="0" applyNumberFormat="1" applyBorder="1"/>
    <xf numFmtId="174" fontId="0" fillId="0" borderId="43" xfId="0" applyNumberFormat="1" applyBorder="1"/>
    <xf numFmtId="1" fontId="0" fillId="0" borderId="42" xfId="0" applyNumberFormat="1" applyBorder="1"/>
    <xf numFmtId="0" fontId="0" fillId="0" borderId="44" xfId="0" applyBorder="1"/>
    <xf numFmtId="1" fontId="0" fillId="0" borderId="44" xfId="0" applyNumberFormat="1" applyBorder="1"/>
    <xf numFmtId="14" fontId="0" fillId="0" borderId="44" xfId="0" applyNumberFormat="1" applyBorder="1"/>
    <xf numFmtId="0" fontId="0" fillId="0" borderId="45" xfId="0" applyBorder="1"/>
    <xf numFmtId="1" fontId="0" fillId="0" borderId="45" xfId="0" applyNumberFormat="1" applyBorder="1"/>
    <xf numFmtId="14" fontId="0" fillId="0" borderId="45" xfId="0" applyNumberFormat="1" applyBorder="1"/>
    <xf numFmtId="0" fontId="0" fillId="0" borderId="46" xfId="0" applyBorder="1"/>
    <xf numFmtId="1" fontId="0" fillId="0" borderId="46" xfId="0" applyNumberFormat="1" applyBorder="1"/>
    <xf numFmtId="14" fontId="0" fillId="0" borderId="46" xfId="0" applyNumberFormat="1" applyBorder="1"/>
    <xf numFmtId="0" fontId="0" fillId="0" borderId="44" xfId="0" applyBorder="1" applyAlignment="1">
      <alignment wrapText="1"/>
    </xf>
    <xf numFmtId="0" fontId="0" fillId="0" borderId="45" xfId="0" applyBorder="1" applyAlignment="1">
      <alignment wrapText="1"/>
    </xf>
    <xf numFmtId="0" fontId="0" fillId="0" borderId="46" xfId="0" applyBorder="1" applyAlignment="1">
      <alignment wrapText="1"/>
    </xf>
    <xf numFmtId="0" fontId="11" fillId="30" borderId="0" xfId="0" applyFont="1" applyFill="1" applyAlignment="1">
      <alignment horizontal="center"/>
    </xf>
    <xf numFmtId="168" fontId="0" fillId="0" borderId="0" xfId="0" applyNumberFormat="1" applyAlignment="1">
      <alignment wrapText="1"/>
    </xf>
    <xf numFmtId="171" fontId="0" fillId="0" borderId="0" xfId="0" applyNumberFormat="1" applyAlignment="1">
      <alignment wrapText="1"/>
    </xf>
    <xf numFmtId="1" fontId="13" fillId="0" borderId="0" xfId="0" applyNumberFormat="1" applyFont="1"/>
    <xf numFmtId="0" fontId="1" fillId="2" borderId="47" xfId="0" applyFont="1" applyFill="1" applyBorder="1"/>
    <xf numFmtId="1" fontId="2" fillId="0" borderId="0" xfId="0" applyNumberFormat="1" applyFont="1" applyAlignment="1">
      <alignment wrapText="1"/>
    </xf>
    <xf numFmtId="0" fontId="8" fillId="25" borderId="0" xfId="0" applyFont="1" applyFill="1"/>
    <xf numFmtId="0" fontId="52" fillId="0" borderId="0" xfId="0" applyFont="1"/>
    <xf numFmtId="0" fontId="52" fillId="0" borderId="0" xfId="0" applyFont="1" applyAlignment="1">
      <alignment vertical="center" wrapText="1"/>
    </xf>
    <xf numFmtId="165" fontId="52" fillId="0" borderId="0" xfId="0" applyNumberFormat="1" applyFont="1" applyAlignment="1">
      <alignment vertical="center" wrapText="1"/>
    </xf>
    <xf numFmtId="0" fontId="52" fillId="0" borderId="0" xfId="0" applyFont="1" applyAlignment="1">
      <alignment vertical="center"/>
    </xf>
    <xf numFmtId="0" fontId="54" fillId="5" borderId="0" xfId="0" applyFont="1" applyFill="1" applyAlignment="1">
      <alignment horizontal="center" vertical="center"/>
    </xf>
    <xf numFmtId="0" fontId="52" fillId="0" borderId="0" xfId="0" applyFont="1" applyAlignment="1">
      <alignment horizontal="center" vertical="center"/>
    </xf>
    <xf numFmtId="2" fontId="52" fillId="0" borderId="0" xfId="0" applyNumberFormat="1" applyFont="1" applyAlignment="1">
      <alignment horizontal="center" vertical="center"/>
    </xf>
    <xf numFmtId="165" fontId="52" fillId="0" borderId="0" xfId="0" applyNumberFormat="1" applyFont="1" applyAlignment="1">
      <alignment horizontal="center" vertical="center"/>
    </xf>
    <xf numFmtId="0" fontId="54" fillId="36" borderId="0" xfId="0" applyFont="1" applyFill="1" applyAlignment="1">
      <alignment horizontal="center" vertical="center"/>
    </xf>
    <xf numFmtId="1" fontId="0" fillId="0" borderId="20" xfId="0" applyNumberFormat="1" applyBorder="1"/>
    <xf numFmtId="0" fontId="0" fillId="0" borderId="20" xfId="0" applyBorder="1" applyAlignment="1">
      <alignment wrapText="1"/>
    </xf>
    <xf numFmtId="0" fontId="40" fillId="22" borderId="0" xfId="0" applyFont="1" applyFill="1" applyAlignment="1">
      <alignment horizontal="center" vertical="center"/>
    </xf>
    <xf numFmtId="1" fontId="40" fillId="22" borderId="0" xfId="0" applyNumberFormat="1" applyFont="1" applyFill="1" applyAlignment="1">
      <alignment horizontal="center" vertical="center"/>
    </xf>
    <xf numFmtId="14" fontId="40" fillId="22" borderId="0" xfId="0" applyNumberFormat="1" applyFont="1" applyFill="1" applyAlignment="1">
      <alignment horizontal="center" vertical="center"/>
    </xf>
    <xf numFmtId="0" fontId="40" fillId="22" borderId="0" xfId="0" applyFont="1" applyFill="1" applyAlignment="1">
      <alignment horizontal="center" vertical="center" wrapText="1"/>
    </xf>
    <xf numFmtId="14" fontId="0" fillId="0" borderId="20" xfId="0" applyNumberFormat="1" applyBorder="1" applyAlignment="1">
      <alignment vertical="center"/>
    </xf>
    <xf numFmtId="20" fontId="0" fillId="0" borderId="20" xfId="0" applyNumberFormat="1" applyBorder="1" applyAlignment="1">
      <alignment vertical="center"/>
    </xf>
    <xf numFmtId="0" fontId="0" fillId="0" borderId="20" xfId="0" applyBorder="1" applyAlignment="1">
      <alignment vertical="center"/>
    </xf>
    <xf numFmtId="1" fontId="0" fillId="0" borderId="20" xfId="0" applyNumberFormat="1" applyBorder="1" applyAlignment="1">
      <alignment vertical="center"/>
    </xf>
    <xf numFmtId="0" fontId="0" fillId="0" borderId="20" xfId="0" applyBorder="1" applyAlignment="1">
      <alignment vertical="center" wrapText="1"/>
    </xf>
    <xf numFmtId="14" fontId="0" fillId="0" borderId="57" xfId="0" applyNumberFormat="1" applyBorder="1" applyAlignment="1">
      <alignment vertical="center"/>
    </xf>
    <xf numFmtId="20" fontId="0" fillId="0" borderId="57" xfId="0" applyNumberFormat="1" applyBorder="1" applyAlignment="1">
      <alignment vertical="center"/>
    </xf>
    <xf numFmtId="0" fontId="0" fillId="0" borderId="57" xfId="0" applyBorder="1" applyAlignment="1">
      <alignment vertical="center"/>
    </xf>
    <xf numFmtId="1" fontId="0" fillId="0" borderId="57" xfId="0" applyNumberFormat="1" applyBorder="1" applyAlignment="1">
      <alignment vertical="center"/>
    </xf>
    <xf numFmtId="0" fontId="0" fillId="0" borderId="57" xfId="0" applyBorder="1" applyAlignment="1">
      <alignment vertical="center" wrapText="1"/>
    </xf>
    <xf numFmtId="14" fontId="0" fillId="0" borderId="58" xfId="0" applyNumberFormat="1" applyBorder="1" applyAlignment="1">
      <alignment vertical="center"/>
    </xf>
    <xf numFmtId="20" fontId="0" fillId="0" borderId="58" xfId="0" applyNumberFormat="1" applyBorder="1" applyAlignment="1">
      <alignment vertical="center"/>
    </xf>
    <xf numFmtId="0" fontId="0" fillId="0" borderId="58" xfId="0" applyBorder="1" applyAlignment="1">
      <alignment vertical="center"/>
    </xf>
    <xf numFmtId="1" fontId="0" fillId="0" borderId="58" xfId="0" applyNumberFormat="1" applyBorder="1" applyAlignment="1">
      <alignment vertical="center"/>
    </xf>
    <xf numFmtId="0" fontId="0" fillId="0" borderId="58" xfId="0" applyBorder="1" applyAlignment="1">
      <alignment vertical="center" wrapText="1"/>
    </xf>
    <xf numFmtId="14" fontId="0" fillId="0" borderId="0" xfId="0" applyNumberFormat="1" applyAlignment="1">
      <alignment vertical="center"/>
    </xf>
    <xf numFmtId="20" fontId="0" fillId="0" borderId="0" xfId="0" applyNumberFormat="1" applyAlignment="1">
      <alignment vertical="center"/>
    </xf>
    <xf numFmtId="0" fontId="0" fillId="0" borderId="0" xfId="0" applyAlignment="1">
      <alignment vertical="center"/>
    </xf>
    <xf numFmtId="1" fontId="0" fillId="0" borderId="0" xfId="0" applyNumberFormat="1" applyAlignment="1">
      <alignment vertical="center"/>
    </xf>
    <xf numFmtId="0" fontId="0" fillId="0" borderId="0" xfId="0" applyAlignment="1">
      <alignment vertical="center" wrapText="1"/>
    </xf>
    <xf numFmtId="14" fontId="11" fillId="22" borderId="0" xfId="0" applyNumberFormat="1" applyFont="1" applyFill="1" applyAlignment="1">
      <alignment vertical="center"/>
    </xf>
    <xf numFmtId="20" fontId="11" fillId="22" borderId="0" xfId="0" applyNumberFormat="1" applyFont="1" applyFill="1" applyAlignment="1">
      <alignment vertical="center"/>
    </xf>
    <xf numFmtId="0" fontId="11" fillId="22" borderId="0" xfId="0" applyFont="1" applyFill="1" applyAlignment="1">
      <alignment vertical="center"/>
    </xf>
    <xf numFmtId="1" fontId="11" fillId="22" borderId="0" xfId="0" applyNumberFormat="1" applyFont="1" applyFill="1" applyAlignment="1">
      <alignment vertical="center"/>
    </xf>
    <xf numFmtId="0" fontId="11" fillId="22" borderId="0" xfId="0" applyFont="1" applyFill="1" applyAlignment="1">
      <alignment vertical="center" wrapText="1"/>
    </xf>
    <xf numFmtId="14" fontId="8" fillId="25" borderId="0" xfId="0" applyNumberFormat="1" applyFont="1" applyFill="1"/>
    <xf numFmtId="20" fontId="8" fillId="25" borderId="0" xfId="0" applyNumberFormat="1" applyFont="1" applyFill="1"/>
    <xf numFmtId="0" fontId="57" fillId="31" borderId="0" xfId="0" applyFont="1" applyFill="1"/>
    <xf numFmtId="0" fontId="8" fillId="37" borderId="0" xfId="0" applyFont="1" applyFill="1" applyAlignment="1">
      <alignment horizontal="center"/>
    </xf>
    <xf numFmtId="0" fontId="58" fillId="0" borderId="0" xfId="0" applyFont="1"/>
    <xf numFmtId="0" fontId="58" fillId="0" borderId="20" xfId="0" applyFont="1" applyBorder="1"/>
    <xf numFmtId="1" fontId="58" fillId="0" borderId="0" xfId="0" applyNumberFormat="1" applyFont="1"/>
    <xf numFmtId="1" fontId="58" fillId="0" borderId="20" xfId="0" applyNumberFormat="1" applyFont="1" applyBorder="1"/>
    <xf numFmtId="175" fontId="58" fillId="0" borderId="0" xfId="0" applyNumberFormat="1" applyFont="1" applyAlignment="1">
      <alignment horizontal="right"/>
    </xf>
    <xf numFmtId="176" fontId="58" fillId="0" borderId="0" xfId="0" applyNumberFormat="1" applyFont="1" applyAlignment="1">
      <alignment horizontal="right"/>
    </xf>
    <xf numFmtId="175" fontId="58" fillId="0" borderId="20" xfId="0" applyNumberFormat="1" applyFont="1" applyBorder="1" applyAlignment="1">
      <alignment horizontal="right"/>
    </xf>
    <xf numFmtId="176" fontId="58" fillId="0" borderId="20" xfId="0" applyNumberFormat="1" applyFont="1" applyBorder="1" applyAlignment="1">
      <alignment horizontal="right"/>
    </xf>
    <xf numFmtId="0" fontId="58" fillId="0" borderId="0" xfId="0" applyFont="1" applyAlignment="1">
      <alignment wrapText="1"/>
    </xf>
    <xf numFmtId="0" fontId="58" fillId="0" borderId="20" xfId="0" applyFont="1" applyBorder="1" applyAlignment="1">
      <alignment wrapText="1"/>
    </xf>
    <xf numFmtId="175" fontId="0" fillId="0" borderId="20" xfId="0" applyNumberFormat="1" applyBorder="1"/>
    <xf numFmtId="0" fontId="11" fillId="39" borderId="0" xfId="0" applyFont="1" applyFill="1"/>
    <xf numFmtId="0" fontId="0" fillId="8" borderId="0" xfId="0" applyFill="1"/>
    <xf numFmtId="165" fontId="0" fillId="8" borderId="0" xfId="0" applyNumberFormat="1" applyFill="1"/>
    <xf numFmtId="0" fontId="11" fillId="8" borderId="0" xfId="0" applyFont="1" applyFill="1"/>
    <xf numFmtId="0" fontId="8" fillId="40" borderId="0" xfId="0" applyFont="1" applyFill="1"/>
    <xf numFmtId="0" fontId="0" fillId="9" borderId="0" xfId="0" applyFill="1"/>
    <xf numFmtId="165" fontId="0" fillId="9" borderId="0" xfId="0" applyNumberFormat="1" applyFill="1"/>
    <xf numFmtId="0" fontId="27" fillId="21" borderId="0" xfId="0" applyFont="1" applyFill="1"/>
    <xf numFmtId="0" fontId="10" fillId="0" borderId="0" xfId="0" applyFont="1"/>
    <xf numFmtId="0" fontId="11" fillId="20" borderId="0" xfId="0" applyFont="1" applyFill="1"/>
    <xf numFmtId="0" fontId="26" fillId="7" borderId="0" xfId="0" applyFont="1" applyFill="1" applyAlignment="1">
      <alignment vertical="center" wrapText="1"/>
    </xf>
    <xf numFmtId="166" fontId="12" fillId="13" borderId="7" xfId="0" applyNumberFormat="1" applyFont="1" applyFill="1" applyBorder="1" applyAlignment="1">
      <alignment horizontal="center" vertical="center"/>
    </xf>
    <xf numFmtId="0" fontId="12" fillId="13" borderId="7" xfId="0" applyFont="1" applyFill="1" applyBorder="1" applyAlignment="1">
      <alignment horizontal="center" vertical="center"/>
    </xf>
    <xf numFmtId="0" fontId="33" fillId="15" borderId="9" xfId="0" applyFont="1" applyFill="1" applyBorder="1" applyAlignment="1">
      <alignment horizontal="left" vertical="center"/>
    </xf>
    <xf numFmtId="0" fontId="33" fillId="15" borderId="8" xfId="0" applyFont="1" applyFill="1" applyBorder="1" applyAlignment="1">
      <alignment horizontal="center" vertical="center"/>
    </xf>
    <xf numFmtId="0" fontId="1" fillId="6" borderId="0" xfId="0" applyFont="1" applyFill="1" applyAlignment="1">
      <alignment horizontal="center" vertical="center"/>
    </xf>
    <xf numFmtId="0" fontId="23" fillId="11" borderId="0" xfId="0" applyFont="1" applyFill="1" applyAlignment="1">
      <alignment horizontal="left" vertical="center"/>
    </xf>
    <xf numFmtId="0" fontId="23" fillId="13" borderId="0" xfId="0" applyFont="1" applyFill="1" applyAlignment="1">
      <alignment horizontal="left" vertical="center"/>
    </xf>
    <xf numFmtId="0" fontId="4" fillId="16" borderId="0" xfId="0" applyFont="1" applyFill="1" applyAlignment="1">
      <alignment vertical="center"/>
    </xf>
    <xf numFmtId="0" fontId="4" fillId="13" borderId="0" xfId="0" applyFont="1" applyFill="1" applyAlignment="1">
      <alignment vertical="center"/>
    </xf>
    <xf numFmtId="0" fontId="1" fillId="13" borderId="0" xfId="0" applyFont="1" applyFill="1" applyAlignment="1">
      <alignment horizontal="center" vertical="center"/>
    </xf>
    <xf numFmtId="0" fontId="34" fillId="10" borderId="9" xfId="0" applyFont="1" applyFill="1" applyBorder="1" applyAlignment="1">
      <alignment horizontal="center" vertical="center"/>
    </xf>
    <xf numFmtId="0" fontId="34" fillId="10" borderId="8" xfId="0" applyFont="1" applyFill="1" applyBorder="1" applyAlignment="1">
      <alignment horizontal="center" vertical="center"/>
    </xf>
    <xf numFmtId="0" fontId="34" fillId="10" borderId="16" xfId="0" applyFont="1" applyFill="1" applyBorder="1" applyAlignment="1">
      <alignment horizontal="center" vertical="center"/>
    </xf>
    <xf numFmtId="0" fontId="35" fillId="6" borderId="0" xfId="0" applyFont="1" applyFill="1" applyAlignment="1">
      <alignment horizontal="center" vertical="center"/>
    </xf>
    <xf numFmtId="0" fontId="49" fillId="27" borderId="0" xfId="0" applyFont="1" applyFill="1" applyAlignment="1">
      <alignment horizontal="center" vertical="center"/>
    </xf>
    <xf numFmtId="14" fontId="49" fillId="27" borderId="0" xfId="0" applyNumberFormat="1" applyFont="1" applyFill="1" applyAlignment="1">
      <alignment horizontal="center" vertical="center"/>
    </xf>
    <xf numFmtId="0" fontId="9" fillId="11" borderId="0" xfId="0" applyFont="1" applyFill="1"/>
    <xf numFmtId="0" fontId="10" fillId="0" borderId="0" xfId="0" applyFont="1" applyAlignment="1">
      <alignment wrapText="1"/>
    </xf>
    <xf numFmtId="0" fontId="8" fillId="25" borderId="0" xfId="0" applyFont="1" applyFill="1"/>
    <xf numFmtId="0" fontId="0" fillId="0" borderId="0" xfId="0" applyAlignment="1">
      <alignment wrapText="1"/>
    </xf>
    <xf numFmtId="0" fontId="11" fillId="7" borderId="0" xfId="0" applyFont="1" applyFill="1" applyAlignment="1">
      <alignment wrapText="1"/>
    </xf>
    <xf numFmtId="0" fontId="8" fillId="21" borderId="0" xfId="0" applyFont="1" applyFill="1" applyAlignment="1">
      <alignment vertical="center"/>
    </xf>
    <xf numFmtId="0" fontId="8" fillId="21" borderId="0" xfId="0" applyFont="1" applyFill="1"/>
    <xf numFmtId="0" fontId="39" fillId="5" borderId="0" xfId="0" applyFont="1" applyFill="1"/>
    <xf numFmtId="0" fontId="41" fillId="4" borderId="26" xfId="0" applyFont="1" applyFill="1" applyBorder="1" applyAlignment="1">
      <alignment wrapText="1"/>
    </xf>
    <xf numFmtId="0" fontId="0" fillId="0" borderId="0" xfId="0" applyAlignment="1">
      <alignment vertical="top" wrapText="1"/>
    </xf>
    <xf numFmtId="0" fontId="39" fillId="6" borderId="0" xfId="0" applyFont="1" applyFill="1"/>
    <xf numFmtId="0" fontId="0" fillId="0" borderId="26" xfId="0" applyBorder="1" applyAlignment="1">
      <alignment vertical="top" wrapText="1"/>
    </xf>
    <xf numFmtId="0" fontId="41" fillId="4" borderId="26" xfId="0" applyFont="1" applyFill="1" applyBorder="1" applyAlignment="1">
      <alignment vertical="top" wrapText="1"/>
    </xf>
    <xf numFmtId="0" fontId="0" fillId="0" borderId="0" xfId="0"/>
    <xf numFmtId="0" fontId="9" fillId="21" borderId="0" xfId="0" applyFont="1" applyFill="1"/>
    <xf numFmtId="0" fontId="10" fillId="0" borderId="0" xfId="0" applyFont="1" applyAlignment="1">
      <alignment vertical="top" wrapText="1"/>
    </xf>
    <xf numFmtId="0" fontId="31" fillId="7" borderId="0" xfId="0" applyFont="1" applyFill="1" applyAlignment="1">
      <alignment vertical="top" wrapText="1"/>
    </xf>
    <xf numFmtId="0" fontId="0" fillId="4" borderId="0" xfId="0" applyFill="1" applyAlignment="1">
      <alignment wrapText="1"/>
    </xf>
    <xf numFmtId="0" fontId="9" fillId="5" borderId="0" xfId="0" applyFont="1" applyFill="1"/>
    <xf numFmtId="0" fontId="9" fillId="28" borderId="0" xfId="0" applyFont="1" applyFill="1"/>
    <xf numFmtId="0" fontId="8" fillId="29" borderId="0" xfId="0" applyFont="1" applyFill="1"/>
    <xf numFmtId="0" fontId="39" fillId="38" borderId="0" xfId="0" applyFont="1" applyFill="1"/>
    <xf numFmtId="0" fontId="11" fillId="39" borderId="0" xfId="0" applyFont="1" applyFill="1"/>
    <xf numFmtId="0" fontId="46" fillId="0" borderId="0" xfId="0" applyFont="1" applyAlignment="1">
      <alignment wrapText="1"/>
    </xf>
    <xf numFmtId="0" fontId="45" fillId="0" borderId="0" xfId="0" applyFont="1"/>
    <xf numFmtId="0" fontId="11" fillId="7" borderId="0" xfId="0" applyFont="1" applyFill="1" applyAlignment="1">
      <alignment vertical="center" wrapText="1"/>
    </xf>
    <xf numFmtId="168" fontId="8" fillId="11" borderId="0" xfId="0" applyNumberFormat="1" applyFont="1" applyFill="1"/>
    <xf numFmtId="0" fontId="28" fillId="11" borderId="0" xfId="0" applyFont="1" applyFill="1"/>
    <xf numFmtId="0" fontId="0" fillId="4" borderId="0" xfId="0" applyFill="1"/>
    <xf numFmtId="0" fontId="41" fillId="24" borderId="27" xfId="0" applyFont="1" applyFill="1" applyBorder="1" applyAlignment="1">
      <alignment horizontal="left" wrapText="1"/>
    </xf>
    <xf numFmtId="165" fontId="43" fillId="24" borderId="27" xfId="0" applyNumberFormat="1" applyFont="1" applyFill="1" applyBorder="1" applyAlignment="1">
      <alignment horizontal="center" wrapText="1"/>
    </xf>
    <xf numFmtId="0" fontId="43" fillId="24" borderId="27" xfId="0" applyFont="1" applyFill="1" applyBorder="1" applyAlignment="1">
      <alignment horizontal="center" wrapText="1"/>
    </xf>
    <xf numFmtId="0" fontId="42" fillId="23" borderId="27" xfId="0" applyFont="1" applyFill="1" applyBorder="1" applyAlignment="1">
      <alignment wrapText="1"/>
    </xf>
    <xf numFmtId="0" fontId="44" fillId="7" borderId="0" xfId="0" applyFont="1" applyFill="1" applyAlignment="1">
      <alignment wrapText="1"/>
    </xf>
    <xf numFmtId="0" fontId="41" fillId="4" borderId="27" xfId="0" applyFont="1" applyFill="1" applyBorder="1" applyAlignment="1">
      <alignment horizontal="left" wrapText="1"/>
    </xf>
    <xf numFmtId="1" fontId="43" fillId="9" borderId="27" xfId="0" applyNumberFormat="1" applyFont="1" applyFill="1" applyBorder="1" applyAlignment="1">
      <alignment horizontal="center" wrapText="1"/>
    </xf>
    <xf numFmtId="0" fontId="43" fillId="9" borderId="27" xfId="0" applyFont="1" applyFill="1" applyBorder="1" applyAlignment="1">
      <alignment horizontal="center" wrapText="1"/>
    </xf>
    <xf numFmtId="0" fontId="28" fillId="5" borderId="27" xfId="0" applyFont="1" applyFill="1" applyBorder="1" applyAlignment="1">
      <alignment horizontal="center" wrapText="1"/>
    </xf>
    <xf numFmtId="0" fontId="8" fillId="11" borderId="0" xfId="0" applyFont="1" applyFill="1"/>
    <xf numFmtId="0" fontId="0" fillId="0" borderId="5" xfId="0" applyBorder="1" applyAlignment="1">
      <alignment wrapText="1"/>
    </xf>
    <xf numFmtId="0" fontId="19" fillId="8" borderId="0" xfId="0" applyFont="1" applyFill="1" applyAlignment="1">
      <alignment horizontal="center"/>
    </xf>
    <xf numFmtId="20" fontId="0" fillId="4" borderId="0" xfId="0" applyNumberFormat="1" applyFill="1"/>
    <xf numFmtId="0" fontId="11" fillId="4" borderId="0" xfId="0" applyFont="1" applyFill="1" applyAlignment="1">
      <alignment wrapText="1"/>
    </xf>
    <xf numFmtId="2" fontId="48" fillId="26" borderId="0" xfId="0" applyNumberFormat="1" applyFont="1" applyFill="1" applyAlignment="1">
      <alignment horizontal="center" vertical="center"/>
    </xf>
    <xf numFmtId="0" fontId="11" fillId="4" borderId="0" xfId="0" applyFont="1" applyFill="1" applyAlignment="1">
      <alignment horizontal="center"/>
    </xf>
    <xf numFmtId="172" fontId="48" fillId="26" borderId="0" xfId="0" applyNumberFormat="1" applyFont="1" applyFill="1" applyAlignment="1">
      <alignment horizontal="center" vertical="center"/>
    </xf>
    <xf numFmtId="1" fontId="48" fillId="26" borderId="0" xfId="0" applyNumberFormat="1" applyFont="1" applyFill="1" applyAlignment="1">
      <alignment horizontal="center" vertical="center"/>
    </xf>
    <xf numFmtId="165" fontId="48" fillId="26" borderId="0" xfId="0" applyNumberFormat="1" applyFont="1" applyFill="1" applyAlignment="1">
      <alignment horizontal="center" vertical="center"/>
    </xf>
    <xf numFmtId="0" fontId="27" fillId="11" borderId="0" xfId="0" applyFont="1" applyFill="1" applyAlignment="1">
      <alignment horizontal="center"/>
    </xf>
    <xf numFmtId="0" fontId="47" fillId="5" borderId="0" xfId="0" applyFont="1" applyFill="1"/>
    <xf numFmtId="0" fontId="0" fillId="13" borderId="52" xfId="0" applyFill="1" applyBorder="1" applyAlignment="1">
      <alignment horizontal="center" vertical="center" wrapText="1"/>
    </xf>
    <xf numFmtId="0" fontId="0" fillId="13" borderId="56" xfId="0" applyFill="1" applyBorder="1" applyAlignment="1">
      <alignment horizontal="center" vertical="center" wrapText="1"/>
    </xf>
    <xf numFmtId="0" fontId="0" fillId="13" borderId="53" xfId="0" applyFill="1" applyBorder="1" applyAlignment="1">
      <alignment horizontal="center" vertical="center" wrapText="1"/>
    </xf>
    <xf numFmtId="0" fontId="0" fillId="33" borderId="50" xfId="0" applyFill="1" applyBorder="1" applyAlignment="1">
      <alignment horizontal="center" vertical="center" wrapText="1"/>
    </xf>
    <xf numFmtId="0" fontId="0" fillId="33" borderId="55" xfId="0" applyFill="1" applyBorder="1" applyAlignment="1">
      <alignment horizontal="center" vertical="center" wrapText="1"/>
    </xf>
    <xf numFmtId="0" fontId="0" fillId="33" borderId="51" xfId="0" applyFill="1" applyBorder="1" applyAlignment="1">
      <alignment horizontal="center" vertical="center" wrapText="1"/>
    </xf>
    <xf numFmtId="0" fontId="0" fillId="13" borderId="50" xfId="0" applyFill="1" applyBorder="1" applyAlignment="1">
      <alignment horizontal="center" vertical="center" wrapText="1"/>
    </xf>
    <xf numFmtId="0" fontId="0" fillId="13" borderId="55" xfId="0" applyFill="1" applyBorder="1" applyAlignment="1">
      <alignment horizontal="center" vertical="center" wrapText="1"/>
    </xf>
    <xf numFmtId="0" fontId="0" fillId="13" borderId="51" xfId="0" applyFill="1" applyBorder="1" applyAlignment="1">
      <alignment horizontal="center" vertical="center" wrapText="1"/>
    </xf>
    <xf numFmtId="0" fontId="8" fillId="5" borderId="49" xfId="0" applyFont="1" applyFill="1" applyBorder="1" applyAlignment="1">
      <alignment horizontal="center" vertical="center"/>
    </xf>
    <xf numFmtId="0" fontId="8" fillId="5" borderId="54" xfId="0" applyFont="1" applyFill="1" applyBorder="1" applyAlignment="1">
      <alignment horizontal="center" vertical="center"/>
    </xf>
    <xf numFmtId="0" fontId="55" fillId="35" borderId="0" xfId="0" applyFont="1" applyFill="1" applyAlignment="1">
      <alignment vertical="center"/>
    </xf>
    <xf numFmtId="0" fontId="55" fillId="34" borderId="0" xfId="0" applyFont="1" applyFill="1" applyAlignment="1">
      <alignment vertical="center"/>
    </xf>
    <xf numFmtId="0" fontId="52" fillId="33" borderId="0" xfId="0" applyFont="1" applyFill="1" applyAlignment="1">
      <alignment vertical="center" wrapText="1"/>
    </xf>
    <xf numFmtId="0" fontId="54" fillId="36" borderId="0" xfId="0" applyFont="1" applyFill="1" applyAlignment="1">
      <alignment horizontal="center" vertical="center"/>
    </xf>
    <xf numFmtId="0" fontId="52" fillId="0" borderId="0" xfId="0" applyFont="1" applyAlignment="1">
      <alignment vertical="center" wrapText="1"/>
    </xf>
    <xf numFmtId="0" fontId="50" fillId="32" borderId="0" xfId="0" applyFont="1" applyFill="1" applyAlignment="1">
      <alignment horizontal="center" vertical="center"/>
    </xf>
    <xf numFmtId="0" fontId="51" fillId="0" borderId="0" xfId="0" applyFont="1" applyAlignment="1">
      <alignment vertical="center"/>
    </xf>
    <xf numFmtId="0" fontId="53" fillId="33" borderId="0" xfId="0" applyFont="1" applyFill="1" applyAlignment="1">
      <alignment vertical="center" wrapText="1"/>
    </xf>
    <xf numFmtId="0" fontId="8" fillId="5" borderId="48" xfId="0" applyFont="1" applyFill="1" applyBorder="1" applyAlignment="1">
      <alignment horizontal="center" vertical="center"/>
    </xf>
    <xf numFmtId="0" fontId="55" fillId="34" borderId="0" xfId="0" applyFont="1" applyFill="1"/>
    <xf numFmtId="0" fontId="52" fillId="33" borderId="0" xfId="0" applyFont="1" applyFill="1" applyAlignment="1">
      <alignment wrapText="1"/>
    </xf>
    <xf numFmtId="0" fontId="50" fillId="32" borderId="0" xfId="0" applyFont="1" applyFill="1" applyAlignment="1">
      <alignment horizontal="center"/>
    </xf>
    <xf numFmtId="0" fontId="56" fillId="0" borderId="0" xfId="0" applyFont="1"/>
    <xf numFmtId="0" fontId="55" fillId="34" borderId="0" xfId="0" applyFont="1" applyFill="1" applyAlignment="1">
      <alignment horizontal="center" vertical="center"/>
    </xf>
    <xf numFmtId="0" fontId="55" fillId="34" borderId="0" xfId="0" applyFont="1" applyFill="1" applyAlignment="1">
      <alignment vertical="center" wrapText="1"/>
    </xf>
    <xf numFmtId="0" fontId="55" fillId="35" borderId="0" xfId="0" applyFont="1" applyFill="1"/>
  </cellXfs>
  <cellStyles count="1">
    <cellStyle name="Normal" xfId="0" builtinId="0"/>
  </cellStyles>
  <dxfs count="587">
    <dxf>
      <font>
        <color rgb="FF9C0006"/>
      </font>
      <fill>
        <patternFill patternType="solid">
          <fgColor indexed="64"/>
          <bgColor rgb="FFFCE4D6"/>
        </patternFill>
      </fill>
    </dxf>
    <dxf>
      <font>
        <b/>
        <i val="0"/>
        <color rgb="FF7F6000"/>
      </font>
      <fill>
        <patternFill patternType="solid">
          <fgColor indexed="64"/>
          <bgColor rgb="FFFFF2CC"/>
        </patternFill>
      </fill>
    </dxf>
    <dxf>
      <font>
        <b/>
        <i val="0"/>
        <color rgb="FF2E7D32"/>
      </font>
      <fill>
        <patternFill patternType="solid">
          <fgColor indexed="64"/>
          <bgColor rgb="FFC6EFCE"/>
        </patternFill>
      </fill>
    </dxf>
    <dxf>
      <font>
        <color rgb="FF9C0006"/>
      </font>
      <fill>
        <patternFill patternType="solid">
          <fgColor indexed="64"/>
          <bgColor rgb="FFFCE4D6"/>
        </patternFill>
      </fill>
    </dxf>
    <dxf>
      <font>
        <b/>
        <i val="0"/>
        <color rgb="FF7F6000"/>
      </font>
      <fill>
        <patternFill patternType="solid">
          <fgColor indexed="64"/>
          <bgColor rgb="FFFFF2CC"/>
        </patternFill>
      </fill>
    </dxf>
    <dxf>
      <font>
        <b/>
        <i val="0"/>
        <color rgb="FF2E7D32"/>
      </font>
      <fill>
        <patternFill patternType="solid">
          <fgColor indexed="64"/>
          <bgColor rgb="FFC6EFCE"/>
        </patternFill>
      </fill>
    </dxf>
    <dxf>
      <font>
        <color rgb="FF9C0006"/>
      </font>
      <fill>
        <patternFill patternType="solid">
          <fgColor indexed="64"/>
          <bgColor rgb="FFFCE4D6"/>
        </patternFill>
      </fill>
    </dxf>
    <dxf>
      <font>
        <b/>
        <i val="0"/>
        <color rgb="FF7F6000"/>
      </font>
      <fill>
        <patternFill patternType="solid">
          <fgColor indexed="64"/>
          <bgColor rgb="FFFFF2CC"/>
        </patternFill>
      </fill>
    </dxf>
    <dxf>
      <font>
        <b/>
        <i val="0"/>
        <color rgb="FF2E7D32"/>
      </font>
      <fill>
        <patternFill patternType="solid">
          <fgColor indexed="64"/>
          <bgColor rgb="FFC6EFCE"/>
        </patternFill>
      </fill>
    </dxf>
    <dxf>
      <font>
        <b/>
        <i val="0"/>
        <color rgb="FF9C0006"/>
      </font>
      <fill>
        <patternFill patternType="solid">
          <fgColor indexed="64"/>
          <bgColor rgb="FFF4CCCC"/>
        </patternFill>
      </fill>
    </dxf>
    <dxf>
      <font>
        <b/>
        <i val="0"/>
        <color rgb="FF7F6000"/>
      </font>
      <fill>
        <patternFill patternType="solid">
          <fgColor indexed="64"/>
          <bgColor rgb="FFFFF2CC"/>
        </patternFill>
      </fill>
    </dxf>
    <dxf>
      <font>
        <b/>
        <i val="0"/>
        <color rgb="FF006100"/>
      </font>
      <fill>
        <patternFill patternType="solid">
          <fgColor indexed="64"/>
          <bgColor rgb="FFC6EFCE"/>
        </patternFill>
      </fill>
    </dxf>
    <dxf>
      <font>
        <b/>
        <i val="0"/>
        <color rgb="FF9C0006"/>
      </font>
      <fill>
        <patternFill patternType="solid">
          <fgColor indexed="64"/>
          <bgColor rgb="FFF4CCCC"/>
        </patternFill>
      </fill>
    </dxf>
    <dxf>
      <font>
        <b/>
        <i val="0"/>
        <color rgb="FF7F6000"/>
      </font>
      <fill>
        <patternFill patternType="solid">
          <fgColor indexed="64"/>
          <bgColor rgb="FFFFF2CC"/>
        </patternFill>
      </fill>
    </dxf>
    <dxf>
      <font>
        <b/>
        <i val="0"/>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7F6000"/>
      </font>
      <fill>
        <patternFill patternType="solid">
          <fgColor indexed="64"/>
          <bgColor rgb="FFFFF2CC"/>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7F6000"/>
      </font>
      <fill>
        <patternFill patternType="solid">
          <fgColor indexed="64"/>
          <bgColor rgb="FFFFF2CC"/>
        </patternFill>
      </fill>
    </dxf>
    <dxf>
      <font>
        <b/>
        <i val="0"/>
        <color rgb="FF548235"/>
      </font>
      <fill>
        <patternFill patternType="solid">
          <fgColor indexed="64"/>
          <bgColor rgb="FFE2F0D9"/>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548235"/>
      </font>
      <fill>
        <patternFill patternType="solid">
          <fgColor indexed="64"/>
          <bgColor rgb="FFE2F0D9"/>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548235"/>
      </font>
      <fill>
        <patternFill patternType="solid">
          <fgColor indexed="64"/>
          <bgColor rgb="FFE2F0D9"/>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7F6000"/>
      </font>
      <fill>
        <patternFill patternType="solid">
          <fgColor indexed="64"/>
          <bgColor rgb="FFFFF2CC"/>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7F6000"/>
      </font>
      <fill>
        <patternFill patternType="solid">
          <fgColor indexed="64"/>
          <bgColor rgb="FFFFF2CC"/>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006100"/>
      </font>
      <fill>
        <patternFill patternType="solid">
          <fgColor indexed="64"/>
          <bgColor rgb="FFC6EFCE"/>
        </patternFill>
      </fill>
    </dxf>
    <dxf>
      <font>
        <b/>
        <i val="0"/>
        <color rgb="FF7F6000"/>
      </font>
      <fill>
        <patternFill patternType="solid">
          <fgColor indexed="64"/>
          <bgColor rgb="FFFFF2CC"/>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7F6000"/>
      </font>
      <fill>
        <patternFill patternType="solid">
          <fgColor indexed="64"/>
          <bgColor rgb="FFFFF2CC"/>
        </patternFill>
      </fill>
    </dxf>
    <dxf>
      <font>
        <b/>
        <i val="0"/>
        <color rgb="FF548235"/>
      </font>
      <fill>
        <patternFill patternType="solid">
          <fgColor indexed="64"/>
          <bgColor rgb="FFE2F0D9"/>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7F6000"/>
      </font>
      <fill>
        <patternFill patternType="solid">
          <fgColor indexed="64"/>
          <bgColor rgb="FFFFF2CC"/>
        </patternFill>
      </fill>
    </dxf>
    <dxf>
      <font>
        <b/>
        <i val="0"/>
        <color rgb="FF548235"/>
      </font>
      <fill>
        <patternFill patternType="solid">
          <fgColor indexed="64"/>
          <bgColor rgb="FFE2F0D9"/>
        </patternFill>
      </fill>
    </dxf>
    <dxf>
      <font>
        <b/>
        <i val="0"/>
        <color rgb="FF006100"/>
      </font>
      <fill>
        <patternFill patternType="solid">
          <fgColor indexed="64"/>
          <bgColor rgb="FFC6EFCE"/>
        </patternFill>
      </fill>
    </dxf>
    <dxf>
      <font>
        <b/>
        <i val="0"/>
        <color rgb="FFC65911"/>
      </font>
      <fill>
        <patternFill patternType="solid">
          <fgColor indexed="64"/>
          <bgColor rgb="FFFCE4D6"/>
        </patternFill>
      </fill>
    </dxf>
    <dxf>
      <font>
        <b/>
        <i val="0"/>
        <color rgb="FF548235"/>
      </font>
      <fill>
        <patternFill patternType="solid">
          <fgColor indexed="64"/>
          <bgColor rgb="FFE2F0D9"/>
        </patternFill>
      </fill>
    </dxf>
    <dxf>
      <font>
        <b/>
        <i val="0"/>
        <color rgb="FF006100"/>
      </font>
      <fill>
        <patternFill patternType="solid">
          <fgColor indexed="64"/>
          <bgColor rgb="FFC6EFCE"/>
        </patternFill>
      </fill>
    </dxf>
    <dxf>
      <font>
        <b/>
        <i val="0"/>
        <color rgb="FF7F6000"/>
      </font>
      <fill>
        <patternFill patternType="solid">
          <fgColor indexed="64"/>
          <bgColor rgb="FFFFF2CC"/>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9C0006"/>
      </font>
      <fill>
        <patternFill patternType="solid">
          <fgColor indexed="64"/>
          <bgColor rgb="FFFFC7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006100"/>
      </font>
      <fill>
        <patternFill patternType="solid">
          <fgColor indexed="64"/>
          <bgColor rgb="FFC6EFCE"/>
        </patternFill>
      </fill>
    </dxf>
    <dxf>
      <font>
        <b/>
        <i val="0"/>
        <color rgb="FF006100"/>
      </font>
      <fill>
        <patternFill patternType="solid">
          <fgColor indexed="64"/>
          <bgColor rgb="FFC6EFCE"/>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548235"/>
      </font>
      <fill>
        <patternFill patternType="solid">
          <fgColor indexed="64"/>
          <bgColor rgb="FFE2F0D9"/>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006100"/>
      </font>
      <fill>
        <patternFill patternType="solid">
          <fgColor indexed="64"/>
          <bgColor rgb="FFC6EFCE"/>
        </patternFill>
      </fill>
    </dxf>
    <dxf>
      <font>
        <b/>
        <i val="0"/>
        <color rgb="FFC65911"/>
      </font>
      <fill>
        <patternFill patternType="solid">
          <fgColor indexed="64"/>
          <bgColor rgb="FFFCE4D6"/>
        </patternFill>
      </fill>
    </dxf>
    <dxf>
      <font>
        <b/>
        <i val="0"/>
        <color rgb="FF7F6000"/>
      </font>
      <fill>
        <patternFill patternType="solid">
          <fgColor indexed="64"/>
          <bgColor rgb="FFFFF2CC"/>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C65911"/>
      </font>
      <fill>
        <patternFill patternType="solid">
          <fgColor indexed="64"/>
          <bgColor rgb="FFFCE4D6"/>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48235"/>
      </font>
      <fill>
        <patternFill patternType="solid">
          <fgColor indexed="64"/>
          <bgColor rgb="FFE2F0D9"/>
        </patternFill>
      </fill>
    </dxf>
    <dxf>
      <font>
        <b/>
        <i val="0"/>
        <color rgb="FF7F6000"/>
      </font>
      <fill>
        <patternFill patternType="solid">
          <fgColor indexed="64"/>
          <bgColor rgb="FFFFF2CC"/>
        </patternFill>
      </fill>
    </dxf>
    <dxf>
      <font>
        <color rgb="FF7F6000"/>
      </font>
      <fill>
        <patternFill patternType="solid">
          <fgColor indexed="64"/>
          <bgColor rgb="FFFFF2CC"/>
        </patternFill>
      </fill>
    </dxf>
    <dxf>
      <font>
        <color rgb="FF006100"/>
      </font>
      <fill>
        <patternFill patternType="solid">
          <fgColor indexed="64"/>
          <bgColor rgb="FFC6EFCE"/>
        </patternFill>
      </fill>
    </dxf>
    <dxf>
      <font>
        <color rgb="FF9C0006"/>
      </font>
    </dxf>
    <dxf>
      <font>
        <color rgb="FF7F6000"/>
      </font>
      <fill>
        <patternFill patternType="solid">
          <fgColor indexed="64"/>
          <bgColor rgb="FFFFF2CC"/>
        </patternFill>
      </fill>
    </dxf>
    <dxf>
      <font>
        <color rgb="FF006100"/>
      </font>
      <fill>
        <patternFill patternType="solid">
          <fgColor indexed="64"/>
          <bgColor rgb="FFC6EFCE"/>
        </patternFill>
      </fill>
    </dxf>
    <dxf>
      <font>
        <color rgb="FF7F6000"/>
      </font>
      <fill>
        <patternFill patternType="solid">
          <fgColor indexed="64"/>
          <bgColor rgb="FFFFF2CC"/>
        </patternFill>
      </fill>
    </dxf>
    <dxf>
      <font>
        <color rgb="FF7F6000"/>
      </font>
      <fill>
        <patternFill patternType="solid">
          <fgColor indexed="64"/>
          <bgColor rgb="FFFFF2C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dxf>
    <dxf>
      <font>
        <color rgb="FF7F6000"/>
      </font>
      <fill>
        <patternFill patternType="solid">
          <fgColor indexed="64"/>
          <bgColor rgb="FFFFF2CC"/>
        </patternFill>
      </fill>
    </dxf>
    <dxf>
      <font>
        <color rgb="FF006100"/>
      </font>
      <fill>
        <patternFill patternType="solid">
          <fgColor indexed="64"/>
          <bgColor rgb="FFC6EFCE"/>
        </patternFill>
      </fill>
    </dxf>
    <dxf>
      <font>
        <b/>
        <i val="0"/>
        <color rgb="FF375623"/>
      </font>
      <fill>
        <patternFill patternType="solid">
          <fgColor indexed="64"/>
          <bgColor rgb="FFE2F0D9"/>
        </patternFill>
      </fill>
    </dxf>
    <dxf>
      <font>
        <b/>
        <i val="0"/>
        <color rgb="FF375623"/>
      </font>
      <fill>
        <patternFill patternType="solid">
          <fgColor indexed="64"/>
          <bgColor rgb="FFE2F0D9"/>
        </patternFill>
      </fill>
    </dxf>
    <dxf>
      <font>
        <b/>
        <i val="0"/>
        <color rgb="FF0070C0"/>
      </font>
    </dxf>
    <dxf>
      <font>
        <b/>
        <i val="0"/>
        <color rgb="FF0070C0"/>
      </font>
    </dxf>
    <dxf>
      <font>
        <b/>
        <i val="0"/>
      </font>
    </dxf>
    <dxf>
      <font>
        <b/>
        <i val="0"/>
        <color rgb="FF1F4E78"/>
      </font>
      <fill>
        <patternFill patternType="solid">
          <fgColor indexed="64"/>
          <bgColor rgb="FFD9EAF7"/>
        </patternFill>
      </fill>
    </dxf>
    <dxf>
      <font>
        <b/>
        <color rgb="FF9C0006"/>
        <name val="Arial"/>
      </font>
    </dxf>
    <dxf>
      <font>
        <b/>
        <i val="0"/>
        <color rgb="FF1F4E78"/>
      </font>
      <fill>
        <patternFill patternType="solid">
          <fgColor indexed="64"/>
          <bgColor rgb="FFD9EAF7"/>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name val="Aptos"/>
      </font>
      <alignment vertical="center" wrapText="1"/>
    </dxf>
    <dxf>
      <font>
        <name val="Aptos"/>
      </font>
      <numFmt numFmtId="165" formatCode="0.0%"/>
      <alignment horizontal="center" vertical="center"/>
    </dxf>
    <dxf>
      <font>
        <name val="Aptos"/>
      </font>
      <numFmt numFmtId="2" formatCode="0.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alignment horizontal="center" vertical="center"/>
    </dxf>
    <dxf>
      <font>
        <name val="Aptos"/>
      </font>
      <alignment horizontal="center" vertical="center"/>
    </dxf>
    <dxf>
      <font>
        <name val="Aptos"/>
      </font>
      <alignment vertical="center"/>
    </dxf>
    <dxf>
      <font>
        <name val="Aptos"/>
      </font>
      <alignment vertical="center"/>
    </dxf>
    <dxf>
      <font>
        <name val="Aptos"/>
      </font>
      <alignment horizontal="center" vertical="center"/>
    </dxf>
    <dxf>
      <font>
        <name val="Aptos"/>
      </font>
      <alignment vertical="center"/>
    </dxf>
    <dxf>
      <font>
        <name val="Aptos"/>
      </font>
      <alignment vertical="center"/>
    </dxf>
    <dxf>
      <font>
        <name val="Aptos"/>
      </font>
      <alignment vertical="center" wrapText="1"/>
    </dxf>
    <dxf>
      <font>
        <name val="Aptos"/>
      </font>
      <numFmt numFmtId="165" formatCode="0.0%"/>
      <alignment horizontal="center" vertical="center"/>
    </dxf>
    <dxf>
      <font>
        <name val="Aptos"/>
      </font>
      <numFmt numFmtId="2" formatCode="0.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alignment horizontal="center" vertical="center"/>
    </dxf>
    <dxf>
      <font>
        <name val="Aptos"/>
      </font>
      <alignment horizontal="center" vertical="center"/>
    </dxf>
    <dxf>
      <font>
        <name val="Aptos"/>
      </font>
      <alignment vertical="center"/>
    </dxf>
    <dxf>
      <font>
        <name val="Aptos"/>
      </font>
      <alignment vertical="center"/>
    </dxf>
    <dxf>
      <font>
        <name val="Aptos"/>
      </font>
      <alignment horizontal="center" vertical="center"/>
    </dxf>
    <dxf>
      <font>
        <name val="Aptos"/>
      </font>
      <alignment vertical="center"/>
    </dxf>
    <dxf>
      <font>
        <name val="Aptos"/>
      </font>
      <alignment vertical="center"/>
    </dxf>
    <dxf>
      <font>
        <name val="Aptos"/>
      </font>
      <alignment vertical="center" wrapText="1"/>
    </dxf>
    <dxf>
      <font>
        <name val="Aptos"/>
      </font>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2" formatCode="0.00"/>
      <alignment horizontal="center" vertical="center"/>
    </dxf>
    <dxf>
      <font>
        <name val="Aptos"/>
      </font>
      <numFmt numFmtId="2" formatCode="0.00"/>
      <alignment horizontal="center" vertical="center"/>
    </dxf>
    <dxf>
      <font>
        <name val="Aptos"/>
      </font>
      <alignment horizontal="center"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vertical="center" wrapText="1"/>
    </dxf>
    <dxf>
      <font>
        <name val="Aptos"/>
      </font>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165" formatCode="0.0%"/>
      <alignment horizontal="center" vertical="center"/>
    </dxf>
    <dxf>
      <font>
        <name val="Aptos"/>
      </font>
      <numFmt numFmtId="2" formatCode="0.00"/>
      <alignment horizontal="center" vertical="center"/>
    </dxf>
    <dxf>
      <font>
        <name val="Aptos"/>
      </font>
      <numFmt numFmtId="2" formatCode="0.00"/>
      <alignment horizontal="center" vertical="center"/>
    </dxf>
    <dxf>
      <font>
        <name val="Aptos"/>
      </font>
      <alignment horizontal="center" vertical="center"/>
    </dxf>
    <dxf>
      <font>
        <name val="Aptos"/>
      </font>
      <alignment vertical="center"/>
    </dxf>
    <dxf>
      <font>
        <name val="Aptos"/>
      </font>
      <alignment vertical="center"/>
    </dxf>
    <dxf>
      <font>
        <name val="Aptos"/>
      </font>
      <alignment vertical="center"/>
    </dxf>
    <dxf>
      <font>
        <name val="Aptos"/>
      </font>
      <alignment vertical="center"/>
    </dxf>
    <dxf>
      <font>
        <name val="Aptos"/>
      </font>
      <alignment horizontal="general" vertical="center" textRotation="0" wrapText="1" indent="0" justifyLastLine="0" shrinkToFit="0" readingOrder="0"/>
    </dxf>
    <dxf>
      <font>
        <name val="Aptos"/>
      </font>
      <alignment horizontal="center" vertical="center" textRotation="0" wrapText="0" indent="0" justifyLastLine="0" shrinkToFit="0" readingOrder="0"/>
    </dxf>
    <dxf>
      <font>
        <name val="Aptos"/>
      </font>
      <numFmt numFmtId="165" formatCode="0.0%"/>
      <alignment horizontal="center" vertical="center" textRotation="0" wrapText="0" indent="0" justifyLastLine="0" shrinkToFit="0" readingOrder="0"/>
    </dxf>
    <dxf>
      <font>
        <name val="Aptos"/>
      </font>
      <numFmt numFmtId="165" formatCode="0.0%"/>
      <alignment horizontal="center" vertical="center" textRotation="0" wrapText="0" indent="0" justifyLastLine="0" shrinkToFit="0" readingOrder="0"/>
    </dxf>
    <dxf>
      <font>
        <name val="Aptos"/>
      </font>
      <numFmt numFmtId="165" formatCode="0.0%"/>
      <alignment horizontal="center" vertical="center" textRotation="0" wrapText="0" indent="0" justifyLastLine="0" shrinkToFit="0" readingOrder="0"/>
    </dxf>
    <dxf>
      <font>
        <name val="Aptos"/>
      </font>
      <numFmt numFmtId="165" formatCode="0.0%"/>
      <alignment horizontal="center" vertical="center" textRotation="0" wrapText="0" indent="0" justifyLastLine="0" shrinkToFit="0" readingOrder="0"/>
    </dxf>
    <dxf>
      <font>
        <name val="Aptos"/>
      </font>
      <numFmt numFmtId="165" formatCode="0.0%"/>
      <alignment horizontal="center" vertical="center" textRotation="0" wrapText="0" indent="0" justifyLastLine="0" shrinkToFit="0" readingOrder="0"/>
    </dxf>
    <dxf>
      <font>
        <name val="Aptos"/>
      </font>
      <numFmt numFmtId="2" formatCode="0.00"/>
      <alignment horizontal="center" vertical="center" textRotation="0" wrapText="0" indent="0" justifyLastLine="0" shrinkToFit="0" readingOrder="0"/>
    </dxf>
    <dxf>
      <font>
        <name val="Aptos"/>
      </font>
      <numFmt numFmtId="2" formatCode="0.00"/>
      <alignment horizontal="center" vertical="center" textRotation="0" wrapText="0" indent="0" justifyLastLine="0" shrinkToFit="0" readingOrder="0"/>
    </dxf>
    <dxf>
      <font>
        <name val="Aptos"/>
      </font>
      <alignment horizontal="center" vertical="center" textRotation="0" wrapText="0" indent="0" justifyLastLine="0" shrinkToFit="0" readingOrder="0"/>
    </dxf>
    <dxf>
      <font>
        <name val="Aptos"/>
      </font>
      <alignment vertical="center"/>
    </dxf>
    <dxf>
      <font>
        <name val="Aptos"/>
      </font>
      <alignment vertical="center"/>
    </dxf>
    <dxf>
      <font>
        <name val="Aptos"/>
      </font>
      <alignment horizontal="center" vertical="center" textRotation="0" wrapText="0" indent="0" justifyLastLine="0" shrinkToFit="0" readingOrder="0"/>
    </dxf>
    <dxf>
      <font>
        <b/>
        <i val="0"/>
        <strike val="0"/>
        <condense val="0"/>
        <extend val="0"/>
        <outline val="0"/>
        <shadow val="0"/>
        <u val="none"/>
        <vertAlign val="baseline"/>
        <sz val="11"/>
        <color rgb="FFFFFFFF"/>
        <name val="Aptos"/>
        <scheme val="none"/>
      </font>
      <fill>
        <patternFill patternType="solid">
          <fgColor indexed="64"/>
          <bgColor rgb="FF1F4E78"/>
        </patternFill>
      </fill>
      <alignment horizontal="center" vertical="center" textRotation="0" wrapText="0" indent="0" justifyLastLine="0" shrinkToFit="0" readingOrder="0"/>
    </dxf>
    <dxf>
      <font>
        <sz val="9"/>
      </font>
      <alignment horizontal="center" wrapText="0"/>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numFmt numFmtId="2" formatCode="0.00"/>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numFmt numFmtId="170" formatCode="[$R$-416]\ #,##0.00;[Red]\-[$R$-416]\ #,##0.00"/>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numFmt numFmtId="0" formatCode="General"/>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left"/>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left"/>
      <border diagonalUp="0" diagonalDown="0">
        <left style="thin">
          <color rgb="FFB4C6E7"/>
        </left>
        <right style="thin">
          <color rgb="FFB4C6E7"/>
        </right>
        <top style="thin">
          <color rgb="FFB4C6E7"/>
        </top>
        <bottom style="thin">
          <color rgb="FFB4C6E7"/>
        </bottom>
        <vertical style="thin">
          <color rgb="FFB4C6E7"/>
        </vertical>
        <horizontal style="thin">
          <color rgb="FFB4C6E7"/>
        </horizontal>
      </border>
    </dxf>
    <dxf>
      <font>
        <sz val="9"/>
      </font>
      <alignment horizontal="center"/>
      <border diagonalUp="0" diagonalDown="0">
        <left/>
        <right style="thin">
          <color rgb="FFB4C6E7"/>
        </right>
        <top style="thin">
          <color rgb="FFB4C6E7"/>
        </top>
        <bottom style="thin">
          <color rgb="FFB4C6E7"/>
        </bottom>
        <vertical style="thin">
          <color rgb="FFB4C6E7"/>
        </vertical>
        <horizontal style="thin">
          <color rgb="FFB4C6E7"/>
        </horizontal>
      </border>
    </dxf>
    <dxf>
      <border>
        <top style="thin">
          <color rgb="FFB4C6E7"/>
        </top>
      </border>
    </dxf>
    <dxf>
      <border diagonalUp="0" diagonalDown="0">
        <left style="thin">
          <color rgb="FFB4C6E7"/>
        </left>
        <right style="thin">
          <color rgb="FFB4C6E7"/>
        </right>
        <top style="thin">
          <color rgb="FFB4C6E7"/>
        </top>
        <bottom style="thin">
          <color rgb="FFB4C6E7"/>
        </bottom>
      </border>
    </dxf>
    <dxf>
      <font>
        <sz val="9"/>
      </font>
    </dxf>
    <dxf>
      <border>
        <bottom style="thin">
          <color rgb="FFB4C6E7"/>
        </bottom>
      </border>
    </dxf>
    <dxf>
      <font>
        <sz val="9"/>
      </font>
      <border diagonalUp="0" diagonalDown="0">
        <left style="thin">
          <color rgb="FFB4C6E7"/>
        </left>
        <right style="thin">
          <color rgb="FFB4C6E7"/>
        </right>
        <top/>
        <bottom/>
        <vertical style="thin">
          <color rgb="FFB4C6E7"/>
        </vertical>
        <horizontal style="thin">
          <color rgb="FFB4C6E7"/>
        </horizontal>
      </border>
    </dxf>
    <dxf>
      <font>
        <b val="0"/>
        <i val="0"/>
        <strike val="0"/>
        <condense val="0"/>
        <extend val="0"/>
        <outline val="0"/>
        <shadow val="0"/>
        <u val="none"/>
        <vertAlign val="baseline"/>
        <sz val="10"/>
        <color theme="1"/>
        <name val="Aptos"/>
        <family val="2"/>
        <scheme val="none"/>
      </font>
      <numFmt numFmtId="1" formatCode="0"/>
      <alignment wrapText="1"/>
    </dxf>
    <dxf>
      <font>
        <b val="0"/>
        <i val="0"/>
        <strike val="0"/>
        <condense val="0"/>
        <extend val="0"/>
        <outline val="0"/>
        <shadow val="0"/>
        <u val="none"/>
        <vertAlign val="baseline"/>
        <sz val="10"/>
        <color theme="1"/>
        <name val="Aptos"/>
        <family val="2"/>
        <scheme val="none"/>
      </font>
      <numFmt numFmtId="1" formatCode="0"/>
      <alignment wrapText="1"/>
    </dxf>
    <dxf>
      <font>
        <b val="0"/>
        <i val="0"/>
        <strike val="0"/>
        <condense val="0"/>
        <extend val="0"/>
        <outline val="0"/>
        <shadow val="0"/>
        <u val="none"/>
        <vertAlign val="baseline"/>
        <sz val="10"/>
        <color theme="1"/>
        <name val="Aptos"/>
        <family val="2"/>
        <scheme val="none"/>
      </font>
      <numFmt numFmtId="1" formatCode="0"/>
      <alignment wrapText="1"/>
    </dxf>
    <dxf>
      <font>
        <b val="0"/>
        <i val="0"/>
        <strike val="0"/>
        <condense val="0"/>
        <extend val="0"/>
        <outline val="0"/>
        <shadow val="0"/>
        <u val="none"/>
        <vertAlign val="baseline"/>
        <sz val="10"/>
        <color rgb="FF1F4E78"/>
        <name val="Aptos"/>
        <family val="2"/>
        <scheme val="none"/>
      </font>
      <numFmt numFmtId="0" formatCode="General"/>
      <alignment wrapText="1"/>
    </dxf>
    <dxf>
      <font>
        <b val="0"/>
        <i val="0"/>
        <strike val="0"/>
        <condense val="0"/>
        <extend val="0"/>
        <outline val="0"/>
        <shadow val="0"/>
        <u val="none"/>
        <vertAlign val="baseline"/>
        <sz val="10"/>
        <color rgb="FF1F4E78"/>
        <name val="Aptos"/>
        <family val="2"/>
        <scheme val="none"/>
      </font>
      <numFmt numFmtId="0" formatCode="General"/>
      <alignment wrapText="1"/>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numFmt numFmtId="0" formatCode="General"/>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rgb="FF000000"/>
        <name val="Aptos"/>
        <family val="2"/>
        <scheme val="none"/>
      </font>
      <fill>
        <patternFill patternType="none"/>
      </fill>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rgb="FF000000"/>
        <name val="Aptos"/>
        <family val="2"/>
        <scheme val="none"/>
      </font>
      <fill>
        <patternFill patternType="none"/>
      </fill>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numFmt numFmtId="25" formatCode="hh:mm"/>
    </dxf>
    <dxf>
      <font>
        <b val="0"/>
        <i val="0"/>
        <strike val="0"/>
        <condense val="0"/>
        <extend val="0"/>
        <outline val="0"/>
        <shadow val="0"/>
        <u val="none"/>
        <vertAlign val="baseline"/>
        <sz val="10"/>
        <color theme="1"/>
        <name val="Aptos"/>
        <family val="2"/>
        <scheme val="none"/>
      </font>
      <numFmt numFmtId="164" formatCode="dd/mm/yy;@"/>
    </dxf>
    <dxf>
      <font>
        <b val="0"/>
        <i val="0"/>
        <strike val="0"/>
        <condense val="0"/>
        <extend val="0"/>
        <outline val="0"/>
        <shadow val="0"/>
        <u val="none"/>
        <vertAlign val="baseline"/>
        <sz val="10"/>
        <color theme="1"/>
        <name val="Aptos"/>
        <family val="2"/>
        <scheme val="none"/>
      </font>
    </dxf>
    <dxf>
      <font>
        <b val="0"/>
        <i val="0"/>
        <strike val="0"/>
        <condense val="0"/>
        <extend val="0"/>
        <outline val="0"/>
        <shadow val="0"/>
        <u val="none"/>
        <vertAlign val="baseline"/>
        <sz val="10"/>
        <color theme="1"/>
        <name val="Aptos"/>
        <family val="2"/>
        <scheme val="none"/>
      </font>
    </dxf>
    <dxf>
      <font>
        <b/>
        <i val="0"/>
        <strike val="0"/>
        <condense val="0"/>
        <extend val="0"/>
        <outline val="0"/>
        <shadow val="0"/>
        <u val="none"/>
        <vertAlign val="baseline"/>
        <sz val="10"/>
        <color rgb="FFFFFFFF"/>
        <name val="Aptos"/>
        <family val="2"/>
        <scheme val="none"/>
      </font>
      <fill>
        <patternFill patternType="solid">
          <fgColor rgb="FF003366"/>
          <bgColor rgb="FF1F4E78"/>
        </patternFill>
      </fill>
      <border diagonalUp="0" diagonalDown="0" outline="0">
        <left style="thin">
          <color rgb="FFCCCCCC"/>
        </left>
        <right style="thin">
          <color rgb="FFCCCCCC"/>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Composição do Top 40 por País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tx>
            <c:strRef>
              <c:f>Ranking!$V$46</c:f>
              <c:strCache>
                <c:ptCount val="1"/>
                <c:pt idx="0">
                  <c:v>Equipes</c:v>
                </c:pt>
              </c:strCache>
            </c:strRef>
          </c:tx>
          <c:dPt>
            <c:idx val="0"/>
            <c:bubble3D val="0"/>
            <c:spPr>
              <a:solidFill>
                <a:srgbClr val="1F4E78"/>
              </a:solidFill>
              <a:ln w="19050">
                <a:solidFill>
                  <a:schemeClr val="lt1"/>
                </a:solidFill>
              </a:ln>
              <a:effectLst/>
            </c:spPr>
            <c:extLst>
              <c:ext xmlns:c16="http://schemas.microsoft.com/office/drawing/2014/chart" uri="{C3380CC4-5D6E-409C-BE32-E72D297353CC}">
                <c16:uniqueId val="{00000001-3C8E-4389-A7EA-35896FA52823}"/>
              </c:ext>
            </c:extLst>
          </c:dPt>
          <c:dPt>
            <c:idx val="1"/>
            <c:bubble3D val="0"/>
            <c:spPr>
              <a:solidFill>
                <a:srgbClr val="5B9BD5"/>
              </a:solidFill>
              <a:ln w="19050">
                <a:solidFill>
                  <a:schemeClr val="lt1"/>
                </a:solidFill>
              </a:ln>
              <a:effectLst/>
            </c:spPr>
            <c:extLst>
              <c:ext xmlns:c16="http://schemas.microsoft.com/office/drawing/2014/chart" uri="{C3380CC4-5D6E-409C-BE32-E72D297353CC}">
                <c16:uniqueId val="{00000002-3C8E-4389-A7EA-35896FA52823}"/>
              </c:ext>
            </c:extLst>
          </c:dPt>
          <c:dPt>
            <c:idx val="2"/>
            <c:bubble3D val="0"/>
            <c:spPr>
              <a:solidFill>
                <a:srgbClr val="ED7D31"/>
              </a:solidFill>
              <a:ln w="19050">
                <a:solidFill>
                  <a:schemeClr val="lt1"/>
                </a:solidFill>
              </a:ln>
              <a:effectLst/>
            </c:spPr>
            <c:extLst>
              <c:ext xmlns:c16="http://schemas.microsoft.com/office/drawing/2014/chart" uri="{C3380CC4-5D6E-409C-BE32-E72D297353CC}">
                <c16:uniqueId val="{00000003-3C8E-4389-A7EA-35896FA52823}"/>
              </c:ext>
            </c:extLst>
          </c:dPt>
          <c:dPt>
            <c:idx val="3"/>
            <c:bubble3D val="0"/>
            <c:spPr>
              <a:solidFill>
                <a:srgbClr val="70AD47"/>
              </a:solidFill>
              <a:ln w="19050">
                <a:solidFill>
                  <a:schemeClr val="lt1"/>
                </a:solidFill>
              </a:ln>
              <a:effectLst/>
            </c:spPr>
            <c:extLst>
              <c:ext xmlns:c16="http://schemas.microsoft.com/office/drawing/2014/chart" uri="{C3380CC4-5D6E-409C-BE32-E72D297353CC}">
                <c16:uniqueId val="{00000004-3C8E-4389-A7EA-35896FA52823}"/>
              </c:ext>
            </c:extLst>
          </c:dPt>
          <c:dPt>
            <c:idx val="4"/>
            <c:bubble3D val="0"/>
            <c:spPr>
              <a:solidFill>
                <a:srgbClr val="A5A5A5"/>
              </a:solidFill>
              <a:ln w="19050">
                <a:solidFill>
                  <a:schemeClr val="lt1"/>
                </a:solidFill>
              </a:ln>
              <a:effectLst/>
            </c:spPr>
            <c:extLst>
              <c:ext xmlns:c16="http://schemas.microsoft.com/office/drawing/2014/chart" uri="{C3380CC4-5D6E-409C-BE32-E72D297353CC}">
                <c16:uniqueId val="{00000005-3C8E-4389-A7EA-35896FA52823}"/>
              </c:ext>
            </c:extLst>
          </c:dPt>
          <c:dPt>
            <c:idx val="5"/>
            <c:bubble3D val="0"/>
            <c:spPr>
              <a:solidFill>
                <a:srgbClr val="D9E2F3"/>
              </a:solidFill>
              <a:ln w="19050">
                <a:solidFill>
                  <a:schemeClr val="lt1"/>
                </a:solidFill>
              </a:ln>
              <a:effectLst/>
            </c:spPr>
            <c:extLst>
              <c:ext xmlns:c16="http://schemas.microsoft.com/office/drawing/2014/chart" uri="{C3380CC4-5D6E-409C-BE32-E72D297353CC}">
                <c16:uniqueId val="{00000006-3C8E-4389-A7EA-35896FA52823}"/>
              </c:ext>
            </c:extLst>
          </c:dPt>
          <c:dLbls>
            <c:dLbl>
              <c:idx val="5"/>
              <c:layout>
                <c:manualLayout>
                  <c:x val="1.1764705882352941E-2"/>
                  <c:y val="-2.857142857142857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3C8E-4389-A7EA-35896FA528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Ranking!$U$47:$U$52</c:f>
              <c:strCache>
                <c:ptCount val="6"/>
                <c:pt idx="0">
                  <c:v>FIN</c:v>
                </c:pt>
                <c:pt idx="1">
                  <c:v>AUS</c:v>
                </c:pt>
                <c:pt idx="2">
                  <c:v>BOL</c:v>
                </c:pt>
                <c:pt idx="3">
                  <c:v>BRA</c:v>
                </c:pt>
                <c:pt idx="4">
                  <c:v>ISL</c:v>
                </c:pt>
                <c:pt idx="5">
                  <c:v>Outros</c:v>
                </c:pt>
              </c:strCache>
            </c:strRef>
          </c:cat>
          <c:val>
            <c:numRef>
              <c:f>Ranking!$V$47:$V$52</c:f>
              <c:numCache>
                <c:formatCode>#,##0</c:formatCode>
                <c:ptCount val="6"/>
                <c:pt idx="0">
                  <c:v>7</c:v>
                </c:pt>
                <c:pt idx="1">
                  <c:v>8</c:v>
                </c:pt>
                <c:pt idx="2">
                  <c:v>2</c:v>
                </c:pt>
                <c:pt idx="3">
                  <c:v>0</c:v>
                </c:pt>
                <c:pt idx="4">
                  <c:v>2</c:v>
                </c:pt>
                <c:pt idx="5">
                  <c:v>21</c:v>
                </c:pt>
              </c:numCache>
            </c:numRef>
          </c:val>
          <c:extLst>
            <c:ext xmlns:c16="http://schemas.microsoft.com/office/drawing/2014/chart" uri="{C3380CC4-5D6E-409C-BE32-E72D297353CC}">
              <c16:uniqueId val="{00000000-3C8E-4389-A7EA-35896FA52823}"/>
            </c:ext>
          </c:extLst>
        </c:ser>
        <c:dLbls>
          <c:showLegendKey val="0"/>
          <c:showVal val="0"/>
          <c:showCatName val="0"/>
          <c:showSerName val="0"/>
          <c:showPercent val="0"/>
          <c:showBubbleSize val="0"/>
          <c:showLeaderLines val="1"/>
        </c:dLbls>
        <c:firstSliceAng val="0"/>
      </c:pieChart>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44</xdr:row>
      <xdr:rowOff>45720</xdr:rowOff>
    </xdr:from>
    <xdr:to>
      <xdr:col>10</xdr:col>
      <xdr:colOff>459740</xdr:colOff>
      <xdr:row>63</xdr:row>
      <xdr:rowOff>147320</xdr:rowOff>
    </xdr:to>
    <xdr:graphicFrame macro="">
      <xdr:nvGraphicFramePr>
        <xdr:cNvPr id="6" name="Composição por País">
          <a:extLst>
            <a:ext uri="{FF2B5EF4-FFF2-40B4-BE49-F238E27FC236}">
              <a16:creationId xmlns:a16="http://schemas.microsoft.com/office/drawing/2014/main" id="{96BDD765-3FA0-7A54-1B68-5AE0A1E6E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Fernanda S de Souza" id="{6FDF66A3-1B68-4D38-9C61-4D1054082BB5}" userId="dc264e48e171749c"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FB879-5966-4A04-B9A0-725F352CC2F5}" name="tblDados" displayName="tblDados" ref="A1:Y3147" totalsRowShown="0" headerRowDxfId="586" dataDxfId="585">
  <autoFilter ref="A1:Y3147" xr:uid="{762FB879-5966-4A04-B9A0-725F352CC2F5}"/>
  <tableColumns count="25">
    <tableColumn id="1" xr3:uid="{FDBCFE9D-58CC-4517-A515-FEC5394D6E08}" name="ID_Bilhete" dataDxfId="584"/>
    <tableColumn id="2" xr3:uid="{742B8C38-3636-4B7A-BB3C-C8A49FF6A0E0}" name="Data" dataDxfId="583"/>
    <tableColumn id="3" xr3:uid="{F81F9A48-D608-4137-B062-DDFF1AE07E12}" name="Hora" dataDxfId="582"/>
    <tableColumn id="4" xr3:uid="{5105E308-57D5-4C73-9C2E-5447656526A5}" name="País" dataDxfId="581"/>
    <tableColumn id="5" xr3:uid="{2FEC6603-3475-4E64-BF7A-DB9D1D2C7EDD}" name="Liga" dataDxfId="580"/>
    <tableColumn id="6" xr3:uid="{DECA0164-FC2A-4447-BEA5-4C33CBE8D2C7}" name="Partida" dataDxfId="579"/>
    <tableColumn id="7" xr3:uid="{8F8466C5-2CCA-42CD-B5D9-F1A53D454118}" name="Mandante" dataDxfId="578"/>
    <tableColumn id="8" xr3:uid="{7F1F1D7E-2C13-4587-9E57-0FE469CAC669}" name="GM_M" dataDxfId="577"/>
    <tableColumn id="9" xr3:uid="{A5618CE8-03D7-490F-AE35-29BCE1E505AB}" name="GS_M" dataDxfId="576"/>
    <tableColumn id="10" xr3:uid="{D2268374-0C86-42EA-B0A3-5E792E254FDA}" name="Visitante" dataDxfId="575"/>
    <tableColumn id="11" xr3:uid="{05E7A070-ACA7-4EB3-A3E1-901E9875461E}" name="GM_V" dataDxfId="574"/>
    <tableColumn id="12" xr3:uid="{879D7418-5575-4EC4-9B62-A2B2F760790A}" name="GS_V" dataDxfId="573"/>
    <tableColumn id="13" xr3:uid="{BB65DB55-5078-4D75-833A-66C889962D90}" name="Mercado" dataDxfId="572"/>
    <tableColumn id="14" xr3:uid="{6222F389-2A5F-4292-838D-5BAB8F13A8C3}" name="Linha_Selecao" dataDxfId="571"/>
    <tableColumn id="15" xr3:uid="{4CFC1240-FE9B-4424-BCE9-2DB73513BF2D}" name="Odd" dataDxfId="570"/>
    <tableColumn id="16" xr3:uid="{1DD458DB-D815-4E41-99C9-9E18BF324F55}" name="Stake" dataDxfId="569"/>
    <tableColumn id="17" xr3:uid="{56A4E209-82BB-406E-AE1D-117AD130F282}" name="Resultado_Aposta" dataDxfId="568"/>
    <tableColumn id="18" xr3:uid="{B42C35C9-FD4B-443B-BA12-CAB605ADD721}" name="Lucro_Prejuizo" dataDxfId="567"/>
    <tableColumn id="19" xr3:uid="{93D3E1E2-2CC3-49BA-BDC3-1BCA487FAFA4}" name="Chave_Partida" dataDxfId="566">
      <calculatedColumnFormula>IF(tblDados[[#This Row],[Mandante]]="","",TEXT(tblDados[[#This Row],[Data]],"aaaa-mm-dd")&amp;"|"&amp;TRIM(tblDados[[#This Row],[Mandante]])&amp;"|"&amp;TRIM(tblDados[[#This Row],[Visitante]]))</calculatedColumnFormula>
    </tableColumn>
    <tableColumn id="20" xr3:uid="{9BE7169C-F561-4580-BB1E-D1A00A39CFA2}" name="Primeira_Ocorrencia" dataDxfId="565">
      <calculatedColumnFormula>IF($G2="",0,IF(COUNTIF($S$2:$S2,$S2)=1,1,0))</calculatedColumnFormula>
    </tableColumn>
    <tableColumn id="21" xr3:uid="{2BFEE945-C9A8-4BB0-9D58-653DF1C404E1}" name="Alerta / Sugestão Mandante" dataDxfId="564">
      <calculatedColumnFormula array="1">IF(tblDados[[#This Row],[Mandante]]="","",IF(COUNTIF(CadastroEquipes,TRIM(tblDados[[#This Row],[Mandante]]))&gt;0,"",_xlfn.LET(_xlpm.n,TRIM(tblDados[[#This Row],[Mandante]]),_xlpm.lista,CadastroEquipes,_xlpm.sug,IFERROR(INDEX(_xlfn._xlws.FILTER(_xlpm.lista,LEFT(UPPER(_xlpm.lista),3)=LEFT(UPPER(_xlpm.n),3)),1),""),IF(_xlpm.sug="","⚠ Nome não cadastrado","⚠ Sugestão: "&amp;_xlpm.sug))))</calculatedColumnFormula>
    </tableColumn>
    <tableColumn id="22" xr3:uid="{F2BF5E9A-397A-47FC-81A2-7C2CA2851B8E}" name="Alerta / Sugestão Visitante" dataDxfId="563">
      <calculatedColumnFormula array="1">IF(tblDados[[#This Row],[Visitante]]="","",IF(COUNTIF(CadastroEquipes,TRIM(tblDados[[#This Row],[Visitante]]))&gt;0,"",_xlfn.LET(_xlpm.n,TRIM(tblDados[[#This Row],[Visitante]]),_xlpm.lista,CadastroEquipes,_xlpm.sug,IFERROR(INDEX(_xlfn._xlws.FILTER(_xlpm.lista,LEFT(UPPER(_xlpm.lista),3)=LEFT(UPPER(_xlpm.n),3)),1),""),IF(_xlpm.sug="","⚠ Nome não cadastrado","⚠ Sugestão: "&amp;_xlpm.sug))))</calculatedColumnFormula>
    </tableColumn>
    <tableColumn id="23" xr3:uid="{3531F7C5-FE7E-40D3-A0DC-E5A86B305272}" name="Janela_12_Mandante" dataDxfId="562"/>
    <tableColumn id="24" xr3:uid="{5ECDE710-7570-46AD-8599-348719B92C1D}" name="Janela_12_Visitante" dataDxfId="561"/>
    <tableColumn id="25" xr3:uid="{152876DF-317F-492C-84C5-5DAC5888BB95}" name="Janela_12_Liga" dataDxfId="5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791FAA-5EBF-49C1-B8CA-A7957E168A1C}" name="tblCalibracao" displayName="tblCalibracao" ref="A2:Y70" totalsRowShown="0" headerRowDxfId="559" dataDxfId="557" headerRowBorderDxfId="558" tableBorderDxfId="556" totalsRowBorderDxfId="555">
  <autoFilter ref="A2:Y70" xr:uid="{95791FAA-5EBF-49C1-B8CA-A7957E168A1C}"/>
  <tableColumns count="25">
    <tableColumn id="1" xr3:uid="{210472CE-B3EB-44A6-A407-F81EF5E4AE08}" name="Data" dataDxfId="554"/>
    <tableColumn id="2" xr3:uid="{4CC81CA5-B8A3-4EBD-8E41-F14C9E8E0771}" name="Confronto" dataDxfId="553"/>
    <tableColumn id="3" xr3:uid="{29637669-38DC-45BC-8E00-883C9F0C7F0B}" name="Liga" dataDxfId="552"/>
    <tableColumn id="4" xr3:uid="{84ADEA28-590B-4D84-9A9B-4B12BDA753FA}" name="Placar" dataDxfId="551"/>
    <tableColumn id="5" xr3:uid="{E12D4242-8CA5-4977-B923-95DFA98A1DB3}" name="Odd" dataDxfId="550"/>
    <tableColumn id="6" xr3:uid="{82EE99D4-9A6D-4D1C-8771-0F4372BBCFC4}" name="P/L (R$)" dataDxfId="549">
      <calculatedColumnFormula>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calculatedColumnFormula>
    </tableColumn>
    <tableColumn id="7" xr3:uid="{13A77F43-44FC-4101-9576-A1C562F09C93}" name="Gols" dataDxfId="548">
      <calculatedColumnFormula>IF(tblCalibracao[[#This Row],[Placar]]="","",VALUE(_xlfn.TEXTBEFORE(tblCalibracao[[#This Row],[Placar]]," x "))+VALUE(_xlfn.TEXTAFTER(tblCalibracao[[#This Row],[Placar]]," x ")))</calculatedColumnFormula>
    </tableColumn>
    <tableColumn id="8" xr3:uid="{8B100B3B-F249-4FD0-9E30-C787DD19C812}" name="Usada" dataDxfId="547"/>
    <tableColumn id="9" xr3:uid="{E9FD39BC-ACA8-423A-94E1-CE71FC6ADDF4}" name="Melhor G" dataDxfId="546">
      <calculatedColumnFormula>IF(tblCalibracao[[#This Row],[Gols]]="","",IF(tblCalibracao[[#This Row],[Gols]]&lt;1,0,MIN(3,tblCalibracao[[#This Row],[Gols]]-0.5)))</calculatedColumnFormula>
    </tableColumn>
    <tableColumn id="10" xr3:uid="{3B0ACB1E-ED9A-4758-A40D-E12A42A99CCE}" name="Odd M.G." dataDxfId="545"/>
    <tableColumn id="11" xr3:uid="{75787370-166F-436E-82C2-90D8CA1F834E}" name="P/L M.G." dataDxfId="544">
      <calculatedColumnFormula>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calculatedColumnFormula>
    </tableColumn>
    <tableColumn id="12" xr3:uid="{A1439F0B-F23B-4E07-AA79-37D4617D821F}" name="Fonte odds" dataDxfId="543"/>
    <tableColumn id="13" xr3:uid="{16A10D55-59FC-4EB8-9344-FB01C4691DCE}" name="Δ linha" dataDxfId="542">
      <calculatedColumnFormula>IF(OR(tblCalibracao[[#This Row],[Usada]]="",tblCalibracao[[#This Row],[Melhor G]]=""),"",MAX(0,tblCalibracao[[#This Row],[Melhor G]]-tblCalibracao[[#This Row],[Usada]]))</calculatedColumnFormula>
    </tableColumn>
    <tableColumn id="14" xr3:uid="{EF7D1BD0-B2D3-4ABC-9C0E-8FC1D0F343CA}" name="O0,50" dataDxfId="541">
      <calculatedColumnFormula>IF(tblCalibracao[[#This Row],[Gols]]="","",_xlfn.LET(_xlpm.t,tblCalibracao[[#This Row],[Gols]],_xlpm.l,0.5,_xlpm.n,INT(_xlpm.l),_xlpm.f,ROUND(MOD(_xlpm.l,1),2),IF(_xlpm.f=0,IF(_xlpm.t&gt;_xlpm.l,"G",IF(_xlpm.t=_xlpm.l,"P","R")),IF(_xlpm.f=0.5,IF(_xlpm.t&gt;_xlpm.l,"G","R"),IF(_xlpm.f=0.25,IF(_xlpm.t&gt;=_xlpm.n+1,"G",IF(_xlpm.t=_xlpm.n,"½R","R")),IF(_xlpm.f=0.75,IF(_xlpm.t&gt;=_xlpm.n+2,"G",IF(_xlpm.t=_xlpm.n+1,"½G","R")),"—"))))))</calculatedColumnFormula>
    </tableColumn>
    <tableColumn id="15" xr3:uid="{0894A015-6546-4512-89DE-B591A310407A}" name="O0,75" dataDxfId="540">
      <calculatedColumnFormula>IF(tblCalibracao[[#This Row],[Gols]]="","",_xlfn.LET(_xlpm.t,tblCalibracao[[#This Row],[Gols]],_xlpm.l,0.75,_xlpm.n,INT(_xlpm.l),_xlpm.f,ROUND(MOD(_xlpm.l,1),2),IF(_xlpm.f=0,IF(_xlpm.t&gt;_xlpm.l,"G",IF(_xlpm.t=_xlpm.l,"P","R")),IF(_xlpm.f=0.5,IF(_xlpm.t&gt;_xlpm.l,"G","R"),IF(_xlpm.f=0.25,IF(_xlpm.t&gt;=_xlpm.n+1,"G",IF(_xlpm.t=_xlpm.n,"½R","R")),IF(_xlpm.f=0.75,IF(_xlpm.t&gt;=_xlpm.n+2,"G",IF(_xlpm.t=_xlpm.n+1,"½G","R")),"—"))))))</calculatedColumnFormula>
    </tableColumn>
    <tableColumn id="16" xr3:uid="{6BD6016D-6611-491A-9045-2B4269AE4A39}" name="O1,00" dataDxfId="539">
      <calculatedColumnFormula>IF(tblCalibracao[[#This Row],[Gols]]="","",_xlfn.LET(_xlpm.t,tblCalibracao[[#This Row],[Gols]],_xlpm.l,1,_xlpm.n,INT(_xlpm.l),_xlpm.f,ROUND(MOD(_xlpm.l,1),2),IF(_xlpm.f=0,IF(_xlpm.t&gt;_xlpm.l,"G",IF(_xlpm.t=_xlpm.l,"P","R")),IF(_xlpm.f=0.5,IF(_xlpm.t&gt;_xlpm.l,"G","R"),IF(_xlpm.f=0.25,IF(_xlpm.t&gt;=_xlpm.n+1,"G",IF(_xlpm.t=_xlpm.n,"½R","R")),IF(_xlpm.f=0.75,IF(_xlpm.t&gt;=_xlpm.n+2,"G",IF(_xlpm.t=_xlpm.n+1,"½G","R")),"—"))))))</calculatedColumnFormula>
    </tableColumn>
    <tableColumn id="17" xr3:uid="{19E0E451-FF0B-45EB-9F6E-11C884F1F249}" name="O1,25" dataDxfId="538">
      <calculatedColumnFormula>IF(tblCalibracao[[#This Row],[Gols]]="","",_xlfn.LET(_xlpm.t,tblCalibracao[[#This Row],[Gols]],_xlpm.l,1.25,_xlpm.n,INT(_xlpm.l),_xlpm.f,ROUND(MOD(_xlpm.l,1),2),IF(_xlpm.f=0,IF(_xlpm.t&gt;_xlpm.l,"G",IF(_xlpm.t=_xlpm.l,"P","R")),IF(_xlpm.f=0.5,IF(_xlpm.t&gt;_xlpm.l,"G","R"),IF(_xlpm.f=0.25,IF(_xlpm.t&gt;=_xlpm.n+1,"G",IF(_xlpm.t=_xlpm.n,"½R","R")),IF(_xlpm.f=0.75,IF(_xlpm.t&gt;=_xlpm.n+2,"G",IF(_xlpm.t=_xlpm.n+1,"½G","R")),"—"))))))</calculatedColumnFormula>
    </tableColumn>
    <tableColumn id="18" xr3:uid="{36855D25-9137-4700-88D2-13C15B537F89}" name="O1,50" dataDxfId="537">
      <calculatedColumnFormula>IF(tblCalibracao[[#This Row],[Gols]]="","",_xlfn.LET(_xlpm.t,tblCalibracao[[#This Row],[Gols]],_xlpm.l,1.5,_xlpm.n,INT(_xlpm.l),_xlpm.f,ROUND(MOD(_xlpm.l,1),2),IF(_xlpm.f=0,IF(_xlpm.t&gt;_xlpm.l,"G",IF(_xlpm.t=_xlpm.l,"P","R")),IF(_xlpm.f=0.5,IF(_xlpm.t&gt;_xlpm.l,"G","R"),IF(_xlpm.f=0.25,IF(_xlpm.t&gt;=_xlpm.n+1,"G",IF(_xlpm.t=_xlpm.n,"½R","R")),IF(_xlpm.f=0.75,IF(_xlpm.t&gt;=_xlpm.n+2,"G",IF(_xlpm.t=_xlpm.n+1,"½G","R")),"—"))))))</calculatedColumnFormula>
    </tableColumn>
    <tableColumn id="19" xr3:uid="{0AC08585-D112-47E3-A185-CF198FE6FA76}" name="O1,75" dataDxfId="536">
      <calculatedColumnFormula>IF(tblCalibracao[[#This Row],[Gols]]="","",_xlfn.LET(_xlpm.t,tblCalibracao[[#This Row],[Gols]],_xlpm.l,1.75,_xlpm.n,INT(_xlpm.l),_xlpm.f,ROUND(MOD(_xlpm.l,1),2),IF(_xlpm.f=0,IF(_xlpm.t&gt;_xlpm.l,"G",IF(_xlpm.t=_xlpm.l,"P","R")),IF(_xlpm.f=0.5,IF(_xlpm.t&gt;_xlpm.l,"G","R"),IF(_xlpm.f=0.25,IF(_xlpm.t&gt;=_xlpm.n+1,"G",IF(_xlpm.t=_xlpm.n,"½R","R")),IF(_xlpm.f=0.75,IF(_xlpm.t&gt;=_xlpm.n+2,"G",IF(_xlpm.t=_xlpm.n+1,"½G","R")),"—"))))))</calculatedColumnFormula>
    </tableColumn>
    <tableColumn id="20" xr3:uid="{A742D9B5-B459-43B4-BB22-82A9DD657486}" name="O2,00" dataDxfId="535">
      <calculatedColumnFormula>IF(tblCalibracao[[#This Row],[Gols]]="","",_xlfn.LET(_xlpm.t,tblCalibracao[[#This Row],[Gols]],_xlpm.l,2,_xlpm.n,INT(_xlpm.l),_xlpm.f,ROUND(MOD(_xlpm.l,1),2),IF(_xlpm.f=0,IF(_xlpm.t&gt;_xlpm.l,"G",IF(_xlpm.t=_xlpm.l,"P","R")),IF(_xlpm.f=0.5,IF(_xlpm.t&gt;_xlpm.l,"G","R"),IF(_xlpm.f=0.25,IF(_xlpm.t&gt;=_xlpm.n+1,"G",IF(_xlpm.t=_xlpm.n,"½R","R")),IF(_xlpm.f=0.75,IF(_xlpm.t&gt;=_xlpm.n+2,"G",IF(_xlpm.t=_xlpm.n+1,"½G","R")),"—"))))))</calculatedColumnFormula>
    </tableColumn>
    <tableColumn id="21" xr3:uid="{D5530759-A89F-415E-BDEF-EBBDD5913B3B}" name="O2,25" dataDxfId="534">
      <calculatedColumnFormula>IF(tblCalibracao[[#This Row],[Gols]]="","",_xlfn.LET(_xlpm.t,tblCalibracao[[#This Row],[Gols]],_xlpm.l,2.25,_xlpm.n,INT(_xlpm.l),_xlpm.f,ROUND(MOD(_xlpm.l,1),2),IF(_xlpm.f=0,IF(_xlpm.t&gt;_xlpm.l,"G",IF(_xlpm.t=_xlpm.l,"P","R")),IF(_xlpm.f=0.5,IF(_xlpm.t&gt;_xlpm.l,"G","R"),IF(_xlpm.f=0.25,IF(_xlpm.t&gt;=_xlpm.n+1,"G",IF(_xlpm.t=_xlpm.n,"½R","R")),IF(_xlpm.f=0.75,IF(_xlpm.t&gt;=_xlpm.n+2,"G",IF(_xlpm.t=_xlpm.n+1,"½G","R")),"—"))))))</calculatedColumnFormula>
    </tableColumn>
    <tableColumn id="22" xr3:uid="{8775132F-33B1-41F2-A29E-63ACFE5CBF3A}" name="O2,50" dataDxfId="533">
      <calculatedColumnFormula>IF(tblCalibracao[[#This Row],[Gols]]="","",_xlfn.LET(_xlpm.t,tblCalibracao[[#This Row],[Gols]],_xlpm.l,2.5,_xlpm.n,INT(_xlpm.l),_xlpm.f,ROUND(MOD(_xlpm.l,1),2),IF(_xlpm.f=0,IF(_xlpm.t&gt;_xlpm.l,"G",IF(_xlpm.t=_xlpm.l,"P","R")),IF(_xlpm.f=0.5,IF(_xlpm.t&gt;_xlpm.l,"G","R"),IF(_xlpm.f=0.25,IF(_xlpm.t&gt;=_xlpm.n+1,"G",IF(_xlpm.t=_xlpm.n,"½R","R")),IF(_xlpm.f=0.75,IF(_xlpm.t&gt;=_xlpm.n+2,"G",IF(_xlpm.t=_xlpm.n+1,"½G","R")),"—"))))))</calculatedColumnFormula>
    </tableColumn>
    <tableColumn id="23" xr3:uid="{A9AAF4AC-0D51-4736-85FC-0C8518F2BCFE}" name="O2,75" dataDxfId="532">
      <calculatedColumnFormula>IF(tblCalibracao[[#This Row],[Gols]]="","",_xlfn.LET(_xlpm.t,tblCalibracao[[#This Row],[Gols]],_xlpm.l,2.75,_xlpm.n,INT(_xlpm.l),_xlpm.f,ROUND(MOD(_xlpm.l,1),2),IF(_xlpm.f=0,IF(_xlpm.t&gt;_xlpm.l,"G",IF(_xlpm.t=_xlpm.l,"P","R")),IF(_xlpm.f=0.5,IF(_xlpm.t&gt;_xlpm.l,"G","R"),IF(_xlpm.f=0.25,IF(_xlpm.t&gt;=_xlpm.n+1,"G",IF(_xlpm.t=_xlpm.n,"½R","R")),IF(_xlpm.f=0.75,IF(_xlpm.t&gt;=_xlpm.n+2,"G",IF(_xlpm.t=_xlpm.n+1,"½G","R")),"—"))))))</calculatedColumnFormula>
    </tableColumn>
    <tableColumn id="24" xr3:uid="{DA1564D5-F866-403D-BB70-BC39BEA44988}" name="O3,00" dataDxfId="531">
      <calculatedColumnFormula>IF(tblCalibracao[[#This Row],[Gols]]="","",_xlfn.LET(_xlpm.t,tblCalibracao[[#This Row],[Gols]],_xlpm.l,3,_xlpm.n,INT(_xlpm.l),_xlpm.f,ROUND(MOD(_xlpm.l,1),2),IF(_xlpm.f=0,IF(_xlpm.t&gt;_xlpm.l,"G",IF(_xlpm.t=_xlpm.l,"P","R")),IF(_xlpm.f=0.5,IF(_xlpm.t&gt;_xlpm.l,"G","R"),IF(_xlpm.f=0.25,IF(_xlpm.t&gt;=_xlpm.n+1,"G",IF(_xlpm.t=_xlpm.n,"½R","R")),IF(_xlpm.f=0.75,IF(_xlpm.t&gt;=_xlpm.n+2,"G",IF(_xlpm.t=_xlpm.n+1,"½G","R")),"—"))))))</calculatedColumnFormula>
    </tableColumn>
    <tableColumn id="25" xr3:uid="{9D3303B6-1C66-481F-87DB-0FE571E8B4AB}" name="Análise da Entrada" dataDxfId="5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51B352-0D7F-4E23-A61E-178D481945DE}" name="tblRadarOver3" displayName="tblRadarOver3" ref="A15:L30" totalsRowShown="0" headerRowDxfId="529" dataDxfId="528">
  <autoFilter ref="A15:L30" xr:uid="{9B51B352-0D7F-4E23-A61E-178D481945DE}"/>
  <tableColumns count="12">
    <tableColumn id="1" xr3:uid="{99832715-5606-47D0-958B-55B3D05DFF17}" name="Equipe" dataDxfId="527"/>
    <tableColumn id="2" xr3:uid="{42371E37-263D-4BBD-8174-0581078D7C7E}" name="Liga" dataDxfId="526"/>
    <tableColumn id="3" xr3:uid="{FC425073-0C82-4882-A893-0B27563A3715}" name="Jogos" dataDxfId="525"/>
    <tableColumn id="4" xr3:uid="{BA0C881C-E736-4CDE-BCE1-627885EE6DBE}" name="Média própria" dataDxfId="524"/>
    <tableColumn id="5" xr3:uid="{13D22569-EC5B-4208-9567-B083B0F5084D}" name="Média partida" dataDxfId="523"/>
    <tableColumn id="6" xr3:uid="{9A71A5BD-4B99-4A8A-BADE-5D099FE09F68}" name="4+ jogo" dataDxfId="522"/>
    <tableColumn id="7" xr3:uid="{ADE9C480-909F-4B51-9016-C025D94CCF14}" name="3+ próprios" dataDxfId="521"/>
    <tableColumn id="8" xr3:uid="{1298CC87-CD12-4B54-B39F-1619477442D2}" name="3+ casa" dataDxfId="520"/>
    <tableColumn id="9" xr3:uid="{25731175-CC28-41C8-8E2E-F8FAB628584B}" name="3+ fora" dataDxfId="519"/>
    <tableColumn id="10" xr3:uid="{69B20198-82D4-406D-BA9C-8A761DABB551}" name="Sem marcar" dataDxfId="518"/>
    <tableColumn id="11" xr3:uid="{4C6BFC03-C6BC-4E7B-BF96-79C6EAA6A077}" name="Nível" dataDxfId="517"/>
    <tableColumn id="12" xr3:uid="{CAAEFC4E-8A67-4EDC-9E94-5203BDF5955C}" name="Justificativa" dataDxfId="5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2F0AE1-4F90-4484-9C39-FF34234B2F96}" name="tblRadarOver2" displayName="tblRadarOver2" ref="A33:L48" totalsRowShown="0" headerRowDxfId="515" dataDxfId="514">
  <autoFilter ref="A33:L48" xr:uid="{E92F0AE1-4F90-4484-9C39-FF34234B2F96}"/>
  <tableColumns count="12">
    <tableColumn id="1" xr3:uid="{E5E60827-B5DE-42E9-A3DD-4E11C339CE56}" name="Equipe" dataDxfId="513"/>
    <tableColumn id="2" xr3:uid="{80B5FEED-3C5C-4F28-8BC2-EEE654EB6C94}" name="Liga" dataDxfId="512"/>
    <tableColumn id="3" xr3:uid="{186A51CC-B557-4818-85D1-8310E3344841}" name="Jogos" dataDxfId="511"/>
    <tableColumn id="4" xr3:uid="{4C552F18-88F3-469F-BE74-898DFBD08524}" name="Média própria" dataDxfId="510"/>
    <tableColumn id="5" xr3:uid="{5A952A1A-F57B-433E-8F31-2CE819074C01}" name="Média partida" dataDxfId="509"/>
    <tableColumn id="6" xr3:uid="{CAD9551B-F896-48B6-B893-2B83876DD446}" name="3+ jogo" dataDxfId="508"/>
    <tableColumn id="7" xr3:uid="{BC30583D-B2A5-4770-A90F-03B6DF86D49D}" name="2+ próprios" dataDxfId="507"/>
    <tableColumn id="8" xr3:uid="{96739D9C-4D8D-4009-B650-F0D6E69ACC98}" name="2+ casa" dataDxfId="506"/>
    <tableColumn id="9" xr3:uid="{1C50D098-0F3D-45B7-B710-C88D1988A209}" name="2+ fora" dataDxfId="505"/>
    <tableColumn id="10" xr3:uid="{D03995BB-8C21-4B46-B4FE-8D260D434F58}" name="Sem marcar" dataDxfId="504"/>
    <tableColumn id="11" xr3:uid="{EDBB5AE5-A6CB-4267-AC21-28C4955A28E3}" name="Nível" dataDxfId="503"/>
    <tableColumn id="12" xr3:uid="{A2A31F6D-0913-4736-BCAC-662AB69F66D5}" name="Justificativa" dataDxfId="50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51CCFC-2A3B-41A6-8C71-ED01F961F6E6}" name="tblRadarOver1" displayName="tblRadarOver1" ref="A51:L66" totalsRowShown="0" headerRowDxfId="501" dataDxfId="500">
  <autoFilter ref="A51:L66" xr:uid="{8751CCFC-2A3B-41A6-8C71-ED01F961F6E6}"/>
  <tableColumns count="12">
    <tableColumn id="1" xr3:uid="{341EBCE9-F516-4274-91D3-B7F91EF27000}" name="Equipe" dataDxfId="499"/>
    <tableColumn id="2" xr3:uid="{8DDE3ABF-E022-49CC-87D2-3D9D44436719}" name="Liga" dataDxfId="498"/>
    <tableColumn id="3" xr3:uid="{0B131F12-328F-42D8-B371-6A6E2EAF3C3D}" name="Jogos" dataDxfId="497"/>
    <tableColumn id="4" xr3:uid="{CE838A50-40BD-4BA1-AF99-580CD281EF65}" name="Média própria" dataDxfId="496"/>
    <tableColumn id="5" xr3:uid="{90CC5C19-807C-4C1F-AE5B-CF7BF1CAD8F3}" name="Média partida" dataDxfId="495"/>
    <tableColumn id="6" xr3:uid="{CC24CD7D-BD2C-46A5-8F42-090C80094B94}" name="2+ jogo" dataDxfId="494"/>
    <tableColumn id="7" xr3:uid="{E4FE562B-5311-4F62-B395-12404BC9336B}" name="1+ próprio" dataDxfId="493"/>
    <tableColumn id="8" xr3:uid="{83A29004-98FD-40C1-9672-F2D71912A55C}" name="1+ casa" dataDxfId="492"/>
    <tableColumn id="9" xr3:uid="{89E9A757-AC98-4D5E-B071-F6D7D73F10DD}" name="1+ fora" dataDxfId="491"/>
    <tableColumn id="10" xr3:uid="{FAE9BFB8-39C0-4A14-B47D-7E77B08AF390}" name="Sem marcar" dataDxfId="490"/>
    <tableColumn id="11" xr3:uid="{2F4B2D43-E0FA-4245-89E1-84A8C8A7EF9F}" name="Nível" dataDxfId="489"/>
    <tableColumn id="12" xr3:uid="{D041F1FC-3701-44CB-B635-052F2F515D66}" name="Justificativa" dataDxfId="48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2D8EEB-9BA4-40B0-8196-FE72775DD5C8}" name="tblSelecaoPorLiga" displayName="tblSelecaoPorLiga" ref="A9:J17" totalsRowShown="0" headerRowDxfId="487" dataDxfId="486">
  <autoFilter ref="A9:J17" xr:uid="{432D8EEB-9BA4-40B0-8196-FE72775DD5C8}"/>
  <tableColumns count="10">
    <tableColumn id="1" xr3:uid="{88EF5C0A-6834-46E4-9F69-7560E9023784}" name="Prior." dataDxfId="485"/>
    <tableColumn id="2" xr3:uid="{86B71A9D-E2B9-4D82-AE1F-8DD1076EF467}" name="Liga" dataDxfId="484"/>
    <tableColumn id="3" xr3:uid="{1E751FBB-D11E-4D1C-8567-02EEF56ABEB9}" name="Partida" dataDxfId="483"/>
    <tableColumn id="4" xr3:uid="{CB31DD59-3C8D-4C27-8AA5-2BDBA0943A64}" name="Direção" dataDxfId="482"/>
    <tableColumn id="5" xr3:uid="{88E6A5C1-9D59-4584-BBEE-510E23EB1D59}" name="Linha inicial" dataDxfId="481"/>
    <tableColumn id="6" xr3:uid="{5849215A-91FA-4FAB-A6AB-DA41A43368AB}" name="Green pess." dataDxfId="480"/>
    <tableColumn id="7" xr3:uid="{E3A17A44-8012-453F-8AF5-9EDE9AD94CD3}" name="Proteção" dataDxfId="479"/>
    <tableColumn id="8" xr3:uid="{AC651B66-073B-4420-AE9D-1F8F8CB3DCBB}" name="λ" dataDxfId="478"/>
    <tableColumn id="9" xr3:uid="{5974CD4C-ECD8-4693-B461-E33BE4FFBEE5}" name="Risco 0×0" dataDxfId="477"/>
    <tableColumn id="10" xr3:uid="{E9EDB711-C077-4AC8-A1CF-419B085C684A}" name="Próxima ação" dataDxfId="47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7609B1-0363-4406-B0E5-A186D1DF4780}" name="tblReservasFortes" displayName="tblReservasFortes" ref="A20:J28" totalsRowShown="0" headerRowDxfId="475" dataDxfId="474">
  <autoFilter ref="A20:J28" xr:uid="{837609B1-0363-4406-B0E5-A186D1DF4780}"/>
  <tableColumns count="10">
    <tableColumn id="1" xr3:uid="{E59F991D-0713-472A-8849-F8DC7182390E}" name="Prior." dataDxfId="473"/>
    <tableColumn id="2" xr3:uid="{A5F11558-25CB-4B1B-BADB-551DFF032203}" name="Liga" dataDxfId="472"/>
    <tableColumn id="3" xr3:uid="{58D1433C-D5D8-427C-A523-AA5E98C8CE9C}" name="Partida" dataDxfId="471"/>
    <tableColumn id="4" xr3:uid="{02878ACA-5390-4686-B871-6B4113299E44}" name="Direção" dataDxfId="470"/>
    <tableColumn id="5" xr3:uid="{7B863656-932B-4D3E-AE67-E80AB42CF665}" name="Linha inicial" dataDxfId="469"/>
    <tableColumn id="6" xr3:uid="{6D1310F5-E9D5-4E8B-8E92-5B5484F7686B}" name="Green pess." dataDxfId="468"/>
    <tableColumn id="7" xr3:uid="{580282B5-80E0-457F-80FB-FD4BF7F9B41A}" name="Proteção" dataDxfId="467"/>
    <tableColumn id="8" xr3:uid="{BC73EBE7-0A26-411A-846C-3118418457FA}" name="λ" dataDxfId="466"/>
    <tableColumn id="9" xr3:uid="{F3A39A6F-AEC2-4ED2-9A41-65D4B57E52B4}" name="Risco 0×0" dataDxfId="465"/>
    <tableColumn id="10" xr3:uid="{50547632-5C2D-4D57-B251-13803183B5CC}" name="Próxima ação" dataDxfId="464"/>
  </tableColumns>
  <tableStyleInfo name="TableStyleMedium4" showFirstColumn="0" showLastColumn="0" showRowStripes="1" showColumnStripes="0"/>
</table>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3" dT="2026-08-08T01:21:55.40" personId="{6FDF66A3-1B68-4D38-9C61-4D1054082BB5}" id="{CE1D117C-17D6-4FD1-BCAF-5E6B5FA3E32E}">
    <text>REGISTRO PRÉ-JOGO: Linha técnica indicada pelo modelo = Over 2,50.</text>
  </threadedComment>
  <threadedComment ref="G15" dT="2026-08-08T01:21:55.54" personId="{6FDF66A3-1B68-4D38-9C61-4D1054082BB5}" id="{98EDE113-15E2-4DD9-BB78-CE6DC57AA468}">
    <text>REGISTRO PRÉ-JOGO: Orientação final do modelo = ANALISAR OVER 2,50. Linha conservadora escolhida para o bilhete = Over 2,00 @ 1,13; stake R$ 0,50.</text>
  </threadedComment>
</ThreadedComments>
</file>

<file path=xl/threadedComments/threadedComment2.xml><?xml version="1.0" encoding="utf-8"?>
<ThreadedComments xmlns="http://schemas.microsoft.com/office/spreadsheetml/2018/threadedcomments" xmlns:x="http://schemas.openxmlformats.org/spreadsheetml/2006/main">
  <threadedComment ref="G13" dT="2026-08-08T01:21:55.40" personId="{6FDF66A3-1B68-4D38-9C61-4D1054082BB5}" id="{D5E74179-ADFF-402D-8AF9-E4226E93C3EF}">
    <text>REGISTRO PRÉ-JOGO: Linha técnica indicada pelo modelo = Over 2,50.</text>
  </threadedComment>
  <threadedComment ref="G15" dT="2026-08-08T01:21:55.54" personId="{6FDF66A3-1B68-4D38-9C61-4D1054082BB5}" id="{3A04FF65-4CD5-49CA-9335-BBF695DED532}">
    <text>REGISTRO PRÉ-JOGO: Orientação final do modelo = ANALISAR OVER 2,50. Linha conservadora escolhida para o bilhete = Over 2,00 @ 1,13; stake R$ 0,50.</text>
  </threadedComment>
</ThreadedComments>
</file>

<file path=xl/threadedComments/threadedComment3.xml><?xml version="1.0" encoding="utf-8"?>
<ThreadedComments xmlns="http://schemas.microsoft.com/office/spreadsheetml/2018/threadedcomments" xmlns:x="http://schemas.openxmlformats.org/spreadsheetml/2006/main">
  <threadedComment ref="B34" dT="2026-08-08T02:34:07.14" personId="{6FDF66A3-1B68-4D38-9C61-4D1054082BB5}" id="{E930E52A-1A24-4516-9B5C-64B71149D3AF}">
    <text>ANÁLISE REVISADA: A melhor linha operacional foi Over 2,00, não a maior linha vencedora. Com 3 gols, Over 2,00 seria Green e, com exatamente 2, devolveria a stake. A entrada Over 1,50 foi conservadora e vencedora, mas deixou 0,50 linha de eficiência potencial.</text>
  </threadedComment>
</ThreadedComment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B6B1-0A5E-47BD-B90E-F5D684645F5E}">
  <dimension ref="A1:J72"/>
  <sheetViews>
    <sheetView workbookViewId="0">
      <selection activeCell="C3013" sqref="C3013"/>
    </sheetView>
  </sheetViews>
  <sheetFormatPr defaultRowHeight="14.4" x14ac:dyDescent="0.3"/>
  <cols>
    <col min="1" max="1" width="13.88671875" customWidth="1"/>
    <col min="2" max="2" width="13" customWidth="1"/>
    <col min="3" max="3" width="23.109375" customWidth="1"/>
    <col min="4" max="4" width="25" customWidth="1"/>
    <col min="5" max="5" width="16.6640625" customWidth="1"/>
    <col min="6" max="6" width="15.77734375" customWidth="1"/>
    <col min="7" max="7" width="12" customWidth="1"/>
    <col min="8" max="8" width="13.88671875" customWidth="1"/>
    <col min="9" max="9" width="27.77734375" customWidth="1"/>
    <col min="10" max="10" width="15.77734375" customWidth="1"/>
  </cols>
  <sheetData>
    <row r="1" spans="1:10" ht="31.95" customHeight="1" x14ac:dyDescent="0.45">
      <c r="A1" s="302" t="s">
        <v>8173</v>
      </c>
      <c r="B1" s="302"/>
      <c r="C1" s="302"/>
      <c r="D1" s="302"/>
      <c r="E1" s="302"/>
      <c r="F1" s="302"/>
      <c r="G1" s="302"/>
      <c r="H1" s="302"/>
      <c r="I1" s="302"/>
      <c r="J1" s="302"/>
    </row>
    <row r="2" spans="1:10" x14ac:dyDescent="0.3">
      <c r="A2" s="303" t="s">
        <v>8340</v>
      </c>
      <c r="B2" s="303"/>
      <c r="C2" s="303"/>
      <c r="D2" s="303"/>
      <c r="E2" s="303"/>
      <c r="F2" s="303"/>
      <c r="G2" s="303"/>
      <c r="H2" s="303"/>
      <c r="I2" s="303"/>
      <c r="J2" s="303"/>
    </row>
    <row r="4" spans="1:10" x14ac:dyDescent="0.3">
      <c r="A4" s="304" t="s">
        <v>8174</v>
      </c>
      <c r="B4" s="304"/>
      <c r="C4" s="304"/>
      <c r="D4" s="304"/>
      <c r="E4" s="304"/>
      <c r="F4" s="304"/>
      <c r="G4" s="304"/>
      <c r="H4" s="304"/>
      <c r="I4" s="304"/>
      <c r="J4" s="304"/>
    </row>
    <row r="5" spans="1:10" x14ac:dyDescent="0.3">
      <c r="A5" s="305" t="s">
        <v>8341</v>
      </c>
      <c r="B5" s="305"/>
      <c r="C5" s="305"/>
      <c r="D5" s="305"/>
      <c r="E5" s="305"/>
      <c r="F5" s="305"/>
      <c r="G5" s="305"/>
      <c r="H5" s="305"/>
      <c r="I5" s="305"/>
      <c r="J5" s="305"/>
    </row>
    <row r="6" spans="1:10" x14ac:dyDescent="0.3">
      <c r="A6" s="305"/>
      <c r="B6" s="305"/>
      <c r="C6" s="305"/>
      <c r="D6" s="305"/>
      <c r="E6" s="305"/>
      <c r="F6" s="305"/>
      <c r="G6" s="305"/>
      <c r="H6" s="305"/>
      <c r="I6" s="305"/>
      <c r="J6" s="305"/>
    </row>
    <row r="8" spans="1:10" x14ac:dyDescent="0.3">
      <c r="A8" s="304" t="s">
        <v>8175</v>
      </c>
      <c r="B8" s="304"/>
      <c r="C8" s="304"/>
      <c r="D8" s="304"/>
      <c r="E8" s="304"/>
      <c r="F8" s="304"/>
      <c r="G8" s="304"/>
      <c r="H8" s="304"/>
      <c r="I8" s="304"/>
      <c r="J8" s="304"/>
    </row>
    <row r="9" spans="1:10" ht="14.4" customHeight="1" x14ac:dyDescent="0.3">
      <c r="A9" s="300" t="str">
        <f>COUNTIF(H15:H111,"OK — 12+")&amp;" ligas completas"</f>
        <v>31 ligas completas</v>
      </c>
      <c r="B9" s="300"/>
      <c r="C9" s="300"/>
      <c r="E9" s="300" t="str">
        <f>COUNTIF(H15:H111,"REVISAR")&amp;" ligas para revisar"</f>
        <v>8 ligas para revisar</v>
      </c>
      <c r="F9" s="300"/>
      <c r="G9" s="300"/>
      <c r="I9" s="300" t="s">
        <v>8186</v>
      </c>
      <c r="J9" s="300"/>
    </row>
    <row r="10" spans="1:10" ht="14.4" customHeight="1" x14ac:dyDescent="0.3">
      <c r="A10" s="300"/>
      <c r="B10" s="300"/>
      <c r="C10" s="300"/>
      <c r="E10" s="300"/>
      <c r="F10" s="300"/>
      <c r="G10" s="300"/>
      <c r="I10" s="301">
        <f>MAX(G15:G111)</f>
        <v>46247</v>
      </c>
      <c r="J10" s="301"/>
    </row>
    <row r="11" spans="1:10" ht="14.4" customHeight="1" x14ac:dyDescent="0.3">
      <c r="A11" s="300"/>
      <c r="B11" s="300"/>
      <c r="C11" s="300"/>
      <c r="E11" s="300"/>
      <c r="F11" s="300"/>
      <c r="G11" s="300"/>
      <c r="I11" s="301"/>
      <c r="J11" s="301"/>
    </row>
    <row r="13" spans="1:10" x14ac:dyDescent="0.3">
      <c r="A13" s="304" t="s">
        <v>8176</v>
      </c>
      <c r="B13" s="304"/>
      <c r="C13" s="304"/>
      <c r="D13" s="304"/>
      <c r="E13" s="304"/>
      <c r="F13" s="304"/>
      <c r="G13" s="304"/>
      <c r="H13" s="304"/>
      <c r="I13" s="304"/>
      <c r="J13" s="304"/>
    </row>
    <row r="14" spans="1:10" x14ac:dyDescent="0.3">
      <c r="A14" s="179" t="s">
        <v>43</v>
      </c>
      <c r="B14" s="179" t="s">
        <v>0</v>
      </c>
      <c r="C14" s="179" t="s">
        <v>8177</v>
      </c>
      <c r="D14" s="179" t="s">
        <v>8178</v>
      </c>
      <c r="E14" s="179" t="s">
        <v>1538</v>
      </c>
      <c r="F14" s="179" t="s">
        <v>8179</v>
      </c>
      <c r="G14" s="179" t="s">
        <v>8180</v>
      </c>
      <c r="H14" s="179" t="s">
        <v>1343</v>
      </c>
      <c r="I14" s="179" t="s">
        <v>8181</v>
      </c>
      <c r="J14" s="179" t="s">
        <v>3247</v>
      </c>
    </row>
    <row r="15" spans="1:10" ht="28.8" x14ac:dyDescent="0.3">
      <c r="A15" s="201" t="s">
        <v>4</v>
      </c>
      <c r="B15" s="201" t="s">
        <v>5</v>
      </c>
      <c r="C15" s="201" t="s">
        <v>1328</v>
      </c>
      <c r="D15" s="202">
        <f>COUNTIFS(tblDados[País],A15,tblDados[Liga],B15,tblDados[Janela_12_Liga],1)</f>
        <v>4</v>
      </c>
      <c r="E15" s="202" cm="1">
        <f t="array" ref="E15">IFERROR(ROWS(_xlfn.UNIQUE(_xlfn.VSTACK(_xlfn._xlws.FILTER(tblDados[Mandante],(tblDados[País]=A15)*(tblDados[Liga]=B15)*(tblDados[Janela_12_Liga]=1)),_xlfn._xlws.FILTER(tblDados[Visitante],(tblDados[País]=A15)*(tblDados[Liga]=B15)*(tblDados[Janela_12_Liga]=1))))),0)</f>
        <v>8</v>
      </c>
      <c r="F15" s="202" cm="1">
        <f t="array" ref="F15">_xlfn.LET(_xlpm.p,A15,_xlpm.l,B15,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v>
      </c>
      <c r="G15" s="203">
        <f>IFERROR(_xlfn.MAXIFS(tblDados[Data],tblDados[País],A15,tblDados[Liga],B15,tblDados[Janela_12_Liga],1),"")</f>
        <v>46230</v>
      </c>
      <c r="H15" s="201" t="str">
        <f t="shared" ref="H15:H52" si="0">IF(F15&gt;=12,"OK — 12+","REVISAR")</f>
        <v>REVISAR</v>
      </c>
      <c r="I15" s="210" t="s">
        <v>8182</v>
      </c>
      <c r="J15" s="210" t="str">
        <f t="shared" ref="J15:J52" si="1">IF(H15="OK — 12+","Manutenção semanal","Completar janela")</f>
        <v>Completar janela</v>
      </c>
    </row>
    <row r="16" spans="1:10" ht="28.8" x14ac:dyDescent="0.3">
      <c r="A16" s="204" t="s">
        <v>4</v>
      </c>
      <c r="B16" s="204" t="s">
        <v>6</v>
      </c>
      <c r="C16" s="204" t="s">
        <v>1328</v>
      </c>
      <c r="D16" s="205">
        <f>COUNTIFS(tblDados[País],A16,tblDados[Liga],B16,tblDados[Janela_12_Liga],1)</f>
        <v>2</v>
      </c>
      <c r="E16" s="205" cm="1">
        <f t="array" ref="E16">IFERROR(ROWS(_xlfn.UNIQUE(_xlfn.VSTACK(_xlfn._xlws.FILTER(tblDados[Mandante],(tblDados[País]=A16)*(tblDados[Liga]=B16)*(tblDados[Janela_12_Liga]=1)),_xlfn._xlws.FILTER(tblDados[Visitante],(tblDados[País]=A16)*(tblDados[Liga]=B16)*(tblDados[Janela_12_Liga]=1))))),0)</f>
        <v>4</v>
      </c>
      <c r="F16" s="205" cm="1">
        <f t="array" ref="F16">_xlfn.LET(_xlpm.p,A16,_xlpm.l,B16,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v>
      </c>
      <c r="G16" s="206">
        <f>IFERROR(_xlfn.MAXIFS(tblDados[Data],tblDados[País],A16,tblDados[Liga],B16,tblDados[Janela_12_Liga],1),"")</f>
        <v>46230</v>
      </c>
      <c r="H16" s="204" t="str">
        <f t="shared" si="0"/>
        <v>REVISAR</v>
      </c>
      <c r="I16" s="211" t="s">
        <v>8182</v>
      </c>
      <c r="J16" s="211" t="str">
        <f t="shared" si="1"/>
        <v>Completar janela</v>
      </c>
    </row>
    <row r="17" spans="1:10" ht="28.8" x14ac:dyDescent="0.3">
      <c r="A17" s="204" t="s">
        <v>10</v>
      </c>
      <c r="B17" s="204" t="s">
        <v>11</v>
      </c>
      <c r="C17" s="204" t="s">
        <v>1321</v>
      </c>
      <c r="D17" s="205">
        <f>COUNTIFS(tblDados[País],A17,tblDados[Liga],B17,tblDados[Janela_12_Liga],1)</f>
        <v>97</v>
      </c>
      <c r="E17" s="205" cm="1">
        <f t="array" ref="E17">IFERROR(ROWS(_xlfn.UNIQUE(_xlfn.VSTACK(_xlfn._xlws.FILTER(tblDados[Mandante],(tblDados[País]=A17)*(tblDados[Liga]=B17)*(tblDados[Janela_12_Liga]=1)),_xlfn._xlws.FILTER(tblDados[Visitante],(tblDados[País]=A17)*(tblDados[Liga]=B17)*(tblDados[Janela_12_Liga]=1))))),0)</f>
        <v>16</v>
      </c>
      <c r="F17" s="205" cm="1">
        <f t="array" ref="F17">_xlfn.LET(_xlpm.p,A17,_xlpm.l,B17,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17" s="206">
        <f>IFERROR(_xlfn.MAXIFS(tblDados[Data],tblDados[País],A17,tblDados[Liga],B17,tblDados[Janela_12_Liga],1),"")</f>
        <v>46243</v>
      </c>
      <c r="H17" s="204" t="str">
        <f t="shared" si="0"/>
        <v>OK — 12+</v>
      </c>
      <c r="I17" s="211" t="s">
        <v>8182</v>
      </c>
      <c r="J17" s="211" t="str">
        <f t="shared" si="1"/>
        <v>Manutenção semanal</v>
      </c>
    </row>
    <row r="18" spans="1:10" ht="28.8" x14ac:dyDescent="0.3">
      <c r="A18" s="204" t="s">
        <v>12</v>
      </c>
      <c r="B18" s="204" t="s">
        <v>13</v>
      </c>
      <c r="C18" s="204" t="s">
        <v>1331</v>
      </c>
      <c r="D18" s="205">
        <f>COUNTIFS(tblDados[País],A18,tblDados[Liga],B18,tblDados[Janela_12_Liga],1)</f>
        <v>124</v>
      </c>
      <c r="E18" s="205" cm="1">
        <f t="array" ref="E18">IFERROR(ROWS(_xlfn.UNIQUE(_xlfn.VSTACK(_xlfn._xlws.FILTER(tblDados[Mandante],(tblDados[País]=A18)*(tblDados[Liga]=B18)*(tblDados[Janela_12_Liga]=1)),_xlfn._xlws.FILTER(tblDados[Visitante],(tblDados[País]=A18)*(tblDados[Liga]=B18)*(tblDados[Janela_12_Liga]=1))))),0)</f>
        <v>20</v>
      </c>
      <c r="F18" s="205" cm="1">
        <f t="array" ref="F18">_xlfn.LET(_xlpm.p,A18,_xlpm.l,B18,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18" s="206">
        <f>IFERROR(_xlfn.MAXIFS(tblDados[Data],tblDados[País],A18,tblDados[Liga],B18,tblDados[Janela_12_Liga],1),"")</f>
        <v>46233</v>
      </c>
      <c r="H18" s="204" t="str">
        <f t="shared" si="0"/>
        <v>OK — 12+</v>
      </c>
      <c r="I18" s="211" t="s">
        <v>8182</v>
      </c>
      <c r="J18" s="211" t="str">
        <f t="shared" si="1"/>
        <v>Manutenção semanal</v>
      </c>
    </row>
    <row r="19" spans="1:10" ht="28.8" x14ac:dyDescent="0.3">
      <c r="A19" s="204" t="s">
        <v>12</v>
      </c>
      <c r="B19" s="204" t="s">
        <v>14</v>
      </c>
      <c r="C19" s="204" t="s">
        <v>1328</v>
      </c>
      <c r="D19" s="205">
        <f>COUNTIFS(tblDados[País],A19,tblDados[Liga],B19,tblDados[Janela_12_Liga],1)</f>
        <v>120</v>
      </c>
      <c r="E19" s="205" cm="1">
        <f t="array" ref="E19">IFERROR(ROWS(_xlfn.UNIQUE(_xlfn.VSTACK(_xlfn._xlws.FILTER(tblDados[Mandante],(tblDados[País]=A19)*(tblDados[Liga]=B19)*(tblDados[Janela_12_Liga]=1)),_xlfn._xlws.FILTER(tblDados[Visitante],(tblDados[País]=A19)*(tblDados[Liga]=B19)*(tblDados[Janela_12_Liga]=1))))),0)</f>
        <v>20</v>
      </c>
      <c r="F19" s="205" cm="1">
        <f t="array" ref="F19">_xlfn.LET(_xlpm.p,A19,_xlpm.l,B19,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19" s="206">
        <f>IFERROR(_xlfn.MAXIFS(tblDados[Data],tblDados[País],A19,tblDados[Liga],B19,tblDados[Janela_12_Liga],1),"")</f>
        <v>46245</v>
      </c>
      <c r="H19" s="204" t="str">
        <f t="shared" si="0"/>
        <v>OK — 12+</v>
      </c>
      <c r="I19" s="211" t="s">
        <v>8182</v>
      </c>
      <c r="J19" s="211" t="str">
        <f t="shared" si="1"/>
        <v>Manutenção semanal</v>
      </c>
    </row>
    <row r="20" spans="1:10" ht="28.8" x14ac:dyDescent="0.3">
      <c r="A20" s="204" t="s">
        <v>12</v>
      </c>
      <c r="B20" s="204" t="s">
        <v>4555</v>
      </c>
      <c r="C20" s="204" t="s">
        <v>1328</v>
      </c>
      <c r="D20" s="205">
        <f>COUNTIFS(tblDados[País],A20,tblDados[Liga],B20,tblDados[Janela_12_Liga],1)</f>
        <v>121</v>
      </c>
      <c r="E20" s="205" cm="1">
        <f t="array" ref="E20">IFERROR(ROWS(_xlfn.UNIQUE(_xlfn.VSTACK(_xlfn._xlws.FILTER(tblDados[Mandante],(tblDados[País]=A20)*(tblDados[Liga]=B20)*(tblDados[Janela_12_Liga]=1)),_xlfn._xlws.FILTER(tblDados[Visitante],(tblDados[País]=A20)*(tblDados[Liga]=B20)*(tblDados[Janela_12_Liga]=1))))),0)</f>
        <v>20</v>
      </c>
      <c r="F20" s="205" cm="1">
        <f t="array" ref="F20">_xlfn.LET(_xlpm.p,A20,_xlpm.l,B20,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0" s="206">
        <f>IFERROR(_xlfn.MAXIFS(tblDados[Data],tblDados[País],A20,tblDados[Liga],B20,tblDados[Janela_12_Liga],1),"")</f>
        <v>46244</v>
      </c>
      <c r="H20" s="204" t="str">
        <f t="shared" si="0"/>
        <v>OK — 12+</v>
      </c>
      <c r="I20" s="211" t="s">
        <v>8182</v>
      </c>
      <c r="J20" s="211" t="str">
        <f t="shared" si="1"/>
        <v>Manutenção semanal</v>
      </c>
    </row>
    <row r="21" spans="1:10" ht="28.8" x14ac:dyDescent="0.3">
      <c r="A21" s="204" t="s">
        <v>15</v>
      </c>
      <c r="B21" s="204" t="s">
        <v>2573</v>
      </c>
      <c r="C21" s="204" t="s">
        <v>1331</v>
      </c>
      <c r="D21" s="205">
        <f>COUNTIFS(tblDados[País],A21,tblDados[Liga],B21,tblDados[Janela_12_Liga],1)</f>
        <v>49</v>
      </c>
      <c r="E21" s="205" cm="1">
        <f t="array" ref="E21">IFERROR(ROWS(_xlfn.UNIQUE(_xlfn.VSTACK(_xlfn._xlws.FILTER(tblDados[Mandante],(tblDados[País]=A21)*(tblDados[Liga]=B21)*(tblDados[Janela_12_Liga]=1)),_xlfn._xlws.FILTER(tblDados[Visitante],(tblDados[País]=A21)*(tblDados[Liga]=B21)*(tblDados[Janela_12_Liga]=1))))),0)</f>
        <v>8</v>
      </c>
      <c r="F21" s="205" cm="1">
        <f t="array" ref="F21">_xlfn.LET(_xlpm.p,A21,_xlpm.l,B21,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1" s="206">
        <f>IFERROR(_xlfn.MAXIFS(tblDados[Data],tblDados[País],A21,tblDados[Liga],B21,tblDados[Janela_12_Liga],1),"")</f>
        <v>46242</v>
      </c>
      <c r="H21" s="204" t="str">
        <f t="shared" si="0"/>
        <v>OK — 12+</v>
      </c>
      <c r="I21" s="211" t="s">
        <v>8182</v>
      </c>
      <c r="J21" s="211" t="str">
        <f t="shared" si="1"/>
        <v>Manutenção semanal</v>
      </c>
    </row>
    <row r="22" spans="1:10" ht="28.8" x14ac:dyDescent="0.3">
      <c r="A22" s="204" t="s">
        <v>16</v>
      </c>
      <c r="B22" s="204" t="s">
        <v>3425</v>
      </c>
      <c r="C22" s="204" t="s">
        <v>1331</v>
      </c>
      <c r="D22" s="205">
        <f>COUNTIFS(tblDados[País],A22,tblDados[Liga],B22,tblDados[Janela_12_Liga],1)</f>
        <v>98</v>
      </c>
      <c r="E22" s="205" cm="1">
        <f t="array" ref="E22">IFERROR(ROWS(_xlfn.UNIQUE(_xlfn.VSTACK(_xlfn._xlws.FILTER(tblDados[Mandante],(tblDados[País]=A22)*(tblDados[Liga]=B22)*(tblDados[Janela_12_Liga]=1)),_xlfn._xlws.FILTER(tblDados[Visitante],(tblDados[País]=A22)*(tblDados[Liga]=B22)*(tblDados[Janela_12_Liga]=1))))),0)</f>
        <v>16</v>
      </c>
      <c r="F22" s="205" cm="1">
        <f t="array" ref="F22">_xlfn.LET(_xlpm.p,A22,_xlpm.l,B22,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2" s="206">
        <f>IFERROR(_xlfn.MAXIFS(tblDados[Data],tblDados[País],A22,tblDados[Liga],B22,tblDados[Janela_12_Liga],1),"")</f>
        <v>46244</v>
      </c>
      <c r="H22" s="204" t="str">
        <f t="shared" si="0"/>
        <v>OK — 12+</v>
      </c>
      <c r="I22" s="211" t="s">
        <v>8182</v>
      </c>
      <c r="J22" s="211" t="str">
        <f t="shared" si="1"/>
        <v>Manutenção semanal</v>
      </c>
    </row>
    <row r="23" spans="1:10" ht="28.8" x14ac:dyDescent="0.3">
      <c r="A23" s="204" t="s">
        <v>17</v>
      </c>
      <c r="B23" s="204" t="s">
        <v>4056</v>
      </c>
      <c r="C23" s="204" t="s">
        <v>1331</v>
      </c>
      <c r="D23" s="205">
        <f>COUNTIFS(tblDados[País],A23,tblDados[Liga],B23,tblDados[Janela_12_Liga],1)</f>
        <v>96</v>
      </c>
      <c r="E23" s="205" cm="1">
        <f t="array" ref="E23">IFERROR(ROWS(_xlfn.UNIQUE(_xlfn.VSTACK(_xlfn._xlws.FILTER(tblDados[Mandante],(tblDados[País]=A23)*(tblDados[Liga]=B23)*(tblDados[Janela_12_Liga]=1)),_xlfn._xlws.FILTER(tblDados[Visitante],(tblDados[País]=A23)*(tblDados[Liga]=B23)*(tblDados[Janela_12_Liga]=1))))),0)</f>
        <v>16</v>
      </c>
      <c r="F23" s="205" cm="1">
        <f t="array" ref="F23">_xlfn.LET(_xlpm.p,A23,_xlpm.l,B23,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3" s="206">
        <f>IFERROR(_xlfn.MAXIFS(tblDados[Data],tblDados[País],A23,tblDados[Liga],B23,tblDados[Janela_12_Liga],1),"")</f>
        <v>46244</v>
      </c>
      <c r="H23" s="204" t="str">
        <f t="shared" si="0"/>
        <v>OK — 12+</v>
      </c>
      <c r="I23" s="211" t="s">
        <v>8182</v>
      </c>
      <c r="J23" s="211" t="str">
        <f t="shared" si="1"/>
        <v>Manutenção semanal</v>
      </c>
    </row>
    <row r="24" spans="1:10" ht="28.8" x14ac:dyDescent="0.3">
      <c r="A24" s="204" t="s">
        <v>18</v>
      </c>
      <c r="B24" s="204" t="s">
        <v>19</v>
      </c>
      <c r="C24" s="204" t="s">
        <v>1331</v>
      </c>
      <c r="D24" s="205">
        <f>COUNTIFS(tblDados[País],A24,tblDados[Liga],B24,tblDados[Janela_12_Liga],1)</f>
        <v>75</v>
      </c>
      <c r="E24" s="205" cm="1">
        <f t="array" ref="E24">IFERROR(ROWS(_xlfn.UNIQUE(_xlfn.VSTACK(_xlfn._xlws.FILTER(tblDados[Mandante],(tblDados[País]=A24)*(tblDados[Liga]=B24)*(tblDados[Janela_12_Liga]=1)),_xlfn._xlws.FILTER(tblDados[Visitante],(tblDados[País]=A24)*(tblDados[Liga]=B24)*(tblDados[Janela_12_Liga]=1))))),0)</f>
        <v>12</v>
      </c>
      <c r="F24" s="205" cm="1">
        <f t="array" ref="F24">_xlfn.LET(_xlpm.p,A24,_xlpm.l,B24,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4" s="206">
        <f>IFERROR(_xlfn.MAXIFS(tblDados[Data],tblDados[País],A24,tblDados[Liga],B24,tblDados[Janela_12_Liga],1),"")</f>
        <v>46243</v>
      </c>
      <c r="H24" s="204" t="str">
        <f t="shared" si="0"/>
        <v>OK — 12+</v>
      </c>
      <c r="I24" s="211" t="s">
        <v>8182</v>
      </c>
      <c r="J24" s="211" t="str">
        <f t="shared" si="1"/>
        <v>Manutenção semanal</v>
      </c>
    </row>
    <row r="25" spans="1:10" ht="28.8" x14ac:dyDescent="0.3">
      <c r="A25" s="204" t="s">
        <v>18</v>
      </c>
      <c r="B25" s="204" t="s">
        <v>20</v>
      </c>
      <c r="C25" s="204" t="s">
        <v>1331</v>
      </c>
      <c r="D25" s="205">
        <f>COUNTIFS(tblDados[País],A25,tblDados[Liga],B25,tblDados[Janela_12_Liga],1)</f>
        <v>62</v>
      </c>
      <c r="E25" s="205" cm="1">
        <f t="array" ref="E25">IFERROR(ROWS(_xlfn.UNIQUE(_xlfn.VSTACK(_xlfn._xlws.FILTER(tblDados[Mandante],(tblDados[País]=A25)*(tblDados[Liga]=B25)*(tblDados[Janela_12_Liga]=1)),_xlfn._xlws.FILTER(tblDados[Visitante],(tblDados[País]=A25)*(tblDados[Liga]=B25)*(tblDados[Janela_12_Liga]=1))))),0)</f>
        <v>10</v>
      </c>
      <c r="F25" s="205" cm="1">
        <f t="array" ref="F25">_xlfn.LET(_xlpm.p,A25,_xlpm.l,B25,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5" s="206">
        <f>IFERROR(_xlfn.MAXIFS(tblDados[Data],tblDados[País],A25,tblDados[Liga],B25,tblDados[Janela_12_Liga],1),"")</f>
        <v>46243</v>
      </c>
      <c r="H25" s="204" t="str">
        <f t="shared" si="0"/>
        <v>OK — 12+</v>
      </c>
      <c r="I25" s="211" t="s">
        <v>8182</v>
      </c>
      <c r="J25" s="211" t="str">
        <f t="shared" si="1"/>
        <v>Manutenção semanal</v>
      </c>
    </row>
    <row r="26" spans="1:10" ht="28.8" x14ac:dyDescent="0.3">
      <c r="A26" s="204" t="s">
        <v>18</v>
      </c>
      <c r="B26" s="204" t="s">
        <v>21</v>
      </c>
      <c r="C26" s="204" t="s">
        <v>1321</v>
      </c>
      <c r="D26" s="205">
        <f>COUNTIFS(tblDados[País],A26,tblDados[Liga],B26,tblDados[Janela_12_Liga],1)</f>
        <v>73</v>
      </c>
      <c r="E26" s="205" cm="1">
        <f t="array" ref="E26">IFERROR(ROWS(_xlfn.UNIQUE(_xlfn.VSTACK(_xlfn._xlws.FILTER(tblDados[Mandante],(tblDados[País]=A26)*(tblDados[Liga]=B26)*(tblDados[Janela_12_Liga]=1)),_xlfn._xlws.FILTER(tblDados[Visitante],(tblDados[País]=A26)*(tblDados[Liga]=B26)*(tblDados[Janela_12_Liga]=1))))),0)</f>
        <v>12</v>
      </c>
      <c r="F26" s="205" cm="1">
        <f t="array" ref="F26">_xlfn.LET(_xlpm.p,A26,_xlpm.l,B26,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6" s="206">
        <f>IFERROR(_xlfn.MAXIFS(tblDados[Data],tblDados[País],A26,tblDados[Liga],B26,tblDados[Janela_12_Liga],1),"")</f>
        <v>46245</v>
      </c>
      <c r="H26" s="204" t="str">
        <f t="shared" si="0"/>
        <v>OK — 12+</v>
      </c>
      <c r="I26" s="211" t="s">
        <v>8182</v>
      </c>
      <c r="J26" s="211" t="str">
        <f t="shared" si="1"/>
        <v>Manutenção semanal</v>
      </c>
    </row>
    <row r="27" spans="1:10" ht="28.8" x14ac:dyDescent="0.3">
      <c r="A27" s="204" t="s">
        <v>18</v>
      </c>
      <c r="B27" s="204" t="s">
        <v>22</v>
      </c>
      <c r="C27" s="204" t="s">
        <v>1321</v>
      </c>
      <c r="D27" s="205">
        <f>COUNTIFS(tblDados[País],A27,tblDados[Liga],B27,tblDados[Janela_12_Liga],1)</f>
        <v>63</v>
      </c>
      <c r="E27" s="205" cm="1">
        <f t="array" ref="E27">IFERROR(ROWS(_xlfn.UNIQUE(_xlfn.VSTACK(_xlfn._xlws.FILTER(tblDados[Mandante],(tblDados[País]=A27)*(tblDados[Liga]=B27)*(tblDados[Janela_12_Liga]=1)),_xlfn._xlws.FILTER(tblDados[Visitante],(tblDados[País]=A27)*(tblDados[Liga]=B27)*(tblDados[Janela_12_Liga]=1))))),0)</f>
        <v>10</v>
      </c>
      <c r="F27" s="205" cm="1">
        <f t="array" ref="F27">_xlfn.LET(_xlpm.p,A27,_xlpm.l,B27,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7" s="206">
        <f>IFERROR(_xlfn.MAXIFS(tblDados[Data],tblDados[País],A27,tblDados[Liga],B27,tblDados[Janela_12_Liga],1),"")</f>
        <v>46247</v>
      </c>
      <c r="H27" s="204" t="str">
        <f t="shared" si="0"/>
        <v>OK — 12+</v>
      </c>
      <c r="I27" s="211" t="s">
        <v>8182</v>
      </c>
      <c r="J27" s="211" t="str">
        <f t="shared" si="1"/>
        <v>Manutenção semanal</v>
      </c>
    </row>
    <row r="28" spans="1:10" ht="28.8" x14ac:dyDescent="0.3">
      <c r="A28" s="204" t="s">
        <v>18</v>
      </c>
      <c r="B28" s="204" t="s">
        <v>430</v>
      </c>
      <c r="C28" s="204" t="s">
        <v>1321</v>
      </c>
      <c r="D28" s="205">
        <f>COUNTIFS(tblDados[País],A28,tblDados[Liga],B28,tblDados[Janela_12_Liga],1)</f>
        <v>63</v>
      </c>
      <c r="E28" s="205" cm="1">
        <f t="array" ref="E28">IFERROR(ROWS(_xlfn.UNIQUE(_xlfn.VSTACK(_xlfn._xlws.FILTER(tblDados[Mandante],(tblDados[País]=A28)*(tblDados[Liga]=B28)*(tblDados[Janela_12_Liga]=1)),_xlfn._xlws.FILTER(tblDados[Visitante],(tblDados[País]=A28)*(tblDados[Liga]=B28)*(tblDados[Janela_12_Liga]=1))))),0)</f>
        <v>10</v>
      </c>
      <c r="F28" s="205" cm="1">
        <f t="array" ref="F28">_xlfn.LET(_xlpm.p,A28,_xlpm.l,B28,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8" s="206">
        <f>IFERROR(_xlfn.MAXIFS(tblDados[Data],tblDados[País],A28,tblDados[Liga],B28,tblDados[Janela_12_Liga],1),"")</f>
        <v>46242</v>
      </c>
      <c r="H28" s="204" t="str">
        <f t="shared" si="0"/>
        <v>OK — 12+</v>
      </c>
      <c r="I28" s="211" t="s">
        <v>8182</v>
      </c>
      <c r="J28" s="211" t="str">
        <f t="shared" si="1"/>
        <v>Manutenção semanal</v>
      </c>
    </row>
    <row r="29" spans="1:10" ht="28.8" x14ac:dyDescent="0.3">
      <c r="A29" s="204" t="s">
        <v>18</v>
      </c>
      <c r="B29" s="204" t="s">
        <v>23</v>
      </c>
      <c r="C29" s="204" t="s">
        <v>1321</v>
      </c>
      <c r="D29" s="205">
        <f>COUNTIFS(tblDados[País],A29,tblDados[Liga],B29,tblDados[Janela_12_Liga],1)</f>
        <v>63</v>
      </c>
      <c r="E29" s="205" cm="1">
        <f t="array" ref="E29">IFERROR(ROWS(_xlfn.UNIQUE(_xlfn.VSTACK(_xlfn._xlws.FILTER(tblDados[Mandante],(tblDados[País]=A29)*(tblDados[Liga]=B29)*(tblDados[Janela_12_Liga]=1)),_xlfn._xlws.FILTER(tblDados[Visitante],(tblDados[País]=A29)*(tblDados[Liga]=B29)*(tblDados[Janela_12_Liga]=1))))),0)</f>
        <v>10</v>
      </c>
      <c r="F29" s="205" cm="1">
        <f t="array" ref="F29">_xlfn.LET(_xlpm.p,A29,_xlpm.l,B29,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29" s="206">
        <f>IFERROR(_xlfn.MAXIFS(tblDados[Data],tblDados[País],A29,tblDados[Liga],B29,tblDados[Janela_12_Liga],1),"")</f>
        <v>46243</v>
      </c>
      <c r="H29" s="204" t="str">
        <f t="shared" si="0"/>
        <v>OK — 12+</v>
      </c>
      <c r="I29" s="211" t="s">
        <v>8182</v>
      </c>
      <c r="J29" s="211" t="str">
        <f t="shared" si="1"/>
        <v>Manutenção semanal</v>
      </c>
    </row>
    <row r="30" spans="1:10" ht="28.8" x14ac:dyDescent="0.3">
      <c r="A30" s="204" t="s">
        <v>24</v>
      </c>
      <c r="B30" s="204" t="s">
        <v>4288</v>
      </c>
      <c r="C30" s="204" t="s">
        <v>1331</v>
      </c>
      <c r="D30" s="205">
        <f>COUNTIFS(tblDados[País],A30,tblDados[Liga],B30,tblDados[Janela_12_Liga],1)</f>
        <v>72</v>
      </c>
      <c r="E30" s="205" cm="1">
        <f t="array" ref="E30">IFERROR(ROWS(_xlfn.UNIQUE(_xlfn.VSTACK(_xlfn._xlws.FILTER(tblDados[Mandante],(tblDados[País]=A30)*(tblDados[Liga]=B30)*(tblDados[Janela_12_Liga]=1)),_xlfn._xlws.FILTER(tblDados[Visitante],(tblDados[País]=A30)*(tblDados[Liga]=B30)*(tblDados[Janela_12_Liga]=1))))),0)</f>
        <v>12</v>
      </c>
      <c r="F30" s="205" cm="1">
        <f t="array" ref="F30">_xlfn.LET(_xlpm.p,A30,_xlpm.l,B30,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0" s="206">
        <f>IFERROR(_xlfn.MAXIFS(tblDados[Data],tblDados[País],A30,tblDados[Liga],B30,tblDados[Janela_12_Liga],1),"")</f>
        <v>46244</v>
      </c>
      <c r="H30" s="204" t="str">
        <f t="shared" si="0"/>
        <v>OK — 12+</v>
      </c>
      <c r="I30" s="211" t="s">
        <v>8182</v>
      </c>
      <c r="J30" s="211" t="str">
        <f t="shared" si="1"/>
        <v>Manutenção semanal</v>
      </c>
    </row>
    <row r="31" spans="1:10" ht="28.8" x14ac:dyDescent="0.3">
      <c r="A31" s="204" t="s">
        <v>24</v>
      </c>
      <c r="B31" s="204" t="s">
        <v>4289</v>
      </c>
      <c r="C31" s="204" t="s">
        <v>1321</v>
      </c>
      <c r="D31" s="205">
        <f>COUNTIFS(tblDados[País],A31,tblDados[Liga],B31,tblDados[Janela_12_Liga],1)</f>
        <v>74</v>
      </c>
      <c r="E31" s="205" cm="1">
        <f t="array" ref="E31">IFERROR(ROWS(_xlfn.UNIQUE(_xlfn.VSTACK(_xlfn._xlws.FILTER(tblDados[Mandante],(tblDados[País]=A31)*(tblDados[Liga]=B31)*(tblDados[Janela_12_Liga]=1)),_xlfn._xlws.FILTER(tblDados[Visitante],(tblDados[País]=A31)*(tblDados[Liga]=B31)*(tblDados[Janela_12_Liga]=1))))),0)</f>
        <v>12</v>
      </c>
      <c r="F31" s="205" cm="1">
        <f t="array" ref="F31">_xlfn.LET(_xlpm.p,A31,_xlpm.l,B31,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1" s="206">
        <f>IFERROR(_xlfn.MAXIFS(tblDados[Data],tblDados[País],A31,tblDados[Liga],B31,tblDados[Janela_12_Liga],1),"")</f>
        <v>46247</v>
      </c>
      <c r="H31" s="204" t="str">
        <f t="shared" si="0"/>
        <v>OK — 12+</v>
      </c>
      <c r="I31" s="211" t="s">
        <v>8182</v>
      </c>
      <c r="J31" s="211" t="str">
        <f t="shared" si="1"/>
        <v>Manutenção semanal</v>
      </c>
    </row>
    <row r="32" spans="1:10" ht="28.8" x14ac:dyDescent="0.3">
      <c r="A32" s="204" t="s">
        <v>25</v>
      </c>
      <c r="B32" s="204" t="s">
        <v>26</v>
      </c>
      <c r="C32" s="204" t="s">
        <v>1321</v>
      </c>
      <c r="D32" s="205">
        <f>COUNTIFS(tblDados[País],A32,tblDados[Liga],B32,tblDados[Janela_12_Liga],1)</f>
        <v>2</v>
      </c>
      <c r="E32" s="205" cm="1">
        <f t="array" ref="E32">IFERROR(ROWS(_xlfn.UNIQUE(_xlfn.VSTACK(_xlfn._xlws.FILTER(tblDados[Mandante],(tblDados[País]=A32)*(tblDados[Liga]=B32)*(tblDados[Janela_12_Liga]=1)),_xlfn._xlws.FILTER(tblDados[Visitante],(tblDados[País]=A32)*(tblDados[Liga]=B32)*(tblDados[Janela_12_Liga]=1))))),0)</f>
        <v>4</v>
      </c>
      <c r="F32" s="205" cm="1">
        <f t="array" ref="F32">_xlfn.LET(_xlpm.p,A32,_xlpm.l,B32,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v>
      </c>
      <c r="G32" s="206">
        <f>IFERROR(_xlfn.MAXIFS(tblDados[Data],tblDados[País],A32,tblDados[Liga],B32,tblDados[Janela_12_Liga],1),"")</f>
        <v>46235</v>
      </c>
      <c r="H32" s="204" t="str">
        <f t="shared" si="0"/>
        <v>REVISAR</v>
      </c>
      <c r="I32" s="211" t="s">
        <v>8182</v>
      </c>
      <c r="J32" s="211" t="str">
        <f t="shared" si="1"/>
        <v>Completar janela</v>
      </c>
    </row>
    <row r="33" spans="1:10" ht="28.8" x14ac:dyDescent="0.3">
      <c r="A33" s="204" t="s">
        <v>27</v>
      </c>
      <c r="B33" s="204" t="s">
        <v>28</v>
      </c>
      <c r="C33" s="204" t="s">
        <v>1331</v>
      </c>
      <c r="D33" s="205">
        <f>COUNTIFS(tblDados[País],A33,tblDados[Liga],B33,tblDados[Janela_12_Liga],1)</f>
        <v>99</v>
      </c>
      <c r="E33" s="205" cm="1">
        <f t="array" ref="E33">IFERROR(ROWS(_xlfn.UNIQUE(_xlfn.VSTACK(_xlfn._xlws.FILTER(tblDados[Mandante],(tblDados[País]=A33)*(tblDados[Liga]=B33)*(tblDados[Janela_12_Liga]=1)),_xlfn._xlws.FILTER(tblDados[Visitante],(tblDados[País]=A33)*(tblDados[Liga]=B33)*(tblDados[Janela_12_Liga]=1))))),0)</f>
        <v>16</v>
      </c>
      <c r="F33" s="205" cm="1">
        <f t="array" ref="F33">_xlfn.LET(_xlpm.p,A33,_xlpm.l,B33,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3" s="206">
        <f>IFERROR(_xlfn.MAXIFS(tblDados[Data],tblDados[País],A33,tblDados[Liga],B33,tblDados[Janela_12_Liga],1),"")</f>
        <v>46243</v>
      </c>
      <c r="H33" s="204" t="str">
        <f t="shared" si="0"/>
        <v>OK — 12+</v>
      </c>
      <c r="I33" s="211" t="s">
        <v>8182</v>
      </c>
      <c r="J33" s="211" t="str">
        <f t="shared" si="1"/>
        <v>Manutenção semanal</v>
      </c>
    </row>
    <row r="34" spans="1:10" ht="28.8" x14ac:dyDescent="0.3">
      <c r="A34" s="204" t="s">
        <v>27</v>
      </c>
      <c r="B34" s="204" t="s">
        <v>29</v>
      </c>
      <c r="C34" s="204" t="s">
        <v>1331</v>
      </c>
      <c r="D34" s="205">
        <f>COUNTIFS(tblDados[País],A34,tblDados[Liga],B34,tblDados[Janela_12_Liga],1)</f>
        <v>96</v>
      </c>
      <c r="E34" s="205" cm="1">
        <f t="array" ref="E34">IFERROR(ROWS(_xlfn.UNIQUE(_xlfn.VSTACK(_xlfn._xlws.FILTER(tblDados[Mandante],(tblDados[País]=A34)*(tblDados[Liga]=B34)*(tblDados[Janela_12_Liga]=1)),_xlfn._xlws.FILTER(tblDados[Visitante],(tblDados[País]=A34)*(tblDados[Liga]=B34)*(tblDados[Janela_12_Liga]=1))))),0)</f>
        <v>16</v>
      </c>
      <c r="F34" s="205" cm="1">
        <f t="array" ref="F34">_xlfn.LET(_xlpm.p,A34,_xlpm.l,B34,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4" s="206">
        <f>IFERROR(_xlfn.MAXIFS(tblDados[Data],tblDados[País],A34,tblDados[Liga],B34,tblDados[Janela_12_Liga],1),"")</f>
        <v>46244</v>
      </c>
      <c r="H34" s="204" t="str">
        <f t="shared" si="0"/>
        <v>OK — 12+</v>
      </c>
      <c r="I34" s="211" t="s">
        <v>8182</v>
      </c>
      <c r="J34" s="211" t="str">
        <f t="shared" si="1"/>
        <v>Manutenção semanal</v>
      </c>
    </row>
    <row r="35" spans="1:10" ht="28.8" x14ac:dyDescent="0.3">
      <c r="A35" s="204" t="s">
        <v>30</v>
      </c>
      <c r="B35" s="204" t="s">
        <v>31</v>
      </c>
      <c r="C35" s="204" t="s">
        <v>1331</v>
      </c>
      <c r="D35" s="205">
        <f>COUNTIFS(tblDados[País],A35,tblDados[Liga],B35,tblDados[Janela_12_Liga],1)</f>
        <v>97</v>
      </c>
      <c r="E35" s="205" cm="1">
        <f t="array" ref="E35">IFERROR(ROWS(_xlfn.UNIQUE(_xlfn.VSTACK(_xlfn._xlws.FILTER(tblDados[Mandante],(tblDados[País]=A35)*(tblDados[Liga]=B35)*(tblDados[Janela_12_Liga]=1)),_xlfn._xlws.FILTER(tblDados[Visitante],(tblDados[País]=A35)*(tblDados[Liga]=B35)*(tblDados[Janela_12_Liga]=1))))),0)</f>
        <v>16</v>
      </c>
      <c r="F35" s="205" cm="1">
        <f t="array" ref="F35">_xlfn.LET(_xlpm.p,A35,_xlpm.l,B35,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5" s="206">
        <f>IFERROR(_xlfn.MAXIFS(tblDados[Data],tblDados[País],A35,tblDados[Liga],B35,tblDados[Janela_12_Liga],1),"")</f>
        <v>46244</v>
      </c>
      <c r="H35" s="204" t="str">
        <f t="shared" si="0"/>
        <v>OK — 12+</v>
      </c>
      <c r="I35" s="211" t="s">
        <v>8182</v>
      </c>
      <c r="J35" s="211" t="str">
        <f t="shared" si="1"/>
        <v>Manutenção semanal</v>
      </c>
    </row>
    <row r="36" spans="1:10" ht="28.8" x14ac:dyDescent="0.3">
      <c r="A36" s="204" t="s">
        <v>30</v>
      </c>
      <c r="B36" s="204" t="s">
        <v>32</v>
      </c>
      <c r="C36" s="204" t="s">
        <v>1331</v>
      </c>
      <c r="D36" s="205">
        <f>COUNTIFS(tblDados[País],A36,tblDados[Liga],B36,tblDados[Janela_12_Liga],1)</f>
        <v>96</v>
      </c>
      <c r="E36" s="205" cm="1">
        <f t="array" ref="E36">IFERROR(ROWS(_xlfn.UNIQUE(_xlfn.VSTACK(_xlfn._xlws.FILTER(tblDados[Mandante],(tblDados[País]=A36)*(tblDados[Liga]=B36)*(tblDados[Janela_12_Liga]=1)),_xlfn._xlws.FILTER(tblDados[Visitante],(tblDados[País]=A36)*(tblDados[Liga]=B36)*(tblDados[Janela_12_Liga]=1))))),0)</f>
        <v>16</v>
      </c>
      <c r="F36" s="205" cm="1">
        <f t="array" ref="F36">_xlfn.LET(_xlpm.p,A36,_xlpm.l,B36,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6" s="206">
        <f>IFERROR(_xlfn.MAXIFS(tblDados[Data],tblDados[País],A36,tblDados[Liga],B36,tblDados[Janela_12_Liga],1),"")</f>
        <v>46245</v>
      </c>
      <c r="H36" s="204" t="str">
        <f t="shared" si="0"/>
        <v>OK — 12+</v>
      </c>
      <c r="I36" s="211" t="s">
        <v>8182</v>
      </c>
      <c r="J36" s="211" t="str">
        <f t="shared" si="1"/>
        <v>Manutenção semanal</v>
      </c>
    </row>
    <row r="37" spans="1:10" ht="28.8" x14ac:dyDescent="0.3">
      <c r="A37" s="204" t="s">
        <v>30</v>
      </c>
      <c r="B37" s="204" t="s">
        <v>33</v>
      </c>
      <c r="C37" s="204" t="s">
        <v>1331</v>
      </c>
      <c r="D37" s="205">
        <f>COUNTIFS(tblDados[País],A37,tblDados[Liga],B37,tblDados[Janela_12_Liga],1)</f>
        <v>96</v>
      </c>
      <c r="E37" s="205" cm="1">
        <f t="array" ref="E37">IFERROR(ROWS(_xlfn.UNIQUE(_xlfn.VSTACK(_xlfn._xlws.FILTER(tblDados[Mandante],(tblDados[País]=A37)*(tblDados[Liga]=B37)*(tblDados[Janela_12_Liga]=1)),_xlfn._xlws.FILTER(tblDados[Visitante],(tblDados[País]=A37)*(tblDados[Liga]=B37)*(tblDados[Janela_12_Liga]=1))))),0)</f>
        <v>16</v>
      </c>
      <c r="F37" s="205" cm="1">
        <f t="array" ref="F37">_xlfn.LET(_xlpm.p,A37,_xlpm.l,B37,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7" s="206">
        <f>IFERROR(_xlfn.MAXIFS(tblDados[Data],tblDados[País],A37,tblDados[Liga],B37,tblDados[Janela_12_Liga],1),"")</f>
        <v>46243</v>
      </c>
      <c r="H37" s="204" t="str">
        <f t="shared" si="0"/>
        <v>OK — 12+</v>
      </c>
      <c r="I37" s="211" t="s">
        <v>8182</v>
      </c>
      <c r="J37" s="211" t="str">
        <f t="shared" si="1"/>
        <v>Manutenção semanal</v>
      </c>
    </row>
    <row r="38" spans="1:10" ht="28.8" x14ac:dyDescent="0.3">
      <c r="A38" s="204" t="s">
        <v>30</v>
      </c>
      <c r="B38" s="204" t="s">
        <v>34</v>
      </c>
      <c r="C38" s="204" t="s">
        <v>1331</v>
      </c>
      <c r="D38" s="205">
        <f>COUNTIFS(tblDados[País],A38,tblDados[Liga],B38,tblDados[Janela_12_Liga],1)</f>
        <v>96</v>
      </c>
      <c r="E38" s="205" cm="1">
        <f t="array" ref="E38">IFERROR(ROWS(_xlfn.UNIQUE(_xlfn.VSTACK(_xlfn._xlws.FILTER(tblDados[Mandante],(tblDados[País]=A38)*(tblDados[Liga]=B38)*(tblDados[Janela_12_Liga]=1)),_xlfn._xlws.FILTER(tblDados[Visitante],(tblDados[País]=A38)*(tblDados[Liga]=B38)*(tblDados[Janela_12_Liga]=1))))),0)</f>
        <v>16</v>
      </c>
      <c r="F38" s="205" cm="1">
        <f t="array" ref="F38">_xlfn.LET(_xlpm.p,A38,_xlpm.l,B38,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8" s="206">
        <f>IFERROR(_xlfn.MAXIFS(tblDados[Data],tblDados[País],A38,tblDados[Liga],B38,tblDados[Janela_12_Liga],1),"")</f>
        <v>46243</v>
      </c>
      <c r="H38" s="204" t="str">
        <f t="shared" si="0"/>
        <v>OK — 12+</v>
      </c>
      <c r="I38" s="211" t="s">
        <v>8182</v>
      </c>
      <c r="J38" s="211" t="str">
        <f t="shared" si="1"/>
        <v>Manutenção semanal</v>
      </c>
    </row>
    <row r="39" spans="1:10" ht="28.8" x14ac:dyDescent="0.3">
      <c r="A39" s="204" t="s">
        <v>30</v>
      </c>
      <c r="B39" s="204" t="s">
        <v>35</v>
      </c>
      <c r="C39" s="204" t="s">
        <v>1331</v>
      </c>
      <c r="D39" s="205">
        <f>COUNTIFS(tblDados[País],A39,tblDados[Liga],B39,tblDados[Janela_12_Liga],1)</f>
        <v>85</v>
      </c>
      <c r="E39" s="205" cm="1">
        <f t="array" ref="E39">IFERROR(ROWS(_xlfn.UNIQUE(_xlfn.VSTACK(_xlfn._xlws.FILTER(tblDados[Mandante],(tblDados[País]=A39)*(tblDados[Liga]=B39)*(tblDados[Janela_12_Liga]=1)),_xlfn._xlws.FILTER(tblDados[Visitante],(tblDados[País]=A39)*(tblDados[Liga]=B39)*(tblDados[Janela_12_Liga]=1))))),0)</f>
        <v>14</v>
      </c>
      <c r="F39" s="205" cm="1">
        <f t="array" ref="F39">_xlfn.LET(_xlpm.p,A39,_xlpm.l,B39,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39" s="206">
        <f>IFERROR(_xlfn.MAXIFS(tblDados[Data],tblDados[País],A39,tblDados[Liga],B39,tblDados[Janela_12_Liga],1),"")</f>
        <v>46243</v>
      </c>
      <c r="H39" s="204" t="str">
        <f t="shared" si="0"/>
        <v>OK — 12+</v>
      </c>
      <c r="I39" s="211" t="s">
        <v>8182</v>
      </c>
      <c r="J39" s="211" t="str">
        <f t="shared" si="1"/>
        <v>Manutenção semanal</v>
      </c>
    </row>
    <row r="40" spans="1:10" ht="28.8" x14ac:dyDescent="0.3">
      <c r="A40" s="204" t="s">
        <v>30</v>
      </c>
      <c r="B40" s="204" t="s">
        <v>6106</v>
      </c>
      <c r="C40" s="204" t="s">
        <v>1331</v>
      </c>
      <c r="D40" s="205">
        <f>COUNTIFS(tblDados[País],A40,tblDados[Liga],B40,tblDados[Janela_12_Liga],1)</f>
        <v>84</v>
      </c>
      <c r="E40" s="205" cm="1">
        <f t="array" ref="E40">IFERROR(ROWS(_xlfn.UNIQUE(_xlfn.VSTACK(_xlfn._xlws.FILTER(tblDados[Mandante],(tblDados[País]=A40)*(tblDados[Liga]=B40)*(tblDados[Janela_12_Liga]=1)),_xlfn._xlws.FILTER(tblDados[Visitante],(tblDados[País]=A40)*(tblDados[Liga]=B40)*(tblDados[Janela_12_Liga]=1))))),0)</f>
        <v>14</v>
      </c>
      <c r="F40" s="205" cm="1">
        <f t="array" ref="F40">_xlfn.LET(_xlpm.p,A40,_xlpm.l,B40,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40" s="206">
        <f>IFERROR(_xlfn.MAXIFS(tblDados[Data],tblDados[País],A40,tblDados[Liga],B40,tblDados[Janela_12_Liga],1),"")</f>
        <v>46243</v>
      </c>
      <c r="H40" s="204" t="str">
        <f t="shared" si="0"/>
        <v>OK — 12+</v>
      </c>
      <c r="I40" s="211" t="s">
        <v>8182</v>
      </c>
      <c r="J40" s="211" t="str">
        <f t="shared" si="1"/>
        <v>Manutenção semanal</v>
      </c>
    </row>
    <row r="41" spans="1:10" ht="28.8" x14ac:dyDescent="0.3">
      <c r="A41" s="204" t="s">
        <v>30</v>
      </c>
      <c r="B41" s="204" t="s">
        <v>36</v>
      </c>
      <c r="C41" s="204" t="s">
        <v>1331</v>
      </c>
      <c r="D41" s="205">
        <f>COUNTIFS(tblDados[País],A41,tblDados[Liga],B41,tblDados[Janela_12_Liga],1)</f>
        <v>84</v>
      </c>
      <c r="E41" s="205" cm="1">
        <f t="array" ref="E41">IFERROR(ROWS(_xlfn.UNIQUE(_xlfn.VSTACK(_xlfn._xlws.FILTER(tblDados[Mandante],(tblDados[País]=A41)*(tblDados[Liga]=B41)*(tblDados[Janela_12_Liga]=1)),_xlfn._xlws.FILTER(tblDados[Visitante],(tblDados[País]=A41)*(tblDados[Liga]=B41)*(tblDados[Janela_12_Liga]=1))))),0)</f>
        <v>14</v>
      </c>
      <c r="F41" s="205" cm="1">
        <f t="array" ref="F41">_xlfn.LET(_xlpm.p,A41,_xlpm.l,B41,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41" s="206">
        <f>IFERROR(_xlfn.MAXIFS(tblDados[Data],tblDados[País],A41,tblDados[Liga],B41,tblDados[Janela_12_Liga],1),"")</f>
        <v>46243</v>
      </c>
      <c r="H41" s="204" t="str">
        <f t="shared" si="0"/>
        <v>OK — 12+</v>
      </c>
      <c r="I41" s="211" t="s">
        <v>8182</v>
      </c>
      <c r="J41" s="211" t="str">
        <f t="shared" si="1"/>
        <v>Manutenção semanal</v>
      </c>
    </row>
    <row r="42" spans="1:10" ht="28.8" x14ac:dyDescent="0.3">
      <c r="A42" s="204" t="s">
        <v>37</v>
      </c>
      <c r="B42" s="204" t="s">
        <v>38</v>
      </c>
      <c r="C42" s="204" t="s">
        <v>1331</v>
      </c>
      <c r="D42" s="205">
        <f>COUNTIFS(tblDados[País],A42,tblDados[Liga],B42,tblDados[Janela_12_Liga],1)</f>
        <v>1</v>
      </c>
      <c r="E42" s="205" cm="1">
        <f t="array" ref="E42">IFERROR(ROWS(_xlfn.UNIQUE(_xlfn.VSTACK(_xlfn._xlws.FILTER(tblDados[Mandante],(tblDados[País]=A42)*(tblDados[Liga]=B42)*(tblDados[Janela_12_Liga]=1)),_xlfn._xlws.FILTER(tblDados[Visitante],(tblDados[País]=A42)*(tblDados[Liga]=B42)*(tblDados[Janela_12_Liga]=1))))),0)</f>
        <v>2</v>
      </c>
      <c r="F42" s="205" cm="1">
        <f t="array" ref="F42">_xlfn.LET(_xlpm.p,A42,_xlpm.l,B42,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v>
      </c>
      <c r="G42" s="206">
        <f>IFERROR(_xlfn.MAXIFS(tblDados[Data],tblDados[País],A42,tblDados[Liga],B42,tblDados[Janela_12_Liga],1),"")</f>
        <v>46234</v>
      </c>
      <c r="H42" s="204" t="str">
        <f t="shared" si="0"/>
        <v>REVISAR</v>
      </c>
      <c r="I42" s="211" t="s">
        <v>8182</v>
      </c>
      <c r="J42" s="211" t="str">
        <f t="shared" si="1"/>
        <v>Completar janela</v>
      </c>
    </row>
    <row r="43" spans="1:10" ht="28.8" x14ac:dyDescent="0.3">
      <c r="A43" s="204" t="s">
        <v>39</v>
      </c>
      <c r="B43" s="204" t="s">
        <v>3659</v>
      </c>
      <c r="C43" s="204" t="s">
        <v>1331</v>
      </c>
      <c r="D43" s="205">
        <f>COUNTIFS(tblDados[País],A43,tblDados[Liga],B43,tblDados[Janela_12_Liga],1)</f>
        <v>79</v>
      </c>
      <c r="E43" s="205" cm="1">
        <f t="array" ref="E43">IFERROR(ROWS(_xlfn.UNIQUE(_xlfn.VSTACK(_xlfn._xlws.FILTER(tblDados[Mandante],(tblDados[País]=A43)*(tblDados[Liga]=B43)*(tblDados[Janela_12_Liga]=1)),_xlfn._xlws.FILTER(tblDados[Visitante],(tblDados[País]=A43)*(tblDados[Liga]=B43)*(tblDados[Janela_12_Liga]=1))))),0)</f>
        <v>15</v>
      </c>
      <c r="F43" s="205" cm="1">
        <f t="array" ref="F43">_xlfn.LET(_xlpm.p,A43,_xlpm.l,B43,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9</v>
      </c>
      <c r="G43" s="206">
        <f>IFERROR(_xlfn.MAXIFS(tblDados[Data],tblDados[País],A43,tblDados[Liga],B43,tblDados[Janela_12_Liga],1),"")</f>
        <v>46235</v>
      </c>
      <c r="H43" s="204" t="str">
        <f t="shared" si="0"/>
        <v>REVISAR</v>
      </c>
      <c r="I43" s="211" t="s">
        <v>8182</v>
      </c>
      <c r="J43" s="211" t="str">
        <f t="shared" si="1"/>
        <v>Completar janela</v>
      </c>
    </row>
    <row r="44" spans="1:10" ht="28.8" x14ac:dyDescent="0.3">
      <c r="A44" s="204" t="s">
        <v>39</v>
      </c>
      <c r="B44" s="204" t="s">
        <v>3661</v>
      </c>
      <c r="C44" s="204" t="s">
        <v>1331</v>
      </c>
      <c r="D44" s="205">
        <f>COUNTIFS(tblDados[País],A44,tblDados[Liga],B44,tblDados[Janela_12_Liga],1)</f>
        <v>80</v>
      </c>
      <c r="E44" s="205" cm="1">
        <f t="array" ref="E44">IFERROR(ROWS(_xlfn.UNIQUE(_xlfn.VSTACK(_xlfn._xlws.FILTER(tblDados[Mandante],(tblDados[País]=A44)*(tblDados[Liga]=B44)*(tblDados[Janela_12_Liga]=1)),_xlfn._xlws.FILTER(tblDados[Visitante],(tblDados[País]=A44)*(tblDados[Liga]=B44)*(tblDados[Janela_12_Liga]=1))))),0)</f>
        <v>15</v>
      </c>
      <c r="F44" s="205" cm="1">
        <f t="array" ref="F44">_xlfn.LET(_xlpm.p,A44,_xlpm.l,B44,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9</v>
      </c>
      <c r="G44" s="206">
        <f>IFERROR(_xlfn.MAXIFS(tblDados[Data],tblDados[País],A44,tblDados[Liga],B44,tblDados[Janela_12_Liga],1),"")</f>
        <v>46235</v>
      </c>
      <c r="H44" s="204" t="str">
        <f t="shared" si="0"/>
        <v>REVISAR</v>
      </c>
      <c r="I44" s="211" t="s">
        <v>8182</v>
      </c>
      <c r="J44" s="211" t="str">
        <f t="shared" si="1"/>
        <v>Completar janela</v>
      </c>
    </row>
    <row r="45" spans="1:10" ht="28.8" x14ac:dyDescent="0.3">
      <c r="A45" s="204" t="s">
        <v>39</v>
      </c>
      <c r="B45" s="204" t="s">
        <v>3660</v>
      </c>
      <c r="C45" s="204" t="s">
        <v>1331</v>
      </c>
      <c r="D45" s="205">
        <f>COUNTIFS(tblDados[País],A45,tblDados[Liga],B45,tblDados[Janela_12_Liga],1)</f>
        <v>25</v>
      </c>
      <c r="E45" s="205" cm="1">
        <f t="array" ref="E45">IFERROR(ROWS(_xlfn.UNIQUE(_xlfn.VSTACK(_xlfn._xlws.FILTER(tblDados[Mandante],(tblDados[País]=A45)*(tblDados[Liga]=B45)*(tblDados[Janela_12_Liga]=1)),_xlfn._xlws.FILTER(tblDados[Visitante],(tblDados[País]=A45)*(tblDados[Liga]=B45)*(tblDados[Janela_12_Liga]=1))))),0)</f>
        <v>29</v>
      </c>
      <c r="F45" s="205" cm="1">
        <f t="array" ref="F45">_xlfn.LET(_xlpm.p,A45,_xlpm.l,B45,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v>
      </c>
      <c r="G45" s="206">
        <f>IFERROR(_xlfn.MAXIFS(tblDados[Data],tblDados[País],A45,tblDados[Liga],B45,tblDados[Janela_12_Liga],1),"")</f>
        <v>46242</v>
      </c>
      <c r="H45" s="204" t="str">
        <f t="shared" si="0"/>
        <v>REVISAR</v>
      </c>
      <c r="I45" s="211" t="s">
        <v>8182</v>
      </c>
      <c r="J45" s="211" t="str">
        <f t="shared" si="1"/>
        <v>Completar janela</v>
      </c>
    </row>
    <row r="46" spans="1:10" ht="28.8" x14ac:dyDescent="0.3">
      <c r="A46" s="204" t="s">
        <v>888</v>
      </c>
      <c r="B46" s="204" t="s">
        <v>889</v>
      </c>
      <c r="C46" s="204" t="s">
        <v>1331</v>
      </c>
      <c r="D46" s="205">
        <f>COUNTIFS(tblDados[País],A46,tblDados[Liga],B46,tblDados[Janela_12_Liga],1)</f>
        <v>100</v>
      </c>
      <c r="E46" s="205" cm="1">
        <f t="array" ref="E46">IFERROR(ROWS(_xlfn.UNIQUE(_xlfn.VSTACK(_xlfn._xlws.FILTER(tblDados[Mandante],(tblDados[País]=A46)*(tblDados[Liga]=B46)*(tblDados[Janela_12_Liga]=1)),_xlfn._xlws.FILTER(tblDados[Visitante],(tblDados[País]=A46)*(tblDados[Liga]=B46)*(tblDados[Janela_12_Liga]=1))))),0)</f>
        <v>16</v>
      </c>
      <c r="F46" s="205" cm="1">
        <f t="array" ref="F46">_xlfn.LET(_xlpm.p,A46,_xlpm.l,B46,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46" s="206">
        <f>IFERROR(_xlfn.MAXIFS(tblDados[Data],tblDados[País],A46,tblDados[Liga],B46,tblDados[Janela_12_Liga],1),"")</f>
        <v>46243</v>
      </c>
      <c r="H46" s="204" t="str">
        <f t="shared" si="0"/>
        <v>OK — 12+</v>
      </c>
      <c r="I46" s="211" t="s">
        <v>8182</v>
      </c>
      <c r="J46" s="211" t="str">
        <f t="shared" si="1"/>
        <v>Manutenção semanal</v>
      </c>
    </row>
    <row r="47" spans="1:10" ht="28.8" x14ac:dyDescent="0.3">
      <c r="A47" s="204" t="s">
        <v>888</v>
      </c>
      <c r="B47" s="204" t="s">
        <v>7584</v>
      </c>
      <c r="C47" s="204" t="s">
        <v>1331</v>
      </c>
      <c r="D47" s="205">
        <f>COUNTIFS(tblDados[País],A47,tblDados[Liga],B47,tblDados[Janela_12_Liga],1)</f>
        <v>99</v>
      </c>
      <c r="E47" s="205" cm="1">
        <f t="array" ref="E47">IFERROR(ROWS(_xlfn.UNIQUE(_xlfn.VSTACK(_xlfn._xlws.FILTER(tblDados[Mandante],(tblDados[País]=A47)*(tblDados[Liga]=B47)*(tblDados[Janela_12_Liga]=1)),_xlfn._xlws.FILTER(tblDados[Visitante],(tblDados[País]=A47)*(tblDados[Liga]=B47)*(tblDados[Janela_12_Liga]=1))))),0)</f>
        <v>16</v>
      </c>
      <c r="F47" s="205" cm="1">
        <f t="array" ref="F47">_xlfn.LET(_xlpm.p,A47,_xlpm.l,B47,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47" s="206">
        <f>IFERROR(_xlfn.MAXIFS(tblDados[Data],tblDados[País],A47,tblDados[Liga],B47,tblDados[Janela_12_Liga],1),"")</f>
        <v>46243</v>
      </c>
      <c r="H47" s="204" t="str">
        <f t="shared" si="0"/>
        <v>OK — 12+</v>
      </c>
      <c r="I47" s="211" t="s">
        <v>8182</v>
      </c>
      <c r="J47" s="211" t="str">
        <f t="shared" si="1"/>
        <v>Manutenção semanal</v>
      </c>
    </row>
    <row r="48" spans="1:10" ht="28.8" x14ac:dyDescent="0.3">
      <c r="A48" s="204" t="s">
        <v>7</v>
      </c>
      <c r="B48" s="204" t="s">
        <v>2229</v>
      </c>
      <c r="C48" s="204" t="s">
        <v>1321</v>
      </c>
      <c r="D48" s="205">
        <f>COUNTIFS(tblDados[País],A48,tblDados[Liga],B48,tblDados[Janela_12_Liga],1)</f>
        <v>96</v>
      </c>
      <c r="E48" s="205" cm="1">
        <f t="array" ref="E48">IFERROR(ROWS(_xlfn.UNIQUE(_xlfn.VSTACK(_xlfn._xlws.FILTER(tblDados[Mandante],(tblDados[País]=A48)*(tblDados[Liga]=B48)*(tblDados[Janela_12_Liga]=1)),_xlfn._xlws.FILTER(tblDados[Visitante],(tblDados[País]=A48)*(tblDados[Liga]=B48)*(tblDados[Janela_12_Liga]=1))))),0)</f>
        <v>16</v>
      </c>
      <c r="F48" s="205" cm="1">
        <f t="array" ref="F48">_xlfn.LET(_xlpm.p,A48,_xlpm.l,B48,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48" s="206">
        <f>IFERROR(_xlfn.MAXIFS(tblDados[Data],tblDados[País],A48,tblDados[Liga],B48,tblDados[Janela_12_Liga],1),"")</f>
        <v>46242</v>
      </c>
      <c r="H48" s="204" t="str">
        <f t="shared" si="0"/>
        <v>OK — 12+</v>
      </c>
      <c r="I48" s="211" t="s">
        <v>8182</v>
      </c>
      <c r="J48" s="211" t="str">
        <f t="shared" si="1"/>
        <v>Manutenção semanal</v>
      </c>
    </row>
    <row r="49" spans="1:10" ht="28.8" x14ac:dyDescent="0.3">
      <c r="A49" s="204" t="s">
        <v>7</v>
      </c>
      <c r="B49" s="204" t="s">
        <v>8</v>
      </c>
      <c r="C49" s="204" t="s">
        <v>1321</v>
      </c>
      <c r="D49" s="205">
        <f>COUNTIFS(tblDados[País],A49,tblDados[Liga],B49,tblDados[Janela_12_Liga],1)</f>
        <v>77</v>
      </c>
      <c r="E49" s="205" cm="1">
        <f t="array" ref="E49">IFERROR(ROWS(_xlfn.UNIQUE(_xlfn.VSTACK(_xlfn._xlws.FILTER(tblDados[Mandante],(tblDados[País]=A49)*(tblDados[Liga]=B49)*(tblDados[Janela_12_Liga]=1)),_xlfn._xlws.FILTER(tblDados[Visitante],(tblDados[País]=A49)*(tblDados[Liga]=B49)*(tblDados[Janela_12_Liga]=1))))),0)</f>
        <v>12</v>
      </c>
      <c r="F49" s="205" cm="1">
        <f t="array" ref="F49">_xlfn.LET(_xlpm.p,A49,_xlpm.l,B49,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49" s="206">
        <f>IFERROR(_xlfn.MAXIFS(tblDados[Data],tblDados[País],A49,tblDados[Liga],B49,tblDados[Janela_12_Liga],1),"")</f>
        <v>46242</v>
      </c>
      <c r="H49" s="204" t="str">
        <f t="shared" si="0"/>
        <v>OK — 12+</v>
      </c>
      <c r="I49" s="211" t="s">
        <v>8182</v>
      </c>
      <c r="J49" s="211" t="str">
        <f t="shared" si="1"/>
        <v>Manutenção semanal</v>
      </c>
    </row>
    <row r="50" spans="1:10" ht="28.8" x14ac:dyDescent="0.3">
      <c r="A50" s="204" t="s">
        <v>7</v>
      </c>
      <c r="B50" s="204" t="s">
        <v>969</v>
      </c>
      <c r="C50" s="204" t="s">
        <v>1321</v>
      </c>
      <c r="D50" s="205">
        <f>COUNTIFS(tblDados[País],A50,tblDados[Liga],B50,tblDados[Janela_12_Liga],1)</f>
        <v>73</v>
      </c>
      <c r="E50" s="205" cm="1">
        <f t="array" ref="E50">IFERROR(ROWS(_xlfn.UNIQUE(_xlfn.VSTACK(_xlfn._xlws.FILTER(tblDados[Mandante],(tblDados[País]=A50)*(tblDados[Liga]=B50)*(tblDados[Janela_12_Liga]=1)),_xlfn._xlws.FILTER(tblDados[Visitante],(tblDados[País]=A50)*(tblDados[Liga]=B50)*(tblDados[Janela_12_Liga]=1))))),0)</f>
        <v>12</v>
      </c>
      <c r="F50" s="205" cm="1">
        <f t="array" ref="F50">_xlfn.LET(_xlpm.p,A50,_xlpm.l,B50,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50" s="206">
        <f>IFERROR(_xlfn.MAXIFS(tblDados[Data],tblDados[País],A50,tblDados[Liga],B50,tblDados[Janela_12_Liga],1),"")</f>
        <v>46245</v>
      </c>
      <c r="H50" s="204" t="str">
        <f t="shared" si="0"/>
        <v>OK — 12+</v>
      </c>
      <c r="I50" s="211" t="s">
        <v>8182</v>
      </c>
      <c r="J50" s="211" t="str">
        <f t="shared" si="1"/>
        <v>Manutenção semanal</v>
      </c>
    </row>
    <row r="51" spans="1:10" ht="28.8" x14ac:dyDescent="0.3">
      <c r="A51" s="204" t="s">
        <v>7</v>
      </c>
      <c r="B51" s="204" t="s">
        <v>9</v>
      </c>
      <c r="C51" s="204" t="s">
        <v>1331</v>
      </c>
      <c r="D51" s="205">
        <f>COUNTIFS(tblDados[País],A51,tblDados[Liga],B51,tblDados[Janela_12_Liga],1)</f>
        <v>85</v>
      </c>
      <c r="E51" s="205" cm="1">
        <f t="array" ref="E51">IFERROR(ROWS(_xlfn.UNIQUE(_xlfn.VSTACK(_xlfn._xlws.FILTER(tblDados[Mandante],(tblDados[País]=A51)*(tblDados[Liga]=B51)*(tblDados[Janela_12_Liga]=1)),_xlfn._xlws.FILTER(tblDados[Visitante],(tblDados[País]=A51)*(tblDados[Liga]=B51)*(tblDados[Janela_12_Liga]=1))))),0)</f>
        <v>14</v>
      </c>
      <c r="F51" s="205" cm="1">
        <f t="array" ref="F51">_xlfn.LET(_xlpm.p,A51,_xlpm.l,B51,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51" s="206">
        <f>IFERROR(_xlfn.MAXIFS(tblDados[Data],tblDados[País],A51,tblDados[Liga],B51,tblDados[Janela_12_Liga],1),"")</f>
        <v>46236</v>
      </c>
      <c r="H51" s="204" t="str">
        <f t="shared" si="0"/>
        <v>OK — 12+</v>
      </c>
      <c r="I51" s="211" t="s">
        <v>8182</v>
      </c>
      <c r="J51" s="211" t="str">
        <f t="shared" si="1"/>
        <v>Manutenção semanal</v>
      </c>
    </row>
    <row r="52" spans="1:10" ht="28.8" x14ac:dyDescent="0.3">
      <c r="A52" s="207" t="s">
        <v>7</v>
      </c>
      <c r="B52" s="207" t="s">
        <v>1380</v>
      </c>
      <c r="C52" s="207" t="s">
        <v>1321</v>
      </c>
      <c r="D52" s="208">
        <f>COUNTIFS(tblDados[País],A52,tblDados[Liga],B52,tblDados[Janela_12_Liga],1)</f>
        <v>72</v>
      </c>
      <c r="E52" s="208" cm="1">
        <f t="array" ref="E52">IFERROR(ROWS(_xlfn.UNIQUE(_xlfn.VSTACK(_xlfn._xlws.FILTER(tblDados[Mandante],(tblDados[País]=A52)*(tblDados[Liga]=B52)*(tblDados[Janela_12_Liga]=1)),_xlfn._xlws.FILTER(tblDados[Visitante],(tblDados[País]=A52)*(tblDados[Liga]=B52)*(tblDados[Janela_12_Liga]=1))))),0)</f>
        <v>12</v>
      </c>
      <c r="F52" s="208" cm="1">
        <f t="array" ref="F52">_xlfn.LET(_xlpm.p,A52,_xlpm.l,B52,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12</v>
      </c>
      <c r="G52" s="209">
        <f>IFERROR(_xlfn.MAXIFS(tblDados[Data],tblDados[País],A52,tblDados[Liga],B52,tblDados[Janela_12_Liga],1),"")</f>
        <v>46241</v>
      </c>
      <c r="H52" s="207" t="str">
        <f t="shared" si="0"/>
        <v>OK — 12+</v>
      </c>
      <c r="I52" s="212" t="s">
        <v>8182</v>
      </c>
      <c r="J52" s="212" t="str">
        <f t="shared" si="1"/>
        <v>Manutenção semanal</v>
      </c>
    </row>
    <row r="53" spans="1:10" ht="28.8" x14ac:dyDescent="0.3">
      <c r="A53" s="207" t="s">
        <v>10807</v>
      </c>
      <c r="B53" s="207" t="s">
        <v>10808</v>
      </c>
      <c r="C53" s="207" t="s">
        <v>1328</v>
      </c>
      <c r="D53" s="208">
        <f>COUNTIFS(tblDados[País],A53,tblDados[Liga],B53,tblDados[Janela_12_Liga],1)</f>
        <v>57</v>
      </c>
      <c r="E53" s="208" cm="1">
        <f t="array" ref="E53">IFERROR(ROWS(_xlfn.UNIQUE(_xlfn.VSTACK(_xlfn._xlws.FILTER(tblDados[Mandante],(tblDados[País]=A53)*(tblDados[Liga]=B53)*(tblDados[Janela_12_Liga]=1)),_xlfn._xlws.FILTER(tblDados[Visitante],(tblDados[País]=A53)*(tblDados[Liga]=B53)*(tblDados[Janela_12_Liga]=1))))),0)</f>
        <v>12</v>
      </c>
      <c r="F53" s="208" cm="1">
        <f t="array" ref="F53">_xlfn.LET(_xlpm.p,A53,_xlpm.l,B53,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6</v>
      </c>
      <c r="G53" s="209">
        <f>IFERROR(_xlfn.MAXIFS(tblDados[Data],tblDados[País],A53,tblDados[Liga],B53,tblDados[Janela_12_Liga],1),"")</f>
        <v>46242</v>
      </c>
      <c r="H53" s="207" t="s">
        <v>10992</v>
      </c>
      <c r="I53" s="212" t="s">
        <v>10993</v>
      </c>
      <c r="J53" s="212" t="s">
        <v>10994</v>
      </c>
    </row>
    <row r="54" spans="1:10" x14ac:dyDescent="0.3">
      <c r="A54" s="307" t="s">
        <v>10995</v>
      </c>
      <c r="B54" s="307"/>
      <c r="C54" s="307"/>
      <c r="D54" s="307"/>
      <c r="E54" s="307"/>
      <c r="F54" s="307"/>
      <c r="G54" s="307"/>
      <c r="H54" s="307"/>
      <c r="I54" s="307"/>
      <c r="J54" s="307"/>
    </row>
    <row r="55" spans="1:10" x14ac:dyDescent="0.3">
      <c r="A55" s="231" t="s">
        <v>41</v>
      </c>
      <c r="B55" s="231" t="s">
        <v>10996</v>
      </c>
      <c r="C55" s="231" t="s">
        <v>45</v>
      </c>
      <c r="D55" s="232" t="s">
        <v>48</v>
      </c>
      <c r="E55" s="232" t="s">
        <v>0</v>
      </c>
      <c r="F55" s="232" t="s">
        <v>10997</v>
      </c>
      <c r="G55" s="233" t="s">
        <v>10998</v>
      </c>
      <c r="H55" s="231" t="s">
        <v>1343</v>
      </c>
      <c r="I55" s="234" t="s">
        <v>10999</v>
      </c>
      <c r="J55" s="234" t="s">
        <v>3247</v>
      </c>
    </row>
    <row r="56" spans="1:10" x14ac:dyDescent="0.3">
      <c r="A56" s="235" t="s">
        <v>11000</v>
      </c>
      <c r="B56" s="236">
        <v>0.3125</v>
      </c>
      <c r="C56" s="237" t="s">
        <v>10836</v>
      </c>
      <c r="D56" s="238" t="s">
        <v>10810</v>
      </c>
      <c r="E56" s="238" t="s">
        <v>10808</v>
      </c>
      <c r="F56" s="238" t="s">
        <v>11001</v>
      </c>
      <c r="G56" s="236">
        <v>0.8125</v>
      </c>
      <c r="H56" s="237" t="s">
        <v>11002</v>
      </c>
      <c r="I56" s="239" t="s">
        <v>11003</v>
      </c>
      <c r="J56" s="239" t="s">
        <v>11004</v>
      </c>
    </row>
    <row r="57" spans="1:10" x14ac:dyDescent="0.3">
      <c r="A57" s="240" t="s">
        <v>11000</v>
      </c>
      <c r="B57" s="241">
        <v>0.3125</v>
      </c>
      <c r="C57" s="242" t="s">
        <v>10815</v>
      </c>
      <c r="D57" s="243" t="s">
        <v>10825</v>
      </c>
      <c r="E57" s="243" t="s">
        <v>10808</v>
      </c>
      <c r="F57" s="243" t="s">
        <v>11001</v>
      </c>
      <c r="G57" s="241">
        <v>0.8125</v>
      </c>
      <c r="H57" s="242" t="s">
        <v>11002</v>
      </c>
      <c r="I57" s="244" t="s">
        <v>11003</v>
      </c>
      <c r="J57" s="244" t="s">
        <v>11004</v>
      </c>
    </row>
    <row r="58" spans="1:10" x14ac:dyDescent="0.3">
      <c r="A58" s="245" t="s">
        <v>11000</v>
      </c>
      <c r="B58" s="246">
        <v>0.3125</v>
      </c>
      <c r="C58" s="247" t="s">
        <v>10821</v>
      </c>
      <c r="D58" s="248" t="s">
        <v>10832</v>
      </c>
      <c r="E58" s="248" t="s">
        <v>10808</v>
      </c>
      <c r="F58" s="248" t="s">
        <v>11001</v>
      </c>
      <c r="G58" s="246">
        <v>0.8125</v>
      </c>
      <c r="H58" s="247" t="s">
        <v>11002</v>
      </c>
      <c r="I58" s="249" t="s">
        <v>11003</v>
      </c>
      <c r="J58" s="249" t="s">
        <v>11004</v>
      </c>
    </row>
    <row r="59" spans="1:10" ht="28.8" x14ac:dyDescent="0.3">
      <c r="A59" s="207" t="s">
        <v>10807</v>
      </c>
      <c r="B59" s="207" t="s">
        <v>11006</v>
      </c>
      <c r="C59" s="207" t="s">
        <v>1331</v>
      </c>
      <c r="D59" s="208">
        <f>COUNTIFS(tblDados[País],A59,tblDados[Liga],B59,tblDados[Janela_12_Liga],1)</f>
        <v>78</v>
      </c>
      <c r="E59" s="208" cm="1">
        <f t="array" ref="E59">IFERROR(ROWS(_xlfn.UNIQUE(_xlfn.VSTACK(_xlfn._xlws.FILTER(tblDados[Mandante],(tblDados[País]=A59)*(tblDados[Liga]=B59)*(tblDados[Janela_12_Liga]=1)),_xlfn._xlws.FILTER(tblDados[Visitante],(tblDados[País]=A59)*(tblDados[Liga]=B59)*(tblDados[Janela_12_Liga]=1))))),0)</f>
        <v>17</v>
      </c>
      <c r="F59" s="208" cm="1">
        <f t="array" ref="F59">_xlfn.LET(_xlpm.p,A59,_xlpm.l,B59,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6</v>
      </c>
      <c r="G59" s="209">
        <f>IFERROR(_xlfn.MAXIFS(tblDados[Data],tblDados[País],A59,tblDados[Liga],B59,tblDados[Janela_12_Liga],1),"")</f>
        <v>46242</v>
      </c>
      <c r="H59" s="207" t="s">
        <v>11258</v>
      </c>
      <c r="I59" s="212" t="s">
        <v>11259</v>
      </c>
      <c r="J59" s="212" t="s">
        <v>10994</v>
      </c>
    </row>
    <row r="60" spans="1:10" x14ac:dyDescent="0.3">
      <c r="A60" s="308" t="s">
        <v>11260</v>
      </c>
      <c r="B60" s="308"/>
      <c r="C60" s="308"/>
      <c r="D60" s="308"/>
      <c r="E60" s="308"/>
      <c r="F60" s="308"/>
      <c r="G60" s="308"/>
      <c r="H60" s="308"/>
      <c r="I60" s="308"/>
      <c r="J60" s="308"/>
    </row>
    <row r="61" spans="1:10" x14ac:dyDescent="0.3">
      <c r="A61" s="255" t="s">
        <v>41</v>
      </c>
      <c r="B61" s="256" t="s">
        <v>10996</v>
      </c>
      <c r="C61" s="257" t="s">
        <v>45</v>
      </c>
      <c r="D61" s="258" t="s">
        <v>48</v>
      </c>
      <c r="E61" s="258" t="s">
        <v>0</v>
      </c>
      <c r="F61" s="258" t="s">
        <v>10997</v>
      </c>
      <c r="G61" s="256" t="s">
        <v>10998</v>
      </c>
      <c r="H61" s="257" t="s">
        <v>1343</v>
      </c>
      <c r="I61" s="259" t="s">
        <v>10999</v>
      </c>
      <c r="J61" s="259" t="s">
        <v>3247</v>
      </c>
    </row>
    <row r="62" spans="1:10" x14ac:dyDescent="0.3">
      <c r="A62" s="250" t="s">
        <v>11000</v>
      </c>
      <c r="B62" s="251">
        <v>0.3125</v>
      </c>
      <c r="C62" s="252" t="s">
        <v>11023</v>
      </c>
      <c r="D62" s="253" t="s">
        <v>11008</v>
      </c>
      <c r="E62" s="253" t="s">
        <v>11006</v>
      </c>
      <c r="F62" s="253" t="s">
        <v>11001</v>
      </c>
      <c r="G62" s="251">
        <v>0.8125</v>
      </c>
      <c r="H62" s="252" t="s">
        <v>11002</v>
      </c>
      <c r="I62" s="254" t="s">
        <v>11261</v>
      </c>
      <c r="J62" s="254" t="s">
        <v>11004</v>
      </c>
    </row>
    <row r="63" spans="1:10" x14ac:dyDescent="0.3">
      <c r="A63" s="250" t="s">
        <v>11000</v>
      </c>
      <c r="B63" s="251">
        <v>0.3125</v>
      </c>
      <c r="C63" s="252" t="s">
        <v>11032</v>
      </c>
      <c r="D63" s="253" t="s">
        <v>11028</v>
      </c>
      <c r="E63" s="253" t="s">
        <v>11006</v>
      </c>
      <c r="F63" s="253" t="s">
        <v>11001</v>
      </c>
      <c r="G63" s="251">
        <v>0.8125</v>
      </c>
      <c r="H63" s="252" t="s">
        <v>11002</v>
      </c>
      <c r="I63" s="254" t="s">
        <v>11261</v>
      </c>
      <c r="J63" s="254" t="s">
        <v>11004</v>
      </c>
    </row>
    <row r="64" spans="1:10" x14ac:dyDescent="0.3">
      <c r="A64" s="250" t="s">
        <v>11000</v>
      </c>
      <c r="B64" s="251">
        <v>0.3125</v>
      </c>
      <c r="C64" s="252" t="s">
        <v>11043</v>
      </c>
      <c r="D64" s="253" t="s">
        <v>11013</v>
      </c>
      <c r="E64" s="253" t="s">
        <v>11006</v>
      </c>
      <c r="F64" s="253" t="s">
        <v>11001</v>
      </c>
      <c r="G64" s="251">
        <v>0.8125</v>
      </c>
      <c r="H64" s="252" t="s">
        <v>11002</v>
      </c>
      <c r="I64" s="254" t="s">
        <v>11261</v>
      </c>
      <c r="J64" s="254" t="s">
        <v>11004</v>
      </c>
    </row>
    <row r="65" spans="1:10" x14ac:dyDescent="0.3">
      <c r="A65" s="260" t="s">
        <v>11000</v>
      </c>
      <c r="B65" s="261">
        <v>0.3125</v>
      </c>
      <c r="C65" s="219" t="s">
        <v>11018</v>
      </c>
      <c r="D65" s="219" t="s">
        <v>11014</v>
      </c>
      <c r="E65" s="219" t="s">
        <v>11006</v>
      </c>
      <c r="F65" s="219" t="s">
        <v>11001</v>
      </c>
      <c r="G65" s="261">
        <v>0.8125</v>
      </c>
      <c r="H65" s="219" t="s">
        <v>11002</v>
      </c>
      <c r="I65" s="219" t="s">
        <v>11261</v>
      </c>
      <c r="J65" s="219" t="s">
        <v>11004</v>
      </c>
    </row>
    <row r="66" spans="1:10" x14ac:dyDescent="0.3">
      <c r="A66" s="305" t="s">
        <v>8183</v>
      </c>
      <c r="B66" s="305"/>
      <c r="C66" s="305"/>
      <c r="D66" s="305"/>
      <c r="E66" s="305"/>
      <c r="F66" s="305"/>
      <c r="G66" s="305"/>
      <c r="H66" s="305"/>
      <c r="I66" s="305"/>
      <c r="J66" s="305"/>
    </row>
    <row r="67" spans="1:10" x14ac:dyDescent="0.3">
      <c r="A67" s="305"/>
      <c r="B67" s="305"/>
      <c r="C67" s="305"/>
      <c r="D67" s="305"/>
      <c r="E67" s="305"/>
      <c r="F67" s="305"/>
      <c r="G67" s="305"/>
      <c r="H67" s="305"/>
      <c r="I67" s="305"/>
      <c r="J67" s="305"/>
    </row>
    <row r="68" spans="1:10" x14ac:dyDescent="0.3">
      <c r="A68" s="305"/>
      <c r="B68" s="305"/>
      <c r="C68" s="305"/>
      <c r="D68" s="305"/>
      <c r="E68" s="305"/>
      <c r="F68" s="305"/>
      <c r="G68" s="305"/>
      <c r="H68" s="305"/>
      <c r="I68" s="305"/>
      <c r="J68" s="305"/>
    </row>
    <row r="69" spans="1:10" x14ac:dyDescent="0.3">
      <c r="D69">
        <f>COUNTIFS(tblDados[País],A69,tblDados[Liga],B69,tblDados[Janela_12_Liga],1)</f>
        <v>0</v>
      </c>
      <c r="E69" cm="1">
        <f t="array" ref="E69">IFERROR(ROWS(_xlfn.UNIQUE(_xlfn.VSTACK(_xlfn._xlws.FILTER(tblDados[Mandante],(tblDados[País]=A69)*(tblDados[Liga]=B69)*(tblDados[Janela_12_Liga]=1)),_xlfn._xlws.FILTER(tblDados[Visitante],(tblDados[País]=A69)*(tblDados[Liga]=B69)*(tblDados[Janela_12_Liga]=1))))),0)</f>
        <v>0</v>
      </c>
      <c r="F69" cm="1">
        <f t="array" ref="F69">_xlfn.LET(_xlpm.p,A69,_xlpm.l,B69,_xlpm.t,_xlfn.UNIQUE(_xlfn.VSTACK(_xlfn._xlws.FILTER(tblDados[Mandante],(tblDados[País]=_xlpm.p)*(tblDados[Liga]=_xlpm.l)*(tblDados[Janela_12_Liga]=1)),_xlfn._xlws.FILTER(tblDados[Visitante],(tblDados[País]=_xlpm.p)*(tblDados[Liga]=_xlpm.l)*(tblDados[Janela_12_Liga]=1)))),IFERROR(MIN(_xlfn.MAP(_xlpm.t,_xlfn.LAMBDA(_xlpm.x,SUMPRODUCT((tblDados[Mandante]=_xlpm.x)*(tblDados[País]=_xlpm.p)*(tblDados[Liga]=_xlpm.l)*tblDados[Janela_12_Mandante])+SUMPRODUCT((tblDados[Visitante]=_xlpm.x)*(tblDados[País]=_xlpm.p)*(tblDados[Liga]=_xlpm.l)*tblDados[Janela_12_Visitante])))),0))</f>
        <v>0</v>
      </c>
      <c r="G69">
        <f>IFERROR(_xlfn.MAXIFS(tblDados[Data],tblDados[País],A69,tblDados[Liga],B69,tblDados[Janela_12_Liga],1),"")</f>
        <v>0</v>
      </c>
      <c r="H69" t="str">
        <f>IF(F69&gt;=12,"OK — 12+","REVISAR")</f>
        <v>REVISAR</v>
      </c>
      <c r="I69" t="s">
        <v>8182</v>
      </c>
      <c r="J69" t="str">
        <f>IF(H69="OK — 12+","Manutenção semanal","Completar janela")</f>
        <v>Completar janela</v>
      </c>
    </row>
    <row r="70" spans="1:10" x14ac:dyDescent="0.3">
      <c r="A70" s="304" t="s">
        <v>8184</v>
      </c>
      <c r="B70" s="304"/>
      <c r="C70" s="304"/>
      <c r="D70" s="304"/>
      <c r="E70" s="304"/>
      <c r="F70" s="304"/>
      <c r="G70" s="304"/>
      <c r="H70" s="304"/>
      <c r="I70" s="304"/>
      <c r="J70" s="304"/>
    </row>
    <row r="71" spans="1:10" x14ac:dyDescent="0.3">
      <c r="A71" s="306" t="s">
        <v>8185</v>
      </c>
      <c r="B71" s="306"/>
      <c r="C71" s="306"/>
      <c r="D71" s="306"/>
      <c r="E71" s="306"/>
      <c r="F71" s="306"/>
      <c r="G71" s="306"/>
      <c r="H71" s="306"/>
      <c r="I71" s="306"/>
      <c r="J71" s="306"/>
    </row>
    <row r="72" spans="1:10" x14ac:dyDescent="0.3">
      <c r="A72" s="306"/>
      <c r="B72" s="306"/>
      <c r="C72" s="306"/>
      <c r="D72" s="306"/>
      <c r="E72" s="306"/>
      <c r="F72" s="306"/>
      <c r="G72" s="306"/>
      <c r="H72" s="306"/>
      <c r="I72" s="306"/>
      <c r="J72" s="306"/>
    </row>
  </sheetData>
  <mergeCells count="15">
    <mergeCell ref="A13:J13"/>
    <mergeCell ref="A66:J68"/>
    <mergeCell ref="A70:J70"/>
    <mergeCell ref="A71:J72"/>
    <mergeCell ref="A54:J54"/>
    <mergeCell ref="A60:J60"/>
    <mergeCell ref="I9:J9"/>
    <mergeCell ref="I10:J11"/>
    <mergeCell ref="A1:J1"/>
    <mergeCell ref="A2:J2"/>
    <mergeCell ref="A4:J4"/>
    <mergeCell ref="A5:J6"/>
    <mergeCell ref="A8:J8"/>
    <mergeCell ref="A9:C11"/>
    <mergeCell ref="E9:G11"/>
  </mergeCells>
  <conditionalFormatting sqref="H15:H53 H55:H59 H61:H64">
    <cfRule type="expression" dxfId="463" priority="1">
      <formula>$H15="OK — 12+"</formula>
    </cfRule>
    <cfRule type="expression" dxfId="462" priority="2">
      <formula>$H15="REVISAR"</formula>
    </cfRule>
  </conditionalFormatting>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F9F0-004A-4AF9-920E-7FE44323F097}">
  <dimension ref="A1:D126"/>
  <sheetViews>
    <sheetView workbookViewId="0">
      <selection activeCell="R57" sqref="R57"/>
    </sheetView>
  </sheetViews>
  <sheetFormatPr defaultRowHeight="14.4" x14ac:dyDescent="0.3"/>
  <cols>
    <col min="1" max="4" width="37" customWidth="1"/>
    <col min="5" max="8" width="24.109375" customWidth="1"/>
  </cols>
  <sheetData>
    <row r="1" spans="1:4" ht="31.95" customHeight="1" x14ac:dyDescent="0.45">
      <c r="A1" s="316" t="s">
        <v>3116</v>
      </c>
      <c r="B1" s="316"/>
      <c r="C1" s="316"/>
      <c r="D1" s="316"/>
    </row>
    <row r="2" spans="1:4" ht="14.4" customHeight="1" x14ac:dyDescent="0.3">
      <c r="A2" s="317" t="s">
        <v>3117</v>
      </c>
      <c r="B2" s="317"/>
      <c r="C2" s="317"/>
      <c r="D2" s="317"/>
    </row>
    <row r="4" spans="1:4" ht="24" customHeight="1" x14ac:dyDescent="0.3">
      <c r="A4" s="312" t="s">
        <v>3118</v>
      </c>
      <c r="B4" s="312"/>
      <c r="C4" s="312"/>
      <c r="D4" s="312"/>
    </row>
    <row r="5" spans="1:4" ht="37.950000000000003" customHeight="1" x14ac:dyDescent="0.3">
      <c r="A5" s="318" t="s">
        <v>3119</v>
      </c>
      <c r="B5" s="318"/>
      <c r="C5" s="318"/>
      <c r="D5" s="318"/>
    </row>
    <row r="7" spans="1:4" ht="24" customHeight="1" x14ac:dyDescent="0.3">
      <c r="A7" s="312" t="s">
        <v>3120</v>
      </c>
      <c r="B7" s="312"/>
      <c r="C7" s="312"/>
      <c r="D7" s="312"/>
    </row>
    <row r="8" spans="1:4" ht="43.2" x14ac:dyDescent="0.3">
      <c r="A8" s="28">
        <v>1</v>
      </c>
      <c r="B8" t="s">
        <v>3121</v>
      </c>
      <c r="C8" s="168" t="s">
        <v>3122</v>
      </c>
    </row>
    <row r="9" spans="1:4" ht="43.2" x14ac:dyDescent="0.3">
      <c r="A9" s="28">
        <v>2</v>
      </c>
      <c r="B9" t="s">
        <v>3123</v>
      </c>
      <c r="C9" s="168" t="s">
        <v>3124</v>
      </c>
    </row>
    <row r="10" spans="1:4" ht="43.2" x14ac:dyDescent="0.3">
      <c r="A10" s="28">
        <v>3</v>
      </c>
      <c r="B10" t="s">
        <v>3125</v>
      </c>
      <c r="C10" s="168" t="s">
        <v>3126</v>
      </c>
    </row>
    <row r="11" spans="1:4" ht="57.6" x14ac:dyDescent="0.3">
      <c r="A11" s="28">
        <v>4</v>
      </c>
      <c r="B11" t="s">
        <v>3127</v>
      </c>
      <c r="C11" s="168" t="s">
        <v>3128</v>
      </c>
    </row>
    <row r="12" spans="1:4" ht="57.6" x14ac:dyDescent="0.3">
      <c r="A12" s="28">
        <v>5</v>
      </c>
      <c r="B12" t="s">
        <v>3129</v>
      </c>
      <c r="C12" s="168" t="s">
        <v>3130</v>
      </c>
    </row>
    <row r="13" spans="1:4" ht="43.2" x14ac:dyDescent="0.3">
      <c r="A13" s="28">
        <v>6</v>
      </c>
      <c r="B13" t="s">
        <v>3131</v>
      </c>
      <c r="C13" s="168" t="s">
        <v>3132</v>
      </c>
    </row>
    <row r="14" spans="1:4" ht="28.8" x14ac:dyDescent="0.3">
      <c r="A14" s="28">
        <v>7</v>
      </c>
      <c r="B14" t="s">
        <v>3133</v>
      </c>
      <c r="C14" s="168" t="s">
        <v>3134</v>
      </c>
    </row>
    <row r="15" spans="1:4" ht="28.8" x14ac:dyDescent="0.3">
      <c r="A15" s="28">
        <v>8</v>
      </c>
      <c r="B15" t="s">
        <v>3135</v>
      </c>
      <c r="C15" s="168" t="s">
        <v>3136</v>
      </c>
    </row>
    <row r="16" spans="1:4" ht="72" x14ac:dyDescent="0.3">
      <c r="A16" s="28">
        <v>9</v>
      </c>
      <c r="B16" t="s">
        <v>3137</v>
      </c>
      <c r="C16" s="168" t="s">
        <v>3138</v>
      </c>
    </row>
    <row r="17" spans="1:4" ht="57.6" x14ac:dyDescent="0.3">
      <c r="A17" s="28">
        <v>10</v>
      </c>
      <c r="B17" t="s">
        <v>3139</v>
      </c>
      <c r="C17" s="168" t="s">
        <v>3140</v>
      </c>
    </row>
    <row r="18" spans="1:4" ht="57.6" x14ac:dyDescent="0.3">
      <c r="A18" s="28">
        <v>11</v>
      </c>
      <c r="B18" t="s">
        <v>62</v>
      </c>
      <c r="C18" s="168" t="s">
        <v>3141</v>
      </c>
    </row>
    <row r="19" spans="1:4" ht="43.2" x14ac:dyDescent="0.3">
      <c r="A19" s="166">
        <v>12</v>
      </c>
      <c r="B19" s="101" t="s">
        <v>3142</v>
      </c>
      <c r="C19" s="169" t="s">
        <v>3143</v>
      </c>
    </row>
    <row r="21" spans="1:4" ht="24" customHeight="1" x14ac:dyDescent="0.3">
      <c r="A21" s="312" t="s">
        <v>3144</v>
      </c>
      <c r="B21" s="312"/>
      <c r="C21" s="312"/>
      <c r="D21" s="312"/>
    </row>
    <row r="22" spans="1:4" x14ac:dyDescent="0.3">
      <c r="A22" s="165" t="s">
        <v>3145</v>
      </c>
      <c r="B22" s="165" t="s">
        <v>3146</v>
      </c>
      <c r="C22" s="165" t="s">
        <v>3147</v>
      </c>
      <c r="D22" s="165" t="s">
        <v>3148</v>
      </c>
    </row>
    <row r="23" spans="1:4" x14ac:dyDescent="0.3">
      <c r="A23" t="s">
        <v>3149</v>
      </c>
      <c r="B23" t="s">
        <v>41</v>
      </c>
      <c r="C23" t="s">
        <v>3150</v>
      </c>
      <c r="D23" s="168" t="s">
        <v>3151</v>
      </c>
    </row>
    <row r="24" spans="1:4" ht="28.8" x14ac:dyDescent="0.3">
      <c r="A24" t="s">
        <v>3152</v>
      </c>
      <c r="B24" t="s">
        <v>809</v>
      </c>
      <c r="C24" t="s">
        <v>3150</v>
      </c>
      <c r="D24" s="168" t="s">
        <v>3153</v>
      </c>
    </row>
    <row r="25" spans="1:4" x14ac:dyDescent="0.3">
      <c r="A25" t="s">
        <v>3154</v>
      </c>
      <c r="B25" t="s">
        <v>0</v>
      </c>
      <c r="C25" t="s">
        <v>3150</v>
      </c>
      <c r="D25" s="168" t="s">
        <v>3155</v>
      </c>
    </row>
    <row r="26" spans="1:4" x14ac:dyDescent="0.3">
      <c r="A26" t="s">
        <v>3156</v>
      </c>
      <c r="B26" t="s">
        <v>742</v>
      </c>
      <c r="C26" t="s">
        <v>3150</v>
      </c>
      <c r="D26" s="168" t="s">
        <v>3157</v>
      </c>
    </row>
    <row r="27" spans="1:4" ht="28.8" x14ac:dyDescent="0.3">
      <c r="A27" t="s">
        <v>3158</v>
      </c>
      <c r="B27" t="s">
        <v>53</v>
      </c>
      <c r="C27" t="s">
        <v>3150</v>
      </c>
      <c r="D27" s="168" t="s">
        <v>3159</v>
      </c>
    </row>
    <row r="28" spans="1:4" ht="28.8" x14ac:dyDescent="0.3">
      <c r="A28" t="s">
        <v>3160</v>
      </c>
      <c r="B28" t="s">
        <v>867</v>
      </c>
      <c r="C28" t="s">
        <v>3161</v>
      </c>
      <c r="D28" s="168" t="s">
        <v>3162</v>
      </c>
    </row>
    <row r="29" spans="1:4" x14ac:dyDescent="0.3">
      <c r="A29" t="s">
        <v>3163</v>
      </c>
      <c r="B29" t="s">
        <v>810</v>
      </c>
      <c r="C29" t="s">
        <v>3150</v>
      </c>
      <c r="D29" s="168" t="s">
        <v>3164</v>
      </c>
    </row>
    <row r="30" spans="1:4" ht="28.8" x14ac:dyDescent="0.3">
      <c r="A30" t="s">
        <v>3165</v>
      </c>
      <c r="B30" t="s">
        <v>868</v>
      </c>
      <c r="C30" t="s">
        <v>3150</v>
      </c>
      <c r="D30" s="168" t="s">
        <v>3166</v>
      </c>
    </row>
    <row r="31" spans="1:4" ht="28.8" x14ac:dyDescent="0.3">
      <c r="A31" t="s">
        <v>3167</v>
      </c>
      <c r="B31" t="s">
        <v>869</v>
      </c>
      <c r="C31" t="s">
        <v>3168</v>
      </c>
      <c r="D31" s="168" t="s">
        <v>3169</v>
      </c>
    </row>
    <row r="32" spans="1:4" x14ac:dyDescent="0.3">
      <c r="A32" t="s">
        <v>3170</v>
      </c>
      <c r="B32" t="s">
        <v>872</v>
      </c>
      <c r="C32" t="s">
        <v>3171</v>
      </c>
      <c r="D32" s="168" t="s">
        <v>3172</v>
      </c>
    </row>
    <row r="33" spans="1:4" ht="28.8" x14ac:dyDescent="0.3">
      <c r="A33" t="s">
        <v>3173</v>
      </c>
      <c r="B33" t="s">
        <v>873</v>
      </c>
      <c r="C33" t="s">
        <v>3174</v>
      </c>
      <c r="D33" s="168" t="s">
        <v>3175</v>
      </c>
    </row>
    <row r="34" spans="1:4" x14ac:dyDescent="0.3">
      <c r="A34" t="s">
        <v>3176</v>
      </c>
      <c r="B34" t="s">
        <v>874</v>
      </c>
      <c r="C34" t="s">
        <v>3150</v>
      </c>
      <c r="D34" s="168" t="s">
        <v>3177</v>
      </c>
    </row>
    <row r="35" spans="1:4" ht="28.8" x14ac:dyDescent="0.3">
      <c r="A35" t="s">
        <v>3178</v>
      </c>
      <c r="B35" t="s">
        <v>870</v>
      </c>
      <c r="C35" t="s">
        <v>3174</v>
      </c>
      <c r="D35" s="168" t="s">
        <v>3179</v>
      </c>
    </row>
    <row r="36" spans="1:4" ht="28.8" x14ac:dyDescent="0.3">
      <c r="A36" t="s">
        <v>3180</v>
      </c>
      <c r="B36" t="s">
        <v>3181</v>
      </c>
      <c r="C36" t="s">
        <v>3182</v>
      </c>
      <c r="D36" s="168" t="s">
        <v>3183</v>
      </c>
    </row>
    <row r="37" spans="1:4" ht="28.8" x14ac:dyDescent="0.3">
      <c r="A37" s="101" t="s">
        <v>3184</v>
      </c>
      <c r="B37" s="101" t="s">
        <v>1449</v>
      </c>
      <c r="C37" s="101" t="s">
        <v>3185</v>
      </c>
      <c r="D37" s="169" t="s">
        <v>3186</v>
      </c>
    </row>
    <row r="39" spans="1:4" ht="24" customHeight="1" x14ac:dyDescent="0.3">
      <c r="A39" s="312" t="s">
        <v>3187</v>
      </c>
      <c r="B39" s="312"/>
      <c r="C39" s="312"/>
      <c r="D39" s="312"/>
    </row>
    <row r="40" spans="1:4" x14ac:dyDescent="0.3">
      <c r="A40" s="165" t="s">
        <v>3188</v>
      </c>
      <c r="B40" s="165" t="s">
        <v>3189</v>
      </c>
      <c r="C40" s="165" t="s">
        <v>3190</v>
      </c>
      <c r="D40" s="165" t="s">
        <v>3191</v>
      </c>
    </row>
    <row r="41" spans="1:4" ht="28.8" x14ac:dyDescent="0.3">
      <c r="A41" t="s">
        <v>3192</v>
      </c>
      <c r="B41" t="s">
        <v>1346</v>
      </c>
      <c r="C41" t="s">
        <v>3193</v>
      </c>
      <c r="D41" s="168" t="s">
        <v>3194</v>
      </c>
    </row>
    <row r="42" spans="1:4" x14ac:dyDescent="0.3">
      <c r="A42" t="s">
        <v>3195</v>
      </c>
      <c r="B42" t="s">
        <v>1344</v>
      </c>
      <c r="C42" t="s">
        <v>3196</v>
      </c>
      <c r="D42" s="168" t="s">
        <v>3197</v>
      </c>
    </row>
    <row r="43" spans="1:4" ht="28.8" x14ac:dyDescent="0.3">
      <c r="A43" t="s">
        <v>3198</v>
      </c>
      <c r="B43" t="s">
        <v>1436</v>
      </c>
      <c r="C43" t="s">
        <v>3199</v>
      </c>
      <c r="D43" s="168" t="s">
        <v>3200</v>
      </c>
    </row>
    <row r="44" spans="1:4" ht="28.8" x14ac:dyDescent="0.3">
      <c r="A44" s="101" t="s">
        <v>3201</v>
      </c>
      <c r="B44" s="101" t="s">
        <v>3041</v>
      </c>
      <c r="C44" s="101" t="s">
        <v>3202</v>
      </c>
      <c r="D44" s="169" t="s">
        <v>3203</v>
      </c>
    </row>
    <row r="46" spans="1:4" ht="24" customHeight="1" x14ac:dyDescent="0.3">
      <c r="A46" s="312" t="s">
        <v>3204</v>
      </c>
      <c r="B46" s="312"/>
      <c r="C46" s="312"/>
      <c r="D46" s="312"/>
    </row>
    <row r="47" spans="1:4" x14ac:dyDescent="0.3">
      <c r="A47" s="165" t="s">
        <v>3146</v>
      </c>
      <c r="B47" s="165" t="s">
        <v>3205</v>
      </c>
    </row>
    <row r="48" spans="1:4" ht="115.2" x14ac:dyDescent="0.3">
      <c r="A48" t="s">
        <v>3206</v>
      </c>
      <c r="B48" s="168" t="s">
        <v>3207</v>
      </c>
    </row>
    <row r="49" spans="1:4" ht="28.8" x14ac:dyDescent="0.3">
      <c r="A49" t="s">
        <v>3208</v>
      </c>
      <c r="B49" s="168" t="s">
        <v>3209</v>
      </c>
    </row>
    <row r="50" spans="1:4" ht="28.8" x14ac:dyDescent="0.3">
      <c r="A50" t="s">
        <v>3210</v>
      </c>
      <c r="B50" s="168" t="s">
        <v>3211</v>
      </c>
    </row>
    <row r="51" spans="1:4" ht="43.2" x14ac:dyDescent="0.3">
      <c r="A51" s="101" t="s">
        <v>3212</v>
      </c>
      <c r="B51" s="169" t="s">
        <v>3213</v>
      </c>
    </row>
    <row r="53" spans="1:4" ht="24" customHeight="1" x14ac:dyDescent="0.3">
      <c r="A53" s="312" t="s">
        <v>3214</v>
      </c>
      <c r="B53" s="312"/>
      <c r="C53" s="312"/>
      <c r="D53" s="312"/>
    </row>
    <row r="54" spans="1:4" ht="48" customHeight="1" x14ac:dyDescent="0.3">
      <c r="A54" s="311" t="s">
        <v>3215</v>
      </c>
      <c r="B54" s="311"/>
      <c r="C54" s="311"/>
      <c r="D54" s="311"/>
    </row>
    <row r="55" spans="1:4" ht="42" customHeight="1" x14ac:dyDescent="0.3">
      <c r="A55" s="311" t="s">
        <v>3216</v>
      </c>
      <c r="B55" s="311"/>
      <c r="C55" s="311"/>
      <c r="D55" s="311"/>
    </row>
    <row r="57" spans="1:4" ht="24" customHeight="1" x14ac:dyDescent="0.3">
      <c r="A57" s="312" t="s">
        <v>3217</v>
      </c>
      <c r="B57" s="312"/>
      <c r="C57" s="312"/>
      <c r="D57" s="312"/>
    </row>
    <row r="58" spans="1:4" x14ac:dyDescent="0.3">
      <c r="A58" s="165" t="s">
        <v>3218</v>
      </c>
      <c r="B58" s="165" t="s">
        <v>3219</v>
      </c>
      <c r="C58" s="165" t="s">
        <v>51</v>
      </c>
      <c r="D58" s="165" t="s">
        <v>3220</v>
      </c>
    </row>
    <row r="59" spans="1:4" ht="28.8" x14ac:dyDescent="0.3">
      <c r="A59" s="100">
        <v>0.5</v>
      </c>
      <c r="B59" t="s">
        <v>3221</v>
      </c>
      <c r="C59" t="s">
        <v>833</v>
      </c>
      <c r="D59" s="168" t="s">
        <v>3222</v>
      </c>
    </row>
    <row r="60" spans="1:4" x14ac:dyDescent="0.3">
      <c r="A60" s="100">
        <v>0.75</v>
      </c>
      <c r="B60" t="s">
        <v>3223</v>
      </c>
      <c r="C60" t="s">
        <v>834</v>
      </c>
      <c r="D60" s="168" t="s">
        <v>3224</v>
      </c>
    </row>
    <row r="61" spans="1:4" x14ac:dyDescent="0.3">
      <c r="A61" s="100">
        <v>1</v>
      </c>
      <c r="B61" t="s">
        <v>3225</v>
      </c>
      <c r="C61" t="s">
        <v>835</v>
      </c>
      <c r="D61" s="168" t="s">
        <v>3224</v>
      </c>
    </row>
    <row r="62" spans="1:4" x14ac:dyDescent="0.3">
      <c r="A62" s="100">
        <v>1.25</v>
      </c>
      <c r="B62" t="s">
        <v>3226</v>
      </c>
      <c r="C62" t="s">
        <v>836</v>
      </c>
      <c r="D62" s="168" t="s">
        <v>3224</v>
      </c>
    </row>
    <row r="63" spans="1:4" x14ac:dyDescent="0.3">
      <c r="A63" s="100">
        <v>1.5</v>
      </c>
      <c r="B63" t="s">
        <v>3227</v>
      </c>
      <c r="C63" t="s">
        <v>837</v>
      </c>
      <c r="D63" s="168" t="s">
        <v>3224</v>
      </c>
    </row>
    <row r="64" spans="1:4" x14ac:dyDescent="0.3">
      <c r="A64" s="100">
        <v>1.75</v>
      </c>
      <c r="B64" t="s">
        <v>3228</v>
      </c>
      <c r="C64" t="s">
        <v>838</v>
      </c>
      <c r="D64" s="168" t="s">
        <v>3224</v>
      </c>
    </row>
    <row r="65" spans="1:4" x14ac:dyDescent="0.3">
      <c r="A65" s="100">
        <v>2</v>
      </c>
      <c r="B65" t="s">
        <v>3229</v>
      </c>
      <c r="C65" t="s">
        <v>839</v>
      </c>
      <c r="D65" s="168" t="s">
        <v>3224</v>
      </c>
    </row>
    <row r="66" spans="1:4" x14ac:dyDescent="0.3">
      <c r="A66" s="100">
        <v>2.25</v>
      </c>
      <c r="B66" t="s">
        <v>3230</v>
      </c>
      <c r="C66" t="s">
        <v>840</v>
      </c>
      <c r="D66" s="168" t="s">
        <v>3224</v>
      </c>
    </row>
    <row r="67" spans="1:4" x14ac:dyDescent="0.3">
      <c r="A67" s="100">
        <v>2.5</v>
      </c>
      <c r="B67" t="s">
        <v>3231</v>
      </c>
      <c r="C67" t="s">
        <v>841</v>
      </c>
      <c r="D67" s="168" t="s">
        <v>3224</v>
      </c>
    </row>
    <row r="68" spans="1:4" x14ac:dyDescent="0.3">
      <c r="A68" s="100">
        <v>2.75</v>
      </c>
      <c r="B68" t="s">
        <v>3232</v>
      </c>
      <c r="C68" t="s">
        <v>842</v>
      </c>
      <c r="D68" s="168" t="s">
        <v>3224</v>
      </c>
    </row>
    <row r="69" spans="1:4" x14ac:dyDescent="0.3">
      <c r="A69" s="167">
        <v>3</v>
      </c>
      <c r="B69" s="101" t="s">
        <v>3233</v>
      </c>
      <c r="C69" s="101" t="s">
        <v>843</v>
      </c>
      <c r="D69" s="169" t="s">
        <v>3224</v>
      </c>
    </row>
    <row r="71" spans="1:4" ht="24" customHeight="1" x14ac:dyDescent="0.3">
      <c r="A71" s="312" t="s">
        <v>3234</v>
      </c>
      <c r="B71" s="312"/>
      <c r="C71" s="312"/>
      <c r="D71" s="312"/>
    </row>
    <row r="72" spans="1:4" x14ac:dyDescent="0.3">
      <c r="A72" t="s">
        <v>3235</v>
      </c>
      <c r="B72" s="168" t="s">
        <v>3236</v>
      </c>
    </row>
    <row r="73" spans="1:4" x14ac:dyDescent="0.3">
      <c r="A73" t="s">
        <v>3235</v>
      </c>
      <c r="B73" s="168" t="s">
        <v>3237</v>
      </c>
    </row>
    <row r="74" spans="1:4" x14ac:dyDescent="0.3">
      <c r="A74" t="s">
        <v>3235</v>
      </c>
      <c r="B74" s="168" t="s">
        <v>3238</v>
      </c>
    </row>
    <row r="75" spans="1:4" x14ac:dyDescent="0.3">
      <c r="A75" t="s">
        <v>3235</v>
      </c>
      <c r="B75" s="168" t="s">
        <v>3239</v>
      </c>
    </row>
    <row r="76" spans="1:4" x14ac:dyDescent="0.3">
      <c r="A76" t="s">
        <v>3235</v>
      </c>
      <c r="B76" s="168" t="s">
        <v>3240</v>
      </c>
    </row>
    <row r="77" spans="1:4" x14ac:dyDescent="0.3">
      <c r="A77" t="s">
        <v>3235</v>
      </c>
      <c r="B77" s="168" t="s">
        <v>3241</v>
      </c>
    </row>
    <row r="78" spans="1:4" x14ac:dyDescent="0.3">
      <c r="A78" t="s">
        <v>3235</v>
      </c>
      <c r="B78" s="168" t="s">
        <v>3242</v>
      </c>
    </row>
    <row r="79" spans="1:4" ht="28.8" x14ac:dyDescent="0.3">
      <c r="A79" s="101" t="s">
        <v>3235</v>
      </c>
      <c r="B79" s="169" t="s">
        <v>3243</v>
      </c>
    </row>
    <row r="81" spans="1:4" ht="15.6" x14ac:dyDescent="0.3">
      <c r="A81" s="312" t="s">
        <v>3244</v>
      </c>
      <c r="B81" s="312"/>
      <c r="C81" s="312"/>
      <c r="D81" s="312"/>
    </row>
    <row r="82" spans="1:4" ht="34.049999999999997" customHeight="1" x14ac:dyDescent="0.3">
      <c r="A82" s="311" t="s">
        <v>3245</v>
      </c>
      <c r="B82" s="311"/>
      <c r="C82" s="311"/>
      <c r="D82" s="311"/>
    </row>
    <row r="84" spans="1:4" x14ac:dyDescent="0.3">
      <c r="A84" s="170" t="s">
        <v>3246</v>
      </c>
      <c r="B84" s="170" t="s">
        <v>3247</v>
      </c>
      <c r="C84" s="170" t="s">
        <v>3248</v>
      </c>
      <c r="D84" s="170" t="s">
        <v>3249</v>
      </c>
    </row>
    <row r="85" spans="1:4" ht="28.8" x14ac:dyDescent="0.3">
      <c r="A85">
        <v>1</v>
      </c>
      <c r="B85" t="s">
        <v>3250</v>
      </c>
      <c r="C85" s="168" t="s">
        <v>3251</v>
      </c>
      <c r="D85" s="168" t="s">
        <v>3252</v>
      </c>
    </row>
    <row r="86" spans="1:4" ht="28.8" x14ac:dyDescent="0.3">
      <c r="A86">
        <v>2</v>
      </c>
      <c r="B86" t="s">
        <v>3253</v>
      </c>
      <c r="C86" s="168" t="s">
        <v>3254</v>
      </c>
      <c r="D86" s="168" t="s">
        <v>3255</v>
      </c>
    </row>
    <row r="87" spans="1:4" ht="28.8" x14ac:dyDescent="0.3">
      <c r="A87">
        <v>3</v>
      </c>
      <c r="B87" t="s">
        <v>3256</v>
      </c>
      <c r="C87" s="168" t="s">
        <v>3257</v>
      </c>
      <c r="D87" s="168" t="s">
        <v>3258</v>
      </c>
    </row>
    <row r="88" spans="1:4" ht="43.2" x14ac:dyDescent="0.3">
      <c r="A88">
        <v>4</v>
      </c>
      <c r="B88" t="s">
        <v>3259</v>
      </c>
      <c r="C88" s="168" t="s">
        <v>3260</v>
      </c>
      <c r="D88" s="168" t="s">
        <v>3261</v>
      </c>
    </row>
    <row r="89" spans="1:4" ht="28.8" x14ac:dyDescent="0.3">
      <c r="A89">
        <v>5</v>
      </c>
      <c r="B89" t="s">
        <v>3262</v>
      </c>
      <c r="C89" s="168" t="s">
        <v>3263</v>
      </c>
      <c r="D89" s="168" t="s">
        <v>3264</v>
      </c>
    </row>
    <row r="90" spans="1:4" ht="43.2" x14ac:dyDescent="0.3">
      <c r="A90">
        <v>6</v>
      </c>
      <c r="B90" t="s">
        <v>3265</v>
      </c>
      <c r="C90" s="168" t="s">
        <v>3266</v>
      </c>
      <c r="D90" s="168" t="s">
        <v>3267</v>
      </c>
    </row>
    <row r="91" spans="1:4" ht="28.8" x14ac:dyDescent="0.3">
      <c r="A91">
        <v>7</v>
      </c>
      <c r="B91" t="s">
        <v>3268</v>
      </c>
      <c r="C91" s="168" t="s">
        <v>3269</v>
      </c>
      <c r="D91" s="168" t="s">
        <v>3270</v>
      </c>
    </row>
    <row r="92" spans="1:4" ht="43.2" x14ac:dyDescent="0.3">
      <c r="A92">
        <v>8</v>
      </c>
      <c r="B92" t="s">
        <v>3271</v>
      </c>
      <c r="C92" s="168" t="s">
        <v>3272</v>
      </c>
      <c r="D92" s="168" t="s">
        <v>3273</v>
      </c>
    </row>
    <row r="93" spans="1:4" ht="28.8" x14ac:dyDescent="0.3">
      <c r="A93">
        <v>9</v>
      </c>
      <c r="B93" t="s">
        <v>3274</v>
      </c>
      <c r="C93" s="168" t="s">
        <v>3275</v>
      </c>
      <c r="D93" s="168" t="s">
        <v>3276</v>
      </c>
    </row>
    <row r="94" spans="1:4" ht="43.2" x14ac:dyDescent="0.3">
      <c r="A94">
        <v>10</v>
      </c>
      <c r="B94" t="s">
        <v>3277</v>
      </c>
      <c r="C94" s="168" t="s">
        <v>3278</v>
      </c>
      <c r="D94" s="168" t="s">
        <v>3279</v>
      </c>
    </row>
    <row r="95" spans="1:4" ht="28.8" x14ac:dyDescent="0.3">
      <c r="A95">
        <v>11</v>
      </c>
      <c r="B95" t="s">
        <v>3280</v>
      </c>
      <c r="C95" s="168" t="s">
        <v>3281</v>
      </c>
      <c r="D95" s="168" t="s">
        <v>3282</v>
      </c>
    </row>
    <row r="97" spans="1:4" ht="15.6" x14ac:dyDescent="0.3">
      <c r="A97" s="312" t="s">
        <v>3283</v>
      </c>
      <c r="B97" s="312"/>
      <c r="C97" s="312"/>
      <c r="D97" s="312"/>
    </row>
    <row r="98" spans="1:4" ht="34.049999999999997" customHeight="1" x14ac:dyDescent="0.3">
      <c r="A98" s="311" t="s">
        <v>3284</v>
      </c>
      <c r="B98" s="311"/>
      <c r="C98" s="311"/>
      <c r="D98" s="311"/>
    </row>
    <row r="100" spans="1:4" ht="15.6" x14ac:dyDescent="0.3">
      <c r="A100" s="312" t="s">
        <v>3285</v>
      </c>
      <c r="B100" s="312"/>
      <c r="C100" s="312"/>
      <c r="D100" s="312"/>
    </row>
    <row r="101" spans="1:4" x14ac:dyDescent="0.3">
      <c r="A101" t="s">
        <v>3235</v>
      </c>
      <c r="B101" s="168" t="s">
        <v>3286</v>
      </c>
    </row>
    <row r="102" spans="1:4" ht="28.8" x14ac:dyDescent="0.3">
      <c r="A102" t="s">
        <v>3235</v>
      </c>
      <c r="B102" s="168" t="s">
        <v>3287</v>
      </c>
    </row>
    <row r="103" spans="1:4" x14ac:dyDescent="0.3">
      <c r="A103" t="s">
        <v>3235</v>
      </c>
      <c r="B103" s="168" t="s">
        <v>3288</v>
      </c>
    </row>
    <row r="104" spans="1:4" x14ac:dyDescent="0.3">
      <c r="A104" t="s">
        <v>3235</v>
      </c>
      <c r="B104" s="168" t="s">
        <v>3289</v>
      </c>
    </row>
    <row r="105" spans="1:4" ht="28.8" x14ac:dyDescent="0.3">
      <c r="A105" t="s">
        <v>3235</v>
      </c>
      <c r="B105" s="168" t="s">
        <v>3290</v>
      </c>
    </row>
    <row r="107" spans="1:4" ht="24" customHeight="1" x14ac:dyDescent="0.3">
      <c r="A107" s="309" t="s">
        <v>3314</v>
      </c>
      <c r="B107" s="309"/>
      <c r="C107" s="309"/>
      <c r="D107" s="309"/>
    </row>
    <row r="108" spans="1:4" x14ac:dyDescent="0.3">
      <c r="A108" s="310" t="s">
        <v>3315</v>
      </c>
      <c r="B108" s="310"/>
      <c r="C108" s="310"/>
      <c r="D108" s="310"/>
    </row>
    <row r="110" spans="1:4" ht="24" customHeight="1" x14ac:dyDescent="0.3">
      <c r="A110" s="309" t="s">
        <v>3335</v>
      </c>
      <c r="B110" s="309"/>
      <c r="C110" s="309"/>
      <c r="D110" s="309"/>
    </row>
    <row r="111" spans="1:4" ht="90" customHeight="1" x14ac:dyDescent="0.3">
      <c r="A111" s="314" t="s">
        <v>3336</v>
      </c>
      <c r="B111" s="314"/>
      <c r="C111" s="314"/>
      <c r="D111" s="314"/>
    </row>
    <row r="113" spans="1:4" ht="15.6" customHeight="1" x14ac:dyDescent="0.3">
      <c r="A113" s="315" t="s">
        <v>3665</v>
      </c>
      <c r="B113" s="315"/>
      <c r="C113" s="315"/>
      <c r="D113" s="315"/>
    </row>
    <row r="114" spans="1:4" ht="90" customHeight="1" x14ac:dyDescent="0.3">
      <c r="A114" s="313" t="s">
        <v>3723</v>
      </c>
      <c r="B114" s="313"/>
      <c r="C114" s="313"/>
      <c r="D114" s="313"/>
    </row>
    <row r="116" spans="1:4" ht="15.6" x14ac:dyDescent="0.3">
      <c r="A116" s="309" t="s">
        <v>4691</v>
      </c>
      <c r="B116" s="309"/>
      <c r="C116" s="309"/>
      <c r="D116" s="309"/>
    </row>
    <row r="117" spans="1:4" ht="45" customHeight="1" x14ac:dyDescent="0.3">
      <c r="A117" s="310" t="s">
        <v>4692</v>
      </c>
      <c r="B117" s="310"/>
      <c r="C117" s="310"/>
      <c r="D117" s="310"/>
    </row>
    <row r="119" spans="1:4" x14ac:dyDescent="0.3">
      <c r="A119" s="165" t="s">
        <v>4693</v>
      </c>
      <c r="B119" s="165" t="s">
        <v>3191</v>
      </c>
      <c r="C119" s="165" t="s">
        <v>4694</v>
      </c>
      <c r="D119" s="165" t="s">
        <v>4667</v>
      </c>
    </row>
    <row r="120" spans="1:4" x14ac:dyDescent="0.3">
      <c r="A120" t="s">
        <v>4695</v>
      </c>
      <c r="B120" t="s">
        <v>4696</v>
      </c>
      <c r="C120" t="s">
        <v>4697</v>
      </c>
      <c r="D120" s="168" t="s">
        <v>4698</v>
      </c>
    </row>
    <row r="121" spans="1:4" x14ac:dyDescent="0.3">
      <c r="A121" t="s">
        <v>4699</v>
      </c>
      <c r="B121" t="s">
        <v>4700</v>
      </c>
      <c r="C121" t="s">
        <v>4701</v>
      </c>
      <c r="D121" s="168" t="s">
        <v>4702</v>
      </c>
    </row>
    <row r="122" spans="1:4" x14ac:dyDescent="0.3">
      <c r="A122" t="s">
        <v>4699</v>
      </c>
      <c r="B122" t="s">
        <v>4703</v>
      </c>
      <c r="C122" t="s">
        <v>4704</v>
      </c>
      <c r="D122" s="168" t="s">
        <v>4705</v>
      </c>
    </row>
    <row r="123" spans="1:4" ht="28.8" x14ac:dyDescent="0.3">
      <c r="A123" t="s">
        <v>4706</v>
      </c>
      <c r="B123" t="s">
        <v>4707</v>
      </c>
      <c r="C123" t="s">
        <v>4708</v>
      </c>
      <c r="D123" s="168" t="s">
        <v>4709</v>
      </c>
    </row>
    <row r="125" spans="1:4" ht="15.6" x14ac:dyDescent="0.3">
      <c r="A125" s="309" t="s">
        <v>4710</v>
      </c>
      <c r="B125" s="309"/>
      <c r="C125" s="309"/>
      <c r="D125" s="309"/>
    </row>
    <row r="126" spans="1:4" ht="60" customHeight="1" x14ac:dyDescent="0.3">
      <c r="A126" s="310" t="s">
        <v>4711</v>
      </c>
      <c r="B126" s="310"/>
      <c r="C126" s="310"/>
      <c r="D126" s="310"/>
    </row>
  </sheetData>
  <mergeCells count="28">
    <mergeCell ref="A98:D98"/>
    <mergeCell ref="A100:D100"/>
    <mergeCell ref="A1:D1"/>
    <mergeCell ref="A2:D2"/>
    <mergeCell ref="A4:D4"/>
    <mergeCell ref="A5:D5"/>
    <mergeCell ref="A7:D7"/>
    <mergeCell ref="A21:D21"/>
    <mergeCell ref="A39:D39"/>
    <mergeCell ref="A46:D46"/>
    <mergeCell ref="A53:D53"/>
    <mergeCell ref="A54:D54"/>
    <mergeCell ref="A125:D125"/>
    <mergeCell ref="A126:D126"/>
    <mergeCell ref="A55:D55"/>
    <mergeCell ref="A57:D57"/>
    <mergeCell ref="A71:D71"/>
    <mergeCell ref="A116:D116"/>
    <mergeCell ref="A117:D117"/>
    <mergeCell ref="A81:D81"/>
    <mergeCell ref="A82:D82"/>
    <mergeCell ref="A114:D114"/>
    <mergeCell ref="A107:D107"/>
    <mergeCell ref="A108:D108"/>
    <mergeCell ref="A110:D110"/>
    <mergeCell ref="A111:D111"/>
    <mergeCell ref="A113:D113"/>
    <mergeCell ref="A97:D97"/>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147"/>
  <sheetViews>
    <sheetView topLeftCell="A3136" zoomScaleNormal="100" workbookViewId="0">
      <selection activeCell="H3156" sqref="H3156"/>
    </sheetView>
  </sheetViews>
  <sheetFormatPr defaultColWidth="8.5546875" defaultRowHeight="13.8" x14ac:dyDescent="0.3"/>
  <cols>
    <col min="1" max="1" width="11.77734375" style="1" customWidth="1"/>
    <col min="2" max="2" width="8.33203125" style="5" customWidth="1"/>
    <col min="3" max="3" width="7" style="1" customWidth="1"/>
    <col min="4" max="4" width="6.5546875" style="1" customWidth="1"/>
    <col min="5" max="5" width="17.77734375" style="1" customWidth="1"/>
    <col min="6" max="6" width="39.21875" style="1" customWidth="1"/>
    <col min="7" max="7" width="20.5546875" style="1" customWidth="1"/>
    <col min="8" max="8" width="8.21875" style="1" customWidth="1"/>
    <col min="9" max="9" width="7.77734375" style="1" customWidth="1"/>
    <col min="10" max="10" width="24" style="1" customWidth="1"/>
    <col min="11" max="11" width="7.77734375" style="1" customWidth="1"/>
    <col min="12" max="12" width="7.33203125" style="1" customWidth="1"/>
    <col min="13" max="13" width="10.33203125" style="1" customWidth="1"/>
    <col min="14" max="14" width="15.33203125" style="1" customWidth="1"/>
    <col min="15" max="15" width="6.5546875" style="1" customWidth="1"/>
    <col min="16" max="16" width="7.6640625" style="1" customWidth="1"/>
    <col min="17" max="17" width="18.6640625" style="1" customWidth="1"/>
    <col min="18" max="18" width="15.6640625" style="1" customWidth="1"/>
    <col min="19" max="19" width="52.77734375" style="1" hidden="1" customWidth="1"/>
    <col min="20" max="20" width="21.33203125" style="1" hidden="1" customWidth="1"/>
    <col min="21" max="22" width="31.44140625" style="1" customWidth="1"/>
    <col min="23" max="16384" width="8.5546875" style="1"/>
  </cols>
  <sheetData>
    <row r="1" spans="1:25" ht="14.25" customHeight="1" x14ac:dyDescent="0.3">
      <c r="A1" s="3" t="s">
        <v>40</v>
      </c>
      <c r="B1" s="3" t="s">
        <v>41</v>
      </c>
      <c r="C1" s="3" t="s">
        <v>42</v>
      </c>
      <c r="D1" s="3" t="s">
        <v>43</v>
      </c>
      <c r="E1" s="3" t="s">
        <v>0</v>
      </c>
      <c r="F1" s="3" t="s">
        <v>44</v>
      </c>
      <c r="G1" s="3" t="s">
        <v>45</v>
      </c>
      <c r="H1" s="3" t="s">
        <v>46</v>
      </c>
      <c r="I1" s="3" t="s">
        <v>47</v>
      </c>
      <c r="J1" s="3" t="s">
        <v>48</v>
      </c>
      <c r="K1" s="3" t="s">
        <v>49</v>
      </c>
      <c r="L1" s="3" t="s">
        <v>50</v>
      </c>
      <c r="M1" s="3" t="s">
        <v>51</v>
      </c>
      <c r="N1" s="3" t="s">
        <v>52</v>
      </c>
      <c r="O1" s="3" t="s">
        <v>53</v>
      </c>
      <c r="P1" s="3" t="s">
        <v>54</v>
      </c>
      <c r="Q1" s="3" t="s">
        <v>55</v>
      </c>
      <c r="R1" s="3" t="s">
        <v>56</v>
      </c>
      <c r="S1" s="4" t="s">
        <v>57</v>
      </c>
      <c r="T1" s="4" t="s">
        <v>58</v>
      </c>
      <c r="U1" s="17" t="s">
        <v>395</v>
      </c>
      <c r="V1" s="18" t="s">
        <v>396</v>
      </c>
      <c r="W1" s="217" t="s">
        <v>8296</v>
      </c>
      <c r="X1" s="217" t="s">
        <v>8297</v>
      </c>
      <c r="Y1" s="217" t="s">
        <v>8298</v>
      </c>
    </row>
    <row r="2" spans="1:25" ht="14.25" customHeight="1" x14ac:dyDescent="0.3">
      <c r="A2" s="1" t="s">
        <v>63</v>
      </c>
      <c r="B2" s="5">
        <v>46230</v>
      </c>
      <c r="C2" s="6">
        <v>0.58333333333333304</v>
      </c>
      <c r="D2" s="1" t="s">
        <v>27</v>
      </c>
      <c r="E2" s="1" t="s">
        <v>28</v>
      </c>
      <c r="F2" s="1" t="s">
        <v>6893</v>
      </c>
      <c r="G2" s="39" t="s">
        <v>6707</v>
      </c>
      <c r="H2" s="1">
        <v>4</v>
      </c>
      <c r="I2" s="1">
        <v>0</v>
      </c>
      <c r="J2" s="39" t="s">
        <v>6711</v>
      </c>
      <c r="K2" s="1">
        <v>0</v>
      </c>
      <c r="L2" s="1">
        <v>4</v>
      </c>
      <c r="M2" s="1" t="s">
        <v>59</v>
      </c>
      <c r="N2" s="1" t="s">
        <v>60</v>
      </c>
      <c r="O2" s="1">
        <v>1</v>
      </c>
      <c r="P2" s="1">
        <v>0.5</v>
      </c>
      <c r="Q2" s="1" t="s">
        <v>62</v>
      </c>
      <c r="R2" s="1">
        <v>0.13</v>
      </c>
      <c r="S2" s="1" t="s">
        <v>6894</v>
      </c>
      <c r="T2" s="1">
        <v>1</v>
      </c>
      <c r="U2" s="19"/>
      <c r="V2" s="19"/>
      <c r="W2" s="218">
        <v>1</v>
      </c>
      <c r="X2" s="218">
        <v>1</v>
      </c>
      <c r="Y2" s="218">
        <v>1</v>
      </c>
    </row>
    <row r="3" spans="1:25" ht="14.25" customHeight="1" x14ac:dyDescent="0.3">
      <c r="A3" s="1" t="s">
        <v>64</v>
      </c>
      <c r="B3" s="5">
        <v>46230</v>
      </c>
      <c r="C3" s="6">
        <v>0.58333333333333304</v>
      </c>
      <c r="D3" s="1" t="s">
        <v>27</v>
      </c>
      <c r="E3" s="1" t="s">
        <v>29</v>
      </c>
      <c r="F3" s="1" t="s">
        <v>6940</v>
      </c>
      <c r="G3" s="39" t="s">
        <v>6941</v>
      </c>
      <c r="H3" s="1">
        <v>6</v>
      </c>
      <c r="I3" s="1">
        <v>0</v>
      </c>
      <c r="J3" s="39" t="s">
        <v>6942</v>
      </c>
      <c r="K3" s="1">
        <v>0</v>
      </c>
      <c r="L3" s="1">
        <v>6</v>
      </c>
      <c r="M3" s="1" t="s">
        <v>59</v>
      </c>
      <c r="N3" s="1" t="s">
        <v>65</v>
      </c>
      <c r="O3" s="1">
        <v>1</v>
      </c>
      <c r="P3" s="1">
        <v>0.5</v>
      </c>
      <c r="Q3" s="1" t="s">
        <v>62</v>
      </c>
      <c r="R3" s="1">
        <v>0.19</v>
      </c>
      <c r="S3" s="1" t="s">
        <v>6943</v>
      </c>
      <c r="T3" s="1">
        <v>1</v>
      </c>
      <c r="U3" s="19"/>
      <c r="V3" s="19"/>
      <c r="W3" s="218">
        <v>1</v>
      </c>
      <c r="X3" s="218">
        <v>1</v>
      </c>
      <c r="Y3" s="218">
        <v>1</v>
      </c>
    </row>
    <row r="4" spans="1:25" ht="14.25" customHeight="1" x14ac:dyDescent="0.3">
      <c r="A4" s="1" t="s">
        <v>66</v>
      </c>
      <c r="B4" s="5">
        <v>46230</v>
      </c>
      <c r="C4" s="6">
        <v>0.58680555555555602</v>
      </c>
      <c r="D4" s="1" t="s">
        <v>30</v>
      </c>
      <c r="E4" s="1" t="s">
        <v>32</v>
      </c>
      <c r="F4" s="1" t="s">
        <v>5272</v>
      </c>
      <c r="G4" s="39" t="s">
        <v>5010</v>
      </c>
      <c r="H4" s="1">
        <v>3</v>
      </c>
      <c r="I4" s="1">
        <v>0</v>
      </c>
      <c r="J4" s="39" t="s">
        <v>67</v>
      </c>
      <c r="K4" s="1">
        <v>0</v>
      </c>
      <c r="L4" s="1">
        <v>3</v>
      </c>
      <c r="M4" s="1" t="s">
        <v>59</v>
      </c>
      <c r="N4" s="1" t="s">
        <v>60</v>
      </c>
      <c r="O4" s="1">
        <v>1</v>
      </c>
      <c r="P4" s="1">
        <v>0.5</v>
      </c>
      <c r="Q4" s="1" t="s">
        <v>62</v>
      </c>
      <c r="R4" s="1">
        <v>0.06</v>
      </c>
      <c r="S4" s="1" t="s">
        <v>5282</v>
      </c>
      <c r="T4" s="1">
        <v>1</v>
      </c>
      <c r="U4" s="19"/>
      <c r="V4" s="19"/>
      <c r="W4" s="218">
        <v>1</v>
      </c>
      <c r="X4" s="218">
        <v>1</v>
      </c>
      <c r="Y4" s="218">
        <v>1</v>
      </c>
    </row>
    <row r="5" spans="1:25" ht="14.25" customHeight="1" x14ac:dyDescent="0.3">
      <c r="A5" s="1" t="s">
        <v>69</v>
      </c>
      <c r="B5" s="5">
        <v>46230</v>
      </c>
      <c r="C5" s="6">
        <v>0.58333333333333304</v>
      </c>
      <c r="D5" s="1" t="s">
        <v>30</v>
      </c>
      <c r="E5" s="1" t="s">
        <v>31</v>
      </c>
      <c r="F5" s="1" t="s">
        <v>70</v>
      </c>
      <c r="G5" s="39" t="s">
        <v>71</v>
      </c>
      <c r="H5" s="1">
        <v>0</v>
      </c>
      <c r="I5" s="1">
        <v>0</v>
      </c>
      <c r="J5" s="39" t="s">
        <v>72</v>
      </c>
      <c r="K5" s="1">
        <v>0</v>
      </c>
      <c r="L5" s="1">
        <v>0</v>
      </c>
      <c r="M5" s="1" t="s">
        <v>59</v>
      </c>
      <c r="N5" s="1" t="s">
        <v>60</v>
      </c>
      <c r="O5" s="1">
        <v>1.17</v>
      </c>
      <c r="P5" s="1">
        <v>0.5</v>
      </c>
      <c r="Q5" s="1" t="s">
        <v>73</v>
      </c>
      <c r="R5" s="1">
        <v>-0.5</v>
      </c>
      <c r="S5" s="1" t="s">
        <v>8777</v>
      </c>
      <c r="T5" s="1">
        <v>1</v>
      </c>
      <c r="U5" s="19"/>
      <c r="V5" s="19"/>
      <c r="W5" s="218">
        <v>1</v>
      </c>
      <c r="X5" s="218">
        <v>1</v>
      </c>
      <c r="Y5" s="218">
        <v>1</v>
      </c>
    </row>
    <row r="6" spans="1:25" ht="14.25" customHeight="1" x14ac:dyDescent="0.3">
      <c r="A6" s="1" t="s">
        <v>75</v>
      </c>
      <c r="B6" s="5">
        <v>46230</v>
      </c>
      <c r="C6" s="6">
        <v>0.67708333333333304</v>
      </c>
      <c r="D6" s="1" t="s">
        <v>24</v>
      </c>
      <c r="E6" s="1" t="s">
        <v>4288</v>
      </c>
      <c r="F6" s="1" t="s">
        <v>76</v>
      </c>
      <c r="G6" s="39" t="s">
        <v>77</v>
      </c>
      <c r="H6" s="1">
        <v>1</v>
      </c>
      <c r="I6" s="1">
        <v>0</v>
      </c>
      <c r="J6" s="39" t="s">
        <v>78</v>
      </c>
      <c r="K6" s="1">
        <v>0</v>
      </c>
      <c r="L6" s="1">
        <v>1</v>
      </c>
      <c r="M6" s="1" t="s">
        <v>59</v>
      </c>
      <c r="N6" s="1" t="s">
        <v>60</v>
      </c>
      <c r="O6" s="1">
        <v>1.175</v>
      </c>
      <c r="P6" s="1">
        <v>0.5</v>
      </c>
      <c r="Q6" s="1" t="s">
        <v>73</v>
      </c>
      <c r="R6" s="1">
        <v>-0.5</v>
      </c>
      <c r="S6" s="1" t="s">
        <v>8778</v>
      </c>
      <c r="T6" s="1">
        <v>1</v>
      </c>
      <c r="U6" s="19"/>
      <c r="V6" s="19"/>
      <c r="W6" s="218">
        <v>1</v>
      </c>
      <c r="X6" s="218">
        <v>1</v>
      </c>
      <c r="Y6" s="218">
        <v>1</v>
      </c>
    </row>
    <row r="7" spans="1:25" ht="14.25" customHeight="1" x14ac:dyDescent="0.3">
      <c r="A7" s="1" t="s">
        <v>79</v>
      </c>
      <c r="B7" s="5">
        <v>46230</v>
      </c>
      <c r="C7" s="6">
        <v>0.67708333333333304</v>
      </c>
      <c r="D7" s="1" t="s">
        <v>24</v>
      </c>
      <c r="E7" s="1" t="s">
        <v>4288</v>
      </c>
      <c r="F7" s="1" t="s">
        <v>4528</v>
      </c>
      <c r="G7" s="39" t="s">
        <v>80</v>
      </c>
      <c r="H7" s="1">
        <v>0</v>
      </c>
      <c r="I7" s="1">
        <v>0</v>
      </c>
      <c r="J7" s="39" t="s">
        <v>4529</v>
      </c>
      <c r="K7" s="1">
        <v>0</v>
      </c>
      <c r="L7" s="1">
        <v>0</v>
      </c>
      <c r="M7" s="1" t="s">
        <v>59</v>
      </c>
      <c r="N7" s="1" t="s">
        <v>60</v>
      </c>
      <c r="O7" s="1">
        <v>1.1399999999999999</v>
      </c>
      <c r="P7" s="1">
        <v>0.5</v>
      </c>
      <c r="Q7" s="1" t="s">
        <v>73</v>
      </c>
      <c r="R7" s="1">
        <v>-0.5</v>
      </c>
      <c r="S7" s="1" t="s">
        <v>8779</v>
      </c>
      <c r="T7" s="1">
        <v>1</v>
      </c>
      <c r="U7" s="19"/>
      <c r="V7" s="19"/>
      <c r="W7" s="218">
        <v>1</v>
      </c>
      <c r="X7" s="218">
        <v>1</v>
      </c>
      <c r="Y7" s="218">
        <v>1</v>
      </c>
    </row>
    <row r="8" spans="1:25" ht="14.25" customHeight="1" x14ac:dyDescent="0.3">
      <c r="A8" s="1" t="s">
        <v>81</v>
      </c>
      <c r="B8" s="5">
        <v>46230</v>
      </c>
      <c r="C8" s="6">
        <v>0.83333333333333304</v>
      </c>
      <c r="D8" s="1" t="s">
        <v>12</v>
      </c>
      <c r="E8" s="1" t="s">
        <v>14</v>
      </c>
      <c r="F8" s="1" t="s">
        <v>82</v>
      </c>
      <c r="G8" s="39" t="s">
        <v>83</v>
      </c>
      <c r="H8" s="1">
        <v>2</v>
      </c>
      <c r="I8" s="1">
        <v>0</v>
      </c>
      <c r="J8" s="39" t="s">
        <v>84</v>
      </c>
      <c r="K8" s="1">
        <v>0</v>
      </c>
      <c r="L8" s="1">
        <v>2</v>
      </c>
      <c r="M8" s="1" t="s">
        <v>59</v>
      </c>
      <c r="N8" s="1" t="s">
        <v>85</v>
      </c>
      <c r="O8" s="1">
        <v>1.2250000000000001</v>
      </c>
      <c r="P8" s="1">
        <v>0.5</v>
      </c>
      <c r="Q8" s="1" t="s">
        <v>61</v>
      </c>
      <c r="R8" s="1">
        <v>0.12</v>
      </c>
      <c r="S8" s="1" t="s">
        <v>8780</v>
      </c>
      <c r="T8" s="1">
        <v>1</v>
      </c>
      <c r="U8" s="19"/>
      <c r="V8" s="19"/>
      <c r="W8" s="218">
        <v>1</v>
      </c>
      <c r="X8" s="218">
        <v>1</v>
      </c>
      <c r="Y8" s="218">
        <v>1</v>
      </c>
    </row>
    <row r="9" spans="1:25" ht="14.25" customHeight="1" x14ac:dyDescent="0.3">
      <c r="A9" s="1" t="s">
        <v>86</v>
      </c>
      <c r="B9" s="5">
        <v>46230</v>
      </c>
      <c r="C9" s="6">
        <v>0.83333333333333304</v>
      </c>
      <c r="D9" s="1" t="s">
        <v>12</v>
      </c>
      <c r="E9" s="1" t="s">
        <v>14</v>
      </c>
      <c r="F9" s="1" t="s">
        <v>87</v>
      </c>
      <c r="G9" s="39" t="s">
        <v>88</v>
      </c>
      <c r="H9" s="1">
        <v>3</v>
      </c>
      <c r="I9" s="1">
        <v>1</v>
      </c>
      <c r="J9" s="39" t="s">
        <v>89</v>
      </c>
      <c r="K9" s="1">
        <v>1</v>
      </c>
      <c r="L9" s="1">
        <v>3</v>
      </c>
      <c r="M9" s="1" t="s">
        <v>59</v>
      </c>
      <c r="N9" s="1" t="s">
        <v>74</v>
      </c>
      <c r="O9" s="1">
        <v>1.125</v>
      </c>
      <c r="P9" s="1">
        <v>0.5</v>
      </c>
      <c r="Q9" s="1" t="s">
        <v>61</v>
      </c>
      <c r="R9" s="1">
        <v>7.0000000000000007E-2</v>
      </c>
      <c r="S9" s="1" t="s">
        <v>8781</v>
      </c>
      <c r="T9" s="1">
        <v>1</v>
      </c>
      <c r="U9" s="19"/>
      <c r="V9" s="19"/>
      <c r="W9" s="218">
        <v>1</v>
      </c>
      <c r="X9" s="218">
        <v>1</v>
      </c>
      <c r="Y9" s="218">
        <v>1</v>
      </c>
    </row>
    <row r="10" spans="1:25" ht="14.25" customHeight="1" x14ac:dyDescent="0.3">
      <c r="A10" s="1" t="s">
        <v>90</v>
      </c>
      <c r="B10" s="5">
        <v>46230</v>
      </c>
      <c r="C10" s="6">
        <v>0.83333333333333304</v>
      </c>
      <c r="D10" s="1" t="s">
        <v>12</v>
      </c>
      <c r="E10" s="1" t="s">
        <v>14</v>
      </c>
      <c r="F10" s="1" t="s">
        <v>91</v>
      </c>
      <c r="G10" s="39" t="s">
        <v>92</v>
      </c>
      <c r="H10" s="1">
        <v>1</v>
      </c>
      <c r="I10" s="1">
        <v>1</v>
      </c>
      <c r="J10" s="39" t="s">
        <v>93</v>
      </c>
      <c r="K10" s="1">
        <v>1</v>
      </c>
      <c r="L10" s="1">
        <v>1</v>
      </c>
      <c r="M10" s="1" t="s">
        <v>59</v>
      </c>
      <c r="N10" s="1" t="s">
        <v>74</v>
      </c>
      <c r="O10" s="1">
        <v>1.17</v>
      </c>
      <c r="P10" s="1">
        <v>0.5</v>
      </c>
      <c r="Q10" s="1" t="s">
        <v>73</v>
      </c>
      <c r="R10" s="1">
        <v>0.09</v>
      </c>
      <c r="S10" s="1" t="s">
        <v>8782</v>
      </c>
      <c r="T10" s="1">
        <v>1</v>
      </c>
      <c r="U10" s="19"/>
      <c r="V10" s="19"/>
      <c r="W10" s="218">
        <v>1</v>
      </c>
      <c r="X10" s="218">
        <v>1</v>
      </c>
      <c r="Y10" s="218">
        <v>1</v>
      </c>
    </row>
    <row r="11" spans="1:25" ht="14.25" customHeight="1" x14ac:dyDescent="0.3">
      <c r="A11" s="1" t="s">
        <v>94</v>
      </c>
      <c r="B11" s="102">
        <v>46231</v>
      </c>
      <c r="C11" s="6">
        <v>0.67708333333333304</v>
      </c>
      <c r="D11" s="1" t="s">
        <v>24</v>
      </c>
      <c r="E11" s="1" t="s">
        <v>4289</v>
      </c>
      <c r="F11" s="1" t="s">
        <v>95</v>
      </c>
      <c r="G11" s="39" t="s">
        <v>96</v>
      </c>
      <c r="H11" s="1">
        <v>0</v>
      </c>
      <c r="I11" s="1">
        <v>1</v>
      </c>
      <c r="J11" s="39" t="s">
        <v>97</v>
      </c>
      <c r="K11" s="1">
        <v>1</v>
      </c>
      <c r="L11" s="1">
        <v>0</v>
      </c>
      <c r="M11" s="1" t="s">
        <v>59</v>
      </c>
      <c r="N11" s="1" t="s">
        <v>98</v>
      </c>
      <c r="O11" s="1">
        <v>1.17</v>
      </c>
      <c r="P11" s="1">
        <v>0.5</v>
      </c>
      <c r="Q11" s="1" t="s">
        <v>73</v>
      </c>
      <c r="R11" s="1">
        <v>-0.5</v>
      </c>
      <c r="S11" s="1" t="s">
        <v>8783</v>
      </c>
      <c r="T11" s="1">
        <v>1</v>
      </c>
      <c r="U11" s="19"/>
      <c r="V11" s="19"/>
      <c r="W11" s="218">
        <v>1</v>
      </c>
      <c r="X11" s="218">
        <v>1</v>
      </c>
      <c r="Y11" s="218">
        <v>1</v>
      </c>
    </row>
    <row r="12" spans="1:25" ht="14.25" customHeight="1" x14ac:dyDescent="0.3">
      <c r="A12" s="1" t="s">
        <v>99</v>
      </c>
      <c r="B12" s="5">
        <v>46231</v>
      </c>
      <c r="C12" s="6">
        <v>0.83333333333333304</v>
      </c>
      <c r="D12" s="1" t="s">
        <v>12</v>
      </c>
      <c r="E12" s="1" t="s">
        <v>14</v>
      </c>
      <c r="F12" s="1" t="s">
        <v>100</v>
      </c>
      <c r="G12" s="39" t="s">
        <v>101</v>
      </c>
      <c r="H12" s="1">
        <v>1</v>
      </c>
      <c r="I12" s="1">
        <v>1</v>
      </c>
      <c r="J12" s="39" t="s">
        <v>102</v>
      </c>
      <c r="K12" s="1">
        <v>1</v>
      </c>
      <c r="L12" s="1">
        <v>1</v>
      </c>
      <c r="M12" s="1" t="s">
        <v>59</v>
      </c>
      <c r="N12" s="1" t="s">
        <v>103</v>
      </c>
      <c r="O12" s="1">
        <v>1.105</v>
      </c>
      <c r="P12" s="1">
        <v>0.5</v>
      </c>
      <c r="Q12" s="1" t="s">
        <v>61</v>
      </c>
      <c r="R12" s="1">
        <v>0.06</v>
      </c>
      <c r="S12" s="1" t="s">
        <v>8784</v>
      </c>
      <c r="T12" s="1">
        <v>1</v>
      </c>
      <c r="U12" s="19"/>
      <c r="V12" s="19"/>
      <c r="W12" s="218">
        <v>1</v>
      </c>
      <c r="X12" s="218">
        <v>1</v>
      </c>
      <c r="Y12" s="218">
        <v>1</v>
      </c>
    </row>
    <row r="13" spans="1:25" ht="14.25" customHeight="1" x14ac:dyDescent="0.3">
      <c r="A13" s="1" t="s">
        <v>104</v>
      </c>
      <c r="B13" s="5">
        <v>46231</v>
      </c>
      <c r="C13" s="6">
        <v>0.79166666666666696</v>
      </c>
      <c r="D13" s="1" t="s">
        <v>12</v>
      </c>
      <c r="E13" s="1" t="s">
        <v>14</v>
      </c>
      <c r="F13" s="1" t="s">
        <v>105</v>
      </c>
      <c r="G13" s="39" t="s">
        <v>106</v>
      </c>
      <c r="H13" s="1">
        <v>1</v>
      </c>
      <c r="I13" s="1">
        <v>0</v>
      </c>
      <c r="J13" s="39" t="s">
        <v>107</v>
      </c>
      <c r="K13" s="1">
        <v>0</v>
      </c>
      <c r="L13" s="1">
        <v>1</v>
      </c>
      <c r="M13" s="1" t="s">
        <v>59</v>
      </c>
      <c r="N13" s="1" t="s">
        <v>74</v>
      </c>
      <c r="O13" s="1">
        <v>1.1200000000000001</v>
      </c>
      <c r="P13" s="1">
        <v>0.5</v>
      </c>
      <c r="Q13" s="1" t="s">
        <v>68</v>
      </c>
      <c r="R13" s="1">
        <v>0</v>
      </c>
      <c r="S13" s="1" t="s">
        <v>8785</v>
      </c>
      <c r="T13" s="1">
        <v>1</v>
      </c>
      <c r="U13" s="19"/>
      <c r="V13" s="19"/>
      <c r="W13" s="218">
        <v>1</v>
      </c>
      <c r="X13" s="218">
        <v>1</v>
      </c>
      <c r="Y13" s="218">
        <v>1</v>
      </c>
    </row>
    <row r="14" spans="1:25" ht="14.25" customHeight="1" x14ac:dyDescent="0.3">
      <c r="A14" s="1" t="s">
        <v>108</v>
      </c>
      <c r="B14" s="5">
        <v>46230</v>
      </c>
      <c r="C14" s="6">
        <v>0.71527777777777801</v>
      </c>
      <c r="D14" s="1" t="s">
        <v>4</v>
      </c>
      <c r="E14" s="1" t="s">
        <v>6</v>
      </c>
      <c r="F14" s="1" t="s">
        <v>109</v>
      </c>
      <c r="G14" s="39" t="s">
        <v>110</v>
      </c>
      <c r="H14" s="1">
        <v>3</v>
      </c>
      <c r="I14" s="1">
        <v>0</v>
      </c>
      <c r="J14" s="39" t="s">
        <v>111</v>
      </c>
      <c r="K14" s="1">
        <v>0</v>
      </c>
      <c r="L14" s="1">
        <v>3</v>
      </c>
      <c r="M14" s="1" t="s">
        <v>59</v>
      </c>
      <c r="N14" s="1" t="s">
        <v>74</v>
      </c>
      <c r="O14" s="1">
        <v>1.1399999999999999</v>
      </c>
      <c r="P14" s="1">
        <v>0.5</v>
      </c>
      <c r="Q14" s="1" t="s">
        <v>61</v>
      </c>
      <c r="R14" s="1">
        <v>7.0000000000000007E-2</v>
      </c>
      <c r="S14" s="1" t="s">
        <v>8786</v>
      </c>
      <c r="T14" s="1">
        <v>1</v>
      </c>
      <c r="U14" s="19"/>
      <c r="V14" s="19"/>
      <c r="W14" s="218">
        <v>1</v>
      </c>
      <c r="X14" s="218">
        <v>1</v>
      </c>
      <c r="Y14" s="218">
        <v>1</v>
      </c>
    </row>
    <row r="15" spans="1:25" ht="14.25" customHeight="1" x14ac:dyDescent="0.3">
      <c r="A15" s="1" t="s">
        <v>112</v>
      </c>
      <c r="B15" s="5">
        <v>46230</v>
      </c>
      <c r="C15" s="6">
        <v>0.77083333333333304</v>
      </c>
      <c r="D15" s="1" t="s">
        <v>4</v>
      </c>
      <c r="E15" s="1" t="s">
        <v>6</v>
      </c>
      <c r="F15" s="1" t="s">
        <v>113</v>
      </c>
      <c r="G15" s="39" t="s">
        <v>114</v>
      </c>
      <c r="H15" s="1">
        <v>0</v>
      </c>
      <c r="I15" s="1">
        <v>0</v>
      </c>
      <c r="J15" s="39" t="s">
        <v>115</v>
      </c>
      <c r="K15" s="1">
        <v>0</v>
      </c>
      <c r="L15" s="1">
        <v>0</v>
      </c>
      <c r="M15" s="1" t="s">
        <v>59</v>
      </c>
      <c r="N15" s="1" t="s">
        <v>103</v>
      </c>
      <c r="O15" s="1">
        <v>1.1200000000000001</v>
      </c>
      <c r="P15" s="1">
        <v>0.5</v>
      </c>
      <c r="Q15" s="1" t="s">
        <v>73</v>
      </c>
      <c r="R15" s="1">
        <v>-0.5</v>
      </c>
      <c r="S15" s="1" t="s">
        <v>8787</v>
      </c>
      <c r="T15" s="1">
        <v>1</v>
      </c>
      <c r="U15" s="19"/>
      <c r="V15" s="19"/>
      <c r="W15" s="218">
        <v>1</v>
      </c>
      <c r="X15" s="218">
        <v>1</v>
      </c>
      <c r="Y15" s="218">
        <v>1</v>
      </c>
    </row>
    <row r="16" spans="1:25" ht="14.25" customHeight="1" x14ac:dyDescent="0.3">
      <c r="A16" s="1" t="s">
        <v>116</v>
      </c>
      <c r="B16" s="5">
        <v>46230</v>
      </c>
      <c r="C16" s="6">
        <v>0.79166666666666696</v>
      </c>
      <c r="D16" s="1" t="s">
        <v>15</v>
      </c>
      <c r="E16" s="1" t="s">
        <v>2573</v>
      </c>
      <c r="F16" s="1" t="s">
        <v>117</v>
      </c>
      <c r="G16" s="39" t="s">
        <v>118</v>
      </c>
      <c r="H16" s="1">
        <v>2</v>
      </c>
      <c r="I16" s="1">
        <v>1</v>
      </c>
      <c r="J16" s="39" t="s">
        <v>119</v>
      </c>
      <c r="K16" s="1">
        <v>1</v>
      </c>
      <c r="L16" s="1">
        <v>2</v>
      </c>
      <c r="M16" s="1" t="s">
        <v>59</v>
      </c>
      <c r="N16" s="1" t="s">
        <v>120</v>
      </c>
      <c r="O16" s="1">
        <v>1.1599999999999999</v>
      </c>
      <c r="P16" s="1">
        <v>0.5</v>
      </c>
      <c r="Q16" s="1" t="s">
        <v>61</v>
      </c>
      <c r="R16" s="1">
        <v>0.08</v>
      </c>
      <c r="S16" s="1" t="s">
        <v>8788</v>
      </c>
      <c r="T16" s="1">
        <v>1</v>
      </c>
      <c r="U16" s="19"/>
      <c r="V16" s="19"/>
      <c r="W16" s="218">
        <v>1</v>
      </c>
      <c r="X16" s="218">
        <v>1</v>
      </c>
      <c r="Y16" s="218">
        <v>1</v>
      </c>
    </row>
    <row r="17" spans="1:25" ht="14.25" customHeight="1" x14ac:dyDescent="0.3">
      <c r="A17" s="1" t="s">
        <v>121</v>
      </c>
      <c r="B17" s="5">
        <v>46231</v>
      </c>
      <c r="C17" s="6">
        <v>0.79166666666666696</v>
      </c>
      <c r="D17" s="1" t="s">
        <v>12</v>
      </c>
      <c r="E17" s="1" t="s">
        <v>14</v>
      </c>
      <c r="F17" s="1" t="s">
        <v>122</v>
      </c>
      <c r="G17" s="39" t="s">
        <v>123</v>
      </c>
      <c r="H17" s="1">
        <v>1</v>
      </c>
      <c r="I17" s="1">
        <v>0</v>
      </c>
      <c r="J17" s="39" t="s">
        <v>124</v>
      </c>
      <c r="K17" s="1">
        <v>0</v>
      </c>
      <c r="L17" s="1">
        <v>1</v>
      </c>
      <c r="M17" s="1" t="s">
        <v>59</v>
      </c>
      <c r="N17" s="1" t="s">
        <v>74</v>
      </c>
      <c r="O17" s="1">
        <v>1.1100000000000001</v>
      </c>
      <c r="P17" s="1">
        <v>0.5</v>
      </c>
      <c r="Q17" s="1" t="s">
        <v>68</v>
      </c>
      <c r="R17" s="1">
        <v>0</v>
      </c>
      <c r="S17" s="1" t="s">
        <v>8789</v>
      </c>
      <c r="T17" s="1">
        <v>1</v>
      </c>
      <c r="U17" s="19"/>
      <c r="V17" s="19"/>
      <c r="W17" s="218">
        <v>1</v>
      </c>
      <c r="X17" s="218">
        <v>1</v>
      </c>
      <c r="Y17" s="218">
        <v>1</v>
      </c>
    </row>
    <row r="18" spans="1:25" ht="14.25" customHeight="1" x14ac:dyDescent="0.3">
      <c r="A18" s="1" t="s">
        <v>125</v>
      </c>
      <c r="B18" s="102">
        <v>46232</v>
      </c>
      <c r="C18" s="6">
        <v>0.69791666666666696</v>
      </c>
      <c r="D18" s="1" t="s">
        <v>24</v>
      </c>
      <c r="E18" s="1" t="s">
        <v>4289</v>
      </c>
      <c r="F18" s="1" t="s">
        <v>4292</v>
      </c>
      <c r="G18" s="39" t="s">
        <v>4293</v>
      </c>
      <c r="H18" s="1">
        <v>4</v>
      </c>
      <c r="I18" s="1">
        <v>1</v>
      </c>
      <c r="J18" s="39" t="s">
        <v>126</v>
      </c>
      <c r="K18" s="1">
        <v>1</v>
      </c>
      <c r="L18" s="1">
        <v>4</v>
      </c>
      <c r="M18" s="1" t="s">
        <v>59</v>
      </c>
      <c r="N18" s="1" t="s">
        <v>60</v>
      </c>
      <c r="O18" s="1">
        <v>1.19</v>
      </c>
      <c r="P18" s="1">
        <v>0.5</v>
      </c>
      <c r="Q18" s="1" t="s">
        <v>61</v>
      </c>
      <c r="R18" s="1">
        <v>0.1</v>
      </c>
      <c r="S18" s="1" t="s">
        <v>8790</v>
      </c>
      <c r="T18" s="1">
        <v>1</v>
      </c>
      <c r="U18" s="19"/>
      <c r="V18" s="19"/>
      <c r="W18" s="218">
        <v>1</v>
      </c>
      <c r="X18" s="218">
        <v>1</v>
      </c>
      <c r="Y18" s="218">
        <v>1</v>
      </c>
    </row>
    <row r="19" spans="1:25" ht="14.25" customHeight="1" x14ac:dyDescent="0.3">
      <c r="A19" s="1" t="s">
        <v>127</v>
      </c>
      <c r="B19" s="5">
        <v>46230</v>
      </c>
      <c r="C19" s="6">
        <v>0.625</v>
      </c>
      <c r="D19" s="1" t="s">
        <v>4</v>
      </c>
      <c r="E19" s="1" t="s">
        <v>5</v>
      </c>
      <c r="F19" s="1" t="s">
        <v>128</v>
      </c>
      <c r="G19" s="39" t="s">
        <v>129</v>
      </c>
      <c r="H19" s="1">
        <v>2</v>
      </c>
      <c r="I19" s="1">
        <v>1</v>
      </c>
      <c r="J19" s="39" t="s">
        <v>130</v>
      </c>
      <c r="K19" s="1">
        <v>1</v>
      </c>
      <c r="L19" s="1">
        <v>2</v>
      </c>
      <c r="M19" s="1" t="s">
        <v>59</v>
      </c>
      <c r="N19" s="1" t="s">
        <v>74</v>
      </c>
      <c r="O19" s="1">
        <v>1.25</v>
      </c>
      <c r="P19" s="1">
        <v>0.5</v>
      </c>
      <c r="Q19" s="1" t="s">
        <v>61</v>
      </c>
      <c r="R19" s="1">
        <v>0.13</v>
      </c>
      <c r="S19" s="1" t="s">
        <v>8791</v>
      </c>
      <c r="T19" s="1">
        <v>1</v>
      </c>
      <c r="U19" s="19"/>
      <c r="V19" s="19"/>
      <c r="W19" s="218">
        <v>1</v>
      </c>
      <c r="X19" s="218">
        <v>1</v>
      </c>
      <c r="Y19" s="218">
        <v>1</v>
      </c>
    </row>
    <row r="20" spans="1:25" ht="14.25" customHeight="1" x14ac:dyDescent="0.3">
      <c r="A20" s="1" t="s">
        <v>131</v>
      </c>
      <c r="B20" s="102">
        <v>46232</v>
      </c>
      <c r="C20" s="6">
        <v>0.67708333333333304</v>
      </c>
      <c r="D20" s="1" t="s">
        <v>24</v>
      </c>
      <c r="E20" s="1" t="s">
        <v>4289</v>
      </c>
      <c r="F20" s="1" t="s">
        <v>735</v>
      </c>
      <c r="G20" s="39" t="s">
        <v>132</v>
      </c>
      <c r="H20" s="1">
        <v>1</v>
      </c>
      <c r="I20" s="1">
        <v>0</v>
      </c>
      <c r="J20" s="39" t="s">
        <v>702</v>
      </c>
      <c r="K20" s="1">
        <v>0</v>
      </c>
      <c r="L20" s="1">
        <v>1</v>
      </c>
      <c r="M20" s="1" t="s">
        <v>59</v>
      </c>
      <c r="N20" s="1" t="s">
        <v>60</v>
      </c>
      <c r="O20" s="1">
        <v>1.2749999999999999</v>
      </c>
      <c r="P20" s="1">
        <v>0.5</v>
      </c>
      <c r="Q20" s="1" t="s">
        <v>73</v>
      </c>
      <c r="R20" s="1">
        <v>-0.5</v>
      </c>
      <c r="S20" s="1" t="s">
        <v>8792</v>
      </c>
      <c r="T20" s="1">
        <v>1</v>
      </c>
      <c r="U20" s="19"/>
      <c r="V20" s="19"/>
      <c r="W20" s="218">
        <v>1</v>
      </c>
      <c r="X20" s="218">
        <v>1</v>
      </c>
      <c r="Y20" s="218">
        <v>1</v>
      </c>
    </row>
    <row r="21" spans="1:25" ht="14.25" customHeight="1" x14ac:dyDescent="0.3">
      <c r="A21" s="1" t="s">
        <v>133</v>
      </c>
      <c r="B21" s="102">
        <v>46232</v>
      </c>
      <c r="C21" s="6">
        <v>0.66666666666666696</v>
      </c>
      <c r="D21" s="1" t="s">
        <v>12</v>
      </c>
      <c r="E21" s="1" t="s">
        <v>13</v>
      </c>
      <c r="F21" s="1" t="s">
        <v>134</v>
      </c>
      <c r="G21" s="39" t="s">
        <v>135</v>
      </c>
      <c r="H21" s="1">
        <v>2</v>
      </c>
      <c r="I21" s="1">
        <v>1</v>
      </c>
      <c r="J21" s="39" t="s">
        <v>136</v>
      </c>
      <c r="K21" s="1">
        <v>1</v>
      </c>
      <c r="L21" s="1">
        <v>2</v>
      </c>
      <c r="M21" s="1" t="s">
        <v>59</v>
      </c>
      <c r="N21" s="1" t="s">
        <v>60</v>
      </c>
      <c r="O21" s="1">
        <v>1.4</v>
      </c>
      <c r="P21" s="1">
        <v>0.5</v>
      </c>
      <c r="Q21" s="1" t="s">
        <v>61</v>
      </c>
      <c r="R21" s="1">
        <v>0.2</v>
      </c>
      <c r="S21" s="1" t="s">
        <v>8793</v>
      </c>
      <c r="T21" s="1">
        <v>1</v>
      </c>
      <c r="U21" s="19"/>
      <c r="V21" s="19"/>
      <c r="W21" s="218">
        <v>1</v>
      </c>
      <c r="X21" s="218">
        <v>1</v>
      </c>
      <c r="Y21" s="218">
        <v>1</v>
      </c>
    </row>
    <row r="22" spans="1:25" ht="14.25" customHeight="1" x14ac:dyDescent="0.3">
      <c r="A22" s="1" t="s">
        <v>137</v>
      </c>
      <c r="B22" s="5">
        <v>46230</v>
      </c>
      <c r="C22" s="6">
        <v>0.625</v>
      </c>
      <c r="D22" s="1" t="s">
        <v>4</v>
      </c>
      <c r="E22" s="1" t="s">
        <v>5</v>
      </c>
      <c r="F22" s="1" t="s">
        <v>138</v>
      </c>
      <c r="G22" s="39" t="s">
        <v>139</v>
      </c>
      <c r="H22" s="1">
        <v>1</v>
      </c>
      <c r="I22" s="1">
        <v>0</v>
      </c>
      <c r="J22" s="39" t="s">
        <v>140</v>
      </c>
      <c r="K22" s="1">
        <v>0</v>
      </c>
      <c r="L22" s="1">
        <v>1</v>
      </c>
      <c r="M22" s="1" t="s">
        <v>59</v>
      </c>
      <c r="N22" s="1" t="s">
        <v>120</v>
      </c>
      <c r="O22" s="1">
        <v>1.5</v>
      </c>
      <c r="P22" s="1">
        <v>0.5</v>
      </c>
      <c r="Q22" s="1" t="s">
        <v>73</v>
      </c>
      <c r="R22" s="1">
        <v>-0.5</v>
      </c>
      <c r="S22" s="1" t="s">
        <v>8794</v>
      </c>
      <c r="T22" s="1">
        <v>1</v>
      </c>
      <c r="U22" s="19"/>
      <c r="V22" s="19"/>
      <c r="W22" s="218">
        <v>1</v>
      </c>
      <c r="X22" s="218">
        <v>1</v>
      </c>
      <c r="Y22" s="218">
        <v>1</v>
      </c>
    </row>
    <row r="23" spans="1:25" ht="14.25" customHeight="1" x14ac:dyDescent="0.3">
      <c r="A23" s="1" t="s">
        <v>141</v>
      </c>
      <c r="B23" s="102">
        <v>46232</v>
      </c>
      <c r="C23" s="6">
        <v>0.66666666666666696</v>
      </c>
      <c r="D23" s="1" t="s">
        <v>12</v>
      </c>
      <c r="E23" s="1" t="s">
        <v>13</v>
      </c>
      <c r="F23" s="1" t="s">
        <v>142</v>
      </c>
      <c r="G23" s="39" t="s">
        <v>143</v>
      </c>
      <c r="H23" s="1">
        <v>1</v>
      </c>
      <c r="I23" s="1">
        <v>1</v>
      </c>
      <c r="J23" s="39" t="s">
        <v>144</v>
      </c>
      <c r="K23" s="1">
        <v>1</v>
      </c>
      <c r="L23" s="1">
        <v>1</v>
      </c>
      <c r="M23" s="1" t="s">
        <v>59</v>
      </c>
      <c r="N23" s="1" t="s">
        <v>60</v>
      </c>
      <c r="O23" s="1">
        <v>1.4750000000000001</v>
      </c>
      <c r="P23" s="1">
        <v>0.5</v>
      </c>
      <c r="Q23" s="1" t="s">
        <v>68</v>
      </c>
      <c r="R23" s="1">
        <v>0</v>
      </c>
      <c r="S23" s="1" t="s">
        <v>8795</v>
      </c>
      <c r="T23" s="1">
        <v>1</v>
      </c>
      <c r="U23" s="19"/>
      <c r="V23" s="19"/>
      <c r="W23" s="218">
        <v>1</v>
      </c>
      <c r="X23" s="218">
        <v>1</v>
      </c>
      <c r="Y23" s="218">
        <v>1</v>
      </c>
    </row>
    <row r="24" spans="1:25" ht="14.25" customHeight="1" x14ac:dyDescent="0.3">
      <c r="A24" s="1" t="s">
        <v>145</v>
      </c>
      <c r="B24" s="102">
        <v>46206</v>
      </c>
      <c r="C24" s="6">
        <v>0.875</v>
      </c>
      <c r="D24" s="1" t="s">
        <v>17</v>
      </c>
      <c r="E24" s="1" t="s">
        <v>4056</v>
      </c>
      <c r="F24" s="1" t="s">
        <v>4057</v>
      </c>
      <c r="G24" s="39" t="s">
        <v>146</v>
      </c>
      <c r="H24" s="1">
        <v>4</v>
      </c>
      <c r="I24" s="1">
        <v>0</v>
      </c>
      <c r="J24" s="39" t="s">
        <v>147</v>
      </c>
      <c r="K24" s="1">
        <v>0</v>
      </c>
      <c r="L24" s="1">
        <v>4</v>
      </c>
      <c r="M24" s="1" t="s">
        <v>59</v>
      </c>
      <c r="N24" s="1" t="s">
        <v>60</v>
      </c>
      <c r="O24" s="1">
        <v>1.25</v>
      </c>
      <c r="P24" s="1">
        <v>0.5</v>
      </c>
      <c r="Q24" s="1" t="s">
        <v>73</v>
      </c>
      <c r="R24" s="1">
        <v>-0.5</v>
      </c>
      <c r="S24" s="1" t="s">
        <v>8796</v>
      </c>
      <c r="T24" s="1">
        <v>1</v>
      </c>
      <c r="U24" s="19"/>
      <c r="V24" s="19"/>
      <c r="W24" s="218">
        <v>1</v>
      </c>
      <c r="X24" s="218">
        <v>1</v>
      </c>
      <c r="Y24" s="218">
        <v>1</v>
      </c>
    </row>
    <row r="25" spans="1:25" ht="14.25" customHeight="1" x14ac:dyDescent="0.3">
      <c r="A25" s="1" t="s">
        <v>148</v>
      </c>
      <c r="B25" s="102">
        <v>46232</v>
      </c>
      <c r="C25" s="6">
        <v>0.66666666666666696</v>
      </c>
      <c r="D25" s="1" t="s">
        <v>12</v>
      </c>
      <c r="E25" s="1" t="s">
        <v>13</v>
      </c>
      <c r="F25" s="1" t="s">
        <v>149</v>
      </c>
      <c r="G25" s="39" t="s">
        <v>150</v>
      </c>
      <c r="H25" s="1">
        <v>0</v>
      </c>
      <c r="I25" s="1">
        <v>4</v>
      </c>
      <c r="J25" s="39" t="s">
        <v>151</v>
      </c>
      <c r="K25" s="1">
        <v>4</v>
      </c>
      <c r="L25" s="1">
        <v>0</v>
      </c>
      <c r="M25" s="1" t="s">
        <v>59</v>
      </c>
      <c r="N25" s="1" t="s">
        <v>152</v>
      </c>
      <c r="O25" s="1">
        <v>1.5249999999999999</v>
      </c>
      <c r="P25" s="1">
        <v>0.5</v>
      </c>
      <c r="Q25" s="1" t="s">
        <v>61</v>
      </c>
      <c r="R25" s="1">
        <v>0.27</v>
      </c>
      <c r="S25" s="1" t="s">
        <v>8797</v>
      </c>
      <c r="T25" s="1">
        <v>1</v>
      </c>
      <c r="U25" s="19"/>
      <c r="V25" s="19"/>
      <c r="W25" s="218">
        <v>1</v>
      </c>
      <c r="X25" s="218">
        <v>1</v>
      </c>
      <c r="Y25" s="218">
        <v>1</v>
      </c>
    </row>
    <row r="26" spans="1:25" ht="14.25" customHeight="1" x14ac:dyDescent="0.3">
      <c r="A26" s="1" t="s">
        <v>153</v>
      </c>
      <c r="B26" s="5">
        <v>46230</v>
      </c>
      <c r="C26" s="6">
        <v>0.625</v>
      </c>
      <c r="D26" s="1" t="s">
        <v>4</v>
      </c>
      <c r="E26" s="1" t="s">
        <v>5</v>
      </c>
      <c r="F26" s="1" t="s">
        <v>154</v>
      </c>
      <c r="G26" s="39" t="s">
        <v>155</v>
      </c>
      <c r="H26" s="1">
        <v>2</v>
      </c>
      <c r="I26" s="1">
        <v>1</v>
      </c>
      <c r="J26" s="39" t="s">
        <v>156</v>
      </c>
      <c r="K26" s="1">
        <v>1</v>
      </c>
      <c r="L26" s="1">
        <v>2</v>
      </c>
      <c r="M26" s="1" t="s">
        <v>59</v>
      </c>
      <c r="N26" s="1" t="s">
        <v>157</v>
      </c>
      <c r="O26" s="1">
        <v>1.4</v>
      </c>
      <c r="P26" s="1">
        <v>0.5</v>
      </c>
      <c r="Q26" s="1" t="s">
        <v>73</v>
      </c>
      <c r="R26" s="1">
        <v>-0.5</v>
      </c>
      <c r="S26" s="1" t="s">
        <v>8798</v>
      </c>
      <c r="T26" s="1">
        <v>1</v>
      </c>
      <c r="U26" s="19"/>
      <c r="V26" s="19"/>
      <c r="W26" s="218">
        <v>1</v>
      </c>
      <c r="X26" s="218">
        <v>1</v>
      </c>
      <c r="Y26" s="218">
        <v>1</v>
      </c>
    </row>
    <row r="27" spans="1:25" ht="14.25" customHeight="1" x14ac:dyDescent="0.3">
      <c r="A27" s="1" t="s">
        <v>158</v>
      </c>
      <c r="B27" s="102">
        <v>46232</v>
      </c>
      <c r="C27" s="6">
        <v>0.66666666666666696</v>
      </c>
      <c r="D27" s="1" t="s">
        <v>12</v>
      </c>
      <c r="E27" s="1" t="s">
        <v>13</v>
      </c>
      <c r="F27" s="1" t="s">
        <v>159</v>
      </c>
      <c r="G27" s="39" t="s">
        <v>160</v>
      </c>
      <c r="H27" s="1">
        <v>0</v>
      </c>
      <c r="I27" s="1">
        <v>0</v>
      </c>
      <c r="J27" s="39" t="s">
        <v>161</v>
      </c>
      <c r="K27" s="1">
        <v>0</v>
      </c>
      <c r="L27" s="1">
        <v>0</v>
      </c>
      <c r="M27" s="1" t="s">
        <v>59</v>
      </c>
      <c r="N27" s="1" t="s">
        <v>60</v>
      </c>
      <c r="O27" s="1">
        <v>1.4</v>
      </c>
      <c r="P27" s="1">
        <v>0.5</v>
      </c>
      <c r="Q27" s="1" t="s">
        <v>73</v>
      </c>
      <c r="R27" s="1">
        <v>-0.5</v>
      </c>
      <c r="S27" s="1" t="s">
        <v>8799</v>
      </c>
      <c r="T27" s="1">
        <v>1</v>
      </c>
      <c r="U27" s="19"/>
      <c r="V27" s="19"/>
      <c r="W27" s="218">
        <v>1</v>
      </c>
      <c r="X27" s="218">
        <v>1</v>
      </c>
      <c r="Y27" s="218">
        <v>1</v>
      </c>
    </row>
    <row r="28" spans="1:25" ht="14.25" customHeight="1" x14ac:dyDescent="0.3">
      <c r="A28" s="1" t="s">
        <v>162</v>
      </c>
      <c r="B28" s="5">
        <v>46233</v>
      </c>
      <c r="C28" s="6">
        <v>0.52083333333333304</v>
      </c>
      <c r="D28" s="1" t="s">
        <v>18</v>
      </c>
      <c r="E28" s="1" t="s">
        <v>21</v>
      </c>
      <c r="F28" s="1" t="s">
        <v>798</v>
      </c>
      <c r="G28" s="39" t="s">
        <v>766</v>
      </c>
      <c r="H28" s="1">
        <v>2</v>
      </c>
      <c r="I28" s="1">
        <v>2</v>
      </c>
      <c r="J28" s="39" t="s">
        <v>163</v>
      </c>
      <c r="K28" s="1">
        <v>2</v>
      </c>
      <c r="L28" s="1">
        <v>2</v>
      </c>
      <c r="M28" s="1" t="s">
        <v>59</v>
      </c>
      <c r="N28" s="1" t="s">
        <v>60</v>
      </c>
      <c r="O28" s="1">
        <v>1.3049999999999999</v>
      </c>
      <c r="P28" s="1">
        <v>0.5</v>
      </c>
      <c r="Q28" s="1" t="s">
        <v>62</v>
      </c>
      <c r="R28" s="1">
        <v>0.05</v>
      </c>
      <c r="S28" s="1" t="s">
        <v>8800</v>
      </c>
      <c r="T28" s="1">
        <v>1</v>
      </c>
      <c r="U28" s="19"/>
      <c r="V28" s="19"/>
      <c r="W28" s="218">
        <v>1</v>
      </c>
      <c r="X28" s="218">
        <v>1</v>
      </c>
      <c r="Y28" s="218">
        <v>1</v>
      </c>
    </row>
    <row r="29" spans="1:25" ht="14.25" customHeight="1" x14ac:dyDescent="0.3">
      <c r="A29" s="1" t="s">
        <v>164</v>
      </c>
      <c r="B29" s="5">
        <v>46233</v>
      </c>
      <c r="C29" s="6">
        <v>0.58333333333333304</v>
      </c>
      <c r="D29" s="1" t="s">
        <v>30</v>
      </c>
      <c r="E29" s="1" t="s">
        <v>35</v>
      </c>
      <c r="F29" s="1" t="s">
        <v>165</v>
      </c>
      <c r="G29" s="39" t="s">
        <v>166</v>
      </c>
      <c r="H29" s="1">
        <v>5</v>
      </c>
      <c r="I29" s="1">
        <v>1</v>
      </c>
      <c r="J29" s="39" t="s">
        <v>167</v>
      </c>
      <c r="K29" s="1">
        <v>1</v>
      </c>
      <c r="L29" s="1">
        <v>5</v>
      </c>
      <c r="M29" s="1" t="s">
        <v>59</v>
      </c>
      <c r="N29" s="1" t="s">
        <v>60</v>
      </c>
      <c r="O29" s="1">
        <v>1.22</v>
      </c>
      <c r="P29" s="1">
        <v>0.5</v>
      </c>
      <c r="Q29" s="1" t="s">
        <v>61</v>
      </c>
      <c r="R29" s="1">
        <v>0.11</v>
      </c>
      <c r="S29" s="1" t="s">
        <v>8801</v>
      </c>
      <c r="T29" s="1">
        <v>1</v>
      </c>
      <c r="U29" s="19"/>
      <c r="V29" s="19"/>
      <c r="W29" s="218">
        <v>1</v>
      </c>
      <c r="X29" s="218">
        <v>1</v>
      </c>
      <c r="Y29" s="218">
        <v>1</v>
      </c>
    </row>
    <row r="30" spans="1:25" ht="14.25" customHeight="1" x14ac:dyDescent="0.3">
      <c r="A30" s="1" t="s">
        <v>169</v>
      </c>
      <c r="B30" s="5">
        <v>46230</v>
      </c>
      <c r="C30" s="6">
        <v>0.625</v>
      </c>
      <c r="D30" s="1" t="s">
        <v>4</v>
      </c>
      <c r="E30" s="1" t="s">
        <v>5</v>
      </c>
      <c r="F30" s="1" t="s">
        <v>170</v>
      </c>
      <c r="G30" s="39" t="s">
        <v>171</v>
      </c>
      <c r="H30" s="1">
        <v>2</v>
      </c>
      <c r="I30" s="1">
        <v>1</v>
      </c>
      <c r="J30" s="39" t="s">
        <v>172</v>
      </c>
      <c r="K30" s="1">
        <v>1</v>
      </c>
      <c r="L30" s="1">
        <v>2</v>
      </c>
      <c r="M30" s="1" t="s">
        <v>59</v>
      </c>
      <c r="N30" s="1" t="s">
        <v>168</v>
      </c>
      <c r="O30" s="1">
        <v>1.1499999999999999</v>
      </c>
      <c r="P30" s="1">
        <v>0.5</v>
      </c>
      <c r="Q30" s="1" t="s">
        <v>68</v>
      </c>
      <c r="R30" s="1">
        <v>0</v>
      </c>
      <c r="S30" s="1" t="s">
        <v>8802</v>
      </c>
      <c r="T30" s="1">
        <v>1</v>
      </c>
      <c r="U30" s="19"/>
      <c r="V30" s="19"/>
      <c r="W30" s="218">
        <v>1</v>
      </c>
      <c r="X30" s="218">
        <v>1</v>
      </c>
      <c r="Y30" s="218">
        <v>1</v>
      </c>
    </row>
    <row r="31" spans="1:25" ht="14.25" customHeight="1" x14ac:dyDescent="0.3">
      <c r="A31" s="1" t="s">
        <v>173</v>
      </c>
      <c r="B31" s="5">
        <v>46233</v>
      </c>
      <c r="C31" s="6">
        <v>0.70833333333333304</v>
      </c>
      <c r="D31" s="1" t="s">
        <v>12</v>
      </c>
      <c r="E31" s="1" t="s">
        <v>13</v>
      </c>
      <c r="F31" s="1" t="s">
        <v>511</v>
      </c>
      <c r="G31" s="39" t="s">
        <v>174</v>
      </c>
      <c r="H31" s="1">
        <v>0</v>
      </c>
      <c r="I31" s="1">
        <v>0</v>
      </c>
      <c r="J31" s="39" t="s">
        <v>502</v>
      </c>
      <c r="K31" s="1">
        <v>0</v>
      </c>
      <c r="L31" s="1">
        <v>0</v>
      </c>
      <c r="M31" s="1" t="s">
        <v>59</v>
      </c>
      <c r="N31" s="1" t="s">
        <v>74</v>
      </c>
      <c r="O31" s="1">
        <v>1.1599999999999999</v>
      </c>
      <c r="P31" s="1">
        <v>0.5</v>
      </c>
      <c r="Q31" s="1" t="s">
        <v>73</v>
      </c>
      <c r="R31" s="1">
        <v>-0.5</v>
      </c>
      <c r="S31" s="1" t="s">
        <v>8803</v>
      </c>
      <c r="T31" s="1">
        <v>1</v>
      </c>
      <c r="U31" s="19"/>
      <c r="V31" s="19"/>
      <c r="W31" s="218">
        <v>1</v>
      </c>
      <c r="X31" s="218">
        <v>1</v>
      </c>
      <c r="Y31" s="218">
        <v>1</v>
      </c>
    </row>
    <row r="32" spans="1:25" ht="14.25" customHeight="1" x14ac:dyDescent="0.3">
      <c r="A32" s="1" t="s">
        <v>175</v>
      </c>
      <c r="B32" s="102">
        <v>46233</v>
      </c>
      <c r="C32" s="6">
        <v>0.70833333333333304</v>
      </c>
      <c r="D32" s="1" t="s">
        <v>12</v>
      </c>
      <c r="E32" s="1" t="s">
        <v>13</v>
      </c>
      <c r="F32" s="1" t="s">
        <v>176</v>
      </c>
      <c r="G32" s="39" t="s">
        <v>177</v>
      </c>
      <c r="H32" s="1">
        <v>0</v>
      </c>
      <c r="I32" s="1">
        <v>1</v>
      </c>
      <c r="J32" s="39" t="s">
        <v>178</v>
      </c>
      <c r="K32" s="1">
        <v>1</v>
      </c>
      <c r="L32" s="1">
        <v>0</v>
      </c>
      <c r="M32" s="1" t="s">
        <v>59</v>
      </c>
      <c r="N32" s="1" t="s">
        <v>74</v>
      </c>
      <c r="O32" s="1">
        <v>1.115</v>
      </c>
      <c r="P32" s="1">
        <v>0.5</v>
      </c>
      <c r="Q32" s="1" t="s">
        <v>68</v>
      </c>
      <c r="R32" s="1">
        <v>0</v>
      </c>
      <c r="S32" s="1" t="s">
        <v>8804</v>
      </c>
      <c r="T32" s="1">
        <v>1</v>
      </c>
      <c r="U32" s="19"/>
      <c r="V32" s="19"/>
      <c r="W32" s="218">
        <v>1</v>
      </c>
      <c r="X32" s="218">
        <v>1</v>
      </c>
      <c r="Y32" s="218">
        <v>1</v>
      </c>
    </row>
    <row r="33" spans="1:25" ht="14.25" customHeight="1" x14ac:dyDescent="0.3">
      <c r="A33" s="1" t="s">
        <v>179</v>
      </c>
      <c r="B33" s="5">
        <v>46234</v>
      </c>
      <c r="C33" s="6">
        <v>0.77083333333333304</v>
      </c>
      <c r="D33" s="1" t="s">
        <v>10</v>
      </c>
      <c r="E33" s="1" t="s">
        <v>11</v>
      </c>
      <c r="F33" s="1" t="s">
        <v>180</v>
      </c>
      <c r="G33" s="39" t="s">
        <v>181</v>
      </c>
      <c r="H33" s="1">
        <v>1</v>
      </c>
      <c r="I33" s="1">
        <v>1</v>
      </c>
      <c r="J33" s="39" t="s">
        <v>182</v>
      </c>
      <c r="K33" s="1">
        <v>1</v>
      </c>
      <c r="L33" s="1">
        <v>1</v>
      </c>
      <c r="M33" s="1" t="s">
        <v>59</v>
      </c>
      <c r="N33" s="1" t="s">
        <v>85</v>
      </c>
      <c r="O33" s="1">
        <v>1.105</v>
      </c>
      <c r="P33" s="1">
        <v>0.5</v>
      </c>
      <c r="Q33" s="1" t="s">
        <v>61</v>
      </c>
      <c r="R33" s="1">
        <v>0.06</v>
      </c>
      <c r="S33" s="1" t="s">
        <v>8805</v>
      </c>
      <c r="T33" s="1">
        <v>1</v>
      </c>
      <c r="U33" s="19"/>
      <c r="V33" s="19"/>
      <c r="W33" s="218">
        <v>1</v>
      </c>
      <c r="X33" s="218">
        <v>1</v>
      </c>
      <c r="Y33" s="218">
        <v>1</v>
      </c>
    </row>
    <row r="34" spans="1:25" ht="14.25" customHeight="1" x14ac:dyDescent="0.3">
      <c r="A34" s="1" t="s">
        <v>183</v>
      </c>
      <c r="B34" s="5">
        <v>46234</v>
      </c>
      <c r="C34" s="6">
        <v>0.79166666666666696</v>
      </c>
      <c r="D34" s="1" t="s">
        <v>37</v>
      </c>
      <c r="E34" s="1" t="s">
        <v>38</v>
      </c>
      <c r="F34" s="1" t="s">
        <v>184</v>
      </c>
      <c r="G34" s="39" t="s">
        <v>185</v>
      </c>
      <c r="H34" s="1">
        <v>0</v>
      </c>
      <c r="I34" s="1">
        <v>2</v>
      </c>
      <c r="J34" s="39" t="s">
        <v>186</v>
      </c>
      <c r="K34" s="1">
        <v>2</v>
      </c>
      <c r="L34" s="1">
        <v>0</v>
      </c>
      <c r="M34" s="1" t="s">
        <v>59</v>
      </c>
      <c r="N34" s="1" t="s">
        <v>85</v>
      </c>
      <c r="O34" s="1">
        <v>1.19</v>
      </c>
      <c r="P34" s="1">
        <v>0.5</v>
      </c>
      <c r="Q34" s="1" t="s">
        <v>61</v>
      </c>
      <c r="R34" s="1">
        <v>0.1</v>
      </c>
      <c r="S34" s="1" t="s">
        <v>8806</v>
      </c>
      <c r="T34" s="1">
        <v>1</v>
      </c>
      <c r="U34" s="19"/>
      <c r="V34" s="19"/>
      <c r="W34" s="218">
        <v>1</v>
      </c>
      <c r="X34" s="218">
        <v>1</v>
      </c>
      <c r="Y34" s="218">
        <v>1</v>
      </c>
    </row>
    <row r="35" spans="1:25" ht="14.25" customHeight="1" x14ac:dyDescent="0.3">
      <c r="A35" s="1" t="s">
        <v>187</v>
      </c>
      <c r="B35" s="5">
        <v>46234</v>
      </c>
      <c r="C35" s="6">
        <v>0.83333333333333304</v>
      </c>
      <c r="D35" s="1" t="s">
        <v>10</v>
      </c>
      <c r="E35" s="1" t="s">
        <v>11</v>
      </c>
      <c r="F35" s="1" t="s">
        <v>188</v>
      </c>
      <c r="G35" s="39" t="s">
        <v>189</v>
      </c>
      <c r="H35" s="1">
        <v>1</v>
      </c>
      <c r="I35" s="1">
        <v>1</v>
      </c>
      <c r="J35" s="39" t="s">
        <v>190</v>
      </c>
      <c r="K35" s="1">
        <v>1</v>
      </c>
      <c r="L35" s="1">
        <v>1</v>
      </c>
      <c r="M35" s="1" t="s">
        <v>59</v>
      </c>
      <c r="N35" s="1" t="s">
        <v>60</v>
      </c>
      <c r="O35" s="1">
        <v>1.175</v>
      </c>
      <c r="P35" s="1">
        <v>0.5</v>
      </c>
      <c r="Q35" s="1" t="s">
        <v>68</v>
      </c>
      <c r="R35" s="1">
        <v>0.05</v>
      </c>
      <c r="S35" s="1" t="s">
        <v>8807</v>
      </c>
      <c r="T35" s="1">
        <v>1</v>
      </c>
      <c r="U35" s="19"/>
      <c r="V35" s="19"/>
      <c r="W35" s="218">
        <v>1</v>
      </c>
      <c r="X35" s="218">
        <v>1</v>
      </c>
      <c r="Y35" s="218">
        <v>1</v>
      </c>
    </row>
    <row r="36" spans="1:25" ht="14.25" customHeight="1" x14ac:dyDescent="0.3">
      <c r="A36" s="1" t="s">
        <v>191</v>
      </c>
      <c r="B36" s="5">
        <v>46234</v>
      </c>
      <c r="C36" s="6">
        <v>0.85416666666666696</v>
      </c>
      <c r="D36" s="1" t="s">
        <v>39</v>
      </c>
      <c r="E36" s="1" t="s">
        <v>3659</v>
      </c>
      <c r="F36" s="1" t="s">
        <v>3864</v>
      </c>
      <c r="G36" s="39" t="s">
        <v>3703</v>
      </c>
      <c r="H36" s="1">
        <v>1</v>
      </c>
      <c r="I36" s="1">
        <v>1</v>
      </c>
      <c r="J36" s="39" t="s">
        <v>192</v>
      </c>
      <c r="K36" s="1">
        <v>1</v>
      </c>
      <c r="L36" s="1">
        <v>1</v>
      </c>
      <c r="M36" s="1" t="s">
        <v>59</v>
      </c>
      <c r="N36" s="1" t="s">
        <v>120</v>
      </c>
      <c r="O36" s="1">
        <v>1.19</v>
      </c>
      <c r="P36" s="1">
        <v>0.5</v>
      </c>
      <c r="Q36" s="1" t="s">
        <v>61</v>
      </c>
      <c r="R36" s="1">
        <v>0.1</v>
      </c>
      <c r="S36" s="1" t="s">
        <v>8808</v>
      </c>
      <c r="T36" s="1">
        <v>1</v>
      </c>
      <c r="U36" s="19"/>
      <c r="V36" s="19"/>
      <c r="W36" s="218">
        <v>1</v>
      </c>
      <c r="X36" s="218">
        <v>1</v>
      </c>
      <c r="Y36" s="218">
        <v>1</v>
      </c>
    </row>
    <row r="37" spans="1:25" ht="14.25" customHeight="1" x14ac:dyDescent="0.3">
      <c r="A37" s="1" t="s">
        <v>193</v>
      </c>
      <c r="B37" s="5">
        <v>46235</v>
      </c>
      <c r="C37" s="6">
        <v>0.875</v>
      </c>
      <c r="D37" s="1" t="s">
        <v>25</v>
      </c>
      <c r="E37" s="1" t="s">
        <v>26</v>
      </c>
      <c r="F37" s="1" t="s">
        <v>194</v>
      </c>
      <c r="G37" s="39" t="s">
        <v>195</v>
      </c>
      <c r="H37" s="1">
        <v>1</v>
      </c>
      <c r="I37" s="1">
        <v>1</v>
      </c>
      <c r="J37" s="39" t="s">
        <v>196</v>
      </c>
      <c r="K37" s="1">
        <v>1</v>
      </c>
      <c r="L37" s="1">
        <v>1</v>
      </c>
      <c r="M37" s="1" t="s">
        <v>59</v>
      </c>
      <c r="N37" s="1" t="s">
        <v>120</v>
      </c>
      <c r="O37" s="1">
        <v>1.19</v>
      </c>
      <c r="P37" s="1">
        <v>0.5</v>
      </c>
      <c r="Q37" s="1" t="s">
        <v>61</v>
      </c>
      <c r="R37" s="1">
        <v>0.1</v>
      </c>
      <c r="S37" s="1" t="s">
        <v>8809</v>
      </c>
      <c r="T37" s="1">
        <v>1</v>
      </c>
      <c r="U37" s="19"/>
      <c r="V37" s="19"/>
      <c r="W37" s="218">
        <v>1</v>
      </c>
      <c r="X37" s="218">
        <v>1</v>
      </c>
      <c r="Y37" s="218">
        <v>1</v>
      </c>
    </row>
    <row r="38" spans="1:25" ht="14.25" customHeight="1" x14ac:dyDescent="0.3">
      <c r="A38" s="1" t="s">
        <v>197</v>
      </c>
      <c r="B38" s="5">
        <v>46235</v>
      </c>
      <c r="C38" s="6">
        <v>0.79166666666666696</v>
      </c>
      <c r="D38" s="1" t="s">
        <v>15</v>
      </c>
      <c r="E38" s="1" t="s">
        <v>2573</v>
      </c>
      <c r="F38" s="1" t="s">
        <v>391</v>
      </c>
      <c r="G38" s="39" t="s">
        <v>198</v>
      </c>
      <c r="H38" s="1">
        <v>1</v>
      </c>
      <c r="I38" s="1">
        <v>2</v>
      </c>
      <c r="J38" s="39" t="s">
        <v>119</v>
      </c>
      <c r="K38" s="1">
        <v>2</v>
      </c>
      <c r="L38" s="1">
        <v>1</v>
      </c>
      <c r="M38" s="1" t="s">
        <v>59</v>
      </c>
      <c r="N38" s="1" t="s">
        <v>120</v>
      </c>
      <c r="O38" s="1">
        <v>1.1599999999999999</v>
      </c>
      <c r="P38" s="1">
        <v>0.5</v>
      </c>
      <c r="Q38" s="1" t="s">
        <v>61</v>
      </c>
      <c r="R38" s="1">
        <v>0.08</v>
      </c>
      <c r="S38" s="1" t="s">
        <v>8810</v>
      </c>
      <c r="T38" s="1">
        <v>1</v>
      </c>
      <c r="U38" s="19"/>
      <c r="V38" s="19"/>
      <c r="W38" s="218">
        <v>1</v>
      </c>
      <c r="X38" s="218">
        <v>1</v>
      </c>
      <c r="Y38" s="218">
        <v>1</v>
      </c>
    </row>
    <row r="39" spans="1:25" ht="14.25" customHeight="1" x14ac:dyDescent="0.3">
      <c r="A39" s="1" t="s">
        <v>199</v>
      </c>
      <c r="B39" s="5">
        <v>46235</v>
      </c>
      <c r="C39" s="6">
        <v>0.16666666666666699</v>
      </c>
      <c r="D39" s="1" t="s">
        <v>7</v>
      </c>
      <c r="E39" s="1" t="s">
        <v>1380</v>
      </c>
      <c r="F39" s="1" t="s">
        <v>1530</v>
      </c>
      <c r="G39" s="39" t="s">
        <v>200</v>
      </c>
      <c r="H39" s="1">
        <v>2</v>
      </c>
      <c r="I39" s="1">
        <v>2</v>
      </c>
      <c r="J39" s="39" t="s">
        <v>1397</v>
      </c>
      <c r="K39" s="1">
        <v>2</v>
      </c>
      <c r="L39" s="1">
        <v>2</v>
      </c>
      <c r="M39" s="1" t="s">
        <v>59</v>
      </c>
      <c r="N39" s="1" t="s">
        <v>65</v>
      </c>
      <c r="O39" s="1">
        <v>1.4</v>
      </c>
      <c r="P39" s="1">
        <v>0.5</v>
      </c>
      <c r="Q39" s="1" t="s">
        <v>61</v>
      </c>
      <c r="R39" s="1">
        <v>0.2</v>
      </c>
      <c r="S39" s="1" t="s">
        <v>8811</v>
      </c>
      <c r="T39" s="1">
        <v>1</v>
      </c>
      <c r="U39" s="19"/>
      <c r="V39" s="19"/>
      <c r="W39" s="218">
        <v>1</v>
      </c>
      <c r="X39" s="218">
        <v>1</v>
      </c>
      <c r="Y39" s="218">
        <v>1</v>
      </c>
    </row>
    <row r="40" spans="1:25" ht="14.25" customHeight="1" x14ac:dyDescent="0.3">
      <c r="A40" s="1" t="s">
        <v>201</v>
      </c>
      <c r="B40" s="5">
        <v>46235</v>
      </c>
      <c r="C40" s="6">
        <v>0.20833333333333301</v>
      </c>
      <c r="D40" s="1" t="s">
        <v>7</v>
      </c>
      <c r="E40" s="1" t="s">
        <v>8</v>
      </c>
      <c r="F40" s="1" t="s">
        <v>8231</v>
      </c>
      <c r="G40" s="39" t="s">
        <v>895</v>
      </c>
      <c r="H40" s="1">
        <v>1</v>
      </c>
      <c r="I40" s="1">
        <v>0</v>
      </c>
      <c r="J40" s="39" t="s">
        <v>202</v>
      </c>
      <c r="K40" s="1">
        <v>0</v>
      </c>
      <c r="L40" s="1">
        <v>1</v>
      </c>
      <c r="M40" s="1" t="s">
        <v>59</v>
      </c>
      <c r="N40" s="1" t="s">
        <v>60</v>
      </c>
      <c r="O40" s="1">
        <v>1.18</v>
      </c>
      <c r="P40" s="1">
        <v>0.5</v>
      </c>
      <c r="Q40" s="1" t="s">
        <v>73</v>
      </c>
      <c r="R40" s="1">
        <v>-0.5</v>
      </c>
      <c r="S40" s="1" t="s">
        <v>8232</v>
      </c>
      <c r="T40" s="1">
        <v>1</v>
      </c>
      <c r="U40" s="19"/>
      <c r="V40" s="19"/>
      <c r="W40" s="218">
        <v>1</v>
      </c>
      <c r="X40" s="218">
        <v>1</v>
      </c>
      <c r="Y40" s="218">
        <v>1</v>
      </c>
    </row>
    <row r="41" spans="1:25" ht="14.25" customHeight="1" x14ac:dyDescent="0.3">
      <c r="A41" s="1" t="s">
        <v>203</v>
      </c>
      <c r="B41" s="5">
        <v>46235</v>
      </c>
      <c r="C41" s="6">
        <v>0.45833333333333298</v>
      </c>
      <c r="D41" s="1" t="s">
        <v>18</v>
      </c>
      <c r="E41" s="1" t="s">
        <v>23</v>
      </c>
      <c r="F41" s="1" t="s">
        <v>633</v>
      </c>
      <c r="G41" s="39" t="s">
        <v>582</v>
      </c>
      <c r="H41" s="1">
        <v>2</v>
      </c>
      <c r="I41" s="1">
        <v>4</v>
      </c>
      <c r="J41" s="39" t="s">
        <v>574</v>
      </c>
      <c r="K41" s="1">
        <v>4</v>
      </c>
      <c r="L41" s="1">
        <v>2</v>
      </c>
      <c r="M41" s="1" t="s">
        <v>59</v>
      </c>
      <c r="N41" s="1" t="s">
        <v>205</v>
      </c>
      <c r="O41" s="1">
        <v>1.2749999999999999</v>
      </c>
      <c r="P41" s="1">
        <v>0.5</v>
      </c>
      <c r="Q41" s="1" t="s">
        <v>61</v>
      </c>
      <c r="R41" s="1">
        <v>0.14000000000000001</v>
      </c>
      <c r="S41" s="1" t="s">
        <v>8812</v>
      </c>
      <c r="T41" s="1">
        <v>1</v>
      </c>
      <c r="U41" s="19"/>
      <c r="V41" s="19"/>
      <c r="W41" s="218">
        <v>1</v>
      </c>
      <c r="X41" s="218">
        <v>1</v>
      </c>
      <c r="Y41" s="218">
        <v>1</v>
      </c>
    </row>
    <row r="42" spans="1:25" ht="14.25" customHeight="1" x14ac:dyDescent="0.3">
      <c r="A42" s="1" t="s">
        <v>206</v>
      </c>
      <c r="B42" s="5">
        <v>46235</v>
      </c>
      <c r="C42" s="6">
        <v>0.45833333333333298</v>
      </c>
      <c r="D42" s="1" t="s">
        <v>30</v>
      </c>
      <c r="E42" s="1" t="s">
        <v>36</v>
      </c>
      <c r="F42" s="1" t="s">
        <v>6506</v>
      </c>
      <c r="G42" s="39" t="s">
        <v>207</v>
      </c>
      <c r="H42" s="1">
        <v>2</v>
      </c>
      <c r="I42" s="1">
        <v>1</v>
      </c>
      <c r="J42" s="39" t="s">
        <v>955</v>
      </c>
      <c r="K42" s="1">
        <v>1</v>
      </c>
      <c r="L42" s="1">
        <v>2</v>
      </c>
      <c r="M42" s="1" t="s">
        <v>59</v>
      </c>
      <c r="N42" s="1" t="s">
        <v>205</v>
      </c>
      <c r="O42" s="1">
        <v>1.425</v>
      </c>
      <c r="P42" s="1">
        <v>0.5</v>
      </c>
      <c r="Q42" s="1" t="s">
        <v>61</v>
      </c>
      <c r="R42" s="1">
        <v>0.22</v>
      </c>
      <c r="S42" s="1" t="s">
        <v>6507</v>
      </c>
      <c r="T42" s="1">
        <v>1</v>
      </c>
      <c r="U42" s="19"/>
      <c r="V42" s="19"/>
      <c r="W42" s="218">
        <v>1</v>
      </c>
      <c r="X42" s="218">
        <v>1</v>
      </c>
      <c r="Y42" s="218">
        <v>1</v>
      </c>
    </row>
    <row r="43" spans="1:25" ht="14.25" customHeight="1" x14ac:dyDescent="0.3">
      <c r="A43" s="1" t="s">
        <v>208</v>
      </c>
      <c r="B43" s="5">
        <v>46235</v>
      </c>
      <c r="C43" s="6">
        <v>0.52083333333333304</v>
      </c>
      <c r="D43" s="1" t="s">
        <v>18</v>
      </c>
      <c r="E43" s="1" t="s">
        <v>23</v>
      </c>
      <c r="F43" s="1" t="s">
        <v>209</v>
      </c>
      <c r="G43" s="39" t="s">
        <v>210</v>
      </c>
      <c r="H43" s="1">
        <v>3</v>
      </c>
      <c r="I43" s="1">
        <v>2</v>
      </c>
      <c r="J43" s="39" t="s">
        <v>211</v>
      </c>
      <c r="K43" s="1">
        <v>2</v>
      </c>
      <c r="L43" s="1">
        <v>3</v>
      </c>
      <c r="M43" s="1" t="s">
        <v>59</v>
      </c>
      <c r="N43" s="1" t="s">
        <v>205</v>
      </c>
      <c r="O43" s="1">
        <v>1.1599999999999999</v>
      </c>
      <c r="P43" s="1">
        <v>0.5</v>
      </c>
      <c r="Q43" s="1" t="s">
        <v>61</v>
      </c>
      <c r="R43" s="1">
        <v>0.08</v>
      </c>
      <c r="S43" s="1" t="s">
        <v>8813</v>
      </c>
      <c r="T43" s="1">
        <v>1</v>
      </c>
      <c r="U43" s="19"/>
      <c r="V43" s="19"/>
      <c r="W43" s="218">
        <v>1</v>
      </c>
      <c r="X43" s="218">
        <v>1</v>
      </c>
      <c r="Y43" s="218">
        <v>1</v>
      </c>
    </row>
    <row r="44" spans="1:25" ht="14.25" customHeight="1" x14ac:dyDescent="0.3">
      <c r="A44" s="1" t="s">
        <v>212</v>
      </c>
      <c r="B44" s="5">
        <v>46235</v>
      </c>
      <c r="C44" s="6">
        <v>0.45833333333333298</v>
      </c>
      <c r="D44" s="1" t="s">
        <v>30</v>
      </c>
      <c r="E44" s="1" t="s">
        <v>33</v>
      </c>
      <c r="F44" s="1" t="s">
        <v>213</v>
      </c>
      <c r="G44" s="39" t="s">
        <v>214</v>
      </c>
      <c r="H44" s="1">
        <v>0</v>
      </c>
      <c r="I44" s="1">
        <v>4</v>
      </c>
      <c r="J44" s="39" t="s">
        <v>215</v>
      </c>
      <c r="K44" s="1">
        <v>4</v>
      </c>
      <c r="L44" s="1">
        <v>0</v>
      </c>
      <c r="M44" s="1" t="s">
        <v>59</v>
      </c>
      <c r="N44" s="1" t="s">
        <v>60</v>
      </c>
      <c r="O44" s="1">
        <v>1.23</v>
      </c>
      <c r="P44" s="1">
        <v>0.5</v>
      </c>
      <c r="Q44" s="1" t="s">
        <v>62</v>
      </c>
      <c r="R44" s="1">
        <v>0.11</v>
      </c>
      <c r="S44" s="1" t="s">
        <v>8814</v>
      </c>
      <c r="T44" s="1">
        <v>1</v>
      </c>
      <c r="U44" s="19"/>
      <c r="V44" s="19"/>
      <c r="W44" s="218">
        <v>1</v>
      </c>
      <c r="X44" s="218">
        <v>1</v>
      </c>
      <c r="Y44" s="218">
        <v>1</v>
      </c>
    </row>
    <row r="45" spans="1:25" ht="14.25" customHeight="1" x14ac:dyDescent="0.3">
      <c r="A45" s="1" t="s">
        <v>216</v>
      </c>
      <c r="B45" s="5">
        <v>46235</v>
      </c>
      <c r="C45" s="6">
        <v>0.41666666666666702</v>
      </c>
      <c r="D45" s="1" t="s">
        <v>18</v>
      </c>
      <c r="E45" s="1" t="s">
        <v>22</v>
      </c>
      <c r="F45" s="1" t="s">
        <v>2985</v>
      </c>
      <c r="G45" s="39" t="s">
        <v>292</v>
      </c>
      <c r="H45" s="1">
        <v>2</v>
      </c>
      <c r="I45" s="1">
        <v>2</v>
      </c>
      <c r="J45" s="39" t="s">
        <v>2984</v>
      </c>
      <c r="K45" s="1">
        <v>2</v>
      </c>
      <c r="L45" s="1">
        <v>2</v>
      </c>
      <c r="M45" s="1" t="s">
        <v>59</v>
      </c>
      <c r="N45" s="1" t="s">
        <v>65</v>
      </c>
      <c r="O45" s="1">
        <v>1.22</v>
      </c>
      <c r="P45" s="1">
        <v>0.5</v>
      </c>
      <c r="Q45" s="1" t="s">
        <v>61</v>
      </c>
      <c r="R45" s="1">
        <v>0.11</v>
      </c>
      <c r="S45" s="1" t="s">
        <v>8815</v>
      </c>
      <c r="T45" s="1">
        <v>1</v>
      </c>
      <c r="U45" s="19"/>
      <c r="V45" s="19"/>
      <c r="W45" s="218">
        <v>1</v>
      </c>
      <c r="X45" s="218">
        <v>1</v>
      </c>
      <c r="Y45" s="218">
        <v>1</v>
      </c>
    </row>
    <row r="46" spans="1:25" ht="14.25" customHeight="1" x14ac:dyDescent="0.3">
      <c r="A46" s="1" t="s">
        <v>217</v>
      </c>
      <c r="B46" s="5">
        <v>46235</v>
      </c>
      <c r="C46" s="6">
        <v>0.375</v>
      </c>
      <c r="D46" s="1" t="s">
        <v>30</v>
      </c>
      <c r="E46" s="1" t="s">
        <v>33</v>
      </c>
      <c r="F46" s="1" t="s">
        <v>5556</v>
      </c>
      <c r="G46" s="39" t="s">
        <v>218</v>
      </c>
      <c r="H46" s="1">
        <v>0</v>
      </c>
      <c r="I46" s="1">
        <v>2</v>
      </c>
      <c r="J46" s="39" t="s">
        <v>5557</v>
      </c>
      <c r="K46" s="1">
        <v>2</v>
      </c>
      <c r="L46" s="1">
        <v>0</v>
      </c>
      <c r="M46" s="1" t="s">
        <v>59</v>
      </c>
      <c r="N46" s="1" t="s">
        <v>60</v>
      </c>
      <c r="O46" s="1">
        <v>1.25</v>
      </c>
      <c r="P46" s="1">
        <v>0.5</v>
      </c>
      <c r="Q46" s="1" t="s">
        <v>68</v>
      </c>
      <c r="R46" s="1">
        <v>0</v>
      </c>
      <c r="S46" s="1" t="s">
        <v>5558</v>
      </c>
      <c r="T46" s="1">
        <v>1</v>
      </c>
      <c r="U46" s="19"/>
      <c r="V46" s="19"/>
      <c r="W46" s="218">
        <v>1</v>
      </c>
      <c r="X46" s="218">
        <v>1</v>
      </c>
      <c r="Y46" s="218">
        <v>1</v>
      </c>
    </row>
    <row r="47" spans="1:25" ht="14.25" customHeight="1" x14ac:dyDescent="0.3">
      <c r="A47" s="1" t="s">
        <v>219</v>
      </c>
      <c r="B47" s="5">
        <v>46235</v>
      </c>
      <c r="C47" s="6">
        <v>0.66666666666666696</v>
      </c>
      <c r="D47" s="1" t="s">
        <v>16</v>
      </c>
      <c r="E47" s="1" t="s">
        <v>3425</v>
      </c>
      <c r="F47" s="1" t="s">
        <v>220</v>
      </c>
      <c r="G47" s="39" t="s">
        <v>221</v>
      </c>
      <c r="H47" s="1">
        <v>3</v>
      </c>
      <c r="I47" s="1">
        <v>4</v>
      </c>
      <c r="J47" s="39" t="s">
        <v>222</v>
      </c>
      <c r="K47" s="1">
        <v>4</v>
      </c>
      <c r="L47" s="1">
        <v>3</v>
      </c>
      <c r="M47" s="1" t="s">
        <v>59</v>
      </c>
      <c r="N47" s="1" t="s">
        <v>120</v>
      </c>
      <c r="O47" s="1">
        <v>1.24</v>
      </c>
      <c r="P47" s="1">
        <v>0.5</v>
      </c>
      <c r="Q47" s="1" t="s">
        <v>61</v>
      </c>
      <c r="R47" s="1">
        <v>0.12</v>
      </c>
      <c r="S47" s="1" t="s">
        <v>8816</v>
      </c>
      <c r="T47" s="1">
        <v>1</v>
      </c>
      <c r="U47" s="19"/>
      <c r="V47" s="19"/>
      <c r="W47" s="218">
        <v>1</v>
      </c>
      <c r="X47" s="218">
        <v>1</v>
      </c>
      <c r="Y47" s="218">
        <v>1</v>
      </c>
    </row>
    <row r="48" spans="1:25" ht="14.25" customHeight="1" x14ac:dyDescent="0.3">
      <c r="A48" s="1" t="s">
        <v>223</v>
      </c>
      <c r="B48" s="5">
        <v>46235</v>
      </c>
      <c r="C48" s="6">
        <v>0.66666666666666696</v>
      </c>
      <c r="D48" s="1" t="s">
        <v>10</v>
      </c>
      <c r="E48" s="1" t="s">
        <v>11</v>
      </c>
      <c r="F48" s="1" t="s">
        <v>224</v>
      </c>
      <c r="G48" s="39" t="s">
        <v>225</v>
      </c>
      <c r="H48" s="1">
        <v>0</v>
      </c>
      <c r="I48" s="1">
        <v>3</v>
      </c>
      <c r="J48" s="39" t="s">
        <v>226</v>
      </c>
      <c r="K48" s="1">
        <v>3</v>
      </c>
      <c r="L48" s="1">
        <v>0</v>
      </c>
      <c r="M48" s="1" t="s">
        <v>59</v>
      </c>
      <c r="N48" s="1" t="s">
        <v>98</v>
      </c>
      <c r="O48" s="1">
        <v>1.19</v>
      </c>
      <c r="P48" s="1">
        <v>0.5</v>
      </c>
      <c r="Q48" s="1" t="s">
        <v>61</v>
      </c>
      <c r="R48" s="1">
        <v>0.1</v>
      </c>
      <c r="S48" s="1" t="s">
        <v>8817</v>
      </c>
      <c r="T48" s="1">
        <v>1</v>
      </c>
      <c r="U48" s="19"/>
      <c r="V48" s="19"/>
      <c r="W48" s="218">
        <v>1</v>
      </c>
      <c r="X48" s="218">
        <v>1</v>
      </c>
      <c r="Y48" s="218">
        <v>1</v>
      </c>
    </row>
    <row r="49" spans="1:25" ht="14.25" customHeight="1" x14ac:dyDescent="0.3">
      <c r="A49" s="1" t="s">
        <v>228</v>
      </c>
      <c r="B49" s="5">
        <v>46235</v>
      </c>
      <c r="C49" s="6">
        <v>0.79166666666666696</v>
      </c>
      <c r="D49" s="1" t="s">
        <v>15</v>
      </c>
      <c r="E49" s="1" t="s">
        <v>2573</v>
      </c>
      <c r="F49" s="1" t="s">
        <v>229</v>
      </c>
      <c r="G49" s="39" t="s">
        <v>230</v>
      </c>
      <c r="H49" s="1">
        <v>3</v>
      </c>
      <c r="I49" s="1">
        <v>1</v>
      </c>
      <c r="J49" s="39" t="s">
        <v>231</v>
      </c>
      <c r="K49" s="1">
        <v>1</v>
      </c>
      <c r="L49" s="1">
        <v>3</v>
      </c>
      <c r="M49" s="1" t="s">
        <v>59</v>
      </c>
      <c r="N49" s="1" t="s">
        <v>60</v>
      </c>
      <c r="O49" s="1">
        <v>1.2749999999999999</v>
      </c>
      <c r="P49" s="1">
        <v>0.5</v>
      </c>
      <c r="Q49" s="1" t="s">
        <v>62</v>
      </c>
      <c r="R49" s="1">
        <v>0.13</v>
      </c>
      <c r="S49" s="1" t="s">
        <v>8818</v>
      </c>
      <c r="T49" s="1">
        <v>1</v>
      </c>
      <c r="U49" s="19"/>
      <c r="V49" s="19"/>
      <c r="W49" s="218">
        <v>1</v>
      </c>
      <c r="X49" s="218">
        <v>1</v>
      </c>
      <c r="Y49" s="218">
        <v>1</v>
      </c>
    </row>
    <row r="50" spans="1:25" ht="14.25" customHeight="1" x14ac:dyDescent="0.3">
      <c r="A50" s="1" t="s">
        <v>232</v>
      </c>
      <c r="B50" s="5">
        <v>46235</v>
      </c>
      <c r="C50" s="6">
        <v>0.66666666666666696</v>
      </c>
      <c r="D50" s="1" t="s">
        <v>10</v>
      </c>
      <c r="E50" s="1" t="s">
        <v>11</v>
      </c>
      <c r="F50" s="1" t="s">
        <v>1591</v>
      </c>
      <c r="G50" s="39" t="s">
        <v>1092</v>
      </c>
      <c r="H50" s="1">
        <v>2</v>
      </c>
      <c r="I50" s="1">
        <v>0</v>
      </c>
      <c r="J50" s="39" t="s">
        <v>233</v>
      </c>
      <c r="K50" s="1">
        <v>0</v>
      </c>
      <c r="L50" s="1">
        <v>2</v>
      </c>
      <c r="M50" s="1" t="s">
        <v>59</v>
      </c>
      <c r="N50" s="1" t="s">
        <v>60</v>
      </c>
      <c r="O50" s="1">
        <v>1.24</v>
      </c>
      <c r="P50" s="1">
        <v>0.5</v>
      </c>
      <c r="Q50" s="1" t="s">
        <v>62</v>
      </c>
      <c r="R50" s="1">
        <v>7.0000000000000007E-2</v>
      </c>
      <c r="S50" s="1" t="s">
        <v>8819</v>
      </c>
      <c r="T50" s="1">
        <v>1</v>
      </c>
      <c r="U50" s="19"/>
      <c r="V50" s="19"/>
      <c r="W50" s="218">
        <v>1</v>
      </c>
      <c r="X50" s="218">
        <v>1</v>
      </c>
      <c r="Y50" s="218">
        <v>1</v>
      </c>
    </row>
    <row r="51" spans="1:25" ht="14.25" customHeight="1" x14ac:dyDescent="0.3">
      <c r="A51" s="1" t="s">
        <v>234</v>
      </c>
      <c r="B51" s="5">
        <v>46235</v>
      </c>
      <c r="C51" s="6">
        <v>0.85416666666666696</v>
      </c>
      <c r="D51" s="1" t="s">
        <v>39</v>
      </c>
      <c r="E51" s="1" t="s">
        <v>3659</v>
      </c>
      <c r="F51" s="1" t="s">
        <v>3808</v>
      </c>
      <c r="G51" s="39" t="s">
        <v>3741</v>
      </c>
      <c r="H51" s="1">
        <v>2</v>
      </c>
      <c r="I51" s="1">
        <v>2</v>
      </c>
      <c r="J51" s="39" t="s">
        <v>235</v>
      </c>
      <c r="K51" s="1">
        <v>2</v>
      </c>
      <c r="L51" s="1">
        <v>2</v>
      </c>
      <c r="M51" s="1" t="s">
        <v>59</v>
      </c>
      <c r="N51" s="1" t="s">
        <v>205</v>
      </c>
      <c r="O51" s="1">
        <v>1.3</v>
      </c>
      <c r="P51" s="1">
        <v>0.5</v>
      </c>
      <c r="Q51" s="1" t="s">
        <v>61</v>
      </c>
      <c r="R51" s="1">
        <v>0.15</v>
      </c>
      <c r="S51" s="1" t="s">
        <v>8820</v>
      </c>
      <c r="T51" s="1">
        <v>1</v>
      </c>
      <c r="U51" s="19"/>
      <c r="V51" s="19"/>
      <c r="W51" s="218">
        <v>1</v>
      </c>
      <c r="X51" s="218">
        <v>1</v>
      </c>
      <c r="Y51" s="218">
        <v>1</v>
      </c>
    </row>
    <row r="52" spans="1:25" ht="14.25" customHeight="1" x14ac:dyDescent="0.3">
      <c r="A52" s="1" t="s">
        <v>236</v>
      </c>
      <c r="B52" s="5">
        <v>46235</v>
      </c>
      <c r="C52" s="6">
        <v>0.85416666666666696</v>
      </c>
      <c r="D52" s="1" t="s">
        <v>39</v>
      </c>
      <c r="E52" s="1" t="s">
        <v>3660</v>
      </c>
      <c r="F52" s="1" t="s">
        <v>237</v>
      </c>
      <c r="G52" s="39" t="s">
        <v>238</v>
      </c>
      <c r="H52" s="1">
        <v>4</v>
      </c>
      <c r="I52" s="1">
        <v>2</v>
      </c>
      <c r="J52" s="39" t="s">
        <v>239</v>
      </c>
      <c r="K52" s="1">
        <v>2</v>
      </c>
      <c r="L52" s="1">
        <v>4</v>
      </c>
      <c r="M52" s="1" t="s">
        <v>59</v>
      </c>
      <c r="N52" s="1" t="s">
        <v>205</v>
      </c>
      <c r="O52" s="1">
        <v>1.2749999999999999</v>
      </c>
      <c r="P52" s="1">
        <v>0.5</v>
      </c>
      <c r="Q52" s="1" t="s">
        <v>61</v>
      </c>
      <c r="R52" s="1">
        <v>0.14000000000000001</v>
      </c>
      <c r="S52" s="1" t="s">
        <v>8821</v>
      </c>
      <c r="T52" s="1">
        <v>1</v>
      </c>
      <c r="U52" s="19"/>
      <c r="V52" s="19"/>
      <c r="W52" s="218">
        <v>1</v>
      </c>
      <c r="X52" s="218">
        <v>1</v>
      </c>
      <c r="Y52" s="218">
        <v>1</v>
      </c>
    </row>
    <row r="53" spans="1:25" ht="14.25" customHeight="1" x14ac:dyDescent="0.3">
      <c r="A53" s="1" t="s">
        <v>240</v>
      </c>
      <c r="B53" s="5">
        <v>46235</v>
      </c>
      <c r="C53" s="6">
        <v>0.875</v>
      </c>
      <c r="D53" s="1" t="s">
        <v>25</v>
      </c>
      <c r="E53" s="1" t="s">
        <v>26</v>
      </c>
      <c r="F53" s="1" t="s">
        <v>241</v>
      </c>
      <c r="G53" s="39" t="s">
        <v>242</v>
      </c>
      <c r="H53" s="1">
        <v>1</v>
      </c>
      <c r="I53" s="1">
        <v>0</v>
      </c>
      <c r="J53" s="39" t="s">
        <v>243</v>
      </c>
      <c r="K53" s="1">
        <v>0</v>
      </c>
      <c r="L53" s="1">
        <v>1</v>
      </c>
      <c r="M53" s="1" t="s">
        <v>59</v>
      </c>
      <c r="N53" s="1" t="s">
        <v>60</v>
      </c>
      <c r="O53" s="1">
        <v>1.35</v>
      </c>
      <c r="P53" s="1">
        <v>0.5</v>
      </c>
      <c r="Q53" s="1" t="s">
        <v>73</v>
      </c>
      <c r="R53" s="1">
        <v>-0.5</v>
      </c>
      <c r="S53" s="1" t="s">
        <v>8822</v>
      </c>
      <c r="T53" s="1">
        <v>1</v>
      </c>
      <c r="U53" s="19"/>
      <c r="V53" s="19"/>
      <c r="W53" s="218">
        <v>1</v>
      </c>
      <c r="X53" s="218">
        <v>1</v>
      </c>
      <c r="Y53" s="218">
        <v>1</v>
      </c>
    </row>
    <row r="54" spans="1:25" ht="14.25" customHeight="1" x14ac:dyDescent="0.3">
      <c r="A54" s="1" t="s">
        <v>244</v>
      </c>
      <c r="B54" s="5">
        <v>46235</v>
      </c>
      <c r="C54" s="6">
        <v>0.97916666666666696</v>
      </c>
      <c r="D54" s="1" t="s">
        <v>39</v>
      </c>
      <c r="E54" s="1" t="s">
        <v>3661</v>
      </c>
      <c r="F54" s="1" t="s">
        <v>4010</v>
      </c>
      <c r="G54" s="39" t="s">
        <v>245</v>
      </c>
      <c r="H54" s="1">
        <v>2</v>
      </c>
      <c r="I54" s="1">
        <v>1</v>
      </c>
      <c r="J54" s="39" t="s">
        <v>3886</v>
      </c>
      <c r="K54" s="1">
        <v>1</v>
      </c>
      <c r="L54" s="1">
        <v>2</v>
      </c>
      <c r="M54" s="1" t="s">
        <v>59</v>
      </c>
      <c r="N54" s="1" t="s">
        <v>60</v>
      </c>
      <c r="O54" s="1">
        <v>1.18</v>
      </c>
      <c r="P54" s="1">
        <v>0.5</v>
      </c>
      <c r="Q54" s="1" t="s">
        <v>62</v>
      </c>
      <c r="R54" s="1">
        <v>0.08</v>
      </c>
      <c r="S54" s="1" t="s">
        <v>8823</v>
      </c>
      <c r="T54" s="1">
        <v>1</v>
      </c>
      <c r="U54" s="19"/>
      <c r="V54" s="19"/>
      <c r="W54" s="218">
        <v>1</v>
      </c>
      <c r="X54" s="218">
        <v>1</v>
      </c>
      <c r="Y54" s="218">
        <v>1</v>
      </c>
    </row>
    <row r="55" spans="1:25" ht="14.25" customHeight="1" x14ac:dyDescent="0.3">
      <c r="A55" s="1" t="s">
        <v>246</v>
      </c>
      <c r="B55" s="5">
        <v>46236</v>
      </c>
      <c r="C55" s="6">
        <v>8.3333333333333301E-2</v>
      </c>
      <c r="D55" s="1" t="s">
        <v>7</v>
      </c>
      <c r="E55" s="1" t="s">
        <v>2229</v>
      </c>
      <c r="F55" s="1" t="s">
        <v>247</v>
      </c>
      <c r="G55" s="39" t="s">
        <v>248</v>
      </c>
      <c r="H55" s="1">
        <v>4</v>
      </c>
      <c r="I55" s="1">
        <v>2</v>
      </c>
      <c r="J55" s="39" t="s">
        <v>249</v>
      </c>
      <c r="K55" s="1">
        <v>2</v>
      </c>
      <c r="L55" s="1">
        <v>4</v>
      </c>
      <c r="M55" s="1" t="s">
        <v>59</v>
      </c>
      <c r="N55" s="1" t="s">
        <v>120</v>
      </c>
      <c r="O55" s="1">
        <v>1.22</v>
      </c>
      <c r="P55" s="1">
        <v>0.5</v>
      </c>
      <c r="Q55" s="1" t="s">
        <v>61</v>
      </c>
      <c r="R55" s="1">
        <v>0.11</v>
      </c>
      <c r="S55" s="1" t="s">
        <v>8824</v>
      </c>
      <c r="T55" s="1">
        <v>1</v>
      </c>
      <c r="U55" s="19"/>
      <c r="V55" s="19"/>
      <c r="W55" s="218">
        <v>1</v>
      </c>
      <c r="X55" s="218">
        <v>1</v>
      </c>
      <c r="Y55" s="218">
        <v>1</v>
      </c>
    </row>
    <row r="56" spans="1:25" ht="14.25" customHeight="1" x14ac:dyDescent="0.3">
      <c r="A56" s="1" t="s">
        <v>250</v>
      </c>
      <c r="B56" s="5">
        <v>46236</v>
      </c>
      <c r="C56" s="6">
        <v>0.104166666666667</v>
      </c>
      <c r="D56" s="1" t="s">
        <v>7</v>
      </c>
      <c r="E56" s="1" t="s">
        <v>9</v>
      </c>
      <c r="F56" s="1" t="s">
        <v>251</v>
      </c>
      <c r="G56" s="39" t="s">
        <v>252</v>
      </c>
      <c r="H56" s="1">
        <v>2</v>
      </c>
      <c r="I56" s="1">
        <v>0</v>
      </c>
      <c r="J56" s="39" t="s">
        <v>253</v>
      </c>
      <c r="K56" s="1">
        <v>0</v>
      </c>
      <c r="L56" s="1">
        <v>2</v>
      </c>
      <c r="M56" s="1" t="s">
        <v>59</v>
      </c>
      <c r="N56" s="1" t="s">
        <v>120</v>
      </c>
      <c r="O56" s="1">
        <v>1.17</v>
      </c>
      <c r="P56" s="1">
        <v>0.5</v>
      </c>
      <c r="Q56" s="1" t="s">
        <v>61</v>
      </c>
      <c r="R56" s="1">
        <v>0.09</v>
      </c>
      <c r="S56" s="1" t="s">
        <v>8825</v>
      </c>
      <c r="T56" s="1">
        <v>1</v>
      </c>
      <c r="U56" s="19"/>
      <c r="V56" s="19"/>
      <c r="W56" s="218">
        <v>1</v>
      </c>
      <c r="X56" s="218">
        <v>1</v>
      </c>
      <c r="Y56" s="218">
        <v>1</v>
      </c>
    </row>
    <row r="57" spans="1:25" ht="14.25" customHeight="1" x14ac:dyDescent="0.3">
      <c r="A57" s="1" t="s">
        <v>254</v>
      </c>
      <c r="B57" s="5">
        <v>46236</v>
      </c>
      <c r="C57" s="6">
        <v>0.125</v>
      </c>
      <c r="D57" s="1" t="s">
        <v>7</v>
      </c>
      <c r="E57" s="1" t="s">
        <v>8</v>
      </c>
      <c r="F57" s="1" t="s">
        <v>255</v>
      </c>
      <c r="G57" s="39" t="s">
        <v>256</v>
      </c>
      <c r="H57" s="1">
        <v>0</v>
      </c>
      <c r="I57" s="1">
        <v>3</v>
      </c>
      <c r="J57" s="39" t="s">
        <v>257</v>
      </c>
      <c r="K57" s="1">
        <v>3</v>
      </c>
      <c r="L57" s="1">
        <v>0</v>
      </c>
      <c r="M57" s="1" t="s">
        <v>59</v>
      </c>
      <c r="N57" s="1" t="s">
        <v>205</v>
      </c>
      <c r="O57" s="1">
        <v>1.325</v>
      </c>
      <c r="P57" s="1">
        <v>0.5</v>
      </c>
      <c r="Q57" s="1" t="s">
        <v>61</v>
      </c>
      <c r="R57" s="1">
        <v>0.17</v>
      </c>
      <c r="S57" s="1" t="s">
        <v>8826</v>
      </c>
      <c r="T57" s="1">
        <v>1</v>
      </c>
      <c r="U57" s="19"/>
      <c r="V57" s="19"/>
      <c r="W57" s="218">
        <v>1</v>
      </c>
      <c r="X57" s="218">
        <v>1</v>
      </c>
      <c r="Y57" s="218">
        <v>1</v>
      </c>
    </row>
    <row r="58" spans="1:25" ht="14.25" customHeight="1" x14ac:dyDescent="0.3">
      <c r="A58" s="1" t="s">
        <v>258</v>
      </c>
      <c r="B58" s="5">
        <v>46236</v>
      </c>
      <c r="C58" s="6">
        <v>0.114583333333333</v>
      </c>
      <c r="D58" s="1" t="s">
        <v>7</v>
      </c>
      <c r="E58" s="1" t="s">
        <v>8</v>
      </c>
      <c r="F58" s="1" t="s">
        <v>259</v>
      </c>
      <c r="G58" s="39" t="s">
        <v>260</v>
      </c>
      <c r="H58" s="1">
        <v>2</v>
      </c>
      <c r="I58" s="1">
        <v>0</v>
      </c>
      <c r="J58" s="39" t="s">
        <v>261</v>
      </c>
      <c r="K58" s="1">
        <v>0</v>
      </c>
      <c r="L58" s="1">
        <v>2</v>
      </c>
      <c r="M58" s="1" t="s">
        <v>59</v>
      </c>
      <c r="N58" s="1" t="s">
        <v>205</v>
      </c>
      <c r="O58" s="1">
        <v>1.2749999999999999</v>
      </c>
      <c r="P58" s="1">
        <v>0.5</v>
      </c>
      <c r="Q58" s="1" t="s">
        <v>73</v>
      </c>
      <c r="R58" s="1">
        <v>-0.5</v>
      </c>
      <c r="S58" s="1" t="s">
        <v>8827</v>
      </c>
      <c r="T58" s="1">
        <v>1</v>
      </c>
      <c r="U58" s="19"/>
      <c r="V58" s="19"/>
      <c r="W58" s="218">
        <v>1</v>
      </c>
      <c r="X58" s="218">
        <v>1</v>
      </c>
      <c r="Y58" s="218">
        <v>1</v>
      </c>
    </row>
    <row r="59" spans="1:25" ht="14.25" customHeight="1" x14ac:dyDescent="0.3">
      <c r="A59" s="1" t="s">
        <v>262</v>
      </c>
      <c r="B59" s="5">
        <v>46236</v>
      </c>
      <c r="C59" s="6">
        <v>0.25</v>
      </c>
      <c r="D59" s="1" t="s">
        <v>7</v>
      </c>
      <c r="E59" s="1" t="s">
        <v>2229</v>
      </c>
      <c r="F59" s="1" t="s">
        <v>263</v>
      </c>
      <c r="G59" s="39" t="s">
        <v>264</v>
      </c>
      <c r="H59" s="1">
        <v>1</v>
      </c>
      <c r="I59" s="1">
        <v>3</v>
      </c>
      <c r="J59" s="39" t="s">
        <v>265</v>
      </c>
      <c r="K59" s="1">
        <v>3</v>
      </c>
      <c r="L59" s="1">
        <v>1</v>
      </c>
      <c r="M59" s="1" t="s">
        <v>59</v>
      </c>
      <c r="N59" s="1" t="s">
        <v>98</v>
      </c>
      <c r="O59" s="1">
        <v>1.325</v>
      </c>
      <c r="P59" s="1">
        <v>0.5</v>
      </c>
      <c r="Q59" s="1" t="s">
        <v>61</v>
      </c>
      <c r="R59" s="1">
        <v>0.17</v>
      </c>
      <c r="S59" s="1" t="s">
        <v>8828</v>
      </c>
      <c r="T59" s="1">
        <v>1</v>
      </c>
      <c r="U59" s="19"/>
      <c r="V59" s="19"/>
      <c r="W59" s="218">
        <v>1</v>
      </c>
      <c r="X59" s="218">
        <v>1</v>
      </c>
      <c r="Y59" s="218">
        <v>1</v>
      </c>
    </row>
    <row r="60" spans="1:25" ht="14.25" customHeight="1" x14ac:dyDescent="0.3">
      <c r="A60" s="1" t="s">
        <v>266</v>
      </c>
      <c r="B60" s="5">
        <v>46236</v>
      </c>
      <c r="C60" s="6">
        <v>8.3333333333333301E-2</v>
      </c>
      <c r="D60" s="1" t="s">
        <v>7</v>
      </c>
      <c r="E60" s="1" t="s">
        <v>2229</v>
      </c>
      <c r="F60" s="1" t="s">
        <v>267</v>
      </c>
      <c r="G60" s="39" t="s">
        <v>268</v>
      </c>
      <c r="H60" s="1">
        <v>0</v>
      </c>
      <c r="I60" s="1">
        <v>1</v>
      </c>
      <c r="J60" s="39" t="s">
        <v>269</v>
      </c>
      <c r="K60" s="1">
        <v>1</v>
      </c>
      <c r="L60" s="1">
        <v>0</v>
      </c>
      <c r="M60" s="1" t="s">
        <v>59</v>
      </c>
      <c r="N60" s="1" t="s">
        <v>120</v>
      </c>
      <c r="O60" s="1">
        <v>1.26</v>
      </c>
      <c r="P60" s="1">
        <v>0.5</v>
      </c>
      <c r="Q60" s="1" t="s">
        <v>73</v>
      </c>
      <c r="R60" s="1">
        <v>-0.5</v>
      </c>
      <c r="S60" s="1" t="s">
        <v>8829</v>
      </c>
      <c r="T60" s="1">
        <v>1</v>
      </c>
      <c r="U60" s="19"/>
      <c r="V60" s="19"/>
      <c r="W60" s="218">
        <v>1</v>
      </c>
      <c r="X60" s="218">
        <v>1</v>
      </c>
      <c r="Y60" s="218">
        <v>1</v>
      </c>
    </row>
    <row r="61" spans="1:25" ht="14.25" customHeight="1" x14ac:dyDescent="0.3">
      <c r="A61" s="1" t="s">
        <v>270</v>
      </c>
      <c r="B61" s="5">
        <v>46236</v>
      </c>
      <c r="C61" s="6">
        <v>0.52083333333333304</v>
      </c>
      <c r="D61" s="1" t="s">
        <v>30</v>
      </c>
      <c r="E61" s="1" t="s">
        <v>36</v>
      </c>
      <c r="F61" s="1" t="s">
        <v>271</v>
      </c>
      <c r="G61" s="39" t="s">
        <v>272</v>
      </c>
      <c r="H61" s="1">
        <v>3</v>
      </c>
      <c r="I61" s="1">
        <v>1</v>
      </c>
      <c r="J61" s="39" t="s">
        <v>273</v>
      </c>
      <c r="K61" s="1">
        <v>1</v>
      </c>
      <c r="L61" s="1">
        <v>3</v>
      </c>
      <c r="M61" s="1" t="s">
        <v>59</v>
      </c>
      <c r="N61" s="1" t="s">
        <v>65</v>
      </c>
      <c r="O61" s="1">
        <v>1.425</v>
      </c>
      <c r="P61" s="1">
        <v>0.5</v>
      </c>
      <c r="Q61" s="1" t="s">
        <v>61</v>
      </c>
      <c r="R61" s="1">
        <v>0.22</v>
      </c>
      <c r="S61" s="1" t="s">
        <v>8830</v>
      </c>
      <c r="T61" s="1">
        <v>1</v>
      </c>
      <c r="U61" s="19"/>
      <c r="V61" s="19"/>
      <c r="W61" s="218">
        <v>1</v>
      </c>
      <c r="X61" s="218">
        <v>1</v>
      </c>
      <c r="Y61" s="218">
        <v>1</v>
      </c>
    </row>
    <row r="62" spans="1:25" ht="14.25" customHeight="1" x14ac:dyDescent="0.3">
      <c r="A62" s="1" t="s">
        <v>274</v>
      </c>
      <c r="B62" s="5">
        <v>46236</v>
      </c>
      <c r="C62" s="6">
        <v>0.375</v>
      </c>
      <c r="D62" s="1" t="s">
        <v>18</v>
      </c>
      <c r="E62" s="1" t="s">
        <v>19</v>
      </c>
      <c r="F62" s="1" t="s">
        <v>2724</v>
      </c>
      <c r="G62" s="39" t="s">
        <v>392</v>
      </c>
      <c r="H62" s="1">
        <v>0</v>
      </c>
      <c r="I62" s="1">
        <v>1</v>
      </c>
      <c r="J62" s="39" t="s">
        <v>2674</v>
      </c>
      <c r="K62" s="1">
        <v>1</v>
      </c>
      <c r="L62" s="1">
        <v>0</v>
      </c>
      <c r="M62" s="1" t="s">
        <v>59</v>
      </c>
      <c r="N62" s="1" t="s">
        <v>60</v>
      </c>
      <c r="O62" s="1">
        <v>1.5</v>
      </c>
      <c r="P62" s="1">
        <v>0.5</v>
      </c>
      <c r="Q62" s="1" t="s">
        <v>73</v>
      </c>
      <c r="R62" s="1">
        <v>-0.5</v>
      </c>
      <c r="S62" s="1" t="s">
        <v>8831</v>
      </c>
      <c r="T62" s="1">
        <v>1</v>
      </c>
      <c r="U62" s="19"/>
      <c r="V62" s="19"/>
      <c r="W62" s="218">
        <v>1</v>
      </c>
      <c r="X62" s="218">
        <v>1</v>
      </c>
      <c r="Y62" s="218">
        <v>1</v>
      </c>
    </row>
    <row r="63" spans="1:25" ht="14.25" customHeight="1" x14ac:dyDescent="0.3">
      <c r="A63" s="1" t="s">
        <v>275</v>
      </c>
      <c r="B63" s="5">
        <v>46236</v>
      </c>
      <c r="C63" s="6">
        <v>0.45833333333333298</v>
      </c>
      <c r="D63" s="1" t="s">
        <v>30</v>
      </c>
      <c r="E63" s="1" t="s">
        <v>34</v>
      </c>
      <c r="F63" s="1" t="s">
        <v>5283</v>
      </c>
      <c r="G63" s="39" t="s">
        <v>5284</v>
      </c>
      <c r="H63" s="1">
        <v>4</v>
      </c>
      <c r="I63" s="1">
        <v>2</v>
      </c>
      <c r="J63" s="39" t="s">
        <v>5285</v>
      </c>
      <c r="K63" s="1">
        <v>2</v>
      </c>
      <c r="L63" s="1">
        <v>4</v>
      </c>
      <c r="M63" s="1" t="s">
        <v>59</v>
      </c>
      <c r="N63" s="1" t="s">
        <v>60</v>
      </c>
      <c r="O63" s="1">
        <v>1.375</v>
      </c>
      <c r="P63" s="1">
        <v>0.5</v>
      </c>
      <c r="Q63" s="1" t="s">
        <v>61</v>
      </c>
      <c r="R63" s="1">
        <v>0.19</v>
      </c>
      <c r="S63" s="1" t="s">
        <v>5286</v>
      </c>
      <c r="T63" s="1">
        <v>1</v>
      </c>
      <c r="U63" s="19"/>
      <c r="V63" s="19"/>
      <c r="W63" s="218">
        <v>1</v>
      </c>
      <c r="X63" s="218">
        <v>1</v>
      </c>
      <c r="Y63" s="218">
        <v>1</v>
      </c>
    </row>
    <row r="64" spans="1:25" ht="14.25" customHeight="1" x14ac:dyDescent="0.3">
      <c r="A64" s="1" t="s">
        <v>276</v>
      </c>
      <c r="B64" s="5">
        <v>46236</v>
      </c>
      <c r="C64" s="6">
        <v>0.41666666666666702</v>
      </c>
      <c r="D64" s="1" t="s">
        <v>30</v>
      </c>
      <c r="E64" s="1" t="s">
        <v>33</v>
      </c>
      <c r="F64" s="1" t="s">
        <v>277</v>
      </c>
      <c r="G64" s="39" t="s">
        <v>278</v>
      </c>
      <c r="H64" s="1">
        <v>1</v>
      </c>
      <c r="I64" s="1">
        <v>0</v>
      </c>
      <c r="J64" s="39" t="s">
        <v>279</v>
      </c>
      <c r="K64" s="1">
        <v>0</v>
      </c>
      <c r="L64" s="1">
        <v>1</v>
      </c>
      <c r="M64" s="1" t="s">
        <v>59</v>
      </c>
      <c r="N64" s="1" t="s">
        <v>205</v>
      </c>
      <c r="O64" s="1">
        <v>1.4750000000000001</v>
      </c>
      <c r="P64" s="1">
        <v>0.5</v>
      </c>
      <c r="Q64" s="1" t="s">
        <v>73</v>
      </c>
      <c r="R64" s="1">
        <v>-0.5</v>
      </c>
      <c r="S64" s="1" t="s">
        <v>8832</v>
      </c>
      <c r="T64" s="1">
        <v>1</v>
      </c>
      <c r="U64" s="19"/>
      <c r="V64" s="19"/>
      <c r="W64" s="218">
        <v>1</v>
      </c>
      <c r="X64" s="218">
        <v>1</v>
      </c>
      <c r="Y64" s="218">
        <v>1</v>
      </c>
    </row>
    <row r="65" spans="1:25" ht="14.25" customHeight="1" x14ac:dyDescent="0.3">
      <c r="A65" s="1" t="s">
        <v>280</v>
      </c>
      <c r="B65" s="5">
        <v>46236</v>
      </c>
      <c r="C65" s="6">
        <v>0.5</v>
      </c>
      <c r="D65" s="1" t="s">
        <v>27</v>
      </c>
      <c r="E65" s="1" t="s">
        <v>29</v>
      </c>
      <c r="F65" s="1" t="s">
        <v>6944</v>
      </c>
      <c r="G65" s="39" t="s">
        <v>6945</v>
      </c>
      <c r="H65" s="1">
        <v>4</v>
      </c>
      <c r="I65" s="1">
        <v>1</v>
      </c>
      <c r="J65" s="39" t="s">
        <v>6946</v>
      </c>
      <c r="K65" s="1">
        <v>1</v>
      </c>
      <c r="L65" s="1">
        <v>4</v>
      </c>
      <c r="M65" s="1" t="s">
        <v>59</v>
      </c>
      <c r="N65" s="1" t="s">
        <v>98</v>
      </c>
      <c r="O65" s="1">
        <v>1.24</v>
      </c>
      <c r="P65" s="1">
        <v>0.5</v>
      </c>
      <c r="Q65" s="1" t="s">
        <v>61</v>
      </c>
      <c r="R65" s="1">
        <v>0.12</v>
      </c>
      <c r="S65" s="1" t="s">
        <v>6947</v>
      </c>
      <c r="T65" s="1">
        <v>1</v>
      </c>
      <c r="U65" s="19"/>
      <c r="V65" s="19"/>
      <c r="W65" s="218">
        <v>1</v>
      </c>
      <c r="X65" s="218">
        <v>1</v>
      </c>
      <c r="Y65" s="218">
        <v>1</v>
      </c>
    </row>
    <row r="66" spans="1:25" ht="14.25" customHeight="1" x14ac:dyDescent="0.3">
      <c r="A66" s="1" t="s">
        <v>281</v>
      </c>
      <c r="B66" s="5">
        <v>46236</v>
      </c>
      <c r="C66" s="6">
        <v>0.45833333333333298</v>
      </c>
      <c r="D66" s="1" t="s">
        <v>30</v>
      </c>
      <c r="E66" s="1" t="s">
        <v>34</v>
      </c>
      <c r="F66" s="1" t="s">
        <v>282</v>
      </c>
      <c r="G66" s="39" t="s">
        <v>283</v>
      </c>
      <c r="H66" s="1">
        <v>2</v>
      </c>
      <c r="I66" s="1">
        <v>2</v>
      </c>
      <c r="J66" s="39" t="s">
        <v>284</v>
      </c>
      <c r="K66" s="1">
        <v>2</v>
      </c>
      <c r="L66" s="1">
        <v>2</v>
      </c>
      <c r="M66" s="1" t="s">
        <v>59</v>
      </c>
      <c r="N66" s="1" t="s">
        <v>60</v>
      </c>
      <c r="O66" s="1">
        <v>1.3</v>
      </c>
      <c r="P66" s="1">
        <v>0.5</v>
      </c>
      <c r="Q66" s="1" t="s">
        <v>62</v>
      </c>
      <c r="R66" s="1">
        <v>7.0000000000000007E-2</v>
      </c>
      <c r="S66" s="1" t="s">
        <v>8833</v>
      </c>
      <c r="T66" s="1">
        <v>1</v>
      </c>
      <c r="U66" s="19"/>
      <c r="V66" s="19"/>
      <c r="W66" s="218">
        <v>1</v>
      </c>
      <c r="X66" s="218">
        <v>1</v>
      </c>
      <c r="Y66" s="218">
        <v>1</v>
      </c>
    </row>
    <row r="67" spans="1:25" ht="14.25" customHeight="1" x14ac:dyDescent="0.3">
      <c r="A67" s="1" t="s">
        <v>285</v>
      </c>
      <c r="B67" s="5">
        <v>46236</v>
      </c>
      <c r="C67" s="6">
        <v>0.5</v>
      </c>
      <c r="D67" s="1" t="s">
        <v>27</v>
      </c>
      <c r="E67" s="1" t="s">
        <v>29</v>
      </c>
      <c r="F67" s="1" t="s">
        <v>6948</v>
      </c>
      <c r="G67" s="39" t="s">
        <v>6949</v>
      </c>
      <c r="H67" s="1">
        <v>3</v>
      </c>
      <c r="I67" s="1">
        <v>2</v>
      </c>
      <c r="J67" s="39" t="s">
        <v>6950</v>
      </c>
      <c r="K67" s="1">
        <v>2</v>
      </c>
      <c r="L67" s="1">
        <v>3</v>
      </c>
      <c r="M67" s="1" t="s">
        <v>59</v>
      </c>
      <c r="N67" s="1" t="s">
        <v>98</v>
      </c>
      <c r="O67" s="1">
        <v>1.23</v>
      </c>
      <c r="P67" s="1">
        <v>0.5</v>
      </c>
      <c r="Q67" s="1" t="s">
        <v>61</v>
      </c>
      <c r="R67" s="1">
        <v>0.12</v>
      </c>
      <c r="S67" s="1" t="s">
        <v>6951</v>
      </c>
      <c r="T67" s="1">
        <v>1</v>
      </c>
      <c r="U67" s="19"/>
      <c r="V67" s="19"/>
      <c r="W67" s="218">
        <v>1</v>
      </c>
      <c r="X67" s="218">
        <v>1</v>
      </c>
      <c r="Y67" s="218">
        <v>1</v>
      </c>
    </row>
    <row r="68" spans="1:25" ht="14.25" customHeight="1" x14ac:dyDescent="0.3">
      <c r="A68" s="1" t="s">
        <v>286</v>
      </c>
      <c r="B68" s="5">
        <v>46236</v>
      </c>
      <c r="C68" s="6">
        <v>0.5</v>
      </c>
      <c r="D68" s="1" t="s">
        <v>27</v>
      </c>
      <c r="E68" s="1" t="s">
        <v>29</v>
      </c>
      <c r="F68" s="1" t="s">
        <v>6960</v>
      </c>
      <c r="G68" s="39" t="s">
        <v>6952</v>
      </c>
      <c r="H68" s="1">
        <v>1</v>
      </c>
      <c r="I68" s="1">
        <v>3</v>
      </c>
      <c r="J68" s="39" t="s">
        <v>6961</v>
      </c>
      <c r="K68" s="1">
        <v>3</v>
      </c>
      <c r="L68" s="1">
        <v>1</v>
      </c>
      <c r="M68" s="1" t="s">
        <v>59</v>
      </c>
      <c r="N68" s="1" t="s">
        <v>98</v>
      </c>
      <c r="O68" s="1">
        <v>1.2</v>
      </c>
      <c r="P68" s="1">
        <v>0.5</v>
      </c>
      <c r="Q68" s="1" t="s">
        <v>61</v>
      </c>
      <c r="R68" s="1">
        <v>0.1</v>
      </c>
      <c r="S68" s="1" t="s">
        <v>6962</v>
      </c>
      <c r="T68" s="1">
        <v>1</v>
      </c>
      <c r="U68" s="19"/>
      <c r="V68" s="19"/>
      <c r="W68" s="218">
        <v>1</v>
      </c>
      <c r="X68" s="218">
        <v>1</v>
      </c>
      <c r="Y68" s="218">
        <v>1</v>
      </c>
    </row>
    <row r="69" spans="1:25" ht="14.25" customHeight="1" x14ac:dyDescent="0.3">
      <c r="A69" s="1" t="s">
        <v>287</v>
      </c>
      <c r="B69" s="5">
        <v>46236</v>
      </c>
      <c r="C69" s="6">
        <v>0.52083333333333304</v>
      </c>
      <c r="D69" s="1" t="s">
        <v>18</v>
      </c>
      <c r="E69" s="1" t="s">
        <v>22</v>
      </c>
      <c r="F69" s="1" t="s">
        <v>3002</v>
      </c>
      <c r="G69" s="39" t="s">
        <v>2987</v>
      </c>
      <c r="H69" s="1">
        <v>2</v>
      </c>
      <c r="I69" s="1">
        <v>1</v>
      </c>
      <c r="J69" s="39" t="s">
        <v>288</v>
      </c>
      <c r="K69" s="1">
        <v>1</v>
      </c>
      <c r="L69" s="1">
        <v>2</v>
      </c>
      <c r="M69" s="1" t="s">
        <v>59</v>
      </c>
      <c r="N69" s="1" t="s">
        <v>98</v>
      </c>
      <c r="O69" s="1">
        <v>1.23</v>
      </c>
      <c r="P69" s="1">
        <v>0.5</v>
      </c>
      <c r="Q69" s="1" t="s">
        <v>61</v>
      </c>
      <c r="R69" s="1">
        <v>0.12</v>
      </c>
      <c r="S69" s="1" t="s">
        <v>8834</v>
      </c>
      <c r="T69" s="1">
        <v>1</v>
      </c>
      <c r="U69" s="19"/>
      <c r="V69" s="19"/>
      <c r="W69" s="218">
        <v>1</v>
      </c>
      <c r="X69" s="218">
        <v>1</v>
      </c>
      <c r="Y69" s="218">
        <v>1</v>
      </c>
    </row>
    <row r="70" spans="1:25" ht="14.25" customHeight="1" x14ac:dyDescent="0.3">
      <c r="A70" s="1" t="s">
        <v>289</v>
      </c>
      <c r="B70" s="5">
        <v>46236</v>
      </c>
      <c r="C70" s="6">
        <v>0.5</v>
      </c>
      <c r="D70" s="1" t="s">
        <v>27</v>
      </c>
      <c r="E70" s="1" t="s">
        <v>29</v>
      </c>
      <c r="F70" s="1" t="s">
        <v>6953</v>
      </c>
      <c r="G70" s="39" t="s">
        <v>6954</v>
      </c>
      <c r="H70" s="1">
        <v>2</v>
      </c>
      <c r="I70" s="1">
        <v>0</v>
      </c>
      <c r="J70" s="39" t="s">
        <v>290</v>
      </c>
      <c r="K70" s="1">
        <v>0</v>
      </c>
      <c r="L70" s="1">
        <v>2</v>
      </c>
      <c r="M70" s="1" t="s">
        <v>59</v>
      </c>
      <c r="N70" s="1" t="s">
        <v>60</v>
      </c>
      <c r="O70" s="1">
        <v>1.22</v>
      </c>
      <c r="P70" s="1">
        <v>0.5</v>
      </c>
      <c r="Q70" s="1" t="s">
        <v>68</v>
      </c>
      <c r="R70" s="1">
        <v>0</v>
      </c>
      <c r="S70" s="1" t="s">
        <v>6955</v>
      </c>
      <c r="T70" s="1">
        <v>1</v>
      </c>
      <c r="U70" s="19"/>
      <c r="V70" s="19"/>
      <c r="W70" s="218">
        <v>1</v>
      </c>
      <c r="X70" s="218">
        <v>1</v>
      </c>
      <c r="Y70" s="218">
        <v>1</v>
      </c>
    </row>
    <row r="71" spans="1:25" ht="14.25" customHeight="1" x14ac:dyDescent="0.3">
      <c r="A71" s="1" t="s">
        <v>291</v>
      </c>
      <c r="B71" s="5">
        <v>46164</v>
      </c>
      <c r="C71" s="6">
        <v>0.52083333333333304</v>
      </c>
      <c r="D71" s="1" t="s">
        <v>18</v>
      </c>
      <c r="E71" s="1" t="s">
        <v>22</v>
      </c>
      <c r="F71" s="1" t="s">
        <v>2986</v>
      </c>
      <c r="G71" s="39" t="s">
        <v>2984</v>
      </c>
      <c r="H71" s="1">
        <v>8</v>
      </c>
      <c r="I71" s="1">
        <v>0</v>
      </c>
      <c r="J71" s="39" t="s">
        <v>292</v>
      </c>
      <c r="K71" s="1">
        <v>0</v>
      </c>
      <c r="L71" s="1">
        <v>8</v>
      </c>
      <c r="S71" s="1" t="s">
        <v>8835</v>
      </c>
      <c r="T71" s="1">
        <v>1</v>
      </c>
      <c r="U71" s="19"/>
      <c r="V71" s="19"/>
      <c r="W71" s="218">
        <v>1</v>
      </c>
      <c r="X71" s="218">
        <v>1</v>
      </c>
      <c r="Y71" s="218">
        <v>1</v>
      </c>
    </row>
    <row r="72" spans="1:25" ht="14.25" customHeight="1" x14ac:dyDescent="0.3">
      <c r="A72" s="1" t="s">
        <v>293</v>
      </c>
      <c r="B72" s="5">
        <v>46173</v>
      </c>
      <c r="C72" s="6">
        <v>0.375</v>
      </c>
      <c r="D72" s="1" t="s">
        <v>18</v>
      </c>
      <c r="E72" s="1" t="s">
        <v>22</v>
      </c>
      <c r="F72" s="1" t="s">
        <v>2988</v>
      </c>
      <c r="G72" s="39" t="s">
        <v>2987</v>
      </c>
      <c r="H72" s="1">
        <v>1</v>
      </c>
      <c r="I72" s="1">
        <v>0</v>
      </c>
      <c r="J72" s="39" t="s">
        <v>2984</v>
      </c>
      <c r="K72" s="1">
        <v>0</v>
      </c>
      <c r="L72" s="1">
        <v>1</v>
      </c>
      <c r="S72" s="1" t="s">
        <v>8836</v>
      </c>
      <c r="T72" s="1">
        <v>1</v>
      </c>
      <c r="U72" s="19"/>
      <c r="V72" s="19"/>
      <c r="W72" s="218">
        <v>1</v>
      </c>
      <c r="X72" s="218">
        <v>1</v>
      </c>
      <c r="Y72" s="218">
        <v>1</v>
      </c>
    </row>
    <row r="73" spans="1:25" ht="14.25" customHeight="1" x14ac:dyDescent="0.3">
      <c r="A73" s="1" t="s">
        <v>294</v>
      </c>
      <c r="B73" s="5">
        <v>46179</v>
      </c>
      <c r="C73" s="6">
        <v>0.33333333333333298</v>
      </c>
      <c r="D73" s="1" t="s">
        <v>18</v>
      </c>
      <c r="E73" s="1" t="s">
        <v>22</v>
      </c>
      <c r="F73" s="1" t="s">
        <v>2989</v>
      </c>
      <c r="G73" s="39" t="s">
        <v>2984</v>
      </c>
      <c r="H73" s="1">
        <v>3</v>
      </c>
      <c r="I73" s="1">
        <v>2</v>
      </c>
      <c r="J73" s="39" t="s">
        <v>295</v>
      </c>
      <c r="K73" s="1">
        <v>2</v>
      </c>
      <c r="L73" s="1">
        <v>3</v>
      </c>
      <c r="S73" s="1" t="s">
        <v>8837</v>
      </c>
      <c r="T73" s="1">
        <v>1</v>
      </c>
      <c r="U73" s="19"/>
      <c r="V73" s="19"/>
      <c r="W73" s="218">
        <v>1</v>
      </c>
      <c r="X73" s="218">
        <v>1</v>
      </c>
      <c r="Y73" s="218">
        <v>1</v>
      </c>
    </row>
    <row r="74" spans="1:25" ht="14.25" customHeight="1" x14ac:dyDescent="0.3">
      <c r="A74" s="1" t="s">
        <v>296</v>
      </c>
      <c r="B74" s="5">
        <v>46184</v>
      </c>
      <c r="C74" s="6">
        <v>0.5</v>
      </c>
      <c r="D74" s="1" t="s">
        <v>18</v>
      </c>
      <c r="E74" s="1" t="s">
        <v>22</v>
      </c>
      <c r="F74" s="1" t="s">
        <v>2990</v>
      </c>
      <c r="G74" s="39" t="s">
        <v>288</v>
      </c>
      <c r="H74" s="1">
        <v>3</v>
      </c>
      <c r="I74" s="1">
        <v>3</v>
      </c>
      <c r="J74" s="39" t="s">
        <v>2984</v>
      </c>
      <c r="K74" s="1">
        <v>3</v>
      </c>
      <c r="L74" s="1">
        <v>3</v>
      </c>
      <c r="S74" s="1" t="s">
        <v>8838</v>
      </c>
      <c r="T74" s="1">
        <v>1</v>
      </c>
      <c r="U74" s="19"/>
      <c r="V74" s="19"/>
      <c r="W74" s="218">
        <v>1</v>
      </c>
      <c r="X74" s="218">
        <v>1</v>
      </c>
      <c r="Y74" s="218">
        <v>1</v>
      </c>
    </row>
    <row r="75" spans="1:25" ht="14.25" customHeight="1" x14ac:dyDescent="0.3">
      <c r="A75" s="1" t="s">
        <v>297</v>
      </c>
      <c r="B75" s="5">
        <v>46200</v>
      </c>
      <c r="C75" s="6">
        <v>0.45833333333333298</v>
      </c>
      <c r="D75" s="1" t="s">
        <v>18</v>
      </c>
      <c r="E75" s="1" t="s">
        <v>22</v>
      </c>
      <c r="F75" s="1" t="s">
        <v>2991</v>
      </c>
      <c r="G75" s="39" t="s">
        <v>298</v>
      </c>
      <c r="H75" s="1">
        <v>1</v>
      </c>
      <c r="I75" s="1">
        <v>2</v>
      </c>
      <c r="J75" s="39" t="s">
        <v>2984</v>
      </c>
      <c r="K75" s="1">
        <v>2</v>
      </c>
      <c r="L75" s="1">
        <v>1</v>
      </c>
      <c r="S75" s="1" t="s">
        <v>8839</v>
      </c>
      <c r="T75" s="1">
        <v>1</v>
      </c>
      <c r="U75" s="19"/>
      <c r="V75" s="19"/>
      <c r="W75" s="218">
        <v>1</v>
      </c>
      <c r="X75" s="218">
        <v>1</v>
      </c>
      <c r="Y75" s="218">
        <v>1</v>
      </c>
    </row>
    <row r="76" spans="1:25" ht="14.25" customHeight="1" x14ac:dyDescent="0.3">
      <c r="A76" s="1" t="s">
        <v>299</v>
      </c>
      <c r="B76" s="5">
        <v>46207</v>
      </c>
      <c r="C76" s="6">
        <v>0.41666666666666702</v>
      </c>
      <c r="D76" s="1" t="s">
        <v>18</v>
      </c>
      <c r="E76" s="1" t="s">
        <v>22</v>
      </c>
      <c r="F76" s="1" t="s">
        <v>2992</v>
      </c>
      <c r="G76" s="39" t="s">
        <v>2984</v>
      </c>
      <c r="H76" s="1">
        <v>5</v>
      </c>
      <c r="I76" s="1">
        <v>1</v>
      </c>
      <c r="J76" s="39" t="s">
        <v>300</v>
      </c>
      <c r="K76" s="1">
        <v>1</v>
      </c>
      <c r="L76" s="1">
        <v>5</v>
      </c>
      <c r="S76" s="1" t="s">
        <v>8840</v>
      </c>
      <c r="T76" s="1">
        <v>1</v>
      </c>
      <c r="U76" s="19"/>
      <c r="V76" s="19"/>
      <c r="W76" s="218">
        <v>1</v>
      </c>
      <c r="X76" s="218">
        <v>1</v>
      </c>
      <c r="Y76" s="218">
        <v>1</v>
      </c>
    </row>
    <row r="77" spans="1:25" ht="14.25" customHeight="1" x14ac:dyDescent="0.3">
      <c r="A77" s="1" t="s">
        <v>301</v>
      </c>
      <c r="B77" s="5">
        <v>46213</v>
      </c>
      <c r="C77" s="6">
        <v>0.52083333333333304</v>
      </c>
      <c r="D77" s="1" t="s">
        <v>18</v>
      </c>
      <c r="E77" s="1" t="s">
        <v>22</v>
      </c>
      <c r="F77" s="1" t="s">
        <v>2993</v>
      </c>
      <c r="G77" s="39" t="s">
        <v>2984</v>
      </c>
      <c r="H77" s="1">
        <v>3</v>
      </c>
      <c r="I77" s="1">
        <v>5</v>
      </c>
      <c r="J77" s="39" t="s">
        <v>302</v>
      </c>
      <c r="K77" s="1">
        <v>5</v>
      </c>
      <c r="L77" s="1">
        <v>3</v>
      </c>
      <c r="S77" s="1" t="s">
        <v>8841</v>
      </c>
      <c r="T77" s="1">
        <v>1</v>
      </c>
      <c r="U77" s="19"/>
      <c r="V77" s="19"/>
      <c r="W77" s="218">
        <v>1</v>
      </c>
      <c r="X77" s="218">
        <v>1</v>
      </c>
      <c r="Y77" s="218">
        <v>1</v>
      </c>
    </row>
    <row r="78" spans="1:25" ht="14.25" customHeight="1" x14ac:dyDescent="0.3">
      <c r="A78" s="1" t="s">
        <v>303</v>
      </c>
      <c r="B78" s="5">
        <v>46221</v>
      </c>
      <c r="C78" s="6">
        <v>0.375</v>
      </c>
      <c r="D78" s="1" t="s">
        <v>18</v>
      </c>
      <c r="E78" s="1" t="s">
        <v>22</v>
      </c>
      <c r="F78" s="1" t="s">
        <v>2994</v>
      </c>
      <c r="G78" s="39" t="s">
        <v>304</v>
      </c>
      <c r="H78" s="1">
        <v>3</v>
      </c>
      <c r="I78" s="1">
        <v>6</v>
      </c>
      <c r="J78" s="39" t="s">
        <v>2984</v>
      </c>
      <c r="K78" s="1">
        <v>6</v>
      </c>
      <c r="L78" s="1">
        <v>3</v>
      </c>
      <c r="S78" s="1" t="s">
        <v>8842</v>
      </c>
      <c r="T78" s="1">
        <v>1</v>
      </c>
      <c r="U78" s="19"/>
      <c r="V78" s="19"/>
      <c r="W78" s="218">
        <v>1</v>
      </c>
      <c r="X78" s="218">
        <v>1</v>
      </c>
      <c r="Y78" s="218">
        <v>1</v>
      </c>
    </row>
    <row r="79" spans="1:25" ht="14.25" customHeight="1" x14ac:dyDescent="0.3">
      <c r="A79" s="1" t="s">
        <v>305</v>
      </c>
      <c r="B79" s="5">
        <v>46228</v>
      </c>
      <c r="C79" s="6">
        <v>0.41666666666666702</v>
      </c>
      <c r="D79" s="1" t="s">
        <v>18</v>
      </c>
      <c r="E79" s="1" t="s">
        <v>22</v>
      </c>
      <c r="F79" s="1" t="s">
        <v>2995</v>
      </c>
      <c r="G79" s="39" t="s">
        <v>2984</v>
      </c>
      <c r="H79" s="1">
        <v>5</v>
      </c>
      <c r="I79" s="1">
        <v>3</v>
      </c>
      <c r="J79" s="39" t="s">
        <v>306</v>
      </c>
      <c r="K79" s="1">
        <v>3</v>
      </c>
      <c r="L79" s="1">
        <v>5</v>
      </c>
      <c r="S79" s="1" t="s">
        <v>8843</v>
      </c>
      <c r="T79" s="1">
        <v>1</v>
      </c>
      <c r="U79" s="19"/>
      <c r="V79" s="19"/>
      <c r="W79" s="218">
        <v>1</v>
      </c>
      <c r="X79" s="218">
        <v>1</v>
      </c>
      <c r="Y79" s="218">
        <v>1</v>
      </c>
    </row>
    <row r="80" spans="1:25" ht="14.25" customHeight="1" x14ac:dyDescent="0.3">
      <c r="A80" s="1" t="s">
        <v>307</v>
      </c>
      <c r="B80" s="5">
        <v>46171</v>
      </c>
      <c r="C80" s="6">
        <v>0.52083333333333304</v>
      </c>
      <c r="D80" s="1" t="s">
        <v>18</v>
      </c>
      <c r="E80" s="1" t="s">
        <v>20</v>
      </c>
      <c r="F80" s="1" t="s">
        <v>308</v>
      </c>
      <c r="G80" s="39" t="s">
        <v>309</v>
      </c>
      <c r="H80" s="1">
        <v>1</v>
      </c>
      <c r="I80" s="1">
        <v>0</v>
      </c>
      <c r="J80" s="39" t="s">
        <v>204</v>
      </c>
      <c r="K80" s="1">
        <v>0</v>
      </c>
      <c r="L80" s="1">
        <v>1</v>
      </c>
      <c r="S80" s="1" t="s">
        <v>8844</v>
      </c>
      <c r="T80" s="1">
        <v>1</v>
      </c>
      <c r="U80" s="19"/>
      <c r="V80" s="19"/>
      <c r="W80" s="218">
        <v>1</v>
      </c>
      <c r="X80" s="218">
        <v>1</v>
      </c>
      <c r="Y80" s="218">
        <v>1</v>
      </c>
    </row>
    <row r="81" spans="1:25" ht="14.25" customHeight="1" x14ac:dyDescent="0.3">
      <c r="A81" s="1" t="s">
        <v>310</v>
      </c>
      <c r="B81" s="5">
        <v>46182</v>
      </c>
      <c r="C81" s="6">
        <v>0.52083333333333304</v>
      </c>
      <c r="D81" s="1" t="s">
        <v>18</v>
      </c>
      <c r="E81" s="1" t="s">
        <v>20</v>
      </c>
      <c r="F81" s="1" t="s">
        <v>311</v>
      </c>
      <c r="G81" s="39" t="s">
        <v>204</v>
      </c>
      <c r="H81" s="1">
        <v>0</v>
      </c>
      <c r="I81" s="1">
        <v>0</v>
      </c>
      <c r="J81" s="39" t="s">
        <v>312</v>
      </c>
      <c r="K81" s="1">
        <v>0</v>
      </c>
      <c r="L81" s="1">
        <v>0</v>
      </c>
      <c r="S81" s="1" t="s">
        <v>8845</v>
      </c>
      <c r="T81" s="1">
        <v>1</v>
      </c>
      <c r="U81" s="19"/>
      <c r="V81" s="19"/>
      <c r="W81" s="218">
        <v>1</v>
      </c>
      <c r="X81" s="218">
        <v>1</v>
      </c>
      <c r="Y81" s="218">
        <v>1</v>
      </c>
    </row>
    <row r="82" spans="1:25" ht="14.25" customHeight="1" x14ac:dyDescent="0.3">
      <c r="A82" s="1" t="s">
        <v>313</v>
      </c>
      <c r="B82" s="5">
        <v>46188</v>
      </c>
      <c r="C82" s="6">
        <v>0.52083333333333304</v>
      </c>
      <c r="D82" s="1" t="s">
        <v>18</v>
      </c>
      <c r="E82" s="1" t="s">
        <v>20</v>
      </c>
      <c r="F82" s="1" t="s">
        <v>314</v>
      </c>
      <c r="G82" s="39" t="s">
        <v>204</v>
      </c>
      <c r="H82" s="1">
        <v>0</v>
      </c>
      <c r="I82" s="1">
        <v>2</v>
      </c>
      <c r="J82" s="39" t="s">
        <v>315</v>
      </c>
      <c r="K82" s="1">
        <v>2</v>
      </c>
      <c r="L82" s="1">
        <v>0</v>
      </c>
      <c r="S82" s="1" t="s">
        <v>8846</v>
      </c>
      <c r="T82" s="1">
        <v>1</v>
      </c>
      <c r="U82" s="19"/>
      <c r="V82" s="19"/>
      <c r="W82" s="218">
        <v>1</v>
      </c>
      <c r="X82" s="218">
        <v>1</v>
      </c>
      <c r="Y82" s="218">
        <v>1</v>
      </c>
    </row>
    <row r="83" spans="1:25" ht="14.25" customHeight="1" x14ac:dyDescent="0.3">
      <c r="A83" s="1" t="s">
        <v>316</v>
      </c>
      <c r="B83" s="5">
        <v>46199</v>
      </c>
      <c r="C83" s="6">
        <v>0.54166666666666696</v>
      </c>
      <c r="D83" s="1" t="s">
        <v>18</v>
      </c>
      <c r="E83" s="1" t="s">
        <v>20</v>
      </c>
      <c r="F83" s="1" t="s">
        <v>317</v>
      </c>
      <c r="G83" s="39" t="s">
        <v>318</v>
      </c>
      <c r="H83" s="1">
        <v>2</v>
      </c>
      <c r="I83" s="1">
        <v>0</v>
      </c>
      <c r="J83" s="39" t="s">
        <v>204</v>
      </c>
      <c r="K83" s="1">
        <v>0</v>
      </c>
      <c r="L83" s="1">
        <v>2</v>
      </c>
      <c r="S83" s="1" t="s">
        <v>8847</v>
      </c>
      <c r="T83" s="1">
        <v>1</v>
      </c>
      <c r="U83" s="19"/>
      <c r="V83" s="19"/>
      <c r="W83" s="218">
        <v>1</v>
      </c>
      <c r="X83" s="218">
        <v>1</v>
      </c>
      <c r="Y83" s="218">
        <v>1</v>
      </c>
    </row>
    <row r="84" spans="1:25" ht="14.25" customHeight="1" x14ac:dyDescent="0.3">
      <c r="A84" s="1" t="s">
        <v>319</v>
      </c>
      <c r="B84" s="5">
        <v>46206</v>
      </c>
      <c r="C84" s="6">
        <v>0.52083333333333304</v>
      </c>
      <c r="D84" s="1" t="s">
        <v>18</v>
      </c>
      <c r="E84" s="1" t="s">
        <v>20</v>
      </c>
      <c r="F84" s="1" t="s">
        <v>736</v>
      </c>
      <c r="G84" s="39" t="s">
        <v>320</v>
      </c>
      <c r="H84" s="1">
        <v>1</v>
      </c>
      <c r="I84" s="1">
        <v>0</v>
      </c>
      <c r="J84" s="39" t="s">
        <v>204</v>
      </c>
      <c r="K84" s="1">
        <v>0</v>
      </c>
      <c r="L84" s="1">
        <v>1</v>
      </c>
      <c r="S84" s="1" t="s">
        <v>8848</v>
      </c>
      <c r="T84" s="1">
        <v>1</v>
      </c>
      <c r="U84" s="19"/>
      <c r="V84" s="19"/>
      <c r="W84" s="218">
        <v>1</v>
      </c>
      <c r="X84" s="218">
        <v>1</v>
      </c>
      <c r="Y84" s="218">
        <v>1</v>
      </c>
    </row>
    <row r="85" spans="1:25" ht="14.25" customHeight="1" x14ac:dyDescent="0.3">
      <c r="A85" s="1" t="s">
        <v>321</v>
      </c>
      <c r="B85" s="5">
        <v>46214</v>
      </c>
      <c r="C85" s="6">
        <v>0.41666666666666702</v>
      </c>
      <c r="D85" s="1" t="s">
        <v>18</v>
      </c>
      <c r="E85" s="1" t="s">
        <v>20</v>
      </c>
      <c r="F85" s="1" t="s">
        <v>322</v>
      </c>
      <c r="G85" s="39" t="s">
        <v>204</v>
      </c>
      <c r="H85" s="1">
        <v>1</v>
      </c>
      <c r="I85" s="1">
        <v>1</v>
      </c>
      <c r="J85" s="39" t="s">
        <v>323</v>
      </c>
      <c r="K85" s="1">
        <v>1</v>
      </c>
      <c r="L85" s="1">
        <v>1</v>
      </c>
      <c r="S85" s="1" t="s">
        <v>8849</v>
      </c>
      <c r="T85" s="1">
        <v>1</v>
      </c>
      <c r="U85" s="19"/>
      <c r="V85" s="19"/>
      <c r="W85" s="218">
        <v>1</v>
      </c>
      <c r="X85" s="218">
        <v>1</v>
      </c>
      <c r="Y85" s="218">
        <v>1</v>
      </c>
    </row>
    <row r="86" spans="1:25" ht="14.25" customHeight="1" x14ac:dyDescent="0.3">
      <c r="A86" s="1" t="s">
        <v>324</v>
      </c>
      <c r="B86" s="5">
        <v>46220</v>
      </c>
      <c r="C86" s="6">
        <v>0.54166666666666696</v>
      </c>
      <c r="D86" s="1" t="s">
        <v>18</v>
      </c>
      <c r="E86" s="1" t="s">
        <v>20</v>
      </c>
      <c r="F86" s="1" t="s">
        <v>2876</v>
      </c>
      <c r="G86" s="39" t="s">
        <v>2822</v>
      </c>
      <c r="H86" s="1">
        <v>2</v>
      </c>
      <c r="I86" s="1">
        <v>2</v>
      </c>
      <c r="J86" s="39" t="s">
        <v>204</v>
      </c>
      <c r="K86" s="1">
        <v>2</v>
      </c>
      <c r="L86" s="1">
        <v>2</v>
      </c>
      <c r="S86" s="1" t="s">
        <v>8850</v>
      </c>
      <c r="T86" s="1">
        <v>1</v>
      </c>
      <c r="U86" s="19"/>
      <c r="V86" s="19"/>
      <c r="W86" s="218">
        <v>1</v>
      </c>
      <c r="X86" s="218">
        <v>1</v>
      </c>
      <c r="Y86" s="218">
        <v>1</v>
      </c>
    </row>
    <row r="87" spans="1:25" ht="14.25" customHeight="1" x14ac:dyDescent="0.3">
      <c r="A87" s="1" t="s">
        <v>325</v>
      </c>
      <c r="B87" s="5">
        <v>46228</v>
      </c>
      <c r="C87" s="6">
        <v>0.41666666666666702</v>
      </c>
      <c r="D87" s="1" t="s">
        <v>18</v>
      </c>
      <c r="E87" s="1" t="s">
        <v>20</v>
      </c>
      <c r="F87" s="1" t="s">
        <v>2861</v>
      </c>
      <c r="G87" s="39" t="s">
        <v>204</v>
      </c>
      <c r="H87" s="1">
        <v>0</v>
      </c>
      <c r="I87" s="1">
        <v>0</v>
      </c>
      <c r="J87" s="39" t="s">
        <v>2821</v>
      </c>
      <c r="K87" s="1">
        <v>0</v>
      </c>
      <c r="L87" s="1">
        <v>0</v>
      </c>
      <c r="S87" s="1" t="s">
        <v>8851</v>
      </c>
      <c r="T87" s="1">
        <v>1</v>
      </c>
      <c r="U87" s="19"/>
      <c r="V87" s="19"/>
      <c r="W87" s="218">
        <v>1</v>
      </c>
      <c r="X87" s="218">
        <v>1</v>
      </c>
      <c r="Y87" s="218">
        <v>1</v>
      </c>
    </row>
    <row r="88" spans="1:25" ht="14.25" customHeight="1" x14ac:dyDescent="0.3">
      <c r="A88" s="1" t="s">
        <v>326</v>
      </c>
      <c r="B88" s="5">
        <v>46234</v>
      </c>
      <c r="C88" s="6">
        <v>0.52083333333333304</v>
      </c>
      <c r="D88" s="1" t="s">
        <v>18</v>
      </c>
      <c r="E88" s="1" t="s">
        <v>20</v>
      </c>
      <c r="F88" s="1" t="s">
        <v>327</v>
      </c>
      <c r="G88" s="39" t="s">
        <v>309</v>
      </c>
      <c r="H88" s="1">
        <v>2</v>
      </c>
      <c r="I88" s="1">
        <v>1</v>
      </c>
      <c r="J88" s="39" t="s">
        <v>204</v>
      </c>
      <c r="K88" s="1">
        <v>1</v>
      </c>
      <c r="L88" s="1">
        <v>2</v>
      </c>
      <c r="S88" s="1" t="s">
        <v>8852</v>
      </c>
      <c r="T88" s="1">
        <v>1</v>
      </c>
      <c r="U88" s="19"/>
      <c r="V88" s="19"/>
      <c r="W88" s="218">
        <v>1</v>
      </c>
      <c r="X88" s="218">
        <v>1</v>
      </c>
      <c r="Y88" s="218">
        <v>1</v>
      </c>
    </row>
    <row r="89" spans="1:25" ht="14.25" customHeight="1" x14ac:dyDescent="0.3">
      <c r="A89" s="1" t="s">
        <v>328</v>
      </c>
      <c r="B89" s="5">
        <v>46178</v>
      </c>
      <c r="C89" s="6">
        <v>0.52083333333333304</v>
      </c>
      <c r="D89" s="1" t="s">
        <v>18</v>
      </c>
      <c r="E89" s="1" t="s">
        <v>20</v>
      </c>
      <c r="F89" s="1" t="s">
        <v>2877</v>
      </c>
      <c r="G89" s="39" t="s">
        <v>2822</v>
      </c>
      <c r="H89" s="1">
        <v>1</v>
      </c>
      <c r="I89" s="1">
        <v>2</v>
      </c>
      <c r="J89" s="39" t="s">
        <v>309</v>
      </c>
      <c r="K89" s="1">
        <v>2</v>
      </c>
      <c r="L89" s="1">
        <v>1</v>
      </c>
      <c r="S89" s="1" t="s">
        <v>8853</v>
      </c>
      <c r="T89" s="1">
        <v>1</v>
      </c>
      <c r="U89" s="19"/>
      <c r="V89" s="19"/>
      <c r="W89" s="218">
        <v>1</v>
      </c>
      <c r="X89" s="218">
        <v>1</v>
      </c>
      <c r="Y89" s="218">
        <v>1</v>
      </c>
    </row>
    <row r="90" spans="1:25" ht="14.25" customHeight="1" x14ac:dyDescent="0.3">
      <c r="A90" s="1" t="s">
        <v>329</v>
      </c>
      <c r="B90" s="5">
        <v>46181</v>
      </c>
      <c r="C90" s="6">
        <v>0.52083333333333304</v>
      </c>
      <c r="D90" s="1" t="s">
        <v>18</v>
      </c>
      <c r="E90" s="1" t="s">
        <v>20</v>
      </c>
      <c r="F90" s="1" t="s">
        <v>330</v>
      </c>
      <c r="G90" s="39" t="s">
        <v>309</v>
      </c>
      <c r="H90" s="1">
        <v>0</v>
      </c>
      <c r="I90" s="1">
        <v>2</v>
      </c>
      <c r="J90" s="39" t="s">
        <v>315</v>
      </c>
      <c r="K90" s="1">
        <v>2</v>
      </c>
      <c r="L90" s="1">
        <v>0</v>
      </c>
      <c r="S90" s="1" t="s">
        <v>8854</v>
      </c>
      <c r="T90" s="1">
        <v>1</v>
      </c>
      <c r="U90" s="19"/>
      <c r="V90" s="19"/>
      <c r="W90" s="218">
        <v>1</v>
      </c>
      <c r="X90" s="218">
        <v>1</v>
      </c>
      <c r="Y90" s="218">
        <v>1</v>
      </c>
    </row>
    <row r="91" spans="1:25" ht="14.25" customHeight="1" x14ac:dyDescent="0.3">
      <c r="A91" s="1" t="s">
        <v>331</v>
      </c>
      <c r="B91" s="5">
        <v>46185</v>
      </c>
      <c r="C91" s="6">
        <v>0.52083333333333304</v>
      </c>
      <c r="D91" s="1" t="s">
        <v>18</v>
      </c>
      <c r="E91" s="1" t="s">
        <v>20</v>
      </c>
      <c r="F91" s="1" t="s">
        <v>2862</v>
      </c>
      <c r="G91" s="39" t="s">
        <v>309</v>
      </c>
      <c r="H91" s="1">
        <v>5</v>
      </c>
      <c r="I91" s="1">
        <v>1</v>
      </c>
      <c r="J91" s="39" t="s">
        <v>2821</v>
      </c>
      <c r="K91" s="1">
        <v>1</v>
      </c>
      <c r="L91" s="1">
        <v>5</v>
      </c>
      <c r="S91" s="1" t="s">
        <v>8855</v>
      </c>
      <c r="T91" s="1">
        <v>1</v>
      </c>
      <c r="U91" s="19"/>
      <c r="V91" s="19"/>
      <c r="W91" s="218">
        <v>1</v>
      </c>
      <c r="X91" s="218">
        <v>1</v>
      </c>
      <c r="Y91" s="218">
        <v>1</v>
      </c>
    </row>
    <row r="92" spans="1:25" ht="14.25" customHeight="1" x14ac:dyDescent="0.3">
      <c r="A92" s="1" t="s">
        <v>332</v>
      </c>
      <c r="B92" s="5">
        <v>46200</v>
      </c>
      <c r="C92" s="6">
        <v>0.45833333333333298</v>
      </c>
      <c r="D92" s="1" t="s">
        <v>18</v>
      </c>
      <c r="E92" s="1" t="s">
        <v>20</v>
      </c>
      <c r="F92" s="1" t="s">
        <v>333</v>
      </c>
      <c r="G92" s="39" t="s">
        <v>315</v>
      </c>
      <c r="H92" s="1">
        <v>0</v>
      </c>
      <c r="I92" s="1">
        <v>2</v>
      </c>
      <c r="J92" s="39" t="s">
        <v>309</v>
      </c>
      <c r="K92" s="1">
        <v>2</v>
      </c>
      <c r="L92" s="1">
        <v>0</v>
      </c>
      <c r="S92" s="1" t="s">
        <v>8856</v>
      </c>
      <c r="T92" s="1">
        <v>1</v>
      </c>
      <c r="U92" s="19"/>
      <c r="V92" s="19"/>
      <c r="W92" s="218">
        <v>1</v>
      </c>
      <c r="X92" s="218">
        <v>1</v>
      </c>
      <c r="Y92" s="218">
        <v>1</v>
      </c>
    </row>
    <row r="93" spans="1:25" ht="14.25" customHeight="1" x14ac:dyDescent="0.3">
      <c r="A93" s="1" t="s">
        <v>334</v>
      </c>
      <c r="B93" s="5">
        <v>46206</v>
      </c>
      <c r="C93" s="6">
        <v>0.52083333333333304</v>
      </c>
      <c r="D93" s="1" t="s">
        <v>18</v>
      </c>
      <c r="E93" s="1" t="s">
        <v>20</v>
      </c>
      <c r="F93" s="1" t="s">
        <v>335</v>
      </c>
      <c r="G93" s="39" t="s">
        <v>309</v>
      </c>
      <c r="H93" s="1">
        <v>3</v>
      </c>
      <c r="I93" s="1">
        <v>3</v>
      </c>
      <c r="J93" s="39" t="s">
        <v>312</v>
      </c>
      <c r="K93" s="1">
        <v>3</v>
      </c>
      <c r="L93" s="1">
        <v>3</v>
      </c>
      <c r="S93" s="1" t="s">
        <v>8857</v>
      </c>
      <c r="T93" s="1">
        <v>1</v>
      </c>
      <c r="U93" s="19"/>
      <c r="V93" s="19"/>
      <c r="W93" s="218">
        <v>1</v>
      </c>
      <c r="X93" s="218">
        <v>1</v>
      </c>
      <c r="Y93" s="218">
        <v>1</v>
      </c>
    </row>
    <row r="94" spans="1:25" ht="14.25" customHeight="1" x14ac:dyDescent="0.3">
      <c r="A94" s="1" t="s">
        <v>336</v>
      </c>
      <c r="B94" s="5">
        <v>46213</v>
      </c>
      <c r="C94" s="6">
        <v>0.52083333333333304</v>
      </c>
      <c r="D94" s="1" t="s">
        <v>18</v>
      </c>
      <c r="E94" s="1" t="s">
        <v>20</v>
      </c>
      <c r="F94" s="1" t="s">
        <v>337</v>
      </c>
      <c r="G94" s="39" t="s">
        <v>309</v>
      </c>
      <c r="H94" s="1">
        <v>4</v>
      </c>
      <c r="I94" s="1">
        <v>1</v>
      </c>
      <c r="J94" s="39" t="s">
        <v>320</v>
      </c>
      <c r="K94" s="1">
        <v>1</v>
      </c>
      <c r="L94" s="1">
        <v>4</v>
      </c>
      <c r="S94" s="1" t="s">
        <v>8858</v>
      </c>
      <c r="T94" s="1">
        <v>1</v>
      </c>
      <c r="U94" s="19"/>
      <c r="V94" s="19"/>
      <c r="W94" s="218">
        <v>1</v>
      </c>
      <c r="X94" s="218">
        <v>1</v>
      </c>
      <c r="Y94" s="218">
        <v>1</v>
      </c>
    </row>
    <row r="95" spans="1:25" ht="14.25" customHeight="1" x14ac:dyDescent="0.3">
      <c r="A95" s="1" t="s">
        <v>338</v>
      </c>
      <c r="B95" s="5">
        <v>46221</v>
      </c>
      <c r="C95" s="6">
        <v>0.45833333333333298</v>
      </c>
      <c r="D95" s="1" t="s">
        <v>18</v>
      </c>
      <c r="E95" s="1" t="s">
        <v>20</v>
      </c>
      <c r="F95" s="1" t="s">
        <v>339</v>
      </c>
      <c r="G95" s="39" t="s">
        <v>309</v>
      </c>
      <c r="H95" s="1">
        <v>0</v>
      </c>
      <c r="I95" s="1">
        <v>1</v>
      </c>
      <c r="J95" s="39" t="s">
        <v>340</v>
      </c>
      <c r="K95" s="1">
        <v>1</v>
      </c>
      <c r="L95" s="1">
        <v>0</v>
      </c>
      <c r="S95" s="1" t="s">
        <v>8859</v>
      </c>
      <c r="T95" s="1">
        <v>1</v>
      </c>
      <c r="U95" s="19"/>
      <c r="V95" s="19"/>
      <c r="W95" s="218">
        <v>1</v>
      </c>
      <c r="X95" s="218">
        <v>1</v>
      </c>
      <c r="Y95" s="218">
        <v>1</v>
      </c>
    </row>
    <row r="96" spans="1:25" ht="14.25" customHeight="1" x14ac:dyDescent="0.3">
      <c r="A96" s="1" t="s">
        <v>341</v>
      </c>
      <c r="B96" s="5">
        <v>46228</v>
      </c>
      <c r="C96" s="6">
        <v>0.41666666666666702</v>
      </c>
      <c r="D96" s="1" t="s">
        <v>18</v>
      </c>
      <c r="E96" s="1" t="s">
        <v>20</v>
      </c>
      <c r="F96" s="1" t="s">
        <v>342</v>
      </c>
      <c r="G96" s="39" t="s">
        <v>323</v>
      </c>
      <c r="H96" s="1">
        <v>3</v>
      </c>
      <c r="I96" s="1">
        <v>3</v>
      </c>
      <c r="J96" s="39" t="s">
        <v>309</v>
      </c>
      <c r="K96" s="1">
        <v>3</v>
      </c>
      <c r="L96" s="1">
        <v>3</v>
      </c>
      <c r="S96" s="1" t="s">
        <v>8860</v>
      </c>
      <c r="T96" s="1">
        <v>1</v>
      </c>
      <c r="U96" s="19"/>
      <c r="V96" s="19"/>
      <c r="W96" s="218">
        <v>1</v>
      </c>
      <c r="X96" s="218">
        <v>1</v>
      </c>
      <c r="Y96" s="218">
        <v>1</v>
      </c>
    </row>
    <row r="97" spans="1:25" ht="14.25" customHeight="1" x14ac:dyDescent="0.3">
      <c r="A97" s="1" t="s">
        <v>363</v>
      </c>
      <c r="B97" s="5">
        <v>46207</v>
      </c>
      <c r="C97" s="6">
        <v>0.52083333333333304</v>
      </c>
      <c r="D97" s="1" t="s">
        <v>18</v>
      </c>
      <c r="E97" s="1" t="s">
        <v>20</v>
      </c>
      <c r="F97" s="1" t="s">
        <v>2863</v>
      </c>
      <c r="G97" s="39" t="s">
        <v>2821</v>
      </c>
      <c r="H97" s="1">
        <v>0</v>
      </c>
      <c r="I97" s="1">
        <v>3</v>
      </c>
      <c r="J97" s="39" t="s">
        <v>340</v>
      </c>
      <c r="K97" s="1">
        <v>3</v>
      </c>
      <c r="L97" s="1">
        <v>0</v>
      </c>
      <c r="S97" s="1" t="s">
        <v>8861</v>
      </c>
      <c r="T97" s="1">
        <v>1</v>
      </c>
      <c r="U97" s="19"/>
      <c r="V97" s="19"/>
      <c r="W97" s="218">
        <v>1</v>
      </c>
      <c r="X97" s="218">
        <v>1</v>
      </c>
      <c r="Y97" s="218">
        <v>1</v>
      </c>
    </row>
    <row r="98" spans="1:25" ht="14.25" customHeight="1" x14ac:dyDescent="0.3">
      <c r="A98" s="1" t="s">
        <v>364</v>
      </c>
      <c r="B98" s="5">
        <v>46213</v>
      </c>
      <c r="C98" s="6">
        <v>0.52083333333333304</v>
      </c>
      <c r="D98" s="1" t="s">
        <v>18</v>
      </c>
      <c r="E98" s="1" t="s">
        <v>20</v>
      </c>
      <c r="F98" s="1" t="s">
        <v>2878</v>
      </c>
      <c r="G98" s="39" t="s">
        <v>340</v>
      </c>
      <c r="H98" s="1">
        <v>3</v>
      </c>
      <c r="I98" s="1">
        <v>1</v>
      </c>
      <c r="J98" s="39" t="s">
        <v>2822</v>
      </c>
      <c r="K98" s="1">
        <v>1</v>
      </c>
      <c r="L98" s="1">
        <v>3</v>
      </c>
      <c r="S98" s="1" t="s">
        <v>8862</v>
      </c>
      <c r="T98" s="1">
        <v>1</v>
      </c>
      <c r="U98" s="19"/>
      <c r="V98" s="19"/>
      <c r="W98" s="218">
        <v>1</v>
      </c>
      <c r="X98" s="218">
        <v>1</v>
      </c>
      <c r="Y98" s="218">
        <v>1</v>
      </c>
    </row>
    <row r="99" spans="1:25" ht="14.25" customHeight="1" x14ac:dyDescent="0.3">
      <c r="A99" s="1" t="s">
        <v>365</v>
      </c>
      <c r="B99" s="5">
        <v>46228</v>
      </c>
      <c r="C99" s="6">
        <v>0.41666666666666702</v>
      </c>
      <c r="D99" s="1" t="s">
        <v>18</v>
      </c>
      <c r="E99" s="1" t="s">
        <v>20</v>
      </c>
      <c r="F99" s="1" t="s">
        <v>366</v>
      </c>
      <c r="G99" s="39" t="s">
        <v>340</v>
      </c>
      <c r="H99" s="1">
        <v>1</v>
      </c>
      <c r="I99" s="1">
        <v>1</v>
      </c>
      <c r="J99" s="39" t="s">
        <v>312</v>
      </c>
      <c r="K99" s="1">
        <v>1</v>
      </c>
      <c r="L99" s="1">
        <v>1</v>
      </c>
      <c r="S99" s="1" t="s">
        <v>8863</v>
      </c>
      <c r="T99" s="1">
        <v>1</v>
      </c>
      <c r="U99" s="19"/>
      <c r="V99" s="19"/>
      <c r="W99" s="218">
        <v>1</v>
      </c>
      <c r="X99" s="218">
        <v>1</v>
      </c>
      <c r="Y99" s="218">
        <v>1</v>
      </c>
    </row>
    <row r="100" spans="1:25" ht="14.25" customHeight="1" x14ac:dyDescent="0.3">
      <c r="A100" s="1" t="s">
        <v>367</v>
      </c>
      <c r="B100" s="5">
        <v>46234</v>
      </c>
      <c r="C100" s="6">
        <v>0.52083333333333304</v>
      </c>
      <c r="D100" s="1" t="s">
        <v>18</v>
      </c>
      <c r="E100" s="1" t="s">
        <v>20</v>
      </c>
      <c r="F100" s="1" t="s">
        <v>368</v>
      </c>
      <c r="G100" s="39" t="s">
        <v>340</v>
      </c>
      <c r="H100" s="1">
        <v>1</v>
      </c>
      <c r="I100" s="1">
        <v>4</v>
      </c>
      <c r="J100" s="39" t="s">
        <v>315</v>
      </c>
      <c r="K100" s="1">
        <v>4</v>
      </c>
      <c r="L100" s="1">
        <v>1</v>
      </c>
      <c r="S100" s="1" t="s">
        <v>8864</v>
      </c>
      <c r="T100" s="1">
        <v>1</v>
      </c>
      <c r="U100" s="19"/>
      <c r="V100" s="19"/>
      <c r="W100" s="218">
        <v>1</v>
      </c>
      <c r="X100" s="218">
        <v>1</v>
      </c>
      <c r="Y100" s="218">
        <v>1</v>
      </c>
    </row>
    <row r="101" spans="1:25" ht="14.25" customHeight="1" x14ac:dyDescent="0.3">
      <c r="A101" s="1" t="s">
        <v>369</v>
      </c>
      <c r="B101" s="5">
        <v>46179</v>
      </c>
      <c r="C101" s="6">
        <v>0.41666666666666702</v>
      </c>
      <c r="D101" s="1" t="s">
        <v>18</v>
      </c>
      <c r="E101" s="1" t="s">
        <v>22</v>
      </c>
      <c r="F101" s="1" t="s">
        <v>370</v>
      </c>
      <c r="G101" s="39" t="s">
        <v>304</v>
      </c>
      <c r="H101" s="1">
        <v>0</v>
      </c>
      <c r="I101" s="1">
        <v>2</v>
      </c>
      <c r="J101" s="39" t="s">
        <v>306</v>
      </c>
      <c r="K101" s="1">
        <v>2</v>
      </c>
      <c r="L101" s="1">
        <v>0</v>
      </c>
      <c r="S101" s="1" t="s">
        <v>8865</v>
      </c>
      <c r="T101" s="1">
        <v>1</v>
      </c>
      <c r="U101" s="19"/>
      <c r="V101" s="19"/>
      <c r="W101" s="218">
        <v>1</v>
      </c>
      <c r="X101" s="218">
        <v>1</v>
      </c>
      <c r="Y101" s="218">
        <v>1</v>
      </c>
    </row>
    <row r="102" spans="1:25" ht="14.25" customHeight="1" x14ac:dyDescent="0.3">
      <c r="A102" s="1" t="s">
        <v>371</v>
      </c>
      <c r="B102" s="5">
        <v>46185</v>
      </c>
      <c r="C102" s="6">
        <v>0.54166666666666696</v>
      </c>
      <c r="D102" s="1" t="s">
        <v>18</v>
      </c>
      <c r="E102" s="1" t="s">
        <v>22</v>
      </c>
      <c r="F102" s="1" t="s">
        <v>372</v>
      </c>
      <c r="G102" s="39" t="s">
        <v>306</v>
      </c>
      <c r="H102" s="1">
        <v>1</v>
      </c>
      <c r="I102" s="1">
        <v>2</v>
      </c>
      <c r="J102" s="39" t="s">
        <v>302</v>
      </c>
      <c r="K102" s="1">
        <v>2</v>
      </c>
      <c r="L102" s="1">
        <v>1</v>
      </c>
      <c r="S102" s="1" t="s">
        <v>8866</v>
      </c>
      <c r="T102" s="1">
        <v>1</v>
      </c>
      <c r="U102" s="19"/>
      <c r="V102" s="19"/>
      <c r="W102" s="218">
        <v>1</v>
      </c>
      <c r="X102" s="218">
        <v>1</v>
      </c>
      <c r="Y102" s="218">
        <v>1</v>
      </c>
    </row>
    <row r="103" spans="1:25" ht="14.25" customHeight="1" x14ac:dyDescent="0.3">
      <c r="A103" s="1" t="s">
        <v>373</v>
      </c>
      <c r="B103" s="5">
        <v>46200</v>
      </c>
      <c r="C103" s="6">
        <v>0.45833333333333298</v>
      </c>
      <c r="D103" s="1" t="s">
        <v>18</v>
      </c>
      <c r="E103" s="1" t="s">
        <v>22</v>
      </c>
      <c r="F103" s="1" t="s">
        <v>393</v>
      </c>
      <c r="G103" s="39" t="s">
        <v>292</v>
      </c>
      <c r="H103" s="1">
        <v>0</v>
      </c>
      <c r="I103" s="1">
        <v>2</v>
      </c>
      <c r="J103" s="39" t="s">
        <v>306</v>
      </c>
      <c r="K103" s="1">
        <v>2</v>
      </c>
      <c r="L103" s="1">
        <v>0</v>
      </c>
      <c r="S103" s="1" t="s">
        <v>8867</v>
      </c>
      <c r="T103" s="1">
        <v>1</v>
      </c>
      <c r="U103" s="19"/>
      <c r="V103" s="19"/>
      <c r="W103" s="218">
        <v>1</v>
      </c>
      <c r="X103" s="218">
        <v>1</v>
      </c>
      <c r="Y103" s="218">
        <v>1</v>
      </c>
    </row>
    <row r="104" spans="1:25" ht="14.25" customHeight="1" x14ac:dyDescent="0.3">
      <c r="A104" s="1" t="s">
        <v>374</v>
      </c>
      <c r="B104" s="5">
        <v>46207</v>
      </c>
      <c r="C104" s="6">
        <v>0.41666666666666702</v>
      </c>
      <c r="D104" s="1" t="s">
        <v>18</v>
      </c>
      <c r="E104" s="1" t="s">
        <v>22</v>
      </c>
      <c r="F104" s="1" t="s">
        <v>3006</v>
      </c>
      <c r="G104" s="39" t="s">
        <v>306</v>
      </c>
      <c r="H104" s="1">
        <v>3</v>
      </c>
      <c r="I104" s="1">
        <v>2</v>
      </c>
      <c r="J104" s="39" t="s">
        <v>2987</v>
      </c>
      <c r="K104" s="1">
        <v>2</v>
      </c>
      <c r="L104" s="1">
        <v>3</v>
      </c>
      <c r="S104" s="1" t="s">
        <v>8868</v>
      </c>
      <c r="T104" s="1">
        <v>1</v>
      </c>
      <c r="U104" s="19"/>
      <c r="V104" s="19"/>
      <c r="W104" s="218">
        <v>1</v>
      </c>
      <c r="X104" s="218">
        <v>1</v>
      </c>
      <c r="Y104" s="218">
        <v>1</v>
      </c>
    </row>
    <row r="105" spans="1:25" ht="14.25" customHeight="1" x14ac:dyDescent="0.3">
      <c r="A105" s="1" t="s">
        <v>375</v>
      </c>
      <c r="B105" s="5">
        <v>46214</v>
      </c>
      <c r="C105" s="6">
        <v>0.45833333333333298</v>
      </c>
      <c r="D105" s="1" t="s">
        <v>18</v>
      </c>
      <c r="E105" s="1" t="s">
        <v>22</v>
      </c>
      <c r="F105" s="1" t="s">
        <v>376</v>
      </c>
      <c r="G105" s="39" t="s">
        <v>300</v>
      </c>
      <c r="H105" s="1">
        <v>2</v>
      </c>
      <c r="I105" s="1">
        <v>0</v>
      </c>
      <c r="J105" s="39" t="s">
        <v>306</v>
      </c>
      <c r="K105" s="1">
        <v>0</v>
      </c>
      <c r="L105" s="1">
        <v>2</v>
      </c>
      <c r="S105" s="1" t="s">
        <v>8869</v>
      </c>
      <c r="T105" s="1">
        <v>1</v>
      </c>
      <c r="U105" s="19"/>
      <c r="V105" s="19"/>
      <c r="W105" s="218">
        <v>1</v>
      </c>
      <c r="X105" s="218">
        <v>1</v>
      </c>
      <c r="Y105" s="218">
        <v>1</v>
      </c>
    </row>
    <row r="106" spans="1:25" ht="14.25" customHeight="1" x14ac:dyDescent="0.3">
      <c r="A106" s="1" t="s">
        <v>377</v>
      </c>
      <c r="B106" s="5">
        <v>46221</v>
      </c>
      <c r="C106" s="6">
        <v>0.41666666666666702</v>
      </c>
      <c r="D106" s="1" t="s">
        <v>18</v>
      </c>
      <c r="E106" s="1" t="s">
        <v>22</v>
      </c>
      <c r="F106" s="1" t="s">
        <v>378</v>
      </c>
      <c r="G106" s="39" t="s">
        <v>306</v>
      </c>
      <c r="H106" s="1">
        <v>5</v>
      </c>
      <c r="I106" s="1">
        <v>2</v>
      </c>
      <c r="J106" s="39" t="s">
        <v>298</v>
      </c>
      <c r="K106" s="1">
        <v>2</v>
      </c>
      <c r="L106" s="1">
        <v>5</v>
      </c>
      <c r="S106" s="1" t="s">
        <v>8870</v>
      </c>
      <c r="T106" s="1">
        <v>1</v>
      </c>
      <c r="U106" s="19"/>
      <c r="V106" s="19"/>
      <c r="W106" s="218">
        <v>1</v>
      </c>
      <c r="X106" s="218">
        <v>1</v>
      </c>
      <c r="Y106" s="218">
        <v>1</v>
      </c>
    </row>
    <row r="107" spans="1:25" ht="14.25" customHeight="1" x14ac:dyDescent="0.3">
      <c r="A107" s="1" t="s">
        <v>379</v>
      </c>
      <c r="B107" s="5">
        <v>46235</v>
      </c>
      <c r="C107" s="6">
        <v>0.41666666666666702</v>
      </c>
      <c r="D107" s="1" t="s">
        <v>18</v>
      </c>
      <c r="E107" s="1" t="s">
        <v>22</v>
      </c>
      <c r="F107" s="1" t="s">
        <v>380</v>
      </c>
      <c r="G107" s="39" t="s">
        <v>306</v>
      </c>
      <c r="H107" s="1">
        <v>5</v>
      </c>
      <c r="I107" s="1">
        <v>5</v>
      </c>
      <c r="J107" s="39" t="s">
        <v>295</v>
      </c>
      <c r="K107" s="1">
        <v>5</v>
      </c>
      <c r="L107" s="1">
        <v>5</v>
      </c>
      <c r="S107" s="1" t="s">
        <v>8871</v>
      </c>
      <c r="T107" s="1">
        <v>1</v>
      </c>
      <c r="U107" s="19"/>
      <c r="V107" s="19"/>
      <c r="W107" s="218">
        <v>1</v>
      </c>
      <c r="X107" s="218">
        <v>1</v>
      </c>
      <c r="Y107" s="218">
        <v>1</v>
      </c>
    </row>
    <row r="108" spans="1:25" ht="14.25" customHeight="1" x14ac:dyDescent="0.3">
      <c r="A108" s="1" t="s">
        <v>381</v>
      </c>
      <c r="B108" s="5">
        <v>46181</v>
      </c>
      <c r="C108" s="6">
        <v>0.52083333333333304</v>
      </c>
      <c r="D108" s="1" t="s">
        <v>18</v>
      </c>
      <c r="E108" s="1" t="s">
        <v>22</v>
      </c>
      <c r="F108" s="1" t="s">
        <v>394</v>
      </c>
      <c r="G108" s="39" t="s">
        <v>302</v>
      </c>
      <c r="H108" s="1">
        <v>2</v>
      </c>
      <c r="I108" s="1">
        <v>0</v>
      </c>
      <c r="J108" s="39" t="s">
        <v>292</v>
      </c>
      <c r="K108" s="1">
        <v>0</v>
      </c>
      <c r="L108" s="1">
        <v>2</v>
      </c>
      <c r="S108" s="1" t="s">
        <v>8872</v>
      </c>
      <c r="T108" s="1">
        <v>1</v>
      </c>
      <c r="U108" s="19"/>
      <c r="V108" s="19"/>
      <c r="W108" s="218">
        <v>1</v>
      </c>
      <c r="X108" s="218">
        <v>1</v>
      </c>
      <c r="Y108" s="218">
        <v>1</v>
      </c>
    </row>
    <row r="109" spans="1:25" ht="14.25" customHeight="1" x14ac:dyDescent="0.3">
      <c r="A109" s="1" t="s">
        <v>382</v>
      </c>
      <c r="B109" s="5">
        <v>46200</v>
      </c>
      <c r="C109" s="6">
        <v>0.45833333333333298</v>
      </c>
      <c r="D109" s="1" t="s">
        <v>18</v>
      </c>
      <c r="E109" s="1" t="s">
        <v>22</v>
      </c>
      <c r="F109" s="1" t="s">
        <v>3007</v>
      </c>
      <c r="G109" s="39" t="s">
        <v>302</v>
      </c>
      <c r="H109" s="1">
        <v>3</v>
      </c>
      <c r="I109" s="1">
        <v>1</v>
      </c>
      <c r="J109" s="39" t="s">
        <v>2987</v>
      </c>
      <c r="K109" s="1">
        <v>1</v>
      </c>
      <c r="L109" s="1">
        <v>3</v>
      </c>
      <c r="S109" s="1" t="s">
        <v>8873</v>
      </c>
      <c r="T109" s="1">
        <v>1</v>
      </c>
      <c r="U109" s="19"/>
      <c r="V109" s="19"/>
      <c r="W109" s="218">
        <v>1</v>
      </c>
      <c r="X109" s="218">
        <v>1</v>
      </c>
      <c r="Y109" s="218">
        <v>1</v>
      </c>
    </row>
    <row r="110" spans="1:25" ht="14.25" customHeight="1" x14ac:dyDescent="0.3">
      <c r="A110" s="1" t="s">
        <v>383</v>
      </c>
      <c r="B110" s="5">
        <v>46205</v>
      </c>
      <c r="C110" s="6">
        <v>0.54166666666666696</v>
      </c>
      <c r="D110" s="1" t="s">
        <v>18</v>
      </c>
      <c r="E110" s="1" t="s">
        <v>22</v>
      </c>
      <c r="F110" s="1" t="s">
        <v>384</v>
      </c>
      <c r="G110" s="39" t="s">
        <v>288</v>
      </c>
      <c r="H110" s="1">
        <v>1</v>
      </c>
      <c r="I110" s="1">
        <v>2</v>
      </c>
      <c r="J110" s="39" t="s">
        <v>302</v>
      </c>
      <c r="K110" s="1">
        <v>2</v>
      </c>
      <c r="L110" s="1">
        <v>1</v>
      </c>
      <c r="S110" s="1" t="s">
        <v>8874</v>
      </c>
      <c r="T110" s="1">
        <v>1</v>
      </c>
      <c r="U110" s="19"/>
      <c r="V110" s="19"/>
      <c r="W110" s="218">
        <v>1</v>
      </c>
      <c r="X110" s="218">
        <v>1</v>
      </c>
      <c r="Y110" s="218">
        <v>1</v>
      </c>
    </row>
    <row r="111" spans="1:25" ht="14.25" customHeight="1" x14ac:dyDescent="0.3">
      <c r="A111" s="1" t="s">
        <v>385</v>
      </c>
      <c r="B111" s="5">
        <v>46221</v>
      </c>
      <c r="C111" s="6">
        <v>0.41666666666666702</v>
      </c>
      <c r="D111" s="1" t="s">
        <v>18</v>
      </c>
      <c r="E111" s="1" t="s">
        <v>22</v>
      </c>
      <c r="F111" s="1" t="s">
        <v>386</v>
      </c>
      <c r="G111" s="39" t="s">
        <v>302</v>
      </c>
      <c r="H111" s="1">
        <v>2</v>
      </c>
      <c r="I111" s="1">
        <v>0</v>
      </c>
      <c r="J111" s="39" t="s">
        <v>300</v>
      </c>
      <c r="K111" s="1">
        <v>0</v>
      </c>
      <c r="L111" s="1">
        <v>2</v>
      </c>
      <c r="S111" s="1" t="s">
        <v>8875</v>
      </c>
      <c r="T111" s="1">
        <v>1</v>
      </c>
      <c r="U111" s="19"/>
      <c r="V111" s="19"/>
      <c r="W111" s="218">
        <v>1</v>
      </c>
      <c r="X111" s="218">
        <v>1</v>
      </c>
      <c r="Y111" s="218">
        <v>1</v>
      </c>
    </row>
    <row r="112" spans="1:25" ht="14.25" customHeight="1" x14ac:dyDescent="0.3">
      <c r="A112" s="1" t="s">
        <v>387</v>
      </c>
      <c r="B112" s="5">
        <v>46228</v>
      </c>
      <c r="C112" s="6">
        <v>0.41666666666666702</v>
      </c>
      <c r="D112" s="1" t="s">
        <v>18</v>
      </c>
      <c r="E112" s="1" t="s">
        <v>22</v>
      </c>
      <c r="F112" s="1" t="s">
        <v>388</v>
      </c>
      <c r="G112" s="39" t="s">
        <v>302</v>
      </c>
      <c r="H112" s="1">
        <v>1</v>
      </c>
      <c r="I112" s="1">
        <v>1</v>
      </c>
      <c r="J112" s="39" t="s">
        <v>295</v>
      </c>
      <c r="K112" s="1">
        <v>1</v>
      </c>
      <c r="L112" s="1">
        <v>1</v>
      </c>
      <c r="S112" s="1" t="s">
        <v>8876</v>
      </c>
      <c r="T112" s="1">
        <v>1</v>
      </c>
      <c r="U112" s="19"/>
      <c r="V112" s="19"/>
      <c r="W112" s="218">
        <v>1</v>
      </c>
      <c r="X112" s="218">
        <v>1</v>
      </c>
      <c r="Y112" s="218">
        <v>1</v>
      </c>
    </row>
    <row r="113" spans="1:25" ht="14.25" customHeight="1" x14ac:dyDescent="0.3">
      <c r="A113" s="1" t="s">
        <v>389</v>
      </c>
      <c r="B113" s="5">
        <v>46235</v>
      </c>
      <c r="C113" s="6">
        <v>0.41666666666666702</v>
      </c>
      <c r="D113" s="1" t="s">
        <v>18</v>
      </c>
      <c r="E113" s="1" t="s">
        <v>22</v>
      </c>
      <c r="F113" s="1" t="s">
        <v>390</v>
      </c>
      <c r="G113" s="39" t="s">
        <v>298</v>
      </c>
      <c r="H113" s="1">
        <v>0</v>
      </c>
      <c r="I113" s="1">
        <v>0</v>
      </c>
      <c r="J113" s="39" t="s">
        <v>302</v>
      </c>
      <c r="K113" s="1">
        <v>0</v>
      </c>
      <c r="L113" s="1">
        <v>0</v>
      </c>
      <c r="S113" s="1" t="s">
        <v>8877</v>
      </c>
      <c r="T113">
        <v>1</v>
      </c>
      <c r="U113" s="19"/>
      <c r="V113" s="19"/>
      <c r="W113" s="218">
        <v>1</v>
      </c>
      <c r="X113" s="218">
        <v>1</v>
      </c>
      <c r="Y113" s="218">
        <v>1</v>
      </c>
    </row>
    <row r="114" spans="1:25" ht="14.25" customHeight="1" x14ac:dyDescent="0.3">
      <c r="A114" s="1" t="s">
        <v>429</v>
      </c>
      <c r="B114" s="5">
        <v>46150</v>
      </c>
      <c r="C114" s="6">
        <v>0.52083333333333304</v>
      </c>
      <c r="D114" s="1" t="s">
        <v>18</v>
      </c>
      <c r="E114" s="1" t="s">
        <v>430</v>
      </c>
      <c r="F114" s="1" t="s">
        <v>431</v>
      </c>
      <c r="G114" s="39" t="s">
        <v>432</v>
      </c>
      <c r="H114" s="1">
        <v>2</v>
      </c>
      <c r="I114" s="1">
        <v>2</v>
      </c>
      <c r="J114" s="39" t="s">
        <v>433</v>
      </c>
      <c r="K114" s="1">
        <v>2</v>
      </c>
      <c r="L114" s="1">
        <v>2</v>
      </c>
      <c r="S114" s="1" t="s">
        <v>8878</v>
      </c>
      <c r="T114" s="1">
        <v>1</v>
      </c>
      <c r="U114" s="19"/>
      <c r="V114" s="19"/>
      <c r="W114" s="218">
        <v>1</v>
      </c>
      <c r="X114" s="218">
        <v>0</v>
      </c>
      <c r="Y114" s="218">
        <v>1</v>
      </c>
    </row>
    <row r="115" spans="1:25" ht="14.25" customHeight="1" x14ac:dyDescent="0.3">
      <c r="A115" s="1" t="s">
        <v>434</v>
      </c>
      <c r="B115" s="5">
        <v>46159</v>
      </c>
      <c r="C115" s="6">
        <v>0.52083333333333304</v>
      </c>
      <c r="D115" s="1" t="s">
        <v>18</v>
      </c>
      <c r="E115" s="1" t="s">
        <v>430</v>
      </c>
      <c r="F115" s="1" t="s">
        <v>435</v>
      </c>
      <c r="G115" s="39" t="s">
        <v>433</v>
      </c>
      <c r="H115" s="1">
        <v>3</v>
      </c>
      <c r="I115" s="1">
        <v>2</v>
      </c>
      <c r="J115" s="39" t="s">
        <v>436</v>
      </c>
      <c r="K115" s="1">
        <v>2</v>
      </c>
      <c r="L115" s="1">
        <v>3</v>
      </c>
      <c r="S115" s="1" t="s">
        <v>8879</v>
      </c>
      <c r="T115" s="1">
        <v>1</v>
      </c>
      <c r="U115" s="19"/>
      <c r="V115" s="19"/>
      <c r="W115" s="218">
        <v>1</v>
      </c>
      <c r="X115" s="218">
        <v>1</v>
      </c>
      <c r="Y115" s="218">
        <v>1</v>
      </c>
    </row>
    <row r="116" spans="1:25" ht="14.25" customHeight="1" x14ac:dyDescent="0.3">
      <c r="A116" s="1" t="s">
        <v>437</v>
      </c>
      <c r="B116" s="5">
        <v>46165</v>
      </c>
      <c r="C116" s="6">
        <v>0.45833333333333298</v>
      </c>
      <c r="D116" s="1" t="s">
        <v>18</v>
      </c>
      <c r="E116" s="1" t="s">
        <v>430</v>
      </c>
      <c r="F116" s="1" t="s">
        <v>438</v>
      </c>
      <c r="G116" s="39" t="s">
        <v>439</v>
      </c>
      <c r="H116" s="1">
        <v>3</v>
      </c>
      <c r="I116" s="1">
        <v>4</v>
      </c>
      <c r="J116" s="39" t="s">
        <v>433</v>
      </c>
      <c r="K116" s="1">
        <v>4</v>
      </c>
      <c r="L116" s="1">
        <v>3</v>
      </c>
      <c r="S116" s="1" t="s">
        <v>8880</v>
      </c>
      <c r="T116" s="1">
        <v>1</v>
      </c>
      <c r="U116" s="19"/>
      <c r="V116" s="19"/>
      <c r="W116" s="218">
        <v>1</v>
      </c>
      <c r="X116" s="218">
        <v>1</v>
      </c>
      <c r="Y116" s="218">
        <v>1</v>
      </c>
    </row>
    <row r="117" spans="1:25" ht="14.25" customHeight="1" x14ac:dyDescent="0.3">
      <c r="A117" s="1" t="s">
        <v>440</v>
      </c>
      <c r="B117" s="5">
        <v>46171</v>
      </c>
      <c r="C117" s="6">
        <v>0.54166666666666696</v>
      </c>
      <c r="D117" s="1" t="s">
        <v>18</v>
      </c>
      <c r="E117" s="1" t="s">
        <v>430</v>
      </c>
      <c r="F117" s="1" t="s">
        <v>441</v>
      </c>
      <c r="G117" s="39" t="s">
        <v>433</v>
      </c>
      <c r="H117" s="1">
        <v>0</v>
      </c>
      <c r="I117" s="1">
        <v>0</v>
      </c>
      <c r="J117" s="39" t="s">
        <v>442</v>
      </c>
      <c r="K117" s="1">
        <v>0</v>
      </c>
      <c r="L117" s="1">
        <v>0</v>
      </c>
      <c r="S117" s="1" t="s">
        <v>8881</v>
      </c>
      <c r="T117" s="1">
        <v>1</v>
      </c>
      <c r="U117" s="19"/>
      <c r="V117" s="19"/>
      <c r="W117" s="218">
        <v>1</v>
      </c>
      <c r="X117" s="218">
        <v>1</v>
      </c>
      <c r="Y117" s="218">
        <v>1</v>
      </c>
    </row>
    <row r="118" spans="1:25" ht="14.25" customHeight="1" x14ac:dyDescent="0.3">
      <c r="A118" s="1" t="s">
        <v>443</v>
      </c>
      <c r="B118" s="5">
        <v>46186</v>
      </c>
      <c r="C118" s="6">
        <v>0.45833333333333298</v>
      </c>
      <c r="D118" s="1" t="s">
        <v>18</v>
      </c>
      <c r="E118" s="1" t="s">
        <v>430</v>
      </c>
      <c r="F118" s="1" t="s">
        <v>444</v>
      </c>
      <c r="G118" s="39" t="s">
        <v>445</v>
      </c>
      <c r="H118" s="1">
        <v>1</v>
      </c>
      <c r="I118" s="1">
        <v>7</v>
      </c>
      <c r="J118" s="39" t="s">
        <v>433</v>
      </c>
      <c r="K118" s="1">
        <v>7</v>
      </c>
      <c r="L118" s="1">
        <v>1</v>
      </c>
      <c r="S118" s="1" t="s">
        <v>8882</v>
      </c>
      <c r="T118" s="1">
        <v>1</v>
      </c>
      <c r="U118" s="19"/>
      <c r="V118" s="19"/>
      <c r="W118" s="218">
        <v>1</v>
      </c>
      <c r="X118" s="218">
        <v>1</v>
      </c>
      <c r="Y118" s="218">
        <v>1</v>
      </c>
    </row>
    <row r="119" spans="1:25" ht="14.25" customHeight="1" x14ac:dyDescent="0.3">
      <c r="A119" s="1" t="s">
        <v>446</v>
      </c>
      <c r="B119" s="5">
        <v>46201</v>
      </c>
      <c r="C119" s="6">
        <v>0.52083333333333304</v>
      </c>
      <c r="D119" s="1" t="s">
        <v>18</v>
      </c>
      <c r="E119" s="1" t="s">
        <v>430</v>
      </c>
      <c r="F119" s="1" t="s">
        <v>447</v>
      </c>
      <c r="G119" s="39" t="s">
        <v>433</v>
      </c>
      <c r="H119" s="1">
        <v>3</v>
      </c>
      <c r="I119" s="1">
        <v>2</v>
      </c>
      <c r="J119" s="39" t="s">
        <v>448</v>
      </c>
      <c r="K119" s="1">
        <v>2</v>
      </c>
      <c r="L119" s="1">
        <v>3</v>
      </c>
      <c r="S119" s="1" t="s">
        <v>8883</v>
      </c>
      <c r="T119" s="1">
        <v>1</v>
      </c>
      <c r="U119" s="19"/>
      <c r="V119" s="19"/>
      <c r="W119" s="218">
        <v>1</v>
      </c>
      <c r="X119" s="218">
        <v>1</v>
      </c>
      <c r="Y119" s="218">
        <v>1</v>
      </c>
    </row>
    <row r="120" spans="1:25" ht="14.25" customHeight="1" x14ac:dyDescent="0.3">
      <c r="A120" s="1" t="s">
        <v>449</v>
      </c>
      <c r="B120" s="5">
        <v>46208</v>
      </c>
      <c r="C120" s="6">
        <v>0.52083333333333304</v>
      </c>
      <c r="D120" s="1" t="s">
        <v>18</v>
      </c>
      <c r="E120" s="1" t="s">
        <v>430</v>
      </c>
      <c r="F120" s="1" t="s">
        <v>450</v>
      </c>
      <c r="G120" s="39" t="s">
        <v>433</v>
      </c>
      <c r="H120" s="1">
        <v>4</v>
      </c>
      <c r="I120" s="1">
        <v>2</v>
      </c>
      <c r="J120" s="39" t="s">
        <v>451</v>
      </c>
      <c r="K120" s="1">
        <v>2</v>
      </c>
      <c r="L120" s="1">
        <v>4</v>
      </c>
      <c r="S120" s="1" t="s">
        <v>8884</v>
      </c>
      <c r="T120" s="1">
        <v>1</v>
      </c>
      <c r="U120" s="19"/>
      <c r="V120" s="19"/>
      <c r="W120" s="218">
        <v>1</v>
      </c>
      <c r="X120" s="218">
        <v>1</v>
      </c>
      <c r="Y120" s="218">
        <v>1</v>
      </c>
    </row>
    <row r="121" spans="1:25" ht="14.25" customHeight="1" x14ac:dyDescent="0.3">
      <c r="A121" s="1" t="s">
        <v>452</v>
      </c>
      <c r="B121" s="5">
        <v>46213</v>
      </c>
      <c r="C121" s="6">
        <v>0.54166666666666696</v>
      </c>
      <c r="D121" s="1" t="s">
        <v>18</v>
      </c>
      <c r="E121" s="1" t="s">
        <v>430</v>
      </c>
      <c r="F121" s="1" t="s">
        <v>1458</v>
      </c>
      <c r="G121" s="39" t="s">
        <v>1457</v>
      </c>
      <c r="H121" s="1">
        <v>1</v>
      </c>
      <c r="I121" s="1">
        <v>1</v>
      </c>
      <c r="J121" s="39" t="s">
        <v>433</v>
      </c>
      <c r="K121" s="1">
        <v>1</v>
      </c>
      <c r="L121" s="1">
        <v>1</v>
      </c>
      <c r="S121" s="1" t="s">
        <v>8885</v>
      </c>
      <c r="T121" s="1">
        <v>1</v>
      </c>
      <c r="U121" s="19"/>
      <c r="V121" s="19"/>
      <c r="W121" s="218">
        <v>1</v>
      </c>
      <c r="X121" s="218">
        <v>1</v>
      </c>
      <c r="Y121" s="218">
        <v>1</v>
      </c>
    </row>
    <row r="122" spans="1:25" ht="14.25" customHeight="1" x14ac:dyDescent="0.3">
      <c r="A122" s="1" t="s">
        <v>453</v>
      </c>
      <c r="B122" s="5">
        <v>46217</v>
      </c>
      <c r="C122" s="6">
        <v>0.54166666666666696</v>
      </c>
      <c r="D122" s="1" t="s">
        <v>18</v>
      </c>
      <c r="E122" s="1" t="s">
        <v>430</v>
      </c>
      <c r="F122" s="1" t="s">
        <v>454</v>
      </c>
      <c r="G122" s="39" t="s">
        <v>433</v>
      </c>
      <c r="H122" s="1">
        <v>6</v>
      </c>
      <c r="I122" s="1">
        <v>2</v>
      </c>
      <c r="J122" s="39" t="s">
        <v>455</v>
      </c>
      <c r="K122" s="1">
        <v>2</v>
      </c>
      <c r="L122" s="1">
        <v>6</v>
      </c>
      <c r="S122" s="1" t="s">
        <v>8886</v>
      </c>
      <c r="T122" s="1">
        <v>1</v>
      </c>
      <c r="U122" s="19"/>
      <c r="V122" s="19"/>
      <c r="W122" s="218">
        <v>1</v>
      </c>
      <c r="X122" s="218">
        <v>1</v>
      </c>
      <c r="Y122" s="218">
        <v>1</v>
      </c>
    </row>
    <row r="123" spans="1:25" ht="14.25" customHeight="1" x14ac:dyDescent="0.3">
      <c r="A123" s="1" t="s">
        <v>456</v>
      </c>
      <c r="B123" s="5">
        <v>46221</v>
      </c>
      <c r="C123" s="6">
        <v>0.45833333333333298</v>
      </c>
      <c r="D123" s="1" t="s">
        <v>18</v>
      </c>
      <c r="E123" s="1" t="s">
        <v>430</v>
      </c>
      <c r="F123" s="1" t="s">
        <v>457</v>
      </c>
      <c r="G123" s="39" t="s">
        <v>433</v>
      </c>
      <c r="H123" s="1">
        <v>2</v>
      </c>
      <c r="I123" s="1">
        <v>2</v>
      </c>
      <c r="J123" s="39" t="s">
        <v>432</v>
      </c>
      <c r="K123" s="1">
        <v>2</v>
      </c>
      <c r="L123" s="1">
        <v>2</v>
      </c>
      <c r="S123" s="1" t="s">
        <v>8887</v>
      </c>
      <c r="T123" s="1">
        <v>1</v>
      </c>
      <c r="U123" s="19"/>
      <c r="V123" s="19"/>
      <c r="W123" s="218">
        <v>1</v>
      </c>
      <c r="X123" s="218">
        <v>1</v>
      </c>
      <c r="Y123" s="218">
        <v>1</v>
      </c>
    </row>
    <row r="124" spans="1:25" ht="14.25" customHeight="1" x14ac:dyDescent="0.3">
      <c r="A124" s="1" t="s">
        <v>458</v>
      </c>
      <c r="B124" s="5">
        <v>46227</v>
      </c>
      <c r="C124" s="6">
        <v>0.54166666666666696</v>
      </c>
      <c r="D124" s="1" t="s">
        <v>18</v>
      </c>
      <c r="E124" s="1" t="s">
        <v>430</v>
      </c>
      <c r="F124" s="1" t="s">
        <v>459</v>
      </c>
      <c r="G124" s="39" t="s">
        <v>436</v>
      </c>
      <c r="H124" s="1">
        <v>2</v>
      </c>
      <c r="I124" s="1">
        <v>1</v>
      </c>
      <c r="J124" s="39" t="s">
        <v>433</v>
      </c>
      <c r="K124" s="1">
        <v>1</v>
      </c>
      <c r="L124" s="1">
        <v>2</v>
      </c>
      <c r="S124" s="1" t="s">
        <v>8888</v>
      </c>
      <c r="T124" s="1">
        <v>1</v>
      </c>
      <c r="U124" s="19"/>
      <c r="V124" s="19"/>
      <c r="W124" s="218">
        <v>1</v>
      </c>
      <c r="X124" s="218">
        <v>1</v>
      </c>
      <c r="Y124" s="218">
        <v>1</v>
      </c>
    </row>
    <row r="125" spans="1:25" ht="14.25" customHeight="1" x14ac:dyDescent="0.3">
      <c r="A125" s="1" t="s">
        <v>461</v>
      </c>
      <c r="B125" s="5">
        <v>46171</v>
      </c>
      <c r="C125" s="6">
        <v>0.54166666666666696</v>
      </c>
      <c r="D125" s="1" t="s">
        <v>18</v>
      </c>
      <c r="E125" s="1" t="s">
        <v>430</v>
      </c>
      <c r="F125" s="1" t="s">
        <v>462</v>
      </c>
      <c r="G125" s="39" t="s">
        <v>445</v>
      </c>
      <c r="H125" s="1">
        <v>0</v>
      </c>
      <c r="I125" s="1">
        <v>2</v>
      </c>
      <c r="J125" s="39" t="s">
        <v>432</v>
      </c>
      <c r="K125" s="1">
        <v>2</v>
      </c>
      <c r="L125" s="1">
        <v>0</v>
      </c>
      <c r="S125" s="1" t="s">
        <v>8889</v>
      </c>
      <c r="T125">
        <v>1</v>
      </c>
      <c r="U125" s="19"/>
      <c r="V125" s="19"/>
      <c r="W125" s="218">
        <v>1</v>
      </c>
      <c r="X125" s="218">
        <v>1</v>
      </c>
      <c r="Y125" s="218">
        <v>1</v>
      </c>
    </row>
    <row r="126" spans="1:25" ht="14.25" customHeight="1" x14ac:dyDescent="0.3">
      <c r="A126" s="1" t="s">
        <v>463</v>
      </c>
      <c r="B126" s="5">
        <v>46179</v>
      </c>
      <c r="C126" s="6">
        <v>0.45833333333333298</v>
      </c>
      <c r="D126" s="1" t="s">
        <v>18</v>
      </c>
      <c r="E126" s="1" t="s">
        <v>430</v>
      </c>
      <c r="F126" s="1" t="s">
        <v>464</v>
      </c>
      <c r="G126" s="39" t="s">
        <v>432</v>
      </c>
      <c r="H126" s="1">
        <v>4</v>
      </c>
      <c r="I126" s="1">
        <v>0</v>
      </c>
      <c r="J126" s="39" t="s">
        <v>448</v>
      </c>
      <c r="K126" s="1">
        <v>0</v>
      </c>
      <c r="L126" s="1">
        <v>4</v>
      </c>
      <c r="S126" s="1" t="s">
        <v>8890</v>
      </c>
      <c r="T126" s="1">
        <v>1</v>
      </c>
      <c r="U126" s="19"/>
      <c r="V126" s="19"/>
      <c r="W126" s="218">
        <v>1</v>
      </c>
      <c r="X126" s="218">
        <v>1</v>
      </c>
      <c r="Y126" s="218">
        <v>1</v>
      </c>
    </row>
    <row r="127" spans="1:25" ht="14.25" customHeight="1" x14ac:dyDescent="0.3">
      <c r="A127" s="1" t="s">
        <v>465</v>
      </c>
      <c r="B127" s="5">
        <v>46186</v>
      </c>
      <c r="C127" s="6">
        <v>0.45833333333333298</v>
      </c>
      <c r="D127" s="1" t="s">
        <v>18</v>
      </c>
      <c r="E127" s="1" t="s">
        <v>430</v>
      </c>
      <c r="F127" s="1" t="s">
        <v>466</v>
      </c>
      <c r="G127" s="39" t="s">
        <v>436</v>
      </c>
      <c r="H127" s="1">
        <v>1</v>
      </c>
      <c r="I127" s="1">
        <v>5</v>
      </c>
      <c r="J127" s="39" t="s">
        <v>432</v>
      </c>
      <c r="K127" s="1">
        <v>5</v>
      </c>
      <c r="L127" s="1">
        <v>1</v>
      </c>
      <c r="S127" s="1" t="s">
        <v>8891</v>
      </c>
      <c r="T127" s="1">
        <v>1</v>
      </c>
      <c r="U127" s="19"/>
      <c r="V127" s="19"/>
      <c r="W127" s="218">
        <v>1</v>
      </c>
      <c r="X127" s="218">
        <v>1</v>
      </c>
      <c r="Y127" s="218">
        <v>1</v>
      </c>
    </row>
    <row r="128" spans="1:25" ht="14.25" customHeight="1" x14ac:dyDescent="0.3">
      <c r="A128" s="1" t="s">
        <v>467</v>
      </c>
      <c r="B128" s="5">
        <v>46199</v>
      </c>
      <c r="C128" s="6">
        <v>0.54166666666666696</v>
      </c>
      <c r="D128" s="1" t="s">
        <v>18</v>
      </c>
      <c r="E128" s="1" t="s">
        <v>430</v>
      </c>
      <c r="F128" s="1" t="s">
        <v>1459</v>
      </c>
      <c r="G128" s="39" t="s">
        <v>1457</v>
      </c>
      <c r="H128" s="1">
        <v>0</v>
      </c>
      <c r="I128" s="1">
        <v>1</v>
      </c>
      <c r="J128" s="39" t="s">
        <v>432</v>
      </c>
      <c r="K128" s="1">
        <v>1</v>
      </c>
      <c r="L128" s="1">
        <v>0</v>
      </c>
      <c r="S128" s="1" t="s">
        <v>8892</v>
      </c>
      <c r="T128" s="1">
        <v>1</v>
      </c>
      <c r="U128" s="19"/>
      <c r="V128" s="19"/>
      <c r="W128" s="218">
        <v>1</v>
      </c>
      <c r="X128" s="218">
        <v>1</v>
      </c>
      <c r="Y128" s="218">
        <v>1</v>
      </c>
    </row>
    <row r="129" spans="1:25" ht="14.25" customHeight="1" x14ac:dyDescent="0.3">
      <c r="A129" s="1" t="s">
        <v>468</v>
      </c>
      <c r="B129" s="5">
        <v>46207</v>
      </c>
      <c r="C129" s="6">
        <v>0.41666666666666702</v>
      </c>
      <c r="D129" s="1" t="s">
        <v>18</v>
      </c>
      <c r="E129" s="1" t="s">
        <v>430</v>
      </c>
      <c r="F129" s="1" t="s">
        <v>469</v>
      </c>
      <c r="G129" s="39" t="s">
        <v>432</v>
      </c>
      <c r="H129" s="1">
        <v>7</v>
      </c>
      <c r="I129" s="1">
        <v>1</v>
      </c>
      <c r="J129" s="39" t="s">
        <v>439</v>
      </c>
      <c r="K129" s="1">
        <v>1</v>
      </c>
      <c r="L129" s="1">
        <v>7</v>
      </c>
      <c r="S129" s="1" t="s">
        <v>8893</v>
      </c>
      <c r="T129" s="1">
        <v>1</v>
      </c>
      <c r="U129" s="19"/>
      <c r="V129" s="19"/>
      <c r="W129" s="218">
        <v>1</v>
      </c>
      <c r="X129" s="218">
        <v>1</v>
      </c>
      <c r="Y129" s="218">
        <v>1</v>
      </c>
    </row>
    <row r="130" spans="1:25" ht="14.25" customHeight="1" x14ac:dyDescent="0.3">
      <c r="A130" s="1" t="s">
        <v>470</v>
      </c>
      <c r="B130" s="5">
        <v>46216</v>
      </c>
      <c r="C130" s="6">
        <v>0.52083333333333304</v>
      </c>
      <c r="D130" s="1" t="s">
        <v>18</v>
      </c>
      <c r="E130" s="1" t="s">
        <v>430</v>
      </c>
      <c r="F130" s="1" t="s">
        <v>471</v>
      </c>
      <c r="G130" s="39" t="s">
        <v>432</v>
      </c>
      <c r="H130" s="1">
        <v>1</v>
      </c>
      <c r="I130" s="1">
        <v>1</v>
      </c>
      <c r="J130" s="39" t="s">
        <v>442</v>
      </c>
      <c r="K130" s="1">
        <v>1</v>
      </c>
      <c r="L130" s="1">
        <v>1</v>
      </c>
      <c r="S130" s="1" t="s">
        <v>8894</v>
      </c>
      <c r="T130" s="1">
        <v>1</v>
      </c>
      <c r="U130" s="19"/>
      <c r="V130" s="19"/>
      <c r="W130" s="218">
        <v>1</v>
      </c>
      <c r="X130" s="218">
        <v>1</v>
      </c>
      <c r="Y130" s="218">
        <v>1</v>
      </c>
    </row>
    <row r="131" spans="1:25" ht="14.25" customHeight="1" x14ac:dyDescent="0.3">
      <c r="A131" s="1" t="s">
        <v>472</v>
      </c>
      <c r="B131" s="5">
        <v>46228</v>
      </c>
      <c r="C131" s="6">
        <v>0.41666666666666702</v>
      </c>
      <c r="D131" s="1" t="s">
        <v>18</v>
      </c>
      <c r="E131" s="1" t="s">
        <v>430</v>
      </c>
      <c r="F131" s="1" t="s">
        <v>473</v>
      </c>
      <c r="G131" s="39" t="s">
        <v>432</v>
      </c>
      <c r="H131" s="1">
        <v>2</v>
      </c>
      <c r="I131" s="1">
        <v>1</v>
      </c>
      <c r="J131" s="39" t="s">
        <v>455</v>
      </c>
      <c r="K131" s="1">
        <v>1</v>
      </c>
      <c r="L131" s="1">
        <v>2</v>
      </c>
      <c r="S131" s="1" t="s">
        <v>8895</v>
      </c>
      <c r="T131" s="1">
        <v>1</v>
      </c>
      <c r="U131" s="19"/>
      <c r="V131" s="19"/>
      <c r="W131" s="218">
        <v>1</v>
      </c>
      <c r="X131" s="218">
        <v>1</v>
      </c>
      <c r="Y131" s="218">
        <v>1</v>
      </c>
    </row>
    <row r="132" spans="1:25" ht="14.25" customHeight="1" x14ac:dyDescent="0.3">
      <c r="A132" s="1" t="s">
        <v>474</v>
      </c>
      <c r="B132" s="5">
        <v>46235</v>
      </c>
      <c r="C132" s="6">
        <v>0.41666666666666702</v>
      </c>
      <c r="D132" s="1" t="s">
        <v>18</v>
      </c>
      <c r="E132" s="1" t="s">
        <v>430</v>
      </c>
      <c r="F132" s="1" t="s">
        <v>475</v>
      </c>
      <c r="G132" s="39" t="s">
        <v>451</v>
      </c>
      <c r="H132" s="1">
        <v>3</v>
      </c>
      <c r="I132" s="1">
        <v>2</v>
      </c>
      <c r="J132" s="39" t="s">
        <v>432</v>
      </c>
      <c r="K132" s="1">
        <v>2</v>
      </c>
      <c r="L132" s="1">
        <v>3</v>
      </c>
      <c r="S132" s="1" t="s">
        <v>8896</v>
      </c>
      <c r="T132">
        <v>1</v>
      </c>
      <c r="U132" s="19"/>
      <c r="V132" s="19"/>
      <c r="W132" s="218">
        <v>1</v>
      </c>
      <c r="X132" s="218">
        <v>1</v>
      </c>
      <c r="Y132" s="218">
        <v>1</v>
      </c>
    </row>
    <row r="133" spans="1:25" ht="14.25" customHeight="1" x14ac:dyDescent="0.3">
      <c r="A133" s="1" t="s">
        <v>477</v>
      </c>
      <c r="B133" s="5">
        <v>46144</v>
      </c>
      <c r="C133" s="6">
        <v>0.77083333333333304</v>
      </c>
      <c r="D133" s="1" t="s">
        <v>12</v>
      </c>
      <c r="E133" s="1" t="s">
        <v>13</v>
      </c>
      <c r="F133" s="1" t="s">
        <v>478</v>
      </c>
      <c r="G133" s="39" t="s">
        <v>151</v>
      </c>
      <c r="H133" s="1">
        <v>1</v>
      </c>
      <c r="I133" s="1">
        <v>1</v>
      </c>
      <c r="J133" s="39" t="s">
        <v>479</v>
      </c>
      <c r="K133" s="1">
        <v>1</v>
      </c>
      <c r="L133" s="1">
        <v>1</v>
      </c>
      <c r="S133" s="1" t="s">
        <v>8897</v>
      </c>
      <c r="T133" s="1">
        <v>1</v>
      </c>
      <c r="U133" s="19"/>
      <c r="V133" s="19"/>
      <c r="W133" s="218">
        <v>1</v>
      </c>
      <c r="X133" s="218">
        <v>1</v>
      </c>
      <c r="Y133" s="218">
        <v>1</v>
      </c>
    </row>
    <row r="134" spans="1:25" ht="14.25" customHeight="1" x14ac:dyDescent="0.3">
      <c r="A134" s="1" t="s">
        <v>480</v>
      </c>
      <c r="B134" s="5">
        <v>46152</v>
      </c>
      <c r="C134" s="6">
        <v>0.73611111111111105</v>
      </c>
      <c r="D134" s="1" t="s">
        <v>12</v>
      </c>
      <c r="E134" s="1" t="s">
        <v>13</v>
      </c>
      <c r="F134" s="1" t="s">
        <v>481</v>
      </c>
      <c r="G134" s="39" t="s">
        <v>136</v>
      </c>
      <c r="H134" s="1">
        <v>1</v>
      </c>
      <c r="I134" s="1">
        <v>1</v>
      </c>
      <c r="J134" s="39" t="s">
        <v>151</v>
      </c>
      <c r="K134" s="1">
        <v>1</v>
      </c>
      <c r="L134" s="1">
        <v>1</v>
      </c>
      <c r="S134" s="1" t="s">
        <v>8898</v>
      </c>
      <c r="T134" s="1">
        <v>1</v>
      </c>
      <c r="U134" s="19"/>
      <c r="V134" s="19"/>
      <c r="W134" s="218">
        <v>1</v>
      </c>
      <c r="X134" s="218">
        <v>1</v>
      </c>
      <c r="Y134" s="218">
        <v>1</v>
      </c>
    </row>
    <row r="135" spans="1:25" ht="14.25" customHeight="1" x14ac:dyDescent="0.3">
      <c r="A135" s="1" t="s">
        <v>482</v>
      </c>
      <c r="B135" s="5">
        <v>46158</v>
      </c>
      <c r="C135" s="6">
        <v>0.875</v>
      </c>
      <c r="D135" s="1" t="s">
        <v>12</v>
      </c>
      <c r="E135" s="1" t="s">
        <v>13</v>
      </c>
      <c r="F135" s="1" t="s">
        <v>483</v>
      </c>
      <c r="G135" s="39" t="s">
        <v>151</v>
      </c>
      <c r="H135" s="1">
        <v>1</v>
      </c>
      <c r="I135" s="1">
        <v>1</v>
      </c>
      <c r="J135" s="39" t="s">
        <v>178</v>
      </c>
      <c r="K135" s="1">
        <v>1</v>
      </c>
      <c r="L135" s="1">
        <v>1</v>
      </c>
      <c r="S135" s="1" t="s">
        <v>8899</v>
      </c>
      <c r="T135" s="1">
        <v>1</v>
      </c>
      <c r="U135" s="19"/>
      <c r="V135" s="19"/>
      <c r="W135" s="218">
        <v>1</v>
      </c>
      <c r="X135" s="218">
        <v>1</v>
      </c>
      <c r="Y135" s="218">
        <v>1</v>
      </c>
    </row>
    <row r="136" spans="1:25" ht="14.25" customHeight="1" x14ac:dyDescent="0.3">
      <c r="A136" s="1" t="s">
        <v>484</v>
      </c>
      <c r="B136" s="5">
        <v>46165</v>
      </c>
      <c r="C136" s="6">
        <v>0.875</v>
      </c>
      <c r="D136" s="1" t="s">
        <v>12</v>
      </c>
      <c r="E136" s="1" t="s">
        <v>13</v>
      </c>
      <c r="F136" s="1" t="s">
        <v>485</v>
      </c>
      <c r="G136" s="39" t="s">
        <v>144</v>
      </c>
      <c r="H136" s="1">
        <v>0</v>
      </c>
      <c r="I136" s="1">
        <v>3</v>
      </c>
      <c r="J136" s="39" t="s">
        <v>151</v>
      </c>
      <c r="K136" s="1">
        <v>3</v>
      </c>
      <c r="L136" s="1">
        <v>0</v>
      </c>
      <c r="S136" s="1" t="s">
        <v>8900</v>
      </c>
      <c r="T136" s="1">
        <v>1</v>
      </c>
      <c r="U136" s="19"/>
      <c r="V136" s="19"/>
      <c r="W136" s="218">
        <v>1</v>
      </c>
      <c r="X136" s="218">
        <v>1</v>
      </c>
      <c r="Y136" s="218">
        <v>1</v>
      </c>
    </row>
    <row r="137" spans="1:25" ht="14.25" customHeight="1" x14ac:dyDescent="0.3">
      <c r="A137" s="1" t="s">
        <v>486</v>
      </c>
      <c r="B137" s="5">
        <v>46173</v>
      </c>
      <c r="C137" s="6">
        <v>0.66666666666666696</v>
      </c>
      <c r="D137" s="1" t="s">
        <v>12</v>
      </c>
      <c r="E137" s="1" t="s">
        <v>13</v>
      </c>
      <c r="F137" s="1" t="s">
        <v>487</v>
      </c>
      <c r="G137" s="39" t="s">
        <v>151</v>
      </c>
      <c r="H137" s="1">
        <v>1</v>
      </c>
      <c r="I137" s="1">
        <v>0</v>
      </c>
      <c r="J137" s="39" t="s">
        <v>488</v>
      </c>
      <c r="K137" s="1">
        <v>0</v>
      </c>
      <c r="L137" s="1">
        <v>1</v>
      </c>
      <c r="S137" s="1" t="s">
        <v>8901</v>
      </c>
      <c r="T137" s="1">
        <v>1</v>
      </c>
      <c r="U137" s="19"/>
      <c r="V137" s="19"/>
      <c r="W137" s="218">
        <v>1</v>
      </c>
      <c r="X137" s="218">
        <v>1</v>
      </c>
      <c r="Y137" s="218">
        <v>1</v>
      </c>
    </row>
    <row r="138" spans="1:25" ht="14.25" customHeight="1" x14ac:dyDescent="0.3">
      <c r="A138" s="1" t="s">
        <v>489</v>
      </c>
      <c r="B138" s="5">
        <v>46225</v>
      </c>
      <c r="C138" s="6">
        <v>0.8125</v>
      </c>
      <c r="D138" s="1" t="s">
        <v>12</v>
      </c>
      <c r="E138" s="1" t="s">
        <v>13</v>
      </c>
      <c r="F138" s="1" t="s">
        <v>490</v>
      </c>
      <c r="G138" s="39" t="s">
        <v>177</v>
      </c>
      <c r="H138" s="1">
        <v>1</v>
      </c>
      <c r="I138" s="1">
        <v>3</v>
      </c>
      <c r="J138" s="39" t="s">
        <v>151</v>
      </c>
      <c r="K138" s="1">
        <v>3</v>
      </c>
      <c r="L138" s="1">
        <v>1</v>
      </c>
      <c r="S138" s="1" t="s">
        <v>8902</v>
      </c>
      <c r="T138" s="1">
        <v>1</v>
      </c>
      <c r="U138" s="19"/>
      <c r="V138" s="19"/>
      <c r="W138" s="218">
        <v>1</v>
      </c>
      <c r="X138" s="218">
        <v>1</v>
      </c>
      <c r="Y138" s="218">
        <v>1</v>
      </c>
    </row>
    <row r="139" spans="1:25" ht="14.25" customHeight="1" x14ac:dyDescent="0.3">
      <c r="A139" s="1" t="s">
        <v>491</v>
      </c>
      <c r="B139" s="5">
        <v>46229</v>
      </c>
      <c r="C139" s="6">
        <v>0.8125</v>
      </c>
      <c r="D139" s="1" t="s">
        <v>12</v>
      </c>
      <c r="E139" s="1" t="s">
        <v>13</v>
      </c>
      <c r="F139" s="1" t="s">
        <v>492</v>
      </c>
      <c r="G139" s="39" t="s">
        <v>151</v>
      </c>
      <c r="H139" s="1">
        <v>1</v>
      </c>
      <c r="I139" s="1">
        <v>2</v>
      </c>
      <c r="J139" s="39" t="s">
        <v>493</v>
      </c>
      <c r="K139" s="1">
        <v>2</v>
      </c>
      <c r="L139" s="1">
        <v>1</v>
      </c>
      <c r="S139" s="1" t="s">
        <v>8903</v>
      </c>
      <c r="T139" s="1">
        <v>1</v>
      </c>
      <c r="U139" s="19"/>
      <c r="V139" s="19"/>
      <c r="W139" s="218">
        <v>1</v>
      </c>
      <c r="X139" s="218">
        <v>1</v>
      </c>
      <c r="Y139" s="218">
        <v>1</v>
      </c>
    </row>
    <row r="140" spans="1:25" ht="14.25" customHeight="1" x14ac:dyDescent="0.3">
      <c r="A140" s="1" t="s">
        <v>494</v>
      </c>
      <c r="B140" s="5">
        <v>46138</v>
      </c>
      <c r="C140" s="6">
        <v>0.66666666666666696</v>
      </c>
      <c r="D140" s="1" t="s">
        <v>12</v>
      </c>
      <c r="E140" s="1" t="s">
        <v>13</v>
      </c>
      <c r="F140" s="1" t="s">
        <v>495</v>
      </c>
      <c r="G140" s="39" t="s">
        <v>493</v>
      </c>
      <c r="H140" s="1">
        <v>0</v>
      </c>
      <c r="I140" s="1">
        <v>4</v>
      </c>
      <c r="J140" s="39" t="s">
        <v>144</v>
      </c>
      <c r="K140" s="1">
        <v>4</v>
      </c>
      <c r="L140" s="1">
        <v>0</v>
      </c>
      <c r="S140" s="1" t="s">
        <v>8904</v>
      </c>
      <c r="T140" s="1">
        <v>1</v>
      </c>
      <c r="U140" s="19"/>
      <c r="V140" s="19"/>
      <c r="W140" s="218">
        <v>1</v>
      </c>
      <c r="X140" s="218">
        <v>1</v>
      </c>
      <c r="Y140" s="218">
        <v>1</v>
      </c>
    </row>
    <row r="141" spans="1:25" ht="14.25" customHeight="1" x14ac:dyDescent="0.3">
      <c r="A141" s="1" t="s">
        <v>496</v>
      </c>
      <c r="B141" s="5">
        <v>46145</v>
      </c>
      <c r="C141" s="6">
        <v>0.66666666666666696</v>
      </c>
      <c r="D141" s="1" t="s">
        <v>12</v>
      </c>
      <c r="E141" s="1" t="s">
        <v>13</v>
      </c>
      <c r="F141" s="1" t="s">
        <v>510</v>
      </c>
      <c r="G141" s="39" t="s">
        <v>144</v>
      </c>
      <c r="H141" s="1">
        <v>2</v>
      </c>
      <c r="I141" s="1">
        <v>2</v>
      </c>
      <c r="J141" s="39" t="s">
        <v>227</v>
      </c>
      <c r="K141" s="1">
        <v>2</v>
      </c>
      <c r="L141" s="1">
        <v>2</v>
      </c>
      <c r="S141" s="1" t="s">
        <v>8905</v>
      </c>
      <c r="T141" s="1">
        <v>1</v>
      </c>
      <c r="U141" s="19"/>
      <c r="V141" s="19"/>
      <c r="W141" s="218">
        <v>1</v>
      </c>
      <c r="X141" s="218">
        <v>1</v>
      </c>
      <c r="Y141" s="218">
        <v>1</v>
      </c>
    </row>
    <row r="142" spans="1:25" ht="14.25" customHeight="1" x14ac:dyDescent="0.3">
      <c r="A142" s="1" t="s">
        <v>497</v>
      </c>
      <c r="B142" s="5">
        <v>46152</v>
      </c>
      <c r="C142" s="6">
        <v>0.66666666666666696</v>
      </c>
      <c r="D142" s="1" t="s">
        <v>12</v>
      </c>
      <c r="E142" s="1" t="s">
        <v>13</v>
      </c>
      <c r="F142" s="1" t="s">
        <v>498</v>
      </c>
      <c r="G142" s="39" t="s">
        <v>499</v>
      </c>
      <c r="H142" s="1">
        <v>0</v>
      </c>
      <c r="I142" s="1">
        <v>1</v>
      </c>
      <c r="J142" s="39" t="s">
        <v>144</v>
      </c>
      <c r="K142" s="1">
        <v>1</v>
      </c>
      <c r="L142" s="1">
        <v>0</v>
      </c>
      <c r="S142" s="1" t="s">
        <v>8906</v>
      </c>
      <c r="T142" s="1">
        <v>1</v>
      </c>
      <c r="U142" s="19"/>
      <c r="V142" s="19"/>
      <c r="W142" s="218">
        <v>1</v>
      </c>
      <c r="X142" s="218">
        <v>1</v>
      </c>
      <c r="Y142" s="218">
        <v>1</v>
      </c>
    </row>
    <row r="143" spans="1:25" ht="14.25" customHeight="1" x14ac:dyDescent="0.3">
      <c r="A143" s="1" t="s">
        <v>500</v>
      </c>
      <c r="B143" s="5">
        <v>46159</v>
      </c>
      <c r="C143" s="6">
        <v>0.66666666666666696</v>
      </c>
      <c r="D143" s="1" t="s">
        <v>12</v>
      </c>
      <c r="E143" s="1" t="s">
        <v>13</v>
      </c>
      <c r="F143" s="1" t="s">
        <v>501</v>
      </c>
      <c r="G143" s="39" t="s">
        <v>502</v>
      </c>
      <c r="H143" s="1">
        <v>1</v>
      </c>
      <c r="I143" s="1">
        <v>1</v>
      </c>
      <c r="J143" s="39" t="s">
        <v>144</v>
      </c>
      <c r="K143" s="1">
        <v>1</v>
      </c>
      <c r="L143" s="1">
        <v>1</v>
      </c>
      <c r="S143" s="1" t="s">
        <v>8907</v>
      </c>
      <c r="T143" s="1">
        <v>1</v>
      </c>
      <c r="U143" s="19"/>
      <c r="V143" s="19"/>
      <c r="W143" s="218">
        <v>1</v>
      </c>
      <c r="X143" s="218">
        <v>1</v>
      </c>
      <c r="Y143" s="218">
        <v>1</v>
      </c>
    </row>
    <row r="144" spans="1:25" ht="14.25" customHeight="1" x14ac:dyDescent="0.3">
      <c r="A144" s="1" t="s">
        <v>503</v>
      </c>
      <c r="B144" s="5">
        <v>46172</v>
      </c>
      <c r="C144" s="6">
        <v>0.6875</v>
      </c>
      <c r="D144" s="1" t="s">
        <v>12</v>
      </c>
      <c r="E144" s="1" t="s">
        <v>13</v>
      </c>
      <c r="F144" s="1" t="s">
        <v>504</v>
      </c>
      <c r="G144" s="39" t="s">
        <v>144</v>
      </c>
      <c r="H144" s="1">
        <v>3</v>
      </c>
      <c r="I144" s="1">
        <v>0</v>
      </c>
      <c r="J144" s="39" t="s">
        <v>177</v>
      </c>
      <c r="K144" s="1">
        <v>0</v>
      </c>
      <c r="L144" s="1">
        <v>3</v>
      </c>
      <c r="S144" s="1" t="s">
        <v>8908</v>
      </c>
      <c r="T144" s="1">
        <v>1</v>
      </c>
      <c r="U144" s="19"/>
      <c r="V144" s="19"/>
      <c r="W144" s="218">
        <v>1</v>
      </c>
      <c r="X144" s="218">
        <v>1</v>
      </c>
      <c r="Y144" s="218">
        <v>1</v>
      </c>
    </row>
    <row r="145" spans="1:25" ht="14.25" customHeight="1" x14ac:dyDescent="0.3">
      <c r="A145" s="1" t="s">
        <v>505</v>
      </c>
      <c r="B145" s="5">
        <v>46225</v>
      </c>
      <c r="C145" s="6">
        <v>0.83333333333333304</v>
      </c>
      <c r="D145" s="1" t="s">
        <v>12</v>
      </c>
      <c r="E145" s="1" t="s">
        <v>13</v>
      </c>
      <c r="F145" s="1" t="s">
        <v>506</v>
      </c>
      <c r="G145" s="39" t="s">
        <v>488</v>
      </c>
      <c r="H145" s="1">
        <v>0</v>
      </c>
      <c r="I145" s="1">
        <v>4</v>
      </c>
      <c r="J145" s="39" t="s">
        <v>144</v>
      </c>
      <c r="K145" s="1">
        <v>4</v>
      </c>
      <c r="L145" s="1">
        <v>0</v>
      </c>
      <c r="S145" s="1" t="s">
        <v>8909</v>
      </c>
      <c r="T145" s="1">
        <v>1</v>
      </c>
      <c r="U145" s="19"/>
      <c r="V145" s="19"/>
      <c r="W145" s="218">
        <v>1</v>
      </c>
      <c r="X145" s="218">
        <v>1</v>
      </c>
      <c r="Y145" s="218">
        <v>1</v>
      </c>
    </row>
    <row r="146" spans="1:25" ht="14.25" customHeight="1" x14ac:dyDescent="0.3">
      <c r="A146" s="1" t="s">
        <v>507</v>
      </c>
      <c r="B146" s="5">
        <v>46229</v>
      </c>
      <c r="C146" s="6">
        <v>0.66666666666666696</v>
      </c>
      <c r="D146" s="1" t="s">
        <v>12</v>
      </c>
      <c r="E146" s="1" t="s">
        <v>13</v>
      </c>
      <c r="F146" s="1" t="s">
        <v>508</v>
      </c>
      <c r="G146" s="39" t="s">
        <v>144</v>
      </c>
      <c r="H146" s="1">
        <v>1</v>
      </c>
      <c r="I146" s="1">
        <v>1</v>
      </c>
      <c r="J146" s="39" t="s">
        <v>509</v>
      </c>
      <c r="K146" s="1">
        <v>1</v>
      </c>
      <c r="L146" s="1">
        <v>1</v>
      </c>
      <c r="S146" s="1" t="s">
        <v>8910</v>
      </c>
      <c r="T146" s="1">
        <v>1</v>
      </c>
      <c r="U146" s="19"/>
      <c r="V146" s="19"/>
      <c r="W146" s="218">
        <v>1</v>
      </c>
      <c r="X146" s="218">
        <v>1</v>
      </c>
      <c r="Y146" s="218">
        <v>1</v>
      </c>
    </row>
    <row r="147" spans="1:25" ht="14.25" customHeight="1" x14ac:dyDescent="0.3">
      <c r="A147" s="1" t="s">
        <v>512</v>
      </c>
      <c r="B147" s="5">
        <v>46130</v>
      </c>
      <c r="C147" s="6">
        <v>0.66666666666666696</v>
      </c>
      <c r="D147" s="1" t="s">
        <v>12</v>
      </c>
      <c r="E147" s="1" t="s">
        <v>13</v>
      </c>
      <c r="F147" s="1" t="s">
        <v>523</v>
      </c>
      <c r="G147" s="39" t="s">
        <v>488</v>
      </c>
      <c r="H147" s="1">
        <v>1</v>
      </c>
      <c r="I147" s="1">
        <v>4</v>
      </c>
      <c r="J147" s="39" t="s">
        <v>522</v>
      </c>
      <c r="K147" s="1">
        <v>4</v>
      </c>
      <c r="L147" s="1">
        <v>1</v>
      </c>
      <c r="S147" s="1" t="s">
        <v>8911</v>
      </c>
      <c r="T147" s="1">
        <v>1</v>
      </c>
      <c r="U147" s="19"/>
      <c r="V147" s="19"/>
      <c r="W147" s="218">
        <v>1</v>
      </c>
      <c r="X147" s="218">
        <v>1</v>
      </c>
      <c r="Y147" s="218">
        <v>1</v>
      </c>
    </row>
    <row r="148" spans="1:25" ht="14.25" customHeight="1" x14ac:dyDescent="0.3">
      <c r="A148" s="1" t="s">
        <v>513</v>
      </c>
      <c r="B148" s="5">
        <v>46137</v>
      </c>
      <c r="C148" s="6">
        <v>0.66666666666666696</v>
      </c>
      <c r="D148" s="1" t="s">
        <v>12</v>
      </c>
      <c r="E148" s="1" t="s">
        <v>13</v>
      </c>
      <c r="F148" s="1" t="s">
        <v>524</v>
      </c>
      <c r="G148" s="39" t="s">
        <v>522</v>
      </c>
      <c r="H148" s="1">
        <v>2</v>
      </c>
      <c r="I148" s="1">
        <v>2</v>
      </c>
      <c r="J148" s="39" t="s">
        <v>143</v>
      </c>
      <c r="K148" s="1">
        <v>2</v>
      </c>
      <c r="L148" s="1">
        <v>2</v>
      </c>
      <c r="S148" s="1" t="s">
        <v>8912</v>
      </c>
      <c r="T148" s="1">
        <v>1</v>
      </c>
      <c r="U148" s="19"/>
      <c r="V148" s="19"/>
      <c r="W148" s="218">
        <v>1</v>
      </c>
      <c r="X148" s="218">
        <v>1</v>
      </c>
      <c r="Y148" s="218">
        <v>1</v>
      </c>
    </row>
    <row r="149" spans="1:25" ht="14.25" customHeight="1" x14ac:dyDescent="0.3">
      <c r="A149" s="1" t="s">
        <v>514</v>
      </c>
      <c r="B149" s="5">
        <v>46144</v>
      </c>
      <c r="C149" s="6">
        <v>0.77083333333333304</v>
      </c>
      <c r="D149" s="1" t="s">
        <v>12</v>
      </c>
      <c r="E149" s="1" t="s">
        <v>13</v>
      </c>
      <c r="F149" s="1" t="s">
        <v>525</v>
      </c>
      <c r="G149" s="39" t="s">
        <v>522</v>
      </c>
      <c r="H149" s="1">
        <v>1</v>
      </c>
      <c r="I149" s="1">
        <v>2</v>
      </c>
      <c r="J149" s="39" t="s">
        <v>136</v>
      </c>
      <c r="K149" s="1">
        <v>2</v>
      </c>
      <c r="L149" s="1">
        <v>1</v>
      </c>
      <c r="S149" s="1" t="s">
        <v>8913</v>
      </c>
      <c r="T149" s="1">
        <v>1</v>
      </c>
      <c r="U149" s="19"/>
      <c r="V149" s="19"/>
      <c r="W149" s="218">
        <v>1</v>
      </c>
      <c r="X149" s="218">
        <v>1</v>
      </c>
      <c r="Y149" s="218">
        <v>1</v>
      </c>
    </row>
    <row r="150" spans="1:25" ht="14.25" customHeight="1" x14ac:dyDescent="0.3">
      <c r="A150" s="1" t="s">
        <v>515</v>
      </c>
      <c r="B150" s="5">
        <v>46152</v>
      </c>
      <c r="C150" s="6">
        <v>0.66666666666666696</v>
      </c>
      <c r="D150" s="1" t="s">
        <v>12</v>
      </c>
      <c r="E150" s="1" t="s">
        <v>13</v>
      </c>
      <c r="F150" s="1" t="s">
        <v>526</v>
      </c>
      <c r="G150" s="39" t="s">
        <v>493</v>
      </c>
      <c r="H150" s="1">
        <v>1</v>
      </c>
      <c r="I150" s="1">
        <v>1</v>
      </c>
      <c r="J150" s="39" t="s">
        <v>522</v>
      </c>
      <c r="K150" s="1">
        <v>1</v>
      </c>
      <c r="L150" s="1">
        <v>1</v>
      </c>
      <c r="S150" s="1" t="s">
        <v>8914</v>
      </c>
      <c r="T150" s="1">
        <v>1</v>
      </c>
      <c r="U150" s="19"/>
      <c r="V150" s="19"/>
      <c r="W150" s="218">
        <v>1</v>
      </c>
      <c r="X150" s="218">
        <v>1</v>
      </c>
      <c r="Y150" s="218">
        <v>1</v>
      </c>
    </row>
    <row r="151" spans="1:25" ht="14.25" customHeight="1" x14ac:dyDescent="0.3">
      <c r="A151" s="1" t="s">
        <v>516</v>
      </c>
      <c r="B151" s="5">
        <v>46159</v>
      </c>
      <c r="C151" s="6">
        <v>0.66666666666666696</v>
      </c>
      <c r="D151" s="1" t="s">
        <v>12</v>
      </c>
      <c r="E151" s="1" t="s">
        <v>13</v>
      </c>
      <c r="F151" s="1" t="s">
        <v>527</v>
      </c>
      <c r="G151" s="39" t="s">
        <v>522</v>
      </c>
      <c r="H151" s="1">
        <v>3</v>
      </c>
      <c r="I151" s="1">
        <v>1</v>
      </c>
      <c r="J151" s="39" t="s">
        <v>174</v>
      </c>
      <c r="K151" s="1">
        <v>1</v>
      </c>
      <c r="L151" s="1">
        <v>3</v>
      </c>
      <c r="S151" s="1" t="s">
        <v>8915</v>
      </c>
      <c r="T151" s="1">
        <v>1</v>
      </c>
      <c r="U151" s="19"/>
      <c r="V151" s="19"/>
      <c r="W151" s="218">
        <v>1</v>
      </c>
      <c r="X151" s="218">
        <v>1</v>
      </c>
      <c r="Y151" s="218">
        <v>1</v>
      </c>
    </row>
    <row r="152" spans="1:25" ht="14.25" customHeight="1" x14ac:dyDescent="0.3">
      <c r="A152" s="1" t="s">
        <v>517</v>
      </c>
      <c r="B152" s="5">
        <v>46165</v>
      </c>
      <c r="C152" s="6">
        <v>0.66666666666666696</v>
      </c>
      <c r="D152" s="1" t="s">
        <v>12</v>
      </c>
      <c r="E152" s="1" t="s">
        <v>13</v>
      </c>
      <c r="F152" s="1" t="s">
        <v>528</v>
      </c>
      <c r="G152" s="39" t="s">
        <v>509</v>
      </c>
      <c r="H152" s="1">
        <v>1</v>
      </c>
      <c r="I152" s="1">
        <v>1</v>
      </c>
      <c r="J152" s="39" t="s">
        <v>522</v>
      </c>
      <c r="K152" s="1">
        <v>1</v>
      </c>
      <c r="L152" s="1">
        <v>1</v>
      </c>
      <c r="S152" s="1" t="s">
        <v>8916</v>
      </c>
      <c r="T152" s="1">
        <v>1</v>
      </c>
      <c r="U152" s="19"/>
      <c r="V152" s="19"/>
      <c r="W152" s="218">
        <v>1</v>
      </c>
      <c r="X152" s="218">
        <v>1</v>
      </c>
      <c r="Y152" s="218">
        <v>1</v>
      </c>
    </row>
    <row r="153" spans="1:25" ht="14.25" customHeight="1" x14ac:dyDescent="0.3">
      <c r="A153" s="1" t="s">
        <v>518</v>
      </c>
      <c r="B153" s="5">
        <v>46172</v>
      </c>
      <c r="C153" s="6">
        <v>0.6875</v>
      </c>
      <c r="D153" s="1" t="s">
        <v>12</v>
      </c>
      <c r="E153" s="1" t="s">
        <v>13</v>
      </c>
      <c r="F153" s="1" t="s">
        <v>529</v>
      </c>
      <c r="G153" s="39" t="s">
        <v>161</v>
      </c>
      <c r="H153" s="1">
        <v>2</v>
      </c>
      <c r="I153" s="1">
        <v>1</v>
      </c>
      <c r="J153" s="39" t="s">
        <v>522</v>
      </c>
      <c r="K153" s="1">
        <v>1</v>
      </c>
      <c r="L153" s="1">
        <v>2</v>
      </c>
      <c r="S153" s="1" t="s">
        <v>8917</v>
      </c>
      <c r="T153" s="1">
        <v>1</v>
      </c>
      <c r="U153" s="19"/>
      <c r="V153" s="19"/>
      <c r="W153" s="218">
        <v>1</v>
      </c>
      <c r="X153" s="218">
        <v>1</v>
      </c>
      <c r="Y153" s="218">
        <v>1</v>
      </c>
    </row>
    <row r="154" spans="1:25" ht="14.25" customHeight="1" x14ac:dyDescent="0.3">
      <c r="A154" s="1" t="s">
        <v>519</v>
      </c>
      <c r="B154" s="5">
        <v>46219</v>
      </c>
      <c r="C154" s="6">
        <v>0.83333333333333304</v>
      </c>
      <c r="D154" s="1" t="s">
        <v>12</v>
      </c>
      <c r="E154" s="1" t="s">
        <v>13</v>
      </c>
      <c r="F154" s="1" t="s">
        <v>530</v>
      </c>
      <c r="G154" s="39" t="s">
        <v>522</v>
      </c>
      <c r="H154" s="1">
        <v>2</v>
      </c>
      <c r="I154" s="1">
        <v>1</v>
      </c>
      <c r="J154" s="39" t="s">
        <v>479</v>
      </c>
      <c r="K154" s="1">
        <v>1</v>
      </c>
      <c r="L154" s="1">
        <v>2</v>
      </c>
      <c r="S154" s="1" t="s">
        <v>8918</v>
      </c>
      <c r="T154" s="1">
        <v>1</v>
      </c>
      <c r="U154" s="19"/>
      <c r="V154" s="19"/>
      <c r="W154" s="218">
        <v>1</v>
      </c>
      <c r="X154" s="218">
        <v>1</v>
      </c>
      <c r="Y154" s="218">
        <v>1</v>
      </c>
    </row>
    <row r="155" spans="1:25" ht="14.25" customHeight="1" x14ac:dyDescent="0.3">
      <c r="A155" s="1" t="s">
        <v>520</v>
      </c>
      <c r="B155" s="5">
        <v>46226</v>
      </c>
      <c r="C155" s="6">
        <v>0.8125</v>
      </c>
      <c r="D155" s="1" t="s">
        <v>12</v>
      </c>
      <c r="E155" s="1" t="s">
        <v>13</v>
      </c>
      <c r="F155" s="1" t="s">
        <v>531</v>
      </c>
      <c r="G155" s="39" t="s">
        <v>522</v>
      </c>
      <c r="H155" s="1">
        <v>0</v>
      </c>
      <c r="I155" s="1">
        <v>0</v>
      </c>
      <c r="J155" s="39" t="s">
        <v>150</v>
      </c>
      <c r="K155" s="1">
        <v>0</v>
      </c>
      <c r="L155" s="1">
        <v>0</v>
      </c>
      <c r="S155" s="1" t="s">
        <v>8919</v>
      </c>
      <c r="T155" s="1">
        <v>1</v>
      </c>
      <c r="U155" s="19"/>
      <c r="V155" s="19"/>
      <c r="W155" s="218">
        <v>1</v>
      </c>
      <c r="X155" s="218">
        <v>1</v>
      </c>
      <c r="Y155" s="218">
        <v>1</v>
      </c>
    </row>
    <row r="156" spans="1:25" ht="14.25" customHeight="1" x14ac:dyDescent="0.3">
      <c r="A156" s="1" t="s">
        <v>521</v>
      </c>
      <c r="B156" s="5">
        <v>46229</v>
      </c>
      <c r="C156" s="6">
        <v>0.66666666666666696</v>
      </c>
      <c r="D156" s="1" t="s">
        <v>12</v>
      </c>
      <c r="E156" s="1" t="s">
        <v>13</v>
      </c>
      <c r="F156" s="1" t="s">
        <v>532</v>
      </c>
      <c r="G156" s="39" t="s">
        <v>178</v>
      </c>
      <c r="H156" s="1">
        <v>0</v>
      </c>
      <c r="I156" s="1">
        <v>1</v>
      </c>
      <c r="J156" s="39" t="s">
        <v>522</v>
      </c>
      <c r="K156" s="1">
        <v>1</v>
      </c>
      <c r="L156" s="1">
        <v>0</v>
      </c>
      <c r="S156" s="1" t="s">
        <v>8920</v>
      </c>
      <c r="T156">
        <v>1</v>
      </c>
      <c r="U156" s="19"/>
      <c r="V156" s="19"/>
      <c r="W156" s="218">
        <v>1</v>
      </c>
      <c r="X156" s="218">
        <v>1</v>
      </c>
      <c r="Y156" s="218">
        <v>1</v>
      </c>
    </row>
    <row r="157" spans="1:25" ht="14.25" customHeight="1" x14ac:dyDescent="0.3">
      <c r="A157" s="1" t="s">
        <v>533</v>
      </c>
      <c r="B157" s="5">
        <v>46150</v>
      </c>
      <c r="C157" s="6">
        <v>0.52083333333333304</v>
      </c>
      <c r="D157" s="1" t="s">
        <v>18</v>
      </c>
      <c r="E157" s="1" t="s">
        <v>20</v>
      </c>
      <c r="F157" s="1" t="s">
        <v>2864</v>
      </c>
      <c r="G157" s="39" t="s">
        <v>315</v>
      </c>
      <c r="H157" s="1">
        <v>4</v>
      </c>
      <c r="I157" s="1">
        <v>3</v>
      </c>
      <c r="J157" s="39" t="s">
        <v>2821</v>
      </c>
      <c r="K157" s="1">
        <v>3</v>
      </c>
      <c r="L157" s="1">
        <v>4</v>
      </c>
      <c r="S157" s="1" t="s">
        <v>8921</v>
      </c>
      <c r="T157" s="1">
        <v>1</v>
      </c>
      <c r="U157" s="19"/>
      <c r="V157" s="19"/>
      <c r="W157" s="218">
        <v>0</v>
      </c>
      <c r="X157" s="218">
        <v>0</v>
      </c>
      <c r="Y157" s="218">
        <v>0</v>
      </c>
    </row>
    <row r="158" spans="1:25" ht="14.25" customHeight="1" x14ac:dyDescent="0.3">
      <c r="A158" s="1" t="s">
        <v>534</v>
      </c>
      <c r="B158" s="5">
        <v>46160</v>
      </c>
      <c r="C158" s="6">
        <v>0.52083333333333304</v>
      </c>
      <c r="D158" s="1" t="s">
        <v>18</v>
      </c>
      <c r="E158" s="1" t="s">
        <v>20</v>
      </c>
      <c r="F158" s="1" t="s">
        <v>535</v>
      </c>
      <c r="G158" s="39" t="s">
        <v>315</v>
      </c>
      <c r="H158" s="1">
        <v>1</v>
      </c>
      <c r="I158" s="1">
        <v>1</v>
      </c>
      <c r="J158" s="39" t="s">
        <v>318</v>
      </c>
      <c r="K158" s="1">
        <v>1</v>
      </c>
      <c r="L158" s="1">
        <v>1</v>
      </c>
      <c r="S158" s="1" t="s">
        <v>8922</v>
      </c>
      <c r="T158" s="1">
        <v>1</v>
      </c>
      <c r="U158" s="19"/>
      <c r="V158" s="19"/>
      <c r="W158" s="218">
        <v>0</v>
      </c>
      <c r="X158" s="218">
        <v>1</v>
      </c>
      <c r="Y158" s="218">
        <v>1</v>
      </c>
    </row>
    <row r="159" spans="1:25" ht="14.25" customHeight="1" x14ac:dyDescent="0.3">
      <c r="A159" s="1" t="s">
        <v>536</v>
      </c>
      <c r="B159" s="5">
        <v>46164</v>
      </c>
      <c r="C159" s="6">
        <v>0.52083333333333304</v>
      </c>
      <c r="D159" s="1" t="s">
        <v>18</v>
      </c>
      <c r="E159" s="1" t="s">
        <v>20</v>
      </c>
      <c r="F159" s="1" t="s">
        <v>537</v>
      </c>
      <c r="G159" s="39" t="s">
        <v>204</v>
      </c>
      <c r="H159" s="1">
        <v>0</v>
      </c>
      <c r="I159" s="1">
        <v>1</v>
      </c>
      <c r="J159" s="39" t="s">
        <v>315</v>
      </c>
      <c r="K159" s="1">
        <v>1</v>
      </c>
      <c r="L159" s="1">
        <v>0</v>
      </c>
      <c r="S159" s="1" t="s">
        <v>8923</v>
      </c>
      <c r="T159" s="1">
        <v>1</v>
      </c>
      <c r="U159" s="19"/>
      <c r="V159" s="19"/>
      <c r="W159" s="218">
        <v>1</v>
      </c>
      <c r="X159" s="218">
        <v>1</v>
      </c>
      <c r="Y159" s="218">
        <v>1</v>
      </c>
    </row>
    <row r="160" spans="1:25" ht="14.25" customHeight="1" x14ac:dyDescent="0.3">
      <c r="A160" s="1" t="s">
        <v>538</v>
      </c>
      <c r="B160" s="5">
        <v>46171</v>
      </c>
      <c r="C160" s="6">
        <v>0.52083333333333304</v>
      </c>
      <c r="D160" s="1" t="s">
        <v>18</v>
      </c>
      <c r="E160" s="1" t="s">
        <v>20</v>
      </c>
      <c r="F160" s="1" t="s">
        <v>539</v>
      </c>
      <c r="G160" s="39" t="s">
        <v>315</v>
      </c>
      <c r="H160" s="1">
        <v>2</v>
      </c>
      <c r="I160" s="1">
        <v>1</v>
      </c>
      <c r="J160" s="39" t="s">
        <v>312</v>
      </c>
      <c r="K160" s="1">
        <v>1</v>
      </c>
      <c r="L160" s="1">
        <v>2</v>
      </c>
      <c r="S160" s="1" t="s">
        <v>8924</v>
      </c>
      <c r="T160" s="1">
        <v>1</v>
      </c>
      <c r="U160" s="19"/>
      <c r="V160" s="19"/>
      <c r="W160" s="218">
        <v>1</v>
      </c>
      <c r="X160" s="218">
        <v>1</v>
      </c>
      <c r="Y160" s="218">
        <v>1</v>
      </c>
    </row>
    <row r="161" spans="1:25" ht="14.25" customHeight="1" x14ac:dyDescent="0.3">
      <c r="A161" s="1" t="s">
        <v>540</v>
      </c>
      <c r="B161" s="5">
        <v>46178</v>
      </c>
      <c r="C161" s="6">
        <v>0.52083333333333304</v>
      </c>
      <c r="D161" s="1" t="s">
        <v>18</v>
      </c>
      <c r="E161" s="1" t="s">
        <v>20</v>
      </c>
      <c r="F161" s="1" t="s">
        <v>541</v>
      </c>
      <c r="G161" s="39" t="s">
        <v>315</v>
      </c>
      <c r="H161" s="1">
        <v>1</v>
      </c>
      <c r="I161" s="1">
        <v>2</v>
      </c>
      <c r="J161" s="39" t="s">
        <v>320</v>
      </c>
      <c r="K161" s="1">
        <v>2</v>
      </c>
      <c r="L161" s="1">
        <v>1</v>
      </c>
      <c r="S161" s="1" t="s">
        <v>8925</v>
      </c>
      <c r="T161" s="1">
        <v>1</v>
      </c>
      <c r="U161" s="19"/>
      <c r="V161" s="19"/>
      <c r="W161" s="218">
        <v>1</v>
      </c>
      <c r="X161" s="218">
        <v>1</v>
      </c>
      <c r="Y161" s="218">
        <v>1</v>
      </c>
    </row>
    <row r="162" spans="1:25" ht="14.25" customHeight="1" x14ac:dyDescent="0.3">
      <c r="A162" s="1" t="s">
        <v>542</v>
      </c>
      <c r="B162" s="5">
        <v>46208</v>
      </c>
      <c r="C162" s="6">
        <v>0.52083333333333304</v>
      </c>
      <c r="D162" s="1" t="s">
        <v>18</v>
      </c>
      <c r="E162" s="1" t="s">
        <v>20</v>
      </c>
      <c r="F162" s="1" t="s">
        <v>543</v>
      </c>
      <c r="G162" s="39" t="s">
        <v>323</v>
      </c>
      <c r="H162" s="1">
        <v>2</v>
      </c>
      <c r="I162" s="1">
        <v>1</v>
      </c>
      <c r="J162" s="39" t="s">
        <v>315</v>
      </c>
      <c r="K162" s="1">
        <v>1</v>
      </c>
      <c r="L162" s="1">
        <v>2</v>
      </c>
      <c r="S162" s="1" t="s">
        <v>8926</v>
      </c>
      <c r="T162" s="1">
        <v>1</v>
      </c>
      <c r="U162" s="19"/>
      <c r="V162" s="19"/>
      <c r="W162" s="218">
        <v>1</v>
      </c>
      <c r="X162" s="218">
        <v>1</v>
      </c>
      <c r="Y162" s="218">
        <v>1</v>
      </c>
    </row>
    <row r="163" spans="1:25" ht="14.25" customHeight="1" x14ac:dyDescent="0.3">
      <c r="A163" s="1" t="s">
        <v>544</v>
      </c>
      <c r="B163" s="5">
        <v>46214</v>
      </c>
      <c r="C163" s="6">
        <v>0.45833333333333298</v>
      </c>
      <c r="D163" s="1" t="s">
        <v>18</v>
      </c>
      <c r="E163" s="1" t="s">
        <v>20</v>
      </c>
      <c r="F163" s="1" t="s">
        <v>2865</v>
      </c>
      <c r="G163" s="39" t="s">
        <v>315</v>
      </c>
      <c r="H163" s="1">
        <v>3</v>
      </c>
      <c r="I163" s="1">
        <v>1</v>
      </c>
      <c r="J163" s="39" t="s">
        <v>2821</v>
      </c>
      <c r="K163" s="1">
        <v>1</v>
      </c>
      <c r="L163" s="1">
        <v>3</v>
      </c>
      <c r="S163" s="1" t="s">
        <v>8927</v>
      </c>
      <c r="T163" s="1">
        <v>1</v>
      </c>
      <c r="U163" s="19"/>
      <c r="V163" s="19"/>
      <c r="W163" s="218">
        <v>1</v>
      </c>
      <c r="X163" s="218">
        <v>1</v>
      </c>
      <c r="Y163" s="218">
        <v>1</v>
      </c>
    </row>
    <row r="164" spans="1:25" ht="14.25" customHeight="1" x14ac:dyDescent="0.3">
      <c r="A164" s="1" t="s">
        <v>545</v>
      </c>
      <c r="B164" s="5">
        <v>46220</v>
      </c>
      <c r="C164" s="6">
        <v>0.52083333333333304</v>
      </c>
      <c r="D164" s="1" t="s">
        <v>18</v>
      </c>
      <c r="E164" s="1" t="s">
        <v>20</v>
      </c>
      <c r="F164" s="1" t="s">
        <v>546</v>
      </c>
      <c r="G164" s="39" t="s">
        <v>318</v>
      </c>
      <c r="H164" s="1">
        <v>2</v>
      </c>
      <c r="I164" s="1">
        <v>2</v>
      </c>
      <c r="J164" s="39" t="s">
        <v>315</v>
      </c>
      <c r="K164" s="1">
        <v>2</v>
      </c>
      <c r="L164" s="1">
        <v>2</v>
      </c>
      <c r="S164" s="1" t="s">
        <v>8928</v>
      </c>
      <c r="T164" s="1">
        <v>1</v>
      </c>
      <c r="U164" s="19"/>
      <c r="V164" s="19"/>
      <c r="W164" s="218">
        <v>1</v>
      </c>
      <c r="X164" s="218">
        <v>1</v>
      </c>
      <c r="Y164" s="218">
        <v>1</v>
      </c>
    </row>
    <row r="165" spans="1:25" ht="14.25" customHeight="1" x14ac:dyDescent="0.3">
      <c r="A165" s="1" t="s">
        <v>547</v>
      </c>
      <c r="B165" s="5">
        <v>46228</v>
      </c>
      <c r="C165" s="6">
        <v>0.41666666666666702</v>
      </c>
      <c r="D165" s="1" t="s">
        <v>18</v>
      </c>
      <c r="E165" s="1" t="s">
        <v>20</v>
      </c>
      <c r="F165" s="1" t="s">
        <v>2879</v>
      </c>
      <c r="G165" s="39" t="s">
        <v>315</v>
      </c>
      <c r="H165" s="1">
        <v>3</v>
      </c>
      <c r="I165" s="1">
        <v>1</v>
      </c>
      <c r="J165" s="39" t="s">
        <v>2822</v>
      </c>
      <c r="K165" s="1">
        <v>1</v>
      </c>
      <c r="L165" s="1">
        <v>3</v>
      </c>
      <c r="S165" s="1" t="s">
        <v>8929</v>
      </c>
      <c r="T165" s="1">
        <v>1</v>
      </c>
      <c r="U165" s="19"/>
      <c r="V165" s="19"/>
      <c r="W165" s="218">
        <v>1</v>
      </c>
      <c r="X165" s="218">
        <v>1</v>
      </c>
      <c r="Y165" s="218">
        <v>1</v>
      </c>
    </row>
    <row r="166" spans="1:25" ht="14.25" customHeight="1" x14ac:dyDescent="0.3">
      <c r="A166" s="1" t="s">
        <v>548</v>
      </c>
      <c r="B166" s="5">
        <v>46144</v>
      </c>
      <c r="C166" s="6">
        <v>0.41666666666666702</v>
      </c>
      <c r="D166" s="1" t="s">
        <v>18</v>
      </c>
      <c r="E166" s="1" t="s">
        <v>20</v>
      </c>
      <c r="F166" s="1" t="s">
        <v>549</v>
      </c>
      <c r="G166" s="39" t="s">
        <v>320</v>
      </c>
      <c r="H166" s="1">
        <v>1</v>
      </c>
      <c r="I166" s="1">
        <v>0</v>
      </c>
      <c r="J166" s="39" t="s">
        <v>340</v>
      </c>
      <c r="K166" s="1">
        <v>0</v>
      </c>
      <c r="L166" s="1">
        <v>1</v>
      </c>
      <c r="S166" s="1" t="s">
        <v>8930</v>
      </c>
      <c r="T166">
        <v>1</v>
      </c>
      <c r="U166" s="19"/>
      <c r="V166" s="19"/>
      <c r="W166" s="218">
        <v>0</v>
      </c>
      <c r="X166" s="218">
        <v>0</v>
      </c>
      <c r="Y166" s="218">
        <v>0</v>
      </c>
    </row>
    <row r="167" spans="1:25" ht="14.25" customHeight="1" x14ac:dyDescent="0.3">
      <c r="A167" s="1" t="s">
        <v>550</v>
      </c>
      <c r="B167" s="5">
        <v>46149</v>
      </c>
      <c r="C167" s="6">
        <v>0.52083333333333304</v>
      </c>
      <c r="D167" s="1" t="s">
        <v>18</v>
      </c>
      <c r="E167" s="1" t="s">
        <v>20</v>
      </c>
      <c r="F167" s="1" t="s">
        <v>551</v>
      </c>
      <c r="G167" s="39" t="s">
        <v>340</v>
      </c>
      <c r="H167" s="1">
        <v>3</v>
      </c>
      <c r="I167" s="1">
        <v>1</v>
      </c>
      <c r="J167" s="39" t="s">
        <v>323</v>
      </c>
      <c r="K167" s="1">
        <v>1</v>
      </c>
      <c r="L167" s="1">
        <v>3</v>
      </c>
      <c r="S167" s="1" t="s">
        <v>8931</v>
      </c>
      <c r="T167" s="1">
        <v>1</v>
      </c>
      <c r="U167" s="19"/>
      <c r="V167" s="19"/>
      <c r="W167" s="218">
        <v>0</v>
      </c>
      <c r="X167" s="218">
        <v>1</v>
      </c>
      <c r="Y167" s="218">
        <v>1</v>
      </c>
    </row>
    <row r="168" spans="1:25" ht="14.25" customHeight="1" x14ac:dyDescent="0.3">
      <c r="A168" s="1" t="s">
        <v>552</v>
      </c>
      <c r="B168" s="5">
        <v>46159</v>
      </c>
      <c r="C168" s="6">
        <v>0.52083333333333304</v>
      </c>
      <c r="D168" s="1" t="s">
        <v>18</v>
      </c>
      <c r="E168" s="1" t="s">
        <v>20</v>
      </c>
      <c r="F168" s="1" t="s">
        <v>2880</v>
      </c>
      <c r="G168" s="39" t="s">
        <v>2822</v>
      </c>
      <c r="H168" s="1">
        <v>0</v>
      </c>
      <c r="I168" s="1">
        <v>0</v>
      </c>
      <c r="J168" s="39" t="s">
        <v>340</v>
      </c>
      <c r="K168" s="1">
        <v>0</v>
      </c>
      <c r="L168" s="1">
        <v>0</v>
      </c>
      <c r="S168" s="1" t="s">
        <v>8932</v>
      </c>
      <c r="T168" s="1">
        <v>1</v>
      </c>
      <c r="U168" s="19"/>
      <c r="V168" s="19"/>
      <c r="W168" s="218">
        <v>1</v>
      </c>
      <c r="X168" s="218">
        <v>1</v>
      </c>
      <c r="Y168" s="218">
        <v>1</v>
      </c>
    </row>
    <row r="169" spans="1:25" ht="14.25" customHeight="1" x14ac:dyDescent="0.3">
      <c r="A169" s="1" t="s">
        <v>553</v>
      </c>
      <c r="B169" s="5">
        <v>46165</v>
      </c>
      <c r="C169" s="6">
        <v>0.41666666666666702</v>
      </c>
      <c r="D169" s="1" t="s">
        <v>18</v>
      </c>
      <c r="E169" s="1" t="s">
        <v>20</v>
      </c>
      <c r="F169" s="1" t="s">
        <v>554</v>
      </c>
      <c r="G169" s="39" t="s">
        <v>312</v>
      </c>
      <c r="H169" s="1">
        <v>0</v>
      </c>
      <c r="I169" s="1">
        <v>1</v>
      </c>
      <c r="J169" s="39" t="s">
        <v>340</v>
      </c>
      <c r="K169" s="1">
        <v>1</v>
      </c>
      <c r="L169" s="1">
        <v>0</v>
      </c>
      <c r="S169" s="1" t="s">
        <v>8933</v>
      </c>
      <c r="T169" s="1">
        <v>1</v>
      </c>
      <c r="U169" s="19"/>
      <c r="V169" s="19"/>
      <c r="W169" s="218">
        <v>1</v>
      </c>
      <c r="X169" s="218">
        <v>1</v>
      </c>
      <c r="Y169" s="218">
        <v>1</v>
      </c>
    </row>
    <row r="170" spans="1:25" ht="14.25" customHeight="1" x14ac:dyDescent="0.3">
      <c r="A170" s="1" t="s">
        <v>555</v>
      </c>
      <c r="B170" s="5">
        <v>46169</v>
      </c>
      <c r="C170" s="6">
        <v>0.52083333333333304</v>
      </c>
      <c r="D170" s="1" t="s">
        <v>18</v>
      </c>
      <c r="E170" s="1" t="s">
        <v>20</v>
      </c>
      <c r="F170" s="1" t="s">
        <v>556</v>
      </c>
      <c r="G170" s="39" t="s">
        <v>318</v>
      </c>
      <c r="H170" s="1">
        <v>0</v>
      </c>
      <c r="I170" s="1">
        <v>1</v>
      </c>
      <c r="J170" s="39" t="s">
        <v>340</v>
      </c>
      <c r="K170" s="1">
        <v>1</v>
      </c>
      <c r="L170" s="1">
        <v>0</v>
      </c>
      <c r="S170" s="1" t="s">
        <v>8934</v>
      </c>
      <c r="T170" s="1">
        <v>1</v>
      </c>
      <c r="U170" s="19"/>
      <c r="V170" s="19"/>
      <c r="W170" s="218">
        <v>1</v>
      </c>
      <c r="X170" s="218">
        <v>1</v>
      </c>
      <c r="Y170" s="218">
        <v>1</v>
      </c>
    </row>
    <row r="171" spans="1:25" ht="14.25" customHeight="1" x14ac:dyDescent="0.3">
      <c r="A171" s="1" t="s">
        <v>557</v>
      </c>
      <c r="B171" s="5">
        <v>46173</v>
      </c>
      <c r="C171" s="6">
        <v>0.52083333333333304</v>
      </c>
      <c r="D171" s="1" t="s">
        <v>18</v>
      </c>
      <c r="E171" s="1" t="s">
        <v>20</v>
      </c>
      <c r="F171" s="1" t="s">
        <v>558</v>
      </c>
      <c r="G171" s="39" t="s">
        <v>340</v>
      </c>
      <c r="H171" s="1">
        <v>1</v>
      </c>
      <c r="I171" s="1">
        <v>1</v>
      </c>
      <c r="J171" s="39" t="s">
        <v>318</v>
      </c>
      <c r="K171" s="1">
        <v>1</v>
      </c>
      <c r="L171" s="1">
        <v>1</v>
      </c>
      <c r="S171" s="1" t="s">
        <v>8935</v>
      </c>
      <c r="T171" s="1">
        <v>1</v>
      </c>
      <c r="U171" s="19"/>
      <c r="V171" s="19"/>
      <c r="W171" s="218">
        <v>1</v>
      </c>
      <c r="X171" s="218">
        <v>1</v>
      </c>
      <c r="Y171" s="218">
        <v>1</v>
      </c>
    </row>
    <row r="172" spans="1:25" ht="14.25" customHeight="1" x14ac:dyDescent="0.3">
      <c r="A172" s="1" t="s">
        <v>559</v>
      </c>
      <c r="B172" s="5">
        <v>46185</v>
      </c>
      <c r="C172" s="6">
        <v>0.54166666666666696</v>
      </c>
      <c r="D172" s="1" t="s">
        <v>18</v>
      </c>
      <c r="E172" s="1" t="s">
        <v>20</v>
      </c>
      <c r="F172" s="1" t="s">
        <v>560</v>
      </c>
      <c r="G172" s="39" t="s">
        <v>320</v>
      </c>
      <c r="H172" s="1">
        <v>0</v>
      </c>
      <c r="I172" s="1">
        <v>5</v>
      </c>
      <c r="J172" s="39" t="s">
        <v>340</v>
      </c>
      <c r="K172" s="1">
        <v>5</v>
      </c>
      <c r="L172" s="1">
        <v>0</v>
      </c>
      <c r="S172" s="1" t="s">
        <v>8936</v>
      </c>
      <c r="T172" s="1">
        <v>1</v>
      </c>
      <c r="U172" s="19"/>
      <c r="V172" s="19"/>
      <c r="W172" s="218">
        <v>1</v>
      </c>
      <c r="X172" s="218">
        <v>1</v>
      </c>
      <c r="Y172" s="218">
        <v>1</v>
      </c>
    </row>
    <row r="173" spans="1:25" ht="14.25" customHeight="1" x14ac:dyDescent="0.3">
      <c r="A173" s="1" t="s">
        <v>561</v>
      </c>
      <c r="B173" s="5">
        <v>46199</v>
      </c>
      <c r="C173" s="6">
        <v>0.52083333333333304</v>
      </c>
      <c r="D173" s="1" t="s">
        <v>18</v>
      </c>
      <c r="E173" s="1" t="s">
        <v>20</v>
      </c>
      <c r="F173" s="1" t="s">
        <v>562</v>
      </c>
      <c r="G173" s="39" t="s">
        <v>340</v>
      </c>
      <c r="H173" s="1">
        <v>2</v>
      </c>
      <c r="I173" s="1">
        <v>1</v>
      </c>
      <c r="J173" s="39" t="s">
        <v>323</v>
      </c>
      <c r="K173" s="1">
        <v>1</v>
      </c>
      <c r="L173" s="1">
        <v>2</v>
      </c>
      <c r="S173" s="1" t="s">
        <v>8937</v>
      </c>
      <c r="T173">
        <v>1</v>
      </c>
      <c r="U173" s="19"/>
      <c r="V173" s="19"/>
      <c r="W173" s="218">
        <v>1</v>
      </c>
      <c r="X173" s="218">
        <v>1</v>
      </c>
      <c r="Y173" s="218">
        <v>1</v>
      </c>
    </row>
    <row r="174" spans="1:25" ht="14.25" customHeight="1" x14ac:dyDescent="0.3">
      <c r="A174" s="1" t="s">
        <v>563</v>
      </c>
      <c r="B174" s="5">
        <v>46137</v>
      </c>
      <c r="C174" s="6">
        <v>0.41666666666666702</v>
      </c>
      <c r="D174" s="1" t="s">
        <v>18</v>
      </c>
      <c r="E174" s="1" t="s">
        <v>23</v>
      </c>
      <c r="F174" s="1" t="s">
        <v>564</v>
      </c>
      <c r="G174" s="39" t="s">
        <v>210</v>
      </c>
      <c r="H174" s="1">
        <v>0</v>
      </c>
      <c r="I174" s="1">
        <v>1</v>
      </c>
      <c r="J174" s="39" t="s">
        <v>565</v>
      </c>
      <c r="K174" s="1">
        <v>1</v>
      </c>
      <c r="L174" s="1">
        <v>0</v>
      </c>
      <c r="S174" s="1" t="s">
        <v>8938</v>
      </c>
      <c r="T174" s="1">
        <v>1</v>
      </c>
      <c r="U174" s="19"/>
      <c r="V174" s="19"/>
      <c r="W174" s="218">
        <v>0</v>
      </c>
      <c r="X174" s="218">
        <v>1</v>
      </c>
      <c r="Y174" s="218">
        <v>1</v>
      </c>
    </row>
    <row r="175" spans="1:25" ht="14.25" customHeight="1" x14ac:dyDescent="0.3">
      <c r="A175" s="1" t="s">
        <v>566</v>
      </c>
      <c r="B175" s="5">
        <v>46145</v>
      </c>
      <c r="C175" s="6">
        <v>0.375</v>
      </c>
      <c r="D175" s="1" t="s">
        <v>18</v>
      </c>
      <c r="E175" s="1" t="s">
        <v>23</v>
      </c>
      <c r="F175" s="1" t="s">
        <v>567</v>
      </c>
      <c r="G175" s="39" t="s">
        <v>568</v>
      </c>
      <c r="H175" s="1">
        <v>2</v>
      </c>
      <c r="I175" s="1">
        <v>2</v>
      </c>
      <c r="J175" s="39" t="s">
        <v>210</v>
      </c>
      <c r="K175" s="1">
        <v>2</v>
      </c>
      <c r="L175" s="1">
        <v>2</v>
      </c>
      <c r="S175" s="1" t="s">
        <v>8939</v>
      </c>
      <c r="T175" s="1">
        <v>1</v>
      </c>
      <c r="U175" s="19"/>
      <c r="V175" s="19"/>
      <c r="W175" s="218">
        <v>0</v>
      </c>
      <c r="X175" s="218">
        <v>0</v>
      </c>
      <c r="Y175" s="218">
        <v>0</v>
      </c>
    </row>
    <row r="176" spans="1:25" ht="14.25" customHeight="1" x14ac:dyDescent="0.3">
      <c r="A176" s="1" t="s">
        <v>569</v>
      </c>
      <c r="B176" s="5">
        <v>46151</v>
      </c>
      <c r="C176" s="6">
        <v>0.41666666666666702</v>
      </c>
      <c r="D176" s="1" t="s">
        <v>18</v>
      </c>
      <c r="E176" s="1" t="s">
        <v>23</v>
      </c>
      <c r="F176" s="1" t="s">
        <v>570</v>
      </c>
      <c r="G176" s="39" t="s">
        <v>571</v>
      </c>
      <c r="H176" s="1">
        <v>4</v>
      </c>
      <c r="I176" s="1">
        <v>5</v>
      </c>
      <c r="J176" s="39" t="s">
        <v>210</v>
      </c>
      <c r="K176" s="1">
        <v>5</v>
      </c>
      <c r="L176" s="1">
        <v>4</v>
      </c>
      <c r="S176" s="1" t="s">
        <v>8940</v>
      </c>
      <c r="T176" s="1">
        <v>1</v>
      </c>
      <c r="U176" s="19"/>
      <c r="V176" s="19"/>
      <c r="W176" s="218">
        <v>1</v>
      </c>
      <c r="X176" s="218">
        <v>0</v>
      </c>
      <c r="Y176" s="218">
        <v>1</v>
      </c>
    </row>
    <row r="177" spans="1:25" ht="14.25" customHeight="1" x14ac:dyDescent="0.3">
      <c r="A177" s="1" t="s">
        <v>572</v>
      </c>
      <c r="B177" s="5">
        <v>46159</v>
      </c>
      <c r="C177" s="6">
        <v>0.4375</v>
      </c>
      <c r="D177" s="1" t="s">
        <v>18</v>
      </c>
      <c r="E177" s="1" t="s">
        <v>23</v>
      </c>
      <c r="F177" s="1" t="s">
        <v>573</v>
      </c>
      <c r="G177" s="39" t="s">
        <v>210</v>
      </c>
      <c r="H177" s="1">
        <v>6</v>
      </c>
      <c r="I177" s="1">
        <v>2</v>
      </c>
      <c r="J177" s="39" t="s">
        <v>574</v>
      </c>
      <c r="K177" s="1">
        <v>2</v>
      </c>
      <c r="L177" s="1">
        <v>6</v>
      </c>
      <c r="S177" s="1" t="s">
        <v>8941</v>
      </c>
      <c r="T177" s="1">
        <v>1</v>
      </c>
      <c r="U177" s="19"/>
      <c r="V177" s="19"/>
      <c r="W177" s="218">
        <v>1</v>
      </c>
      <c r="X177" s="218">
        <v>1</v>
      </c>
      <c r="Y177" s="218">
        <v>1</v>
      </c>
    </row>
    <row r="178" spans="1:25" ht="14.25" customHeight="1" x14ac:dyDescent="0.3">
      <c r="A178" s="1" t="s">
        <v>575</v>
      </c>
      <c r="B178" s="5">
        <v>46165</v>
      </c>
      <c r="C178" s="6">
        <v>0.41666666666666702</v>
      </c>
      <c r="D178" s="1" t="s">
        <v>18</v>
      </c>
      <c r="E178" s="1" t="s">
        <v>23</v>
      </c>
      <c r="F178" s="1" t="s">
        <v>576</v>
      </c>
      <c r="G178" s="39" t="s">
        <v>211</v>
      </c>
      <c r="H178" s="1">
        <v>1</v>
      </c>
      <c r="I178" s="1">
        <v>2</v>
      </c>
      <c r="J178" s="39" t="s">
        <v>210</v>
      </c>
      <c r="K178" s="1">
        <v>2</v>
      </c>
      <c r="L178" s="1">
        <v>1</v>
      </c>
      <c r="S178" s="1" t="s">
        <v>8942</v>
      </c>
      <c r="T178" s="1">
        <v>1</v>
      </c>
      <c r="U178" s="19"/>
      <c r="V178" s="19"/>
      <c r="W178" s="218">
        <v>1</v>
      </c>
      <c r="X178" s="218">
        <v>1</v>
      </c>
      <c r="Y178" s="218">
        <v>1</v>
      </c>
    </row>
    <row r="179" spans="1:25" ht="14.25" customHeight="1" x14ac:dyDescent="0.3">
      <c r="A179" s="1" t="s">
        <v>577</v>
      </c>
      <c r="B179" s="5">
        <v>46173</v>
      </c>
      <c r="C179" s="6">
        <v>0.375</v>
      </c>
      <c r="D179" s="1" t="s">
        <v>18</v>
      </c>
      <c r="E179" s="1" t="s">
        <v>23</v>
      </c>
      <c r="F179" s="1" t="s">
        <v>578</v>
      </c>
      <c r="G179" s="39" t="s">
        <v>210</v>
      </c>
      <c r="H179" s="1">
        <v>1</v>
      </c>
      <c r="I179" s="1">
        <v>2</v>
      </c>
      <c r="J179" s="39" t="s">
        <v>579</v>
      </c>
      <c r="K179" s="1">
        <v>2</v>
      </c>
      <c r="L179" s="1">
        <v>1</v>
      </c>
      <c r="S179" s="1" t="s">
        <v>8943</v>
      </c>
      <c r="T179" s="1">
        <v>1</v>
      </c>
      <c r="U179" s="19"/>
      <c r="V179" s="19"/>
      <c r="W179" s="218">
        <v>1</v>
      </c>
      <c r="X179" s="218">
        <v>1</v>
      </c>
      <c r="Y179" s="218">
        <v>1</v>
      </c>
    </row>
    <row r="180" spans="1:25" ht="14.25" customHeight="1" x14ac:dyDescent="0.3">
      <c r="A180" s="1" t="s">
        <v>580</v>
      </c>
      <c r="B180" s="5">
        <v>46179</v>
      </c>
      <c r="C180" s="6">
        <v>0.33333333333333298</v>
      </c>
      <c r="D180" s="1" t="s">
        <v>18</v>
      </c>
      <c r="E180" s="1" t="s">
        <v>23</v>
      </c>
      <c r="F180" s="1" t="s">
        <v>581</v>
      </c>
      <c r="G180" s="39" t="s">
        <v>582</v>
      </c>
      <c r="H180" s="1">
        <v>0</v>
      </c>
      <c r="I180" s="1">
        <v>4</v>
      </c>
      <c r="J180" s="39" t="s">
        <v>210</v>
      </c>
      <c r="K180" s="1">
        <v>4</v>
      </c>
      <c r="L180" s="1">
        <v>0</v>
      </c>
      <c r="S180" s="1" t="s">
        <v>8944</v>
      </c>
      <c r="T180" s="1">
        <v>1</v>
      </c>
      <c r="U180" s="19"/>
      <c r="V180" s="19"/>
      <c r="W180" s="218">
        <v>1</v>
      </c>
      <c r="X180" s="218">
        <v>1</v>
      </c>
      <c r="Y180" s="218">
        <v>1</v>
      </c>
    </row>
    <row r="181" spans="1:25" ht="14.25" customHeight="1" x14ac:dyDescent="0.3">
      <c r="A181" s="1" t="s">
        <v>583</v>
      </c>
      <c r="B181" s="5">
        <v>46187</v>
      </c>
      <c r="C181" s="6">
        <v>0.4375</v>
      </c>
      <c r="D181" s="1" t="s">
        <v>18</v>
      </c>
      <c r="E181" s="1" t="s">
        <v>23</v>
      </c>
      <c r="F181" s="1" t="s">
        <v>584</v>
      </c>
      <c r="G181" s="39" t="s">
        <v>210</v>
      </c>
      <c r="H181" s="1">
        <v>1</v>
      </c>
      <c r="I181" s="1">
        <v>3</v>
      </c>
      <c r="J181" s="39" t="s">
        <v>585</v>
      </c>
      <c r="K181" s="1">
        <v>3</v>
      </c>
      <c r="L181" s="1">
        <v>1</v>
      </c>
      <c r="S181" s="1" t="s">
        <v>8945</v>
      </c>
      <c r="T181" s="1">
        <v>1</v>
      </c>
      <c r="U181" s="19"/>
      <c r="V181" s="19"/>
      <c r="W181" s="218">
        <v>1</v>
      </c>
      <c r="X181" s="218">
        <v>1</v>
      </c>
      <c r="Y181" s="218">
        <v>1</v>
      </c>
    </row>
    <row r="182" spans="1:25" ht="14.25" customHeight="1" x14ac:dyDescent="0.3">
      <c r="A182" s="1" t="s">
        <v>586</v>
      </c>
      <c r="B182" s="5">
        <v>46207</v>
      </c>
      <c r="C182" s="6">
        <v>0.29166666666666702</v>
      </c>
      <c r="D182" s="1" t="s">
        <v>18</v>
      </c>
      <c r="E182" s="1" t="s">
        <v>23</v>
      </c>
      <c r="F182" s="1" t="s">
        <v>2969</v>
      </c>
      <c r="G182" s="39" t="s">
        <v>210</v>
      </c>
      <c r="H182" s="1">
        <v>8</v>
      </c>
      <c r="I182" s="1">
        <v>0</v>
      </c>
      <c r="J182" s="39" t="s">
        <v>2946</v>
      </c>
      <c r="K182" s="1">
        <v>0</v>
      </c>
      <c r="L182" s="1">
        <v>8</v>
      </c>
      <c r="S182" s="1" t="s">
        <v>8946</v>
      </c>
      <c r="T182" s="1">
        <v>1</v>
      </c>
      <c r="U182" s="19"/>
      <c r="V182" s="19"/>
      <c r="W182" s="218">
        <v>1</v>
      </c>
      <c r="X182" s="218">
        <v>1</v>
      </c>
      <c r="Y182" s="218">
        <v>1</v>
      </c>
    </row>
    <row r="183" spans="1:25" ht="14.25" customHeight="1" x14ac:dyDescent="0.3">
      <c r="A183" s="1" t="s">
        <v>587</v>
      </c>
      <c r="B183" s="5">
        <v>46210</v>
      </c>
      <c r="C183" s="6">
        <v>0.4375</v>
      </c>
      <c r="D183" s="1" t="s">
        <v>18</v>
      </c>
      <c r="E183" s="1" t="s">
        <v>23</v>
      </c>
      <c r="F183" s="1" t="s">
        <v>588</v>
      </c>
      <c r="G183" s="39" t="s">
        <v>565</v>
      </c>
      <c r="H183" s="1">
        <v>4</v>
      </c>
      <c r="I183" s="1">
        <v>2</v>
      </c>
      <c r="J183" s="39" t="s">
        <v>210</v>
      </c>
      <c r="K183" s="1">
        <v>2</v>
      </c>
      <c r="L183" s="1">
        <v>4</v>
      </c>
      <c r="S183" s="1" t="s">
        <v>8947</v>
      </c>
      <c r="T183" s="1">
        <v>1</v>
      </c>
      <c r="U183" s="19"/>
      <c r="V183" s="19"/>
      <c r="W183" s="218">
        <v>1</v>
      </c>
      <c r="X183" s="218">
        <v>1</v>
      </c>
      <c r="Y183" s="218">
        <v>1</v>
      </c>
    </row>
    <row r="184" spans="1:25" ht="14.25" customHeight="1" x14ac:dyDescent="0.3">
      <c r="A184" s="1" t="s">
        <v>589</v>
      </c>
      <c r="B184" s="5">
        <v>46215</v>
      </c>
      <c r="C184" s="6">
        <v>0.4375</v>
      </c>
      <c r="D184" s="1" t="s">
        <v>18</v>
      </c>
      <c r="E184" s="1" t="s">
        <v>23</v>
      </c>
      <c r="F184" s="1" t="s">
        <v>590</v>
      </c>
      <c r="G184" s="39" t="s">
        <v>210</v>
      </c>
      <c r="H184" s="1">
        <v>3</v>
      </c>
      <c r="I184" s="1">
        <v>2</v>
      </c>
      <c r="J184" s="39" t="s">
        <v>568</v>
      </c>
      <c r="K184" s="1">
        <v>2</v>
      </c>
      <c r="L184" s="1">
        <v>3</v>
      </c>
      <c r="S184" s="1" t="s">
        <v>8948</v>
      </c>
      <c r="T184" s="1">
        <v>1</v>
      </c>
      <c r="U184" s="19"/>
      <c r="V184" s="19"/>
      <c r="W184" s="218">
        <v>1</v>
      </c>
      <c r="X184" s="218">
        <v>1</v>
      </c>
      <c r="Y184" s="218">
        <v>1</v>
      </c>
    </row>
    <row r="185" spans="1:25" ht="14.25" customHeight="1" x14ac:dyDescent="0.3">
      <c r="A185" s="1" t="s">
        <v>591</v>
      </c>
      <c r="B185" s="5">
        <v>46229</v>
      </c>
      <c r="C185" s="6">
        <v>0.4375</v>
      </c>
      <c r="D185" s="1" t="s">
        <v>18</v>
      </c>
      <c r="E185" s="1" t="s">
        <v>23</v>
      </c>
      <c r="F185" s="1" t="s">
        <v>592</v>
      </c>
      <c r="G185" s="39" t="s">
        <v>210</v>
      </c>
      <c r="H185" s="1">
        <v>2</v>
      </c>
      <c r="I185" s="1">
        <v>3</v>
      </c>
      <c r="J185" s="39" t="s">
        <v>571</v>
      </c>
      <c r="K185" s="1">
        <v>3</v>
      </c>
      <c r="L185" s="1">
        <v>2</v>
      </c>
      <c r="S185" s="1" t="s">
        <v>8949</v>
      </c>
      <c r="T185" s="1">
        <v>1</v>
      </c>
      <c r="U185" s="19"/>
      <c r="V185" s="19"/>
      <c r="W185" s="218">
        <v>1</v>
      </c>
      <c r="X185" s="218">
        <v>1</v>
      </c>
      <c r="Y185" s="218">
        <v>1</v>
      </c>
    </row>
    <row r="186" spans="1:25" ht="14.25" customHeight="1" x14ac:dyDescent="0.3">
      <c r="A186" s="1" t="s">
        <v>593</v>
      </c>
      <c r="B186" s="5">
        <v>46137</v>
      </c>
      <c r="C186" s="6">
        <v>0.41666666666666702</v>
      </c>
      <c r="D186" s="1" t="s">
        <v>18</v>
      </c>
      <c r="E186" s="1" t="s">
        <v>23</v>
      </c>
      <c r="F186" s="1" t="s">
        <v>594</v>
      </c>
      <c r="G186" s="39" t="s">
        <v>585</v>
      </c>
      <c r="H186" s="1">
        <v>4</v>
      </c>
      <c r="I186" s="1">
        <v>4</v>
      </c>
      <c r="J186" s="39" t="s">
        <v>568</v>
      </c>
      <c r="K186" s="1">
        <v>4</v>
      </c>
      <c r="L186" s="1">
        <v>4</v>
      </c>
      <c r="S186" s="1" t="s">
        <v>8950</v>
      </c>
      <c r="T186" s="1">
        <v>1</v>
      </c>
      <c r="U186" s="19"/>
      <c r="V186" s="19"/>
      <c r="W186" s="218">
        <v>0</v>
      </c>
      <c r="X186" s="218">
        <v>0</v>
      </c>
      <c r="Y186" s="218">
        <v>0</v>
      </c>
    </row>
    <row r="187" spans="1:25" ht="14.25" customHeight="1" x14ac:dyDescent="0.3">
      <c r="A187" s="1" t="s">
        <v>595</v>
      </c>
      <c r="B187" s="5">
        <v>46150</v>
      </c>
      <c r="C187" s="6">
        <v>0.52083333333333304</v>
      </c>
      <c r="D187" s="1" t="s">
        <v>18</v>
      </c>
      <c r="E187" s="1" t="s">
        <v>23</v>
      </c>
      <c r="F187" s="1" t="s">
        <v>596</v>
      </c>
      <c r="G187" s="39" t="s">
        <v>568</v>
      </c>
      <c r="H187" s="1">
        <v>2</v>
      </c>
      <c r="I187" s="1">
        <v>1</v>
      </c>
      <c r="J187" s="39" t="s">
        <v>565</v>
      </c>
      <c r="K187" s="1">
        <v>1</v>
      </c>
      <c r="L187" s="1">
        <v>2</v>
      </c>
      <c r="S187" s="1" t="s">
        <v>8951</v>
      </c>
      <c r="T187" s="1">
        <v>1</v>
      </c>
      <c r="U187" s="19"/>
      <c r="V187" s="19"/>
      <c r="W187" s="218">
        <v>0</v>
      </c>
      <c r="X187" s="218">
        <v>1</v>
      </c>
      <c r="Y187" s="218">
        <v>1</v>
      </c>
    </row>
    <row r="188" spans="1:25" ht="14.25" customHeight="1" x14ac:dyDescent="0.3">
      <c r="A188" s="1" t="s">
        <v>597</v>
      </c>
      <c r="B188" s="5">
        <v>46160</v>
      </c>
      <c r="C188" s="6">
        <v>0.52083333333333304</v>
      </c>
      <c r="D188" s="1" t="s">
        <v>18</v>
      </c>
      <c r="E188" s="1" t="s">
        <v>23</v>
      </c>
      <c r="F188" s="1" t="s">
        <v>598</v>
      </c>
      <c r="G188" s="39" t="s">
        <v>582</v>
      </c>
      <c r="H188" s="1">
        <v>3</v>
      </c>
      <c r="I188" s="1">
        <v>2</v>
      </c>
      <c r="J188" s="39" t="s">
        <v>568</v>
      </c>
      <c r="K188" s="1">
        <v>2</v>
      </c>
      <c r="L188" s="1">
        <v>3</v>
      </c>
      <c r="S188" s="1" t="s">
        <v>8952</v>
      </c>
      <c r="T188" s="1">
        <v>1</v>
      </c>
      <c r="U188" s="19"/>
      <c r="V188" s="19"/>
      <c r="W188" s="218">
        <v>1</v>
      </c>
      <c r="X188" s="218">
        <v>1</v>
      </c>
      <c r="Y188" s="218">
        <v>1</v>
      </c>
    </row>
    <row r="189" spans="1:25" ht="14.25" customHeight="1" x14ac:dyDescent="0.3">
      <c r="A189" s="1" t="s">
        <v>599</v>
      </c>
      <c r="B189" s="5">
        <v>46163</v>
      </c>
      <c r="C189" s="6">
        <v>0.52083333333333304</v>
      </c>
      <c r="D189" s="1" t="s">
        <v>18</v>
      </c>
      <c r="E189" s="1" t="s">
        <v>23</v>
      </c>
      <c r="F189" s="1" t="s">
        <v>2970</v>
      </c>
      <c r="G189" s="39" t="s">
        <v>2946</v>
      </c>
      <c r="H189" s="1">
        <v>2</v>
      </c>
      <c r="I189" s="1">
        <v>1</v>
      </c>
      <c r="J189" s="39" t="s">
        <v>568</v>
      </c>
      <c r="K189" s="1">
        <v>1</v>
      </c>
      <c r="L189" s="1">
        <v>2</v>
      </c>
      <c r="S189" s="1" t="s">
        <v>8953</v>
      </c>
      <c r="T189" s="1">
        <v>1</v>
      </c>
      <c r="U189" s="19"/>
      <c r="V189" s="19"/>
      <c r="W189" s="218">
        <v>1</v>
      </c>
      <c r="X189" s="218">
        <v>1</v>
      </c>
      <c r="Y189" s="218">
        <v>1</v>
      </c>
    </row>
    <row r="190" spans="1:25" ht="14.25" customHeight="1" x14ac:dyDescent="0.3">
      <c r="A190" s="1" t="s">
        <v>600</v>
      </c>
      <c r="B190" s="5">
        <v>46169</v>
      </c>
      <c r="C190" s="6">
        <v>0.54166666666666696</v>
      </c>
      <c r="D190" s="1" t="s">
        <v>18</v>
      </c>
      <c r="E190" s="1" t="s">
        <v>23</v>
      </c>
      <c r="F190" s="1" t="s">
        <v>601</v>
      </c>
      <c r="G190" s="39" t="s">
        <v>568</v>
      </c>
      <c r="H190" s="1">
        <v>2</v>
      </c>
      <c r="I190" s="1">
        <v>2</v>
      </c>
      <c r="J190" s="39" t="s">
        <v>571</v>
      </c>
      <c r="K190" s="1">
        <v>2</v>
      </c>
      <c r="L190" s="1">
        <v>2</v>
      </c>
      <c r="S190" s="1" t="s">
        <v>8954</v>
      </c>
      <c r="T190" s="1">
        <v>1</v>
      </c>
      <c r="U190" s="19"/>
      <c r="V190" s="19"/>
      <c r="W190" s="218">
        <v>1</v>
      </c>
      <c r="X190" s="218">
        <v>1</v>
      </c>
      <c r="Y190" s="218">
        <v>1</v>
      </c>
    </row>
    <row r="191" spans="1:25" ht="14.25" customHeight="1" x14ac:dyDescent="0.3">
      <c r="A191" s="1" t="s">
        <v>602</v>
      </c>
      <c r="B191" s="5">
        <v>46178</v>
      </c>
      <c r="C191" s="6">
        <v>0.52083333333333304</v>
      </c>
      <c r="D191" s="1" t="s">
        <v>18</v>
      </c>
      <c r="E191" s="1" t="s">
        <v>23</v>
      </c>
      <c r="F191" s="1" t="s">
        <v>603</v>
      </c>
      <c r="G191" s="39" t="s">
        <v>211</v>
      </c>
      <c r="H191" s="1">
        <v>1</v>
      </c>
      <c r="I191" s="1">
        <v>5</v>
      </c>
      <c r="J191" s="39" t="s">
        <v>568</v>
      </c>
      <c r="K191" s="1">
        <v>5</v>
      </c>
      <c r="L191" s="1">
        <v>1</v>
      </c>
      <c r="S191" s="1" t="s">
        <v>8955</v>
      </c>
      <c r="T191" s="1">
        <v>1</v>
      </c>
      <c r="U191" s="19"/>
      <c r="V191" s="19"/>
      <c r="W191" s="218">
        <v>1</v>
      </c>
      <c r="X191" s="218">
        <v>1</v>
      </c>
      <c r="Y191" s="218">
        <v>1</v>
      </c>
    </row>
    <row r="192" spans="1:25" ht="14.25" customHeight="1" x14ac:dyDescent="0.3">
      <c r="A192" s="1" t="s">
        <v>604</v>
      </c>
      <c r="B192" s="5">
        <v>46187</v>
      </c>
      <c r="C192" s="6">
        <v>0.52083333333333304</v>
      </c>
      <c r="D192" s="1" t="s">
        <v>18</v>
      </c>
      <c r="E192" s="1" t="s">
        <v>23</v>
      </c>
      <c r="F192" s="1" t="s">
        <v>605</v>
      </c>
      <c r="G192" s="39" t="s">
        <v>568</v>
      </c>
      <c r="H192" s="1">
        <v>3</v>
      </c>
      <c r="I192" s="1">
        <v>4</v>
      </c>
      <c r="J192" s="39" t="s">
        <v>574</v>
      </c>
      <c r="K192" s="1">
        <v>4</v>
      </c>
      <c r="L192" s="1">
        <v>3</v>
      </c>
      <c r="S192" s="1" t="s">
        <v>8956</v>
      </c>
      <c r="T192" s="1">
        <v>1</v>
      </c>
      <c r="U192" s="19"/>
      <c r="V192" s="19"/>
      <c r="W192" s="218">
        <v>1</v>
      </c>
      <c r="X192" s="218">
        <v>1</v>
      </c>
      <c r="Y192" s="218">
        <v>1</v>
      </c>
    </row>
    <row r="193" spans="1:25" ht="14.25" customHeight="1" x14ac:dyDescent="0.3">
      <c r="A193" s="1" t="s">
        <v>606</v>
      </c>
      <c r="B193" s="5">
        <v>46200</v>
      </c>
      <c r="C193" s="6">
        <v>0.45833333333333298</v>
      </c>
      <c r="D193" s="1" t="s">
        <v>18</v>
      </c>
      <c r="E193" s="1" t="s">
        <v>23</v>
      </c>
      <c r="F193" s="1" t="s">
        <v>607</v>
      </c>
      <c r="G193" s="39" t="s">
        <v>579</v>
      </c>
      <c r="H193" s="1">
        <v>0</v>
      </c>
      <c r="I193" s="1">
        <v>3</v>
      </c>
      <c r="J193" s="39" t="s">
        <v>568</v>
      </c>
      <c r="K193" s="1">
        <v>3</v>
      </c>
      <c r="L193" s="1">
        <v>0</v>
      </c>
      <c r="S193" s="1" t="s">
        <v>8957</v>
      </c>
      <c r="T193" s="1">
        <v>1</v>
      </c>
      <c r="U193" s="19"/>
      <c r="V193" s="19"/>
      <c r="W193" s="218">
        <v>1</v>
      </c>
      <c r="X193" s="218">
        <v>1</v>
      </c>
      <c r="Y193" s="218">
        <v>1</v>
      </c>
    </row>
    <row r="194" spans="1:25" ht="14.25" customHeight="1" x14ac:dyDescent="0.3">
      <c r="A194" s="1" t="s">
        <v>608</v>
      </c>
      <c r="B194" s="5">
        <v>46208</v>
      </c>
      <c r="C194" s="6">
        <v>0.52083333333333304</v>
      </c>
      <c r="D194" s="1" t="s">
        <v>18</v>
      </c>
      <c r="E194" s="1" t="s">
        <v>23</v>
      </c>
      <c r="F194" s="1" t="s">
        <v>609</v>
      </c>
      <c r="G194" s="39" t="s">
        <v>568</v>
      </c>
      <c r="H194" s="1">
        <v>3</v>
      </c>
      <c r="I194" s="1">
        <v>1</v>
      </c>
      <c r="J194" s="39" t="s">
        <v>585</v>
      </c>
      <c r="K194" s="1">
        <v>1</v>
      </c>
      <c r="L194" s="1">
        <v>3</v>
      </c>
      <c r="S194" s="1" t="s">
        <v>8958</v>
      </c>
      <c r="T194" s="1">
        <v>1</v>
      </c>
      <c r="U194" s="19"/>
      <c r="V194" s="19"/>
      <c r="W194" s="218">
        <v>1</v>
      </c>
      <c r="X194" s="218">
        <v>1</v>
      </c>
      <c r="Y194" s="218">
        <v>1</v>
      </c>
    </row>
    <row r="195" spans="1:25" ht="14.25" customHeight="1" x14ac:dyDescent="0.3">
      <c r="A195" s="1" t="s">
        <v>610</v>
      </c>
      <c r="B195" s="5">
        <v>46222</v>
      </c>
      <c r="C195" s="6">
        <v>0.52083333333333304</v>
      </c>
      <c r="D195" s="1" t="s">
        <v>18</v>
      </c>
      <c r="E195" s="1" t="s">
        <v>23</v>
      </c>
      <c r="F195" s="1" t="s">
        <v>611</v>
      </c>
      <c r="G195" s="39" t="s">
        <v>568</v>
      </c>
      <c r="H195" s="1">
        <v>6</v>
      </c>
      <c r="I195" s="1">
        <v>2</v>
      </c>
      <c r="J195" s="39" t="s">
        <v>582</v>
      </c>
      <c r="K195" s="1">
        <v>2</v>
      </c>
      <c r="L195" s="1">
        <v>6</v>
      </c>
      <c r="S195" s="1" t="s">
        <v>8959</v>
      </c>
      <c r="T195" s="1">
        <v>1</v>
      </c>
      <c r="U195" s="19"/>
      <c r="V195" s="19"/>
      <c r="W195" s="218">
        <v>1</v>
      </c>
      <c r="X195" s="218">
        <v>1</v>
      </c>
      <c r="Y195" s="218">
        <v>1</v>
      </c>
    </row>
    <row r="196" spans="1:25" ht="14.25" customHeight="1" x14ac:dyDescent="0.3">
      <c r="A196" s="1" t="s">
        <v>612</v>
      </c>
      <c r="B196" s="5">
        <v>46228</v>
      </c>
      <c r="C196" s="6">
        <v>0.4375</v>
      </c>
      <c r="D196" s="1" t="s">
        <v>18</v>
      </c>
      <c r="E196" s="1" t="s">
        <v>23</v>
      </c>
      <c r="F196" s="1" t="s">
        <v>613</v>
      </c>
      <c r="G196" s="39" t="s">
        <v>565</v>
      </c>
      <c r="H196" s="1">
        <v>2</v>
      </c>
      <c r="I196" s="1">
        <v>0</v>
      </c>
      <c r="J196" s="39" t="s">
        <v>568</v>
      </c>
      <c r="K196" s="1">
        <v>0</v>
      </c>
      <c r="L196" s="1">
        <v>2</v>
      </c>
      <c r="S196" s="1" t="s">
        <v>8960</v>
      </c>
      <c r="T196" s="1">
        <v>1</v>
      </c>
      <c r="U196" s="19"/>
      <c r="V196" s="19"/>
      <c r="W196" s="218">
        <v>1</v>
      </c>
      <c r="X196" s="218">
        <v>1</v>
      </c>
      <c r="Y196" s="218">
        <v>1</v>
      </c>
    </row>
    <row r="197" spans="1:25" ht="14.25" customHeight="1" x14ac:dyDescent="0.3">
      <c r="A197" s="1" t="s">
        <v>614</v>
      </c>
      <c r="B197" s="5">
        <v>46237</v>
      </c>
      <c r="C197" s="6">
        <v>0.52083333333333304</v>
      </c>
      <c r="D197" s="1" t="s">
        <v>18</v>
      </c>
      <c r="E197" s="1" t="s">
        <v>23</v>
      </c>
      <c r="F197" s="1" t="s">
        <v>2971</v>
      </c>
      <c r="G197" s="39" t="s">
        <v>568</v>
      </c>
      <c r="H197" s="1">
        <v>5</v>
      </c>
      <c r="I197" s="1">
        <v>0</v>
      </c>
      <c r="J197" s="39" t="s">
        <v>2946</v>
      </c>
      <c r="K197" s="1">
        <v>0</v>
      </c>
      <c r="L197" s="1">
        <v>5</v>
      </c>
      <c r="S197" s="1" t="s">
        <v>8961</v>
      </c>
      <c r="T197" s="1">
        <v>1</v>
      </c>
      <c r="U197" s="19"/>
      <c r="V197" s="19"/>
      <c r="W197" s="218">
        <v>1</v>
      </c>
      <c r="X197" s="218">
        <v>1</v>
      </c>
      <c r="Y197" s="218">
        <v>1</v>
      </c>
    </row>
    <row r="198" spans="1:25" ht="14.25" customHeight="1" x14ac:dyDescent="0.3">
      <c r="A198" s="1" t="s">
        <v>615</v>
      </c>
      <c r="B198" s="5">
        <v>46146</v>
      </c>
      <c r="C198" s="6">
        <v>0.52083333333333304</v>
      </c>
      <c r="D198" s="1" t="s">
        <v>18</v>
      </c>
      <c r="E198" s="1" t="s">
        <v>23</v>
      </c>
      <c r="F198" s="1" t="s">
        <v>616</v>
      </c>
      <c r="G198" s="39" t="s">
        <v>565</v>
      </c>
      <c r="H198" s="1">
        <v>1</v>
      </c>
      <c r="I198" s="1">
        <v>2</v>
      </c>
      <c r="J198" s="39" t="s">
        <v>574</v>
      </c>
      <c r="K198" s="1">
        <v>2</v>
      </c>
      <c r="L198" s="1">
        <v>1</v>
      </c>
      <c r="S198" s="1" t="s">
        <v>8962</v>
      </c>
      <c r="T198" s="1">
        <v>1</v>
      </c>
      <c r="U198" s="19"/>
      <c r="V198" s="19"/>
      <c r="W198" s="218">
        <v>1</v>
      </c>
      <c r="X198" s="218">
        <v>0</v>
      </c>
      <c r="Y198" s="218">
        <v>1</v>
      </c>
    </row>
    <row r="199" spans="1:25" ht="14.25" customHeight="1" x14ac:dyDescent="0.3">
      <c r="A199" s="1" t="s">
        <v>617</v>
      </c>
      <c r="B199" s="5">
        <v>46151</v>
      </c>
      <c r="C199" s="6">
        <v>0.41666666666666702</v>
      </c>
      <c r="D199" s="1" t="s">
        <v>18</v>
      </c>
      <c r="E199" s="1" t="s">
        <v>23</v>
      </c>
      <c r="F199" s="1" t="s">
        <v>2972</v>
      </c>
      <c r="G199" s="39" t="s">
        <v>574</v>
      </c>
      <c r="H199" s="1">
        <v>0</v>
      </c>
      <c r="I199" s="1">
        <v>2</v>
      </c>
      <c r="J199" s="39" t="s">
        <v>2946</v>
      </c>
      <c r="K199" s="1">
        <v>2</v>
      </c>
      <c r="L199" s="1">
        <v>0</v>
      </c>
      <c r="S199" s="1" t="s">
        <v>8963</v>
      </c>
      <c r="T199" s="1">
        <v>1</v>
      </c>
      <c r="U199" s="19"/>
      <c r="V199" s="19"/>
      <c r="W199" s="218">
        <v>0</v>
      </c>
      <c r="X199" s="218">
        <v>1</v>
      </c>
      <c r="Y199" s="218">
        <v>1</v>
      </c>
    </row>
    <row r="200" spans="1:25" ht="14.25" customHeight="1" x14ac:dyDescent="0.3">
      <c r="A200" s="1" t="s">
        <v>618</v>
      </c>
      <c r="B200" s="5">
        <v>46165</v>
      </c>
      <c r="C200" s="6">
        <v>0.41666666666666702</v>
      </c>
      <c r="D200" s="1" t="s">
        <v>18</v>
      </c>
      <c r="E200" s="1" t="s">
        <v>23</v>
      </c>
      <c r="F200" s="1" t="s">
        <v>619</v>
      </c>
      <c r="G200" s="39" t="s">
        <v>574</v>
      </c>
      <c r="H200" s="1">
        <v>4</v>
      </c>
      <c r="I200" s="1">
        <v>0</v>
      </c>
      <c r="J200" s="39" t="s">
        <v>582</v>
      </c>
      <c r="K200" s="1">
        <v>0</v>
      </c>
      <c r="L200" s="1">
        <v>4</v>
      </c>
      <c r="S200" s="1" t="s">
        <v>8964</v>
      </c>
      <c r="T200" s="1">
        <v>1</v>
      </c>
      <c r="U200" s="19"/>
      <c r="V200" s="19"/>
      <c r="W200" s="218">
        <v>1</v>
      </c>
      <c r="X200" s="218">
        <v>1</v>
      </c>
      <c r="Y200" s="218">
        <v>1</v>
      </c>
    </row>
    <row r="201" spans="1:25" ht="14.25" customHeight="1" x14ac:dyDescent="0.3">
      <c r="A201" s="1" t="s">
        <v>620</v>
      </c>
      <c r="B201" s="5">
        <v>46171</v>
      </c>
      <c r="C201" s="6">
        <v>0.52083333333333304</v>
      </c>
      <c r="D201" s="1" t="s">
        <v>18</v>
      </c>
      <c r="E201" s="1" t="s">
        <v>23</v>
      </c>
      <c r="F201" s="1" t="s">
        <v>621</v>
      </c>
      <c r="G201" s="39" t="s">
        <v>585</v>
      </c>
      <c r="H201" s="1">
        <v>1</v>
      </c>
      <c r="I201" s="1">
        <v>2</v>
      </c>
      <c r="J201" s="39" t="s">
        <v>574</v>
      </c>
      <c r="K201" s="1">
        <v>2</v>
      </c>
      <c r="L201" s="1">
        <v>1</v>
      </c>
      <c r="S201" s="1" t="s">
        <v>8965</v>
      </c>
      <c r="T201" s="1">
        <v>1</v>
      </c>
      <c r="U201" s="19"/>
      <c r="V201" s="19"/>
      <c r="W201" s="218">
        <v>1</v>
      </c>
      <c r="X201" s="218">
        <v>1</v>
      </c>
      <c r="Y201" s="218">
        <v>1</v>
      </c>
    </row>
    <row r="202" spans="1:25" ht="14.25" customHeight="1" x14ac:dyDescent="0.3">
      <c r="A202" s="1" t="s">
        <v>622</v>
      </c>
      <c r="B202" s="5">
        <v>46179</v>
      </c>
      <c r="C202" s="6">
        <v>0.33333333333333298</v>
      </c>
      <c r="D202" s="1" t="s">
        <v>18</v>
      </c>
      <c r="E202" s="1" t="s">
        <v>23</v>
      </c>
      <c r="F202" s="1" t="s">
        <v>623</v>
      </c>
      <c r="G202" s="39" t="s">
        <v>574</v>
      </c>
      <c r="H202" s="1">
        <v>0</v>
      </c>
      <c r="I202" s="1">
        <v>1</v>
      </c>
      <c r="J202" s="39" t="s">
        <v>571</v>
      </c>
      <c r="K202" s="1">
        <v>1</v>
      </c>
      <c r="L202" s="1">
        <v>0</v>
      </c>
      <c r="S202" s="1" t="s">
        <v>8966</v>
      </c>
      <c r="T202" s="1">
        <v>1</v>
      </c>
      <c r="U202" s="19"/>
      <c r="V202" s="19"/>
      <c r="W202" s="218">
        <v>1</v>
      </c>
      <c r="X202" s="218">
        <v>1</v>
      </c>
      <c r="Y202" s="218">
        <v>1</v>
      </c>
    </row>
    <row r="203" spans="1:25" ht="14.25" customHeight="1" x14ac:dyDescent="0.3">
      <c r="A203" s="1" t="s">
        <v>624</v>
      </c>
      <c r="B203" s="5">
        <v>46200</v>
      </c>
      <c r="C203" s="6">
        <v>0.45833333333333298</v>
      </c>
      <c r="D203" s="1" t="s">
        <v>18</v>
      </c>
      <c r="E203" s="1" t="s">
        <v>23</v>
      </c>
      <c r="F203" s="1" t="s">
        <v>625</v>
      </c>
      <c r="G203" s="39" t="s">
        <v>574</v>
      </c>
      <c r="H203" s="1">
        <v>7</v>
      </c>
      <c r="I203" s="1">
        <v>0</v>
      </c>
      <c r="J203" s="39" t="s">
        <v>211</v>
      </c>
      <c r="K203" s="1">
        <v>0</v>
      </c>
      <c r="L203" s="1">
        <v>7</v>
      </c>
      <c r="S203" s="1" t="s">
        <v>8967</v>
      </c>
      <c r="T203" s="1">
        <v>1</v>
      </c>
      <c r="U203" s="19"/>
      <c r="V203" s="19"/>
      <c r="W203" s="218">
        <v>1</v>
      </c>
      <c r="X203" s="218">
        <v>1</v>
      </c>
      <c r="Y203" s="218">
        <v>1</v>
      </c>
    </row>
    <row r="204" spans="1:25" ht="14.25" customHeight="1" x14ac:dyDescent="0.3">
      <c r="A204" s="1" t="s">
        <v>626</v>
      </c>
      <c r="B204" s="5">
        <v>46207</v>
      </c>
      <c r="C204" s="6">
        <v>0.29166666666666702</v>
      </c>
      <c r="D204" s="1" t="s">
        <v>18</v>
      </c>
      <c r="E204" s="1" t="s">
        <v>23</v>
      </c>
      <c r="F204" s="1" t="s">
        <v>627</v>
      </c>
      <c r="G204" s="39" t="s">
        <v>579</v>
      </c>
      <c r="H204" s="1">
        <v>3</v>
      </c>
      <c r="I204" s="1">
        <v>4</v>
      </c>
      <c r="J204" s="39" t="s">
        <v>574</v>
      </c>
      <c r="K204" s="1">
        <v>4</v>
      </c>
      <c r="L204" s="1">
        <v>3</v>
      </c>
      <c r="S204" s="1" t="s">
        <v>8968</v>
      </c>
      <c r="T204" s="1">
        <v>1</v>
      </c>
      <c r="U204" s="19"/>
      <c r="V204" s="19"/>
      <c r="W204" s="218">
        <v>1</v>
      </c>
      <c r="X204" s="218">
        <v>1</v>
      </c>
      <c r="Y204" s="218">
        <v>1</v>
      </c>
    </row>
    <row r="205" spans="1:25" ht="14.25" customHeight="1" x14ac:dyDescent="0.3">
      <c r="A205" s="1" t="s">
        <v>628</v>
      </c>
      <c r="B205" s="5">
        <v>46213</v>
      </c>
      <c r="C205" s="6">
        <v>0.52083333333333304</v>
      </c>
      <c r="D205" s="1" t="s">
        <v>18</v>
      </c>
      <c r="E205" s="1" t="s">
        <v>23</v>
      </c>
      <c r="F205" s="1" t="s">
        <v>629</v>
      </c>
      <c r="G205" s="39" t="s">
        <v>574</v>
      </c>
      <c r="H205" s="1">
        <v>2</v>
      </c>
      <c r="I205" s="1">
        <v>0</v>
      </c>
      <c r="J205" s="39" t="s">
        <v>565</v>
      </c>
      <c r="K205" s="1">
        <v>0</v>
      </c>
      <c r="L205" s="1">
        <v>2</v>
      </c>
      <c r="S205" s="1" t="s">
        <v>8969</v>
      </c>
      <c r="T205" s="1">
        <v>1</v>
      </c>
      <c r="U205" s="19"/>
      <c r="V205" s="19"/>
      <c r="W205" s="218">
        <v>1</v>
      </c>
      <c r="X205" s="218">
        <v>1</v>
      </c>
      <c r="Y205" s="218">
        <v>1</v>
      </c>
    </row>
    <row r="206" spans="1:25" ht="14.25" customHeight="1" x14ac:dyDescent="0.3">
      <c r="A206" s="1" t="s">
        <v>630</v>
      </c>
      <c r="B206" s="5">
        <v>46218</v>
      </c>
      <c r="C206" s="6">
        <v>0.54166666666666696</v>
      </c>
      <c r="D206" s="1" t="s">
        <v>18</v>
      </c>
      <c r="E206" s="1" t="s">
        <v>23</v>
      </c>
      <c r="F206" s="1" t="s">
        <v>631</v>
      </c>
      <c r="G206" s="39" t="s">
        <v>574</v>
      </c>
      <c r="H206" s="1">
        <v>6</v>
      </c>
      <c r="I206" s="1">
        <v>2</v>
      </c>
      <c r="J206" s="39" t="s">
        <v>210</v>
      </c>
      <c r="K206" s="1">
        <v>2</v>
      </c>
      <c r="L206" s="1">
        <v>6</v>
      </c>
      <c r="S206" s="1" t="s">
        <v>8970</v>
      </c>
      <c r="T206" s="1">
        <v>1</v>
      </c>
      <c r="U206" s="19"/>
      <c r="V206" s="19"/>
      <c r="W206" s="218">
        <v>1</v>
      </c>
      <c r="X206" s="218">
        <v>1</v>
      </c>
      <c r="Y206" s="218">
        <v>1</v>
      </c>
    </row>
    <row r="207" spans="1:25" ht="14.25" customHeight="1" x14ac:dyDescent="0.3">
      <c r="A207" s="1" t="s">
        <v>632</v>
      </c>
      <c r="B207" s="5">
        <v>46225</v>
      </c>
      <c r="C207" s="6">
        <v>0.54166666666666696</v>
      </c>
      <c r="D207" s="1" t="s">
        <v>18</v>
      </c>
      <c r="E207" s="1" t="s">
        <v>23</v>
      </c>
      <c r="F207" s="1" t="s">
        <v>2973</v>
      </c>
      <c r="G207" s="39" t="s">
        <v>2946</v>
      </c>
      <c r="H207" s="1">
        <v>1</v>
      </c>
      <c r="I207" s="1">
        <v>1</v>
      </c>
      <c r="J207" s="39" t="s">
        <v>574</v>
      </c>
      <c r="K207" s="1">
        <v>1</v>
      </c>
      <c r="L207" s="1">
        <v>1</v>
      </c>
      <c r="S207" s="1" t="s">
        <v>8971</v>
      </c>
      <c r="T207" s="1">
        <v>1</v>
      </c>
      <c r="U207" s="19"/>
      <c r="V207" s="19"/>
      <c r="W207" s="218">
        <v>1</v>
      </c>
      <c r="X207" s="218">
        <v>1</v>
      </c>
      <c r="Y207" s="218">
        <v>1</v>
      </c>
    </row>
    <row r="208" spans="1:25" ht="14.25" customHeight="1" x14ac:dyDescent="0.3">
      <c r="A208" s="1" t="s">
        <v>634</v>
      </c>
      <c r="B208" s="5">
        <v>46144</v>
      </c>
      <c r="C208" s="6">
        <v>0.52083333333333304</v>
      </c>
      <c r="D208" s="1" t="s">
        <v>18</v>
      </c>
      <c r="E208" s="1" t="s">
        <v>23</v>
      </c>
      <c r="F208" s="1" t="s">
        <v>635</v>
      </c>
      <c r="G208" s="39" t="s">
        <v>211</v>
      </c>
      <c r="H208" s="1">
        <v>2</v>
      </c>
      <c r="I208" s="1">
        <v>1</v>
      </c>
      <c r="J208" s="39" t="s">
        <v>585</v>
      </c>
      <c r="K208" s="1">
        <v>1</v>
      </c>
      <c r="L208" s="1">
        <v>2</v>
      </c>
      <c r="S208" s="1" t="s">
        <v>8972</v>
      </c>
      <c r="T208" s="1">
        <v>1</v>
      </c>
      <c r="U208" s="19"/>
      <c r="V208" s="19"/>
      <c r="W208" s="218">
        <v>1</v>
      </c>
      <c r="X208" s="218">
        <v>0</v>
      </c>
      <c r="Y208" s="218">
        <v>1</v>
      </c>
    </row>
    <row r="209" spans="1:25" ht="14.25" customHeight="1" x14ac:dyDescent="0.3">
      <c r="A209" s="1" t="s">
        <v>636</v>
      </c>
      <c r="B209" s="5">
        <v>46149</v>
      </c>
      <c r="C209" s="6">
        <v>0.52083333333333304</v>
      </c>
      <c r="D209" s="1" t="s">
        <v>18</v>
      </c>
      <c r="E209" s="1" t="s">
        <v>23</v>
      </c>
      <c r="F209" s="1" t="s">
        <v>637</v>
      </c>
      <c r="G209" s="39" t="s">
        <v>582</v>
      </c>
      <c r="H209" s="1">
        <v>0</v>
      </c>
      <c r="I209" s="1">
        <v>1</v>
      </c>
      <c r="J209" s="39" t="s">
        <v>585</v>
      </c>
      <c r="K209" s="1">
        <v>1</v>
      </c>
      <c r="L209" s="1">
        <v>0</v>
      </c>
      <c r="S209" s="1" t="s">
        <v>8973</v>
      </c>
      <c r="T209" s="1">
        <v>1</v>
      </c>
      <c r="U209" s="19"/>
      <c r="V209" s="19"/>
      <c r="W209" s="218">
        <v>0</v>
      </c>
      <c r="X209" s="218">
        <v>0</v>
      </c>
      <c r="Y209" s="218">
        <v>0</v>
      </c>
    </row>
    <row r="210" spans="1:25" ht="14.25" customHeight="1" x14ac:dyDescent="0.3">
      <c r="A210" s="1" t="s">
        <v>638</v>
      </c>
      <c r="B210" s="5">
        <v>46158</v>
      </c>
      <c r="C210" s="6">
        <v>0.4375</v>
      </c>
      <c r="D210" s="1" t="s">
        <v>18</v>
      </c>
      <c r="E210" s="1" t="s">
        <v>23</v>
      </c>
      <c r="F210" s="1" t="s">
        <v>639</v>
      </c>
      <c r="G210" s="39" t="s">
        <v>585</v>
      </c>
      <c r="H210" s="1">
        <v>4</v>
      </c>
      <c r="I210" s="1">
        <v>2</v>
      </c>
      <c r="J210" s="39" t="s">
        <v>571</v>
      </c>
      <c r="K210" s="1">
        <v>2</v>
      </c>
      <c r="L210" s="1">
        <v>4</v>
      </c>
      <c r="S210" s="1" t="s">
        <v>8974</v>
      </c>
      <c r="T210" s="1">
        <v>1</v>
      </c>
      <c r="U210" s="19"/>
      <c r="V210" s="19"/>
      <c r="W210" s="218">
        <v>1</v>
      </c>
      <c r="X210" s="218">
        <v>1</v>
      </c>
      <c r="Y210" s="218">
        <v>1</v>
      </c>
    </row>
    <row r="211" spans="1:25" ht="14.25" customHeight="1" x14ac:dyDescent="0.3">
      <c r="A211" s="1" t="s">
        <v>640</v>
      </c>
      <c r="B211" s="5">
        <v>46165</v>
      </c>
      <c r="C211" s="6">
        <v>0.4375</v>
      </c>
      <c r="D211" s="1" t="s">
        <v>18</v>
      </c>
      <c r="E211" s="1" t="s">
        <v>23</v>
      </c>
      <c r="F211" s="1" t="s">
        <v>641</v>
      </c>
      <c r="G211" s="39" t="s">
        <v>579</v>
      </c>
      <c r="H211" s="1">
        <v>4</v>
      </c>
      <c r="I211" s="1">
        <v>4</v>
      </c>
      <c r="J211" s="39" t="s">
        <v>585</v>
      </c>
      <c r="K211" s="1">
        <v>4</v>
      </c>
      <c r="L211" s="1">
        <v>4</v>
      </c>
      <c r="S211" s="1" t="s">
        <v>8975</v>
      </c>
      <c r="T211" s="1">
        <v>1</v>
      </c>
      <c r="U211" s="19"/>
      <c r="V211" s="19"/>
      <c r="W211" s="218">
        <v>1</v>
      </c>
      <c r="X211" s="218">
        <v>1</v>
      </c>
      <c r="Y211" s="218">
        <v>1</v>
      </c>
    </row>
    <row r="212" spans="1:25" ht="14.25" customHeight="1" x14ac:dyDescent="0.3">
      <c r="A212" s="1" t="s">
        <v>642</v>
      </c>
      <c r="B212" s="5">
        <v>46179</v>
      </c>
      <c r="C212" s="6">
        <v>0.33333333333333298</v>
      </c>
      <c r="D212" s="1" t="s">
        <v>18</v>
      </c>
      <c r="E212" s="1" t="s">
        <v>23</v>
      </c>
      <c r="F212" s="1" t="s">
        <v>2974</v>
      </c>
      <c r="G212" s="39" t="s">
        <v>585</v>
      </c>
      <c r="H212" s="1">
        <v>7</v>
      </c>
      <c r="I212" s="1">
        <v>1</v>
      </c>
      <c r="J212" s="39" t="s">
        <v>2946</v>
      </c>
      <c r="K212" s="1">
        <v>1</v>
      </c>
      <c r="L212" s="1">
        <v>7</v>
      </c>
      <c r="S212" s="1" t="s">
        <v>8976</v>
      </c>
      <c r="T212" s="1">
        <v>1</v>
      </c>
      <c r="U212" s="19"/>
      <c r="V212" s="19"/>
      <c r="W212" s="218">
        <v>1</v>
      </c>
      <c r="X212" s="218">
        <v>1</v>
      </c>
      <c r="Y212" s="218">
        <v>1</v>
      </c>
    </row>
    <row r="213" spans="1:25" ht="14.25" customHeight="1" x14ac:dyDescent="0.3">
      <c r="A213" s="1" t="s">
        <v>643</v>
      </c>
      <c r="B213" s="5">
        <v>46200</v>
      </c>
      <c r="C213" s="6">
        <v>0.45833333333333298</v>
      </c>
      <c r="D213" s="1" t="s">
        <v>18</v>
      </c>
      <c r="E213" s="1" t="s">
        <v>23</v>
      </c>
      <c r="F213" s="1" t="s">
        <v>644</v>
      </c>
      <c r="G213" s="39" t="s">
        <v>585</v>
      </c>
      <c r="H213" s="1">
        <v>3</v>
      </c>
      <c r="I213" s="1">
        <v>2</v>
      </c>
      <c r="J213" s="39" t="s">
        <v>565</v>
      </c>
      <c r="K213" s="1">
        <v>2</v>
      </c>
      <c r="L213" s="1">
        <v>3</v>
      </c>
      <c r="S213" s="1" t="s">
        <v>8977</v>
      </c>
      <c r="T213" s="1">
        <v>1</v>
      </c>
      <c r="U213" s="19"/>
      <c r="V213" s="19"/>
      <c r="W213" s="218">
        <v>1</v>
      </c>
      <c r="X213" s="218">
        <v>1</v>
      </c>
      <c r="Y213" s="218">
        <v>1</v>
      </c>
    </row>
    <row r="214" spans="1:25" ht="14.25" customHeight="1" x14ac:dyDescent="0.3">
      <c r="A214" s="1" t="s">
        <v>645</v>
      </c>
      <c r="B214" s="5">
        <v>46214</v>
      </c>
      <c r="C214" s="6">
        <v>0.4375</v>
      </c>
      <c r="D214" s="1" t="s">
        <v>18</v>
      </c>
      <c r="E214" s="1" t="s">
        <v>23</v>
      </c>
      <c r="F214" s="1" t="s">
        <v>646</v>
      </c>
      <c r="G214" s="39" t="s">
        <v>585</v>
      </c>
      <c r="H214" s="1">
        <v>0</v>
      </c>
      <c r="I214" s="1">
        <v>0</v>
      </c>
      <c r="J214" s="39" t="s">
        <v>211</v>
      </c>
      <c r="K214" s="1">
        <v>0</v>
      </c>
      <c r="L214" s="1">
        <v>0</v>
      </c>
      <c r="S214" s="1" t="s">
        <v>8978</v>
      </c>
      <c r="T214">
        <v>1</v>
      </c>
      <c r="U214" s="19"/>
      <c r="V214" s="19"/>
      <c r="W214" s="218">
        <v>1</v>
      </c>
      <c r="X214" s="218">
        <v>1</v>
      </c>
      <c r="Y214" s="218">
        <v>1</v>
      </c>
    </row>
    <row r="215" spans="1:25" ht="14.25" customHeight="1" x14ac:dyDescent="0.3">
      <c r="A215" s="1" t="s">
        <v>647</v>
      </c>
      <c r="B215" s="5">
        <v>46220</v>
      </c>
      <c r="C215" s="6">
        <v>0.54166666666666696</v>
      </c>
      <c r="D215" s="1" t="s">
        <v>18</v>
      </c>
      <c r="E215" s="1" t="s">
        <v>23</v>
      </c>
      <c r="F215" s="1" t="s">
        <v>648</v>
      </c>
      <c r="G215" s="39" t="s">
        <v>571</v>
      </c>
      <c r="H215" s="1">
        <v>0</v>
      </c>
      <c r="I215" s="1">
        <v>1</v>
      </c>
      <c r="J215" s="39" t="s">
        <v>585</v>
      </c>
      <c r="K215" s="1">
        <v>1</v>
      </c>
      <c r="L215" s="1">
        <v>0</v>
      </c>
      <c r="S215" s="1" t="s">
        <v>8979</v>
      </c>
      <c r="T215" s="1">
        <v>1</v>
      </c>
      <c r="U215" s="19"/>
      <c r="V215" s="19"/>
      <c r="W215" s="218">
        <v>1</v>
      </c>
      <c r="X215" s="218">
        <v>1</v>
      </c>
      <c r="Y215" s="218">
        <v>1</v>
      </c>
    </row>
    <row r="216" spans="1:25" ht="14.25" customHeight="1" x14ac:dyDescent="0.3">
      <c r="A216" s="1" t="s">
        <v>649</v>
      </c>
      <c r="B216" s="5">
        <v>46228</v>
      </c>
      <c r="C216" s="6">
        <v>0.4375</v>
      </c>
      <c r="D216" s="1" t="s">
        <v>18</v>
      </c>
      <c r="E216" s="1" t="s">
        <v>23</v>
      </c>
      <c r="F216" s="1" t="s">
        <v>650</v>
      </c>
      <c r="G216" s="39" t="s">
        <v>585</v>
      </c>
      <c r="H216" s="1">
        <v>4</v>
      </c>
      <c r="I216" s="1">
        <v>0</v>
      </c>
      <c r="J216" s="39" t="s">
        <v>582</v>
      </c>
      <c r="K216" s="1">
        <v>0</v>
      </c>
      <c r="L216" s="1">
        <v>4</v>
      </c>
      <c r="S216" s="1" t="s">
        <v>8980</v>
      </c>
      <c r="T216" s="1">
        <v>1</v>
      </c>
      <c r="U216" s="19"/>
      <c r="V216" s="19"/>
      <c r="W216" s="218">
        <v>1</v>
      </c>
      <c r="X216" s="218">
        <v>1</v>
      </c>
      <c r="Y216" s="218">
        <v>1</v>
      </c>
    </row>
    <row r="217" spans="1:25" ht="14.25" customHeight="1" x14ac:dyDescent="0.3">
      <c r="A217" s="1" t="s">
        <v>651</v>
      </c>
      <c r="B217" s="5">
        <v>46235</v>
      </c>
      <c r="C217" s="6">
        <v>0.33333333333333298</v>
      </c>
      <c r="D217" s="1" t="s">
        <v>18</v>
      </c>
      <c r="E217" s="1" t="s">
        <v>23</v>
      </c>
      <c r="F217" s="1" t="s">
        <v>652</v>
      </c>
      <c r="G217" s="39" t="s">
        <v>585</v>
      </c>
      <c r="H217" s="1">
        <v>4</v>
      </c>
      <c r="I217" s="1">
        <v>0</v>
      </c>
      <c r="J217" s="39" t="s">
        <v>579</v>
      </c>
      <c r="K217" s="1">
        <v>0</v>
      </c>
      <c r="L217" s="1">
        <v>4</v>
      </c>
      <c r="S217" s="1" t="s">
        <v>8981</v>
      </c>
      <c r="T217" s="1">
        <v>1</v>
      </c>
      <c r="U217" s="19"/>
      <c r="V217" s="19"/>
      <c r="W217" s="218">
        <v>1</v>
      </c>
      <c r="X217" s="218">
        <v>1</v>
      </c>
      <c r="Y217" s="218">
        <v>1</v>
      </c>
    </row>
    <row r="218" spans="1:25" ht="14.25" customHeight="1" x14ac:dyDescent="0.3">
      <c r="A218" s="1" t="s">
        <v>659</v>
      </c>
      <c r="B218" s="5">
        <v>46134</v>
      </c>
      <c r="C218" s="6">
        <v>0.875</v>
      </c>
      <c r="D218" s="1" t="s">
        <v>10</v>
      </c>
      <c r="E218" s="1" t="s">
        <v>11</v>
      </c>
      <c r="F218" s="1" t="s">
        <v>660</v>
      </c>
      <c r="G218" s="39" t="s">
        <v>661</v>
      </c>
      <c r="H218" s="1">
        <v>1</v>
      </c>
      <c r="I218" s="1">
        <v>0</v>
      </c>
      <c r="J218" s="39" t="s">
        <v>662</v>
      </c>
      <c r="K218" s="1">
        <v>0</v>
      </c>
      <c r="L218" s="1">
        <v>1</v>
      </c>
      <c r="S218" s="1" t="s">
        <v>8982</v>
      </c>
      <c r="T218">
        <v>1</v>
      </c>
      <c r="U218" s="19"/>
      <c r="V218" s="19"/>
      <c r="W218" s="218">
        <v>1</v>
      </c>
      <c r="X218" s="218">
        <v>1</v>
      </c>
      <c r="Y218" s="218">
        <v>1</v>
      </c>
    </row>
    <row r="219" spans="1:25" ht="14.25" customHeight="1" x14ac:dyDescent="0.3">
      <c r="A219" s="1" t="s">
        <v>663</v>
      </c>
      <c r="B219" s="5">
        <v>46137</v>
      </c>
      <c r="C219" s="6">
        <v>0.66666666666666696</v>
      </c>
      <c r="D219" s="1" t="s">
        <v>10</v>
      </c>
      <c r="E219" s="1" t="s">
        <v>11</v>
      </c>
      <c r="F219" s="1" t="s">
        <v>664</v>
      </c>
      <c r="G219" s="39" t="s">
        <v>665</v>
      </c>
      <c r="H219" s="1">
        <v>1</v>
      </c>
      <c r="I219" s="1">
        <v>2</v>
      </c>
      <c r="J219" s="39" t="s">
        <v>661</v>
      </c>
      <c r="K219" s="1">
        <v>2</v>
      </c>
      <c r="L219" s="1">
        <v>1</v>
      </c>
      <c r="S219" s="1" t="s">
        <v>8983</v>
      </c>
      <c r="T219" s="1">
        <v>1</v>
      </c>
      <c r="U219" s="19"/>
      <c r="V219" s="19"/>
      <c r="W219" s="218">
        <v>1</v>
      </c>
      <c r="X219" s="218">
        <v>1</v>
      </c>
      <c r="Y219" s="218">
        <v>1</v>
      </c>
    </row>
    <row r="220" spans="1:25" ht="14.25" customHeight="1" x14ac:dyDescent="0.3">
      <c r="A220" s="1" t="s">
        <v>666</v>
      </c>
      <c r="B220" s="5">
        <v>46144</v>
      </c>
      <c r="C220" s="6">
        <v>0.66666666666666696</v>
      </c>
      <c r="D220" s="1" t="s">
        <v>10</v>
      </c>
      <c r="E220" s="1" t="s">
        <v>11</v>
      </c>
      <c r="F220" s="1" t="s">
        <v>667</v>
      </c>
      <c r="G220" s="39" t="s">
        <v>661</v>
      </c>
      <c r="H220" s="1">
        <v>3</v>
      </c>
      <c r="I220" s="1">
        <v>1</v>
      </c>
      <c r="J220" s="39" t="s">
        <v>668</v>
      </c>
      <c r="K220" s="1">
        <v>1</v>
      </c>
      <c r="L220" s="1">
        <v>3</v>
      </c>
      <c r="S220" s="1" t="s">
        <v>8984</v>
      </c>
      <c r="T220" s="1">
        <v>1</v>
      </c>
      <c r="U220" s="19"/>
      <c r="V220" s="19"/>
      <c r="W220" s="218">
        <v>1</v>
      </c>
      <c r="X220" s="218">
        <v>1</v>
      </c>
      <c r="Y220" s="218">
        <v>1</v>
      </c>
    </row>
    <row r="221" spans="1:25" ht="14.25" customHeight="1" x14ac:dyDescent="0.3">
      <c r="A221" s="1" t="s">
        <v>669</v>
      </c>
      <c r="B221" s="5">
        <v>46152</v>
      </c>
      <c r="C221" s="6">
        <v>0.77083333333333304</v>
      </c>
      <c r="D221" s="1" t="s">
        <v>10</v>
      </c>
      <c r="E221" s="1" t="s">
        <v>11</v>
      </c>
      <c r="F221" s="1" t="s">
        <v>682</v>
      </c>
      <c r="G221" s="39" t="s">
        <v>226</v>
      </c>
      <c r="H221" s="1">
        <v>0</v>
      </c>
      <c r="I221" s="1">
        <v>0</v>
      </c>
      <c r="J221" s="39" t="s">
        <v>661</v>
      </c>
      <c r="K221" s="1">
        <v>0</v>
      </c>
      <c r="L221" s="1">
        <v>0</v>
      </c>
      <c r="S221" s="1" t="s">
        <v>8985</v>
      </c>
      <c r="T221" s="1">
        <v>1</v>
      </c>
      <c r="U221" s="19"/>
      <c r="V221" s="19"/>
      <c r="W221" s="218">
        <v>1</v>
      </c>
      <c r="X221" s="218">
        <v>1</v>
      </c>
      <c r="Y221" s="218">
        <v>1</v>
      </c>
    </row>
    <row r="222" spans="1:25" ht="14.25" customHeight="1" x14ac:dyDescent="0.3">
      <c r="A222" s="1" t="s">
        <v>670</v>
      </c>
      <c r="B222" s="5">
        <v>46156</v>
      </c>
      <c r="C222" s="6">
        <v>0.875</v>
      </c>
      <c r="D222" s="1" t="s">
        <v>10</v>
      </c>
      <c r="E222" s="1" t="s">
        <v>11</v>
      </c>
      <c r="F222" s="1" t="s">
        <v>671</v>
      </c>
      <c r="G222" s="39" t="s">
        <v>661</v>
      </c>
      <c r="H222" s="1">
        <v>0</v>
      </c>
      <c r="I222" s="1">
        <v>1</v>
      </c>
      <c r="J222" s="39" t="s">
        <v>181</v>
      </c>
      <c r="K222" s="1">
        <v>1</v>
      </c>
      <c r="L222" s="1">
        <v>0</v>
      </c>
      <c r="S222" s="1" t="s">
        <v>8986</v>
      </c>
      <c r="T222" s="1">
        <v>1</v>
      </c>
      <c r="U222" s="19"/>
      <c r="V222" s="19"/>
      <c r="W222" s="218">
        <v>1</v>
      </c>
      <c r="X222" s="218">
        <v>1</v>
      </c>
      <c r="Y222" s="218">
        <v>1</v>
      </c>
    </row>
    <row r="223" spans="1:25" ht="14.25" customHeight="1" x14ac:dyDescent="0.3">
      <c r="A223" s="1" t="s">
        <v>672</v>
      </c>
      <c r="B223" s="5">
        <v>46172</v>
      </c>
      <c r="C223" s="6">
        <v>0.66666666666666696</v>
      </c>
      <c r="D223" s="1" t="s">
        <v>10</v>
      </c>
      <c r="E223" s="1" t="s">
        <v>11</v>
      </c>
      <c r="F223" s="1" t="s">
        <v>683</v>
      </c>
      <c r="G223" s="39" t="s">
        <v>190</v>
      </c>
      <c r="H223" s="1">
        <v>1</v>
      </c>
      <c r="I223" s="1">
        <v>3</v>
      </c>
      <c r="J223" s="39" t="s">
        <v>661</v>
      </c>
      <c r="K223" s="1">
        <v>3</v>
      </c>
      <c r="L223" s="1">
        <v>1</v>
      </c>
      <c r="S223" s="1" t="s">
        <v>8987</v>
      </c>
      <c r="T223" s="1">
        <v>1</v>
      </c>
      <c r="U223" s="19"/>
      <c r="V223" s="19"/>
      <c r="W223" s="218">
        <v>1</v>
      </c>
      <c r="X223" s="218">
        <v>1</v>
      </c>
      <c r="Y223" s="218">
        <v>1</v>
      </c>
    </row>
    <row r="224" spans="1:25" ht="14.25" customHeight="1" x14ac:dyDescent="0.3">
      <c r="A224" s="1" t="s">
        <v>673</v>
      </c>
      <c r="B224" s="5">
        <v>46217</v>
      </c>
      <c r="C224" s="6">
        <v>0.66666666666666696</v>
      </c>
      <c r="D224" s="1" t="s">
        <v>10</v>
      </c>
      <c r="E224" s="1" t="s">
        <v>11</v>
      </c>
      <c r="F224" s="1" t="s">
        <v>674</v>
      </c>
      <c r="G224" s="39" t="s">
        <v>225</v>
      </c>
      <c r="H224" s="1">
        <v>0</v>
      </c>
      <c r="I224" s="1">
        <v>6</v>
      </c>
      <c r="J224" s="39" t="s">
        <v>661</v>
      </c>
      <c r="K224" s="1">
        <v>6</v>
      </c>
      <c r="L224" s="1">
        <v>0</v>
      </c>
      <c r="S224" s="1" t="s">
        <v>8988</v>
      </c>
      <c r="T224" s="1">
        <v>1</v>
      </c>
      <c r="U224" s="19"/>
      <c r="V224" s="19"/>
      <c r="W224" s="218">
        <v>1</v>
      </c>
      <c r="X224" s="218">
        <v>1</v>
      </c>
      <c r="Y224" s="218">
        <v>1</v>
      </c>
    </row>
    <row r="225" spans="1:25" ht="14.25" customHeight="1" x14ac:dyDescent="0.3">
      <c r="A225" s="1" t="s">
        <v>675</v>
      </c>
      <c r="B225" s="5">
        <v>46221</v>
      </c>
      <c r="C225" s="6">
        <v>0.66666666666666696</v>
      </c>
      <c r="D225" s="1" t="s">
        <v>10</v>
      </c>
      <c r="E225" s="1" t="s">
        <v>11</v>
      </c>
      <c r="F225" s="1" t="s">
        <v>676</v>
      </c>
      <c r="G225" s="39" t="s">
        <v>661</v>
      </c>
      <c r="H225" s="1">
        <v>4</v>
      </c>
      <c r="I225" s="1">
        <v>0</v>
      </c>
      <c r="J225" s="39" t="s">
        <v>677</v>
      </c>
      <c r="K225" s="1">
        <v>0</v>
      </c>
      <c r="L225" s="1">
        <v>4</v>
      </c>
      <c r="S225" s="1" t="s">
        <v>8989</v>
      </c>
      <c r="T225" s="1">
        <v>1</v>
      </c>
      <c r="U225" s="19"/>
      <c r="V225" s="19"/>
      <c r="W225" s="218">
        <v>1</v>
      </c>
      <c r="X225" s="218">
        <v>1</v>
      </c>
      <c r="Y225" s="218">
        <v>1</v>
      </c>
    </row>
    <row r="226" spans="1:25" ht="14.25" customHeight="1" x14ac:dyDescent="0.3">
      <c r="A226" s="1" t="s">
        <v>678</v>
      </c>
      <c r="B226" s="5">
        <v>46228</v>
      </c>
      <c r="C226" s="6">
        <v>0.66666666666666696</v>
      </c>
      <c r="D226" s="1" t="s">
        <v>10</v>
      </c>
      <c r="E226" s="1" t="s">
        <v>11</v>
      </c>
      <c r="F226" s="1" t="s">
        <v>1604</v>
      </c>
      <c r="G226" s="39" t="s">
        <v>661</v>
      </c>
      <c r="H226" s="1">
        <v>3</v>
      </c>
      <c r="I226" s="1">
        <v>1</v>
      </c>
      <c r="J226" s="39" t="s">
        <v>1092</v>
      </c>
      <c r="K226" s="1">
        <v>1</v>
      </c>
      <c r="L226" s="1">
        <v>3</v>
      </c>
      <c r="S226" s="1" t="s">
        <v>8990</v>
      </c>
      <c r="T226" s="1">
        <v>1</v>
      </c>
      <c r="U226" s="19"/>
      <c r="V226" s="19"/>
      <c r="W226" s="218">
        <v>1</v>
      </c>
      <c r="X226" s="218">
        <v>1</v>
      </c>
      <c r="Y226" s="218">
        <v>1</v>
      </c>
    </row>
    <row r="227" spans="1:25" ht="14.25" customHeight="1" x14ac:dyDescent="0.3">
      <c r="A227" s="1" t="s">
        <v>679</v>
      </c>
      <c r="B227" s="5">
        <v>46236</v>
      </c>
      <c r="C227" s="6">
        <v>0.77083333333333304</v>
      </c>
      <c r="D227" s="1" t="s">
        <v>10</v>
      </c>
      <c r="E227" s="1" t="s">
        <v>11</v>
      </c>
      <c r="F227" s="1" t="s">
        <v>680</v>
      </c>
      <c r="G227" s="39" t="s">
        <v>661</v>
      </c>
      <c r="H227" s="1">
        <v>1</v>
      </c>
      <c r="I227" s="1">
        <v>0</v>
      </c>
      <c r="J227" s="39" t="s">
        <v>681</v>
      </c>
      <c r="K227" s="1">
        <v>0</v>
      </c>
      <c r="L227" s="1">
        <v>1</v>
      </c>
      <c r="S227" s="1" t="s">
        <v>8991</v>
      </c>
      <c r="T227">
        <v>1</v>
      </c>
      <c r="U227" s="19"/>
      <c r="V227" s="19"/>
      <c r="W227" s="218">
        <v>1</v>
      </c>
      <c r="X227" s="218">
        <v>1</v>
      </c>
      <c r="Y227" s="218">
        <v>1</v>
      </c>
    </row>
    <row r="228" spans="1:25" ht="14.25" customHeight="1" x14ac:dyDescent="0.3">
      <c r="A228" s="1" t="s">
        <v>684</v>
      </c>
      <c r="B228" s="5">
        <v>46143</v>
      </c>
      <c r="C228" s="6">
        <v>0.67708333333333304</v>
      </c>
      <c r="D228" s="1" t="s">
        <v>24</v>
      </c>
      <c r="E228" s="1" t="s">
        <v>4289</v>
      </c>
      <c r="F228" s="1" t="s">
        <v>4294</v>
      </c>
      <c r="G228" s="39" t="s">
        <v>4293</v>
      </c>
      <c r="H228" s="1">
        <v>3</v>
      </c>
      <c r="I228" s="1">
        <v>1</v>
      </c>
      <c r="J228" s="39" t="s">
        <v>685</v>
      </c>
      <c r="K228" s="1">
        <v>1</v>
      </c>
      <c r="L228" s="1">
        <v>3</v>
      </c>
      <c r="S228" s="1" t="s">
        <v>8992</v>
      </c>
      <c r="T228" s="1">
        <v>1</v>
      </c>
      <c r="U228" s="19"/>
      <c r="V228" s="19"/>
      <c r="W228" s="218">
        <v>0</v>
      </c>
      <c r="X228" s="218">
        <v>0</v>
      </c>
      <c r="Y228" s="218">
        <v>0</v>
      </c>
    </row>
    <row r="229" spans="1:25" ht="14.25" customHeight="1" x14ac:dyDescent="0.3">
      <c r="A229" s="1" t="s">
        <v>686</v>
      </c>
      <c r="B229" s="5">
        <v>46150</v>
      </c>
      <c r="C229" s="6">
        <v>0.67708333333333304</v>
      </c>
      <c r="D229" s="1" t="s">
        <v>24</v>
      </c>
      <c r="E229" s="1" t="s">
        <v>4289</v>
      </c>
      <c r="F229" s="1" t="s">
        <v>737</v>
      </c>
      <c r="G229" s="39" t="s">
        <v>685</v>
      </c>
      <c r="H229" s="1">
        <v>2</v>
      </c>
      <c r="I229" s="1">
        <v>2</v>
      </c>
      <c r="J229" s="39" t="s">
        <v>132</v>
      </c>
      <c r="K229" s="1">
        <v>2</v>
      </c>
      <c r="L229" s="1">
        <v>2</v>
      </c>
      <c r="S229" s="1" t="s">
        <v>8993</v>
      </c>
      <c r="T229" s="1">
        <v>1</v>
      </c>
      <c r="U229" s="19"/>
      <c r="V229" s="19"/>
      <c r="W229" s="218">
        <v>0</v>
      </c>
      <c r="X229" s="218">
        <v>0</v>
      </c>
      <c r="Y229" s="218">
        <v>0</v>
      </c>
    </row>
    <row r="230" spans="1:25" ht="14.25" customHeight="1" x14ac:dyDescent="0.3">
      <c r="A230" s="1" t="s">
        <v>687</v>
      </c>
      <c r="B230" s="5">
        <v>46160</v>
      </c>
      <c r="C230" s="6">
        <v>0.67708333333333304</v>
      </c>
      <c r="D230" s="1" t="s">
        <v>24</v>
      </c>
      <c r="E230" s="1" t="s">
        <v>4289</v>
      </c>
      <c r="F230" s="1" t="s">
        <v>688</v>
      </c>
      <c r="G230" s="39" t="s">
        <v>689</v>
      </c>
      <c r="H230" s="1">
        <v>2</v>
      </c>
      <c r="I230" s="1">
        <v>1</v>
      </c>
      <c r="J230" s="39" t="s">
        <v>685</v>
      </c>
      <c r="K230" s="1">
        <v>1</v>
      </c>
      <c r="L230" s="1">
        <v>2</v>
      </c>
      <c r="S230" s="1" t="s">
        <v>8994</v>
      </c>
      <c r="T230" s="1">
        <v>1</v>
      </c>
      <c r="U230" s="19"/>
      <c r="V230" s="19"/>
      <c r="W230" s="218">
        <v>0</v>
      </c>
      <c r="X230" s="218">
        <v>0</v>
      </c>
      <c r="Y230" s="218">
        <v>0</v>
      </c>
    </row>
    <row r="231" spans="1:25" ht="14.25" customHeight="1" x14ac:dyDescent="0.3">
      <c r="A231" s="1" t="s">
        <v>690</v>
      </c>
      <c r="B231" s="5">
        <v>46164</v>
      </c>
      <c r="C231" s="6">
        <v>0.55208333333333304</v>
      </c>
      <c r="D231" s="1" t="s">
        <v>24</v>
      </c>
      <c r="E231" s="1" t="s">
        <v>4289</v>
      </c>
      <c r="F231" s="1" t="s">
        <v>691</v>
      </c>
      <c r="G231" s="39" t="s">
        <v>685</v>
      </c>
      <c r="H231" s="1">
        <v>3</v>
      </c>
      <c r="I231" s="1">
        <v>1</v>
      </c>
      <c r="J231" s="39" t="s">
        <v>692</v>
      </c>
      <c r="K231" s="1">
        <v>1</v>
      </c>
      <c r="L231" s="1">
        <v>3</v>
      </c>
      <c r="S231" s="1" t="s">
        <v>8995</v>
      </c>
      <c r="T231" s="1">
        <v>1</v>
      </c>
      <c r="U231" s="19"/>
      <c r="V231" s="19"/>
      <c r="W231" s="218">
        <v>0</v>
      </c>
      <c r="X231" s="218">
        <v>0</v>
      </c>
      <c r="Y231" s="218">
        <v>0</v>
      </c>
    </row>
    <row r="232" spans="1:25" ht="14.25" customHeight="1" x14ac:dyDescent="0.3">
      <c r="A232" s="1" t="s">
        <v>693</v>
      </c>
      <c r="B232" s="5">
        <v>46169</v>
      </c>
      <c r="C232" s="6">
        <v>0.67708333333333304</v>
      </c>
      <c r="D232" s="1" t="s">
        <v>24</v>
      </c>
      <c r="E232" s="1" t="s">
        <v>4289</v>
      </c>
      <c r="F232" s="1" t="s">
        <v>711</v>
      </c>
      <c r="G232" s="39" t="s">
        <v>96</v>
      </c>
      <c r="H232" s="1">
        <v>4</v>
      </c>
      <c r="I232" s="1">
        <v>1</v>
      </c>
      <c r="J232" s="39" t="s">
        <v>685</v>
      </c>
      <c r="K232" s="1">
        <v>1</v>
      </c>
      <c r="L232" s="1">
        <v>4</v>
      </c>
      <c r="S232" s="1" t="s">
        <v>8996</v>
      </c>
      <c r="T232" s="1">
        <v>1</v>
      </c>
      <c r="U232" s="19"/>
      <c r="V232" s="19"/>
      <c r="W232" s="218">
        <v>0</v>
      </c>
      <c r="X232" s="218">
        <v>1</v>
      </c>
      <c r="Y232" s="218">
        <v>1</v>
      </c>
    </row>
    <row r="233" spans="1:25" ht="14.25" customHeight="1" x14ac:dyDescent="0.3">
      <c r="A233" s="1" t="s">
        <v>694</v>
      </c>
      <c r="B233" s="5">
        <v>46173</v>
      </c>
      <c r="C233" s="6">
        <v>0.45833333333333298</v>
      </c>
      <c r="D233" s="1" t="s">
        <v>24</v>
      </c>
      <c r="E233" s="1" t="s">
        <v>4289</v>
      </c>
      <c r="F233" s="1" t="s">
        <v>695</v>
      </c>
      <c r="G233" s="39" t="s">
        <v>685</v>
      </c>
      <c r="H233" s="1">
        <v>0</v>
      </c>
      <c r="I233" s="1">
        <v>1</v>
      </c>
      <c r="J233" s="39" t="s">
        <v>696</v>
      </c>
      <c r="K233" s="1">
        <v>1</v>
      </c>
      <c r="L233" s="1">
        <v>0</v>
      </c>
      <c r="S233" s="1" t="s">
        <v>8997</v>
      </c>
      <c r="T233" s="1">
        <v>1</v>
      </c>
      <c r="U233" s="19"/>
      <c r="V233" s="19"/>
      <c r="W233" s="218">
        <v>1</v>
      </c>
      <c r="X233" s="218">
        <v>1</v>
      </c>
      <c r="Y233" s="218">
        <v>1</v>
      </c>
    </row>
    <row r="234" spans="1:25" ht="14.25" customHeight="1" x14ac:dyDescent="0.3">
      <c r="A234" s="1" t="s">
        <v>697</v>
      </c>
      <c r="B234" s="5">
        <v>46178</v>
      </c>
      <c r="C234" s="6">
        <v>0.67708333333333304</v>
      </c>
      <c r="D234" s="1" t="s">
        <v>24</v>
      </c>
      <c r="E234" s="1" t="s">
        <v>4289</v>
      </c>
      <c r="F234" s="1" t="s">
        <v>738</v>
      </c>
      <c r="G234" s="39" t="s">
        <v>97</v>
      </c>
      <c r="H234" s="1">
        <v>5</v>
      </c>
      <c r="I234" s="1">
        <v>1</v>
      </c>
      <c r="J234" s="39" t="s">
        <v>685</v>
      </c>
      <c r="K234" s="1">
        <v>1</v>
      </c>
      <c r="L234" s="1">
        <v>5</v>
      </c>
      <c r="S234" s="1" t="s">
        <v>8998</v>
      </c>
      <c r="T234" s="1">
        <v>1</v>
      </c>
      <c r="U234" s="19"/>
      <c r="V234" s="19"/>
      <c r="W234" s="218">
        <v>1</v>
      </c>
      <c r="X234" s="218">
        <v>1</v>
      </c>
      <c r="Y234" s="218">
        <v>1</v>
      </c>
    </row>
    <row r="235" spans="1:25" ht="14.25" customHeight="1" x14ac:dyDescent="0.3">
      <c r="A235" s="1" t="s">
        <v>698</v>
      </c>
      <c r="B235" s="5">
        <v>46190</v>
      </c>
      <c r="C235" s="6">
        <v>0.67708333333333304</v>
      </c>
      <c r="D235" s="1" t="s">
        <v>24</v>
      </c>
      <c r="E235" s="1" t="s">
        <v>4289</v>
      </c>
      <c r="F235" s="1" t="s">
        <v>739</v>
      </c>
      <c r="G235" s="39" t="s">
        <v>685</v>
      </c>
      <c r="H235" s="1">
        <v>2</v>
      </c>
      <c r="I235" s="1">
        <v>1</v>
      </c>
      <c r="J235" s="39" t="s">
        <v>734</v>
      </c>
      <c r="K235" s="1">
        <v>1</v>
      </c>
      <c r="L235" s="1">
        <v>2</v>
      </c>
      <c r="S235" s="1" t="s">
        <v>8999</v>
      </c>
      <c r="T235" s="1">
        <v>1</v>
      </c>
      <c r="U235" s="19"/>
      <c r="V235" s="19"/>
      <c r="W235" s="218">
        <v>1</v>
      </c>
      <c r="X235" s="218">
        <v>1</v>
      </c>
      <c r="Y235" s="218">
        <v>1</v>
      </c>
    </row>
    <row r="236" spans="1:25" ht="14.25" customHeight="1" x14ac:dyDescent="0.3">
      <c r="A236" s="1" t="s">
        <v>699</v>
      </c>
      <c r="B236" s="5">
        <v>46194</v>
      </c>
      <c r="C236" s="6">
        <v>0.45833333333333298</v>
      </c>
      <c r="D236" s="1" t="s">
        <v>24</v>
      </c>
      <c r="E236" s="1" t="s">
        <v>4289</v>
      </c>
      <c r="F236" s="1" t="s">
        <v>740</v>
      </c>
      <c r="G236" s="39" t="s">
        <v>685</v>
      </c>
      <c r="H236" s="1">
        <v>4</v>
      </c>
      <c r="I236" s="1">
        <v>4</v>
      </c>
      <c r="J236" s="39" t="s">
        <v>718</v>
      </c>
      <c r="K236" s="1">
        <v>4</v>
      </c>
      <c r="L236" s="1">
        <v>4</v>
      </c>
      <c r="S236" s="1" t="s">
        <v>9000</v>
      </c>
      <c r="T236" s="1">
        <v>1</v>
      </c>
      <c r="U236" s="19"/>
      <c r="V236" s="19"/>
      <c r="W236" s="218">
        <v>1</v>
      </c>
      <c r="X236" s="218">
        <v>1</v>
      </c>
      <c r="Y236" s="218">
        <v>1</v>
      </c>
    </row>
    <row r="237" spans="1:25" ht="14.25" customHeight="1" x14ac:dyDescent="0.3">
      <c r="A237" s="1" t="s">
        <v>700</v>
      </c>
      <c r="B237" s="5">
        <v>46199</v>
      </c>
      <c r="C237" s="6">
        <v>0.67708333333333304</v>
      </c>
      <c r="D237" s="1" t="s">
        <v>24</v>
      </c>
      <c r="E237" s="1" t="s">
        <v>4289</v>
      </c>
      <c r="F237" s="1" t="s">
        <v>701</v>
      </c>
      <c r="G237" s="39" t="s">
        <v>702</v>
      </c>
      <c r="H237" s="1">
        <v>2</v>
      </c>
      <c r="I237" s="1">
        <v>1</v>
      </c>
      <c r="J237" s="39" t="s">
        <v>685</v>
      </c>
      <c r="K237" s="1">
        <v>1</v>
      </c>
      <c r="L237" s="1">
        <v>2</v>
      </c>
      <c r="S237" s="1" t="s">
        <v>9001</v>
      </c>
      <c r="T237" s="1">
        <v>1</v>
      </c>
      <c r="U237" s="19"/>
      <c r="V237" s="19"/>
      <c r="W237" s="218">
        <v>1</v>
      </c>
      <c r="X237" s="218">
        <v>1</v>
      </c>
      <c r="Y237" s="218">
        <v>1</v>
      </c>
    </row>
    <row r="238" spans="1:25" ht="14.25" customHeight="1" x14ac:dyDescent="0.3">
      <c r="A238" s="1" t="s">
        <v>703</v>
      </c>
      <c r="B238" s="5">
        <v>46206</v>
      </c>
      <c r="C238" s="6">
        <v>0.67708333333333304</v>
      </c>
      <c r="D238" s="1" t="s">
        <v>24</v>
      </c>
      <c r="E238" s="1" t="s">
        <v>4289</v>
      </c>
      <c r="F238" s="1" t="s">
        <v>704</v>
      </c>
      <c r="G238" s="39" t="s">
        <v>685</v>
      </c>
      <c r="H238" s="1">
        <v>0</v>
      </c>
      <c r="I238" s="1">
        <v>1</v>
      </c>
      <c r="J238" s="39" t="s">
        <v>126</v>
      </c>
      <c r="K238" s="1">
        <v>1</v>
      </c>
      <c r="L238" s="1">
        <v>0</v>
      </c>
      <c r="S238" s="1" t="s">
        <v>9002</v>
      </c>
      <c r="T238" s="1">
        <v>1</v>
      </c>
      <c r="U238" s="19"/>
      <c r="V238" s="19"/>
      <c r="W238" s="218">
        <v>1</v>
      </c>
      <c r="X238" s="218">
        <v>1</v>
      </c>
      <c r="Y238" s="218">
        <v>1</v>
      </c>
    </row>
    <row r="239" spans="1:25" ht="14.25" customHeight="1" x14ac:dyDescent="0.3">
      <c r="A239" s="1" t="s">
        <v>705</v>
      </c>
      <c r="B239" s="5">
        <v>46213</v>
      </c>
      <c r="C239" s="6">
        <v>0.67708333333333304</v>
      </c>
      <c r="D239" s="1" t="s">
        <v>24</v>
      </c>
      <c r="E239" s="1" t="s">
        <v>4289</v>
      </c>
      <c r="F239" s="1" t="s">
        <v>4295</v>
      </c>
      <c r="G239" s="39" t="s">
        <v>685</v>
      </c>
      <c r="H239" s="1">
        <v>1</v>
      </c>
      <c r="I239" s="1">
        <v>1</v>
      </c>
      <c r="J239" s="39" t="s">
        <v>4293</v>
      </c>
      <c r="K239" s="1">
        <v>1</v>
      </c>
      <c r="L239" s="1">
        <v>1</v>
      </c>
      <c r="S239" s="1" t="s">
        <v>9003</v>
      </c>
      <c r="T239" s="1">
        <v>1</v>
      </c>
      <c r="U239" s="19"/>
      <c r="V239" s="19"/>
      <c r="W239" s="218">
        <v>1</v>
      </c>
      <c r="X239" s="218">
        <v>1</v>
      </c>
      <c r="Y239" s="218">
        <v>1</v>
      </c>
    </row>
    <row r="240" spans="1:25" ht="14.25" customHeight="1" x14ac:dyDescent="0.3">
      <c r="A240" s="1" t="s">
        <v>706</v>
      </c>
      <c r="B240" s="5">
        <v>46217</v>
      </c>
      <c r="C240" s="6">
        <v>0.67708333333333304</v>
      </c>
      <c r="D240" s="1" t="s">
        <v>24</v>
      </c>
      <c r="E240" s="1" t="s">
        <v>4289</v>
      </c>
      <c r="F240" s="1" t="s">
        <v>707</v>
      </c>
      <c r="G240" s="39" t="s">
        <v>692</v>
      </c>
      <c r="H240" s="1">
        <v>5</v>
      </c>
      <c r="I240" s="1">
        <v>1</v>
      </c>
      <c r="J240" s="39" t="s">
        <v>685</v>
      </c>
      <c r="K240" s="1">
        <v>1</v>
      </c>
      <c r="L240" s="1">
        <v>5</v>
      </c>
      <c r="S240" s="1" t="s">
        <v>9004</v>
      </c>
      <c r="T240" s="1">
        <v>1</v>
      </c>
      <c r="U240" s="19"/>
      <c r="V240" s="19"/>
      <c r="W240" s="218">
        <v>1</v>
      </c>
      <c r="X240" s="218">
        <v>1</v>
      </c>
      <c r="Y240" s="218">
        <v>1</v>
      </c>
    </row>
    <row r="241" spans="1:25" ht="14.25" customHeight="1" x14ac:dyDescent="0.3">
      <c r="A241" s="1" t="s">
        <v>708</v>
      </c>
      <c r="B241" s="5">
        <v>46221</v>
      </c>
      <c r="C241" s="6">
        <v>0.45833333333333298</v>
      </c>
      <c r="D241" s="1" t="s">
        <v>24</v>
      </c>
      <c r="E241" s="1" t="s">
        <v>4289</v>
      </c>
      <c r="F241" s="1" t="s">
        <v>741</v>
      </c>
      <c r="G241" s="39" t="s">
        <v>132</v>
      </c>
      <c r="H241" s="1">
        <v>0</v>
      </c>
      <c r="I241" s="1">
        <v>0</v>
      </c>
      <c r="J241" s="39" t="s">
        <v>685</v>
      </c>
      <c r="K241" s="1">
        <v>0</v>
      </c>
      <c r="L241" s="1">
        <v>0</v>
      </c>
      <c r="S241" s="1" t="s">
        <v>9005</v>
      </c>
      <c r="T241" s="1">
        <v>1</v>
      </c>
      <c r="U241" s="19"/>
      <c r="V241" s="19"/>
      <c r="W241" s="218">
        <v>1</v>
      </c>
      <c r="X241" s="218">
        <v>1</v>
      </c>
      <c r="Y241" s="218">
        <v>1</v>
      </c>
    </row>
    <row r="242" spans="1:25" ht="14.25" customHeight="1" x14ac:dyDescent="0.3">
      <c r="A242" s="1" t="s">
        <v>709</v>
      </c>
      <c r="B242" s="5">
        <v>46228</v>
      </c>
      <c r="C242" s="6">
        <v>0.45833333333333298</v>
      </c>
      <c r="D242" s="1" t="s">
        <v>24</v>
      </c>
      <c r="E242" s="1" t="s">
        <v>4289</v>
      </c>
      <c r="F242" s="1" t="s">
        <v>710</v>
      </c>
      <c r="G242" s="39" t="s">
        <v>685</v>
      </c>
      <c r="H242" s="1">
        <v>2</v>
      </c>
      <c r="I242" s="1">
        <v>0</v>
      </c>
      <c r="J242" s="39" t="s">
        <v>689</v>
      </c>
      <c r="K242" s="1">
        <v>0</v>
      </c>
      <c r="L242" s="1">
        <v>2</v>
      </c>
      <c r="S242" s="1" t="s">
        <v>9006</v>
      </c>
      <c r="T242">
        <v>1</v>
      </c>
      <c r="U242" s="19"/>
      <c r="V242" s="19"/>
      <c r="W242" s="218">
        <v>1</v>
      </c>
      <c r="X242" s="218">
        <v>1</v>
      </c>
      <c r="Y242" s="218">
        <v>1</v>
      </c>
    </row>
    <row r="243" spans="1:25" ht="14.25" customHeight="1" x14ac:dyDescent="0.3">
      <c r="A243" s="1" t="s">
        <v>712</v>
      </c>
      <c r="B243" s="5">
        <v>46159</v>
      </c>
      <c r="C243" s="6">
        <v>0.45833333333333298</v>
      </c>
      <c r="D243" s="1" t="s">
        <v>24</v>
      </c>
      <c r="E243" s="1" t="s">
        <v>4289</v>
      </c>
      <c r="F243" s="1" t="s">
        <v>713</v>
      </c>
      <c r="G243" s="39" t="s">
        <v>96</v>
      </c>
      <c r="H243" s="1">
        <v>1</v>
      </c>
      <c r="I243" s="1">
        <v>2</v>
      </c>
      <c r="J243" s="39" t="s">
        <v>696</v>
      </c>
      <c r="K243" s="1">
        <v>2</v>
      </c>
      <c r="L243" s="1">
        <v>1</v>
      </c>
      <c r="S243" s="1" t="s">
        <v>9007</v>
      </c>
      <c r="T243" s="1">
        <v>1</v>
      </c>
      <c r="U243" s="19"/>
      <c r="V243" s="19"/>
      <c r="W243" s="218">
        <v>0</v>
      </c>
      <c r="X243" s="218">
        <v>0</v>
      </c>
      <c r="Y243" s="218">
        <v>0</v>
      </c>
    </row>
    <row r="244" spans="1:25" ht="14.25" customHeight="1" x14ac:dyDescent="0.3">
      <c r="A244" s="1" t="s">
        <v>714</v>
      </c>
      <c r="B244" s="5">
        <v>46165</v>
      </c>
      <c r="C244" s="6">
        <v>0.45833333333333298</v>
      </c>
      <c r="D244" s="1" t="s">
        <v>24</v>
      </c>
      <c r="E244" s="1" t="s">
        <v>4289</v>
      </c>
      <c r="F244" s="1" t="s">
        <v>715</v>
      </c>
      <c r="G244" s="39" t="s">
        <v>97</v>
      </c>
      <c r="H244" s="1">
        <v>0</v>
      </c>
      <c r="I244" s="1">
        <v>0</v>
      </c>
      <c r="J244" s="39" t="s">
        <v>96</v>
      </c>
      <c r="K244" s="1">
        <v>0</v>
      </c>
      <c r="L244" s="1">
        <v>0</v>
      </c>
      <c r="S244" s="1" t="s">
        <v>9008</v>
      </c>
      <c r="T244" s="1">
        <v>1</v>
      </c>
      <c r="U244" s="19"/>
      <c r="V244" s="19"/>
      <c r="W244" s="218">
        <v>0</v>
      </c>
      <c r="X244" s="218">
        <v>0</v>
      </c>
      <c r="Y244" s="218">
        <v>0</v>
      </c>
    </row>
    <row r="245" spans="1:25" ht="14.25" customHeight="1" x14ac:dyDescent="0.3">
      <c r="A245" s="1" t="s">
        <v>716</v>
      </c>
      <c r="B245" s="5">
        <v>46173</v>
      </c>
      <c r="C245" s="6">
        <v>0.45833333333333298</v>
      </c>
      <c r="D245" s="1" t="s">
        <v>24</v>
      </c>
      <c r="E245" s="1" t="s">
        <v>4289</v>
      </c>
      <c r="F245" s="1" t="s">
        <v>717</v>
      </c>
      <c r="G245" s="39" t="s">
        <v>718</v>
      </c>
      <c r="H245" s="1">
        <v>2</v>
      </c>
      <c r="I245" s="1">
        <v>3</v>
      </c>
      <c r="J245" s="39" t="s">
        <v>96</v>
      </c>
      <c r="K245" s="1">
        <v>3</v>
      </c>
      <c r="L245" s="1">
        <v>2</v>
      </c>
      <c r="S245" s="1" t="s">
        <v>9009</v>
      </c>
      <c r="T245" s="1">
        <v>1</v>
      </c>
      <c r="U245" s="19"/>
      <c r="V245" s="19"/>
      <c r="W245" s="218">
        <v>1</v>
      </c>
      <c r="X245" s="218">
        <v>1</v>
      </c>
      <c r="Y245" s="218">
        <v>1</v>
      </c>
    </row>
    <row r="246" spans="1:25" ht="14.25" customHeight="1" x14ac:dyDescent="0.3">
      <c r="A246" s="1" t="s">
        <v>719</v>
      </c>
      <c r="B246" s="5">
        <v>46178</v>
      </c>
      <c r="C246" s="6">
        <v>0.67708333333333304</v>
      </c>
      <c r="D246" s="1" t="s">
        <v>24</v>
      </c>
      <c r="E246" s="1" t="s">
        <v>4289</v>
      </c>
      <c r="F246" s="1" t="s">
        <v>720</v>
      </c>
      <c r="G246" s="39" t="s">
        <v>96</v>
      </c>
      <c r="H246" s="1">
        <v>0</v>
      </c>
      <c r="I246" s="1">
        <v>3</v>
      </c>
      <c r="J246" s="39" t="s">
        <v>702</v>
      </c>
      <c r="K246" s="1">
        <v>3</v>
      </c>
      <c r="L246" s="1">
        <v>0</v>
      </c>
      <c r="S246" s="1" t="s">
        <v>9010</v>
      </c>
      <c r="T246" s="1">
        <v>1</v>
      </c>
      <c r="U246" s="19"/>
      <c r="V246" s="19"/>
      <c r="W246" s="218">
        <v>1</v>
      </c>
      <c r="X246" s="218">
        <v>1</v>
      </c>
      <c r="Y246" s="218">
        <v>1</v>
      </c>
    </row>
    <row r="247" spans="1:25" ht="14.25" customHeight="1" x14ac:dyDescent="0.3">
      <c r="A247" s="1" t="s">
        <v>721</v>
      </c>
      <c r="B247" s="5">
        <v>46190</v>
      </c>
      <c r="C247" s="6">
        <v>0.67708333333333304</v>
      </c>
      <c r="D247" s="1" t="s">
        <v>24</v>
      </c>
      <c r="E247" s="1" t="s">
        <v>4289</v>
      </c>
      <c r="F247" s="1" t="s">
        <v>722</v>
      </c>
      <c r="G247" s="39" t="s">
        <v>696</v>
      </c>
      <c r="H247" s="1">
        <v>3</v>
      </c>
      <c r="I247" s="1">
        <v>2</v>
      </c>
      <c r="J247" s="39" t="s">
        <v>96</v>
      </c>
      <c r="K247" s="1">
        <v>2</v>
      </c>
      <c r="L247" s="1">
        <v>3</v>
      </c>
      <c r="S247" s="1" t="s">
        <v>9011</v>
      </c>
      <c r="T247" s="1">
        <v>1</v>
      </c>
      <c r="U247" s="19"/>
      <c r="V247" s="19"/>
      <c r="W247" s="218">
        <v>1</v>
      </c>
      <c r="X247" s="218">
        <v>1</v>
      </c>
      <c r="Y247" s="218">
        <v>1</v>
      </c>
    </row>
    <row r="248" spans="1:25" ht="14.25" customHeight="1" x14ac:dyDescent="0.3">
      <c r="A248" s="1" t="s">
        <v>723</v>
      </c>
      <c r="B248" s="5">
        <v>46194</v>
      </c>
      <c r="C248" s="6">
        <v>0.67708333333333304</v>
      </c>
      <c r="D248" s="1" t="s">
        <v>24</v>
      </c>
      <c r="E248" s="1" t="s">
        <v>4289</v>
      </c>
      <c r="F248" s="1" t="s">
        <v>4296</v>
      </c>
      <c r="G248" s="39" t="s">
        <v>96</v>
      </c>
      <c r="H248" s="1">
        <v>1</v>
      </c>
      <c r="I248" s="1">
        <v>3</v>
      </c>
      <c r="J248" s="39" t="s">
        <v>4293</v>
      </c>
      <c r="K248" s="1">
        <v>3</v>
      </c>
      <c r="L248" s="1">
        <v>1</v>
      </c>
      <c r="S248" s="1" t="s">
        <v>9012</v>
      </c>
      <c r="T248" s="1">
        <v>1</v>
      </c>
      <c r="U248" s="19"/>
      <c r="V248" s="19"/>
      <c r="W248" s="218">
        <v>1</v>
      </c>
      <c r="X248" s="218">
        <v>1</v>
      </c>
      <c r="Y248" s="218">
        <v>1</v>
      </c>
    </row>
    <row r="249" spans="1:25" ht="14.25" customHeight="1" x14ac:dyDescent="0.3">
      <c r="A249" s="1" t="s">
        <v>724</v>
      </c>
      <c r="B249" s="5">
        <v>46199</v>
      </c>
      <c r="C249" s="6">
        <v>0.67708333333333304</v>
      </c>
      <c r="D249" s="1" t="s">
        <v>24</v>
      </c>
      <c r="E249" s="1" t="s">
        <v>4289</v>
      </c>
      <c r="F249" s="1" t="s">
        <v>725</v>
      </c>
      <c r="G249" s="39" t="s">
        <v>132</v>
      </c>
      <c r="H249" s="1">
        <v>0</v>
      </c>
      <c r="I249" s="1">
        <v>0</v>
      </c>
      <c r="J249" s="39" t="s">
        <v>96</v>
      </c>
      <c r="K249" s="1">
        <v>0</v>
      </c>
      <c r="L249" s="1">
        <v>0</v>
      </c>
      <c r="S249" s="1" t="s">
        <v>9013</v>
      </c>
      <c r="T249" s="1">
        <v>1</v>
      </c>
      <c r="U249" s="19"/>
      <c r="V249" s="19"/>
      <c r="W249" s="218">
        <v>1</v>
      </c>
      <c r="X249" s="218">
        <v>1</v>
      </c>
      <c r="Y249" s="218">
        <v>1</v>
      </c>
    </row>
    <row r="250" spans="1:25" ht="14.25" customHeight="1" x14ac:dyDescent="0.3">
      <c r="A250" s="1" t="s">
        <v>726</v>
      </c>
      <c r="B250" s="5">
        <v>46202</v>
      </c>
      <c r="C250" s="6">
        <v>0.67708333333333304</v>
      </c>
      <c r="D250" s="1" t="s">
        <v>24</v>
      </c>
      <c r="E250" s="1" t="s">
        <v>4289</v>
      </c>
      <c r="F250" s="1" t="s">
        <v>727</v>
      </c>
      <c r="G250" s="39" t="s">
        <v>126</v>
      </c>
      <c r="H250" s="1">
        <v>8</v>
      </c>
      <c r="I250" s="1">
        <v>1</v>
      </c>
      <c r="J250" s="39" t="s">
        <v>96</v>
      </c>
      <c r="K250" s="1">
        <v>1</v>
      </c>
      <c r="L250" s="1">
        <v>8</v>
      </c>
      <c r="S250" s="1" t="s">
        <v>9014</v>
      </c>
      <c r="T250" s="1">
        <v>1</v>
      </c>
      <c r="U250" s="19"/>
      <c r="V250" s="19"/>
      <c r="W250" s="218">
        <v>1</v>
      </c>
      <c r="X250" s="218">
        <v>1</v>
      </c>
      <c r="Y250" s="218">
        <v>1</v>
      </c>
    </row>
    <row r="251" spans="1:25" ht="14.25" customHeight="1" x14ac:dyDescent="0.3">
      <c r="A251" s="1" t="s">
        <v>728</v>
      </c>
      <c r="B251" s="5">
        <v>46206</v>
      </c>
      <c r="C251" s="6">
        <v>0.67708333333333304</v>
      </c>
      <c r="D251" s="1" t="s">
        <v>24</v>
      </c>
      <c r="E251" s="1" t="s">
        <v>4289</v>
      </c>
      <c r="F251" s="1" t="s">
        <v>729</v>
      </c>
      <c r="G251" s="39" t="s">
        <v>96</v>
      </c>
      <c r="H251" s="1">
        <v>2</v>
      </c>
      <c r="I251" s="1">
        <v>4</v>
      </c>
      <c r="J251" s="39" t="s">
        <v>689</v>
      </c>
      <c r="K251" s="1">
        <v>4</v>
      </c>
      <c r="L251" s="1">
        <v>2</v>
      </c>
      <c r="S251" s="1" t="s">
        <v>9015</v>
      </c>
      <c r="T251" s="1">
        <v>1</v>
      </c>
      <c r="U251" s="19"/>
      <c r="V251" s="19"/>
      <c r="W251" s="218">
        <v>1</v>
      </c>
      <c r="X251" s="218">
        <v>1</v>
      </c>
      <c r="Y251" s="218">
        <v>1</v>
      </c>
    </row>
    <row r="252" spans="1:25" ht="14.25" customHeight="1" x14ac:dyDescent="0.3">
      <c r="A252" s="1" t="s">
        <v>730</v>
      </c>
      <c r="B252" s="5">
        <v>46213</v>
      </c>
      <c r="C252" s="6">
        <v>0.67708333333333304</v>
      </c>
      <c r="D252" s="1" t="s">
        <v>24</v>
      </c>
      <c r="E252" s="1" t="s">
        <v>4289</v>
      </c>
      <c r="F252" s="1" t="s">
        <v>731</v>
      </c>
      <c r="G252" s="39" t="s">
        <v>96</v>
      </c>
      <c r="H252" s="1">
        <v>3</v>
      </c>
      <c r="I252" s="1">
        <v>4</v>
      </c>
      <c r="J252" s="39" t="s">
        <v>692</v>
      </c>
      <c r="K252" s="1">
        <v>4</v>
      </c>
      <c r="L252" s="1">
        <v>3</v>
      </c>
      <c r="S252" s="1" t="s">
        <v>9016</v>
      </c>
      <c r="T252" s="1">
        <v>1</v>
      </c>
      <c r="U252" s="19"/>
      <c r="V252" s="19"/>
      <c r="W252" s="218">
        <v>1</v>
      </c>
      <c r="X252" s="218">
        <v>1</v>
      </c>
      <c r="Y252" s="218">
        <v>1</v>
      </c>
    </row>
    <row r="253" spans="1:25" ht="14.25" customHeight="1" x14ac:dyDescent="0.3">
      <c r="A253" s="1" t="s">
        <v>732</v>
      </c>
      <c r="B253" s="5">
        <v>46221</v>
      </c>
      <c r="C253" s="6">
        <v>0.45833333333333298</v>
      </c>
      <c r="D253" s="1" t="s">
        <v>24</v>
      </c>
      <c r="E253" s="1" t="s">
        <v>4289</v>
      </c>
      <c r="F253" s="1" t="s">
        <v>733</v>
      </c>
      <c r="G253" s="39" t="s">
        <v>734</v>
      </c>
      <c r="H253" s="1">
        <v>6</v>
      </c>
      <c r="I253" s="1">
        <v>1</v>
      </c>
      <c r="J253" s="39" t="s">
        <v>96</v>
      </c>
      <c r="K253" s="1">
        <v>1</v>
      </c>
      <c r="L253" s="1">
        <v>6</v>
      </c>
      <c r="S253" s="1" t="s">
        <v>9017</v>
      </c>
      <c r="T253">
        <v>1</v>
      </c>
      <c r="U253" s="19"/>
      <c r="V253" s="19"/>
      <c r="W253" s="218">
        <v>1</v>
      </c>
      <c r="X253" s="218">
        <v>1</v>
      </c>
      <c r="Y253" s="218">
        <v>1</v>
      </c>
    </row>
    <row r="254" spans="1:25" ht="14.25" customHeight="1" x14ac:dyDescent="0.3">
      <c r="A254" s="1" t="s">
        <v>743</v>
      </c>
      <c r="B254" s="5">
        <v>46136</v>
      </c>
      <c r="C254" s="6">
        <v>0.52083333333333304</v>
      </c>
      <c r="D254" s="1" t="s">
        <v>18</v>
      </c>
      <c r="E254" s="1" t="s">
        <v>21</v>
      </c>
      <c r="F254" s="1" t="s">
        <v>744</v>
      </c>
      <c r="G254" s="39" t="s">
        <v>745</v>
      </c>
      <c r="H254" s="1">
        <v>2</v>
      </c>
      <c r="I254" s="1">
        <v>3</v>
      </c>
      <c r="J254" s="39" t="s">
        <v>746</v>
      </c>
      <c r="K254" s="1">
        <v>3</v>
      </c>
      <c r="L254" s="1">
        <v>2</v>
      </c>
      <c r="S254" s="1" t="s">
        <v>9018</v>
      </c>
      <c r="T254">
        <v>1</v>
      </c>
      <c r="U254" s="19"/>
      <c r="V254" s="19"/>
      <c r="W254" s="218">
        <v>0</v>
      </c>
      <c r="X254" s="218">
        <v>0</v>
      </c>
      <c r="Y254" s="218">
        <v>0</v>
      </c>
    </row>
    <row r="255" spans="1:25" ht="14.25" customHeight="1" x14ac:dyDescent="0.3">
      <c r="A255" s="1" t="s">
        <v>747</v>
      </c>
      <c r="B255" s="5">
        <v>46144</v>
      </c>
      <c r="C255" s="6">
        <v>0.41666666666666702</v>
      </c>
      <c r="D255" s="1" t="s">
        <v>18</v>
      </c>
      <c r="E255" s="1" t="s">
        <v>21</v>
      </c>
      <c r="F255" s="1" t="s">
        <v>748</v>
      </c>
      <c r="G255" s="39" t="s">
        <v>746</v>
      </c>
      <c r="H255" s="1">
        <v>0</v>
      </c>
      <c r="I255" s="1">
        <v>2</v>
      </c>
      <c r="J255" s="39" t="s">
        <v>749</v>
      </c>
      <c r="K255" s="1">
        <v>2</v>
      </c>
      <c r="L255" s="1">
        <v>0</v>
      </c>
      <c r="S255" s="1" t="s">
        <v>9019</v>
      </c>
      <c r="T255" s="1">
        <v>1</v>
      </c>
      <c r="U255" s="19"/>
      <c r="V255" s="19"/>
      <c r="W255" s="218">
        <v>0</v>
      </c>
      <c r="X255" s="218">
        <v>0</v>
      </c>
      <c r="Y255" s="218">
        <v>0</v>
      </c>
    </row>
    <row r="256" spans="1:25" ht="14.25" customHeight="1" x14ac:dyDescent="0.3">
      <c r="A256" s="1" t="s">
        <v>750</v>
      </c>
      <c r="B256" s="5">
        <v>46151</v>
      </c>
      <c r="C256" s="6">
        <v>0.52083333333333304</v>
      </c>
      <c r="D256" s="1" t="s">
        <v>18</v>
      </c>
      <c r="E256" s="1" t="s">
        <v>21</v>
      </c>
      <c r="F256" s="1" t="s">
        <v>751</v>
      </c>
      <c r="G256" s="39" t="s">
        <v>752</v>
      </c>
      <c r="H256" s="1">
        <v>3</v>
      </c>
      <c r="I256" s="1">
        <v>2</v>
      </c>
      <c r="J256" s="39" t="s">
        <v>746</v>
      </c>
      <c r="K256" s="1">
        <v>2</v>
      </c>
      <c r="L256" s="1">
        <v>3</v>
      </c>
      <c r="S256" s="1" t="s">
        <v>9020</v>
      </c>
      <c r="T256" s="1">
        <v>1</v>
      </c>
      <c r="U256" s="19"/>
      <c r="V256" s="19"/>
      <c r="W256" s="218">
        <v>0</v>
      </c>
      <c r="X256" s="218">
        <v>0</v>
      </c>
      <c r="Y256" s="218">
        <v>0</v>
      </c>
    </row>
    <row r="257" spans="1:25" ht="14.25" customHeight="1" x14ac:dyDescent="0.3">
      <c r="A257" s="1" t="s">
        <v>753</v>
      </c>
      <c r="B257" s="5">
        <v>46159</v>
      </c>
      <c r="C257" s="6">
        <v>0.52083333333333304</v>
      </c>
      <c r="D257" s="1" t="s">
        <v>18</v>
      </c>
      <c r="E257" s="1" t="s">
        <v>21</v>
      </c>
      <c r="F257" s="1" t="s">
        <v>754</v>
      </c>
      <c r="G257" s="39" t="s">
        <v>746</v>
      </c>
      <c r="H257" s="1">
        <v>4</v>
      </c>
      <c r="I257" s="1">
        <v>2</v>
      </c>
      <c r="J257" s="39" t="s">
        <v>163</v>
      </c>
      <c r="K257" s="1">
        <v>2</v>
      </c>
      <c r="L257" s="1">
        <v>4</v>
      </c>
      <c r="S257" s="1" t="s">
        <v>9021</v>
      </c>
      <c r="T257" s="1">
        <v>1</v>
      </c>
      <c r="U257" s="19"/>
      <c r="V257" s="19"/>
      <c r="W257" s="218">
        <v>0</v>
      </c>
      <c r="X257" s="218">
        <v>0</v>
      </c>
      <c r="Y257" s="218">
        <v>0</v>
      </c>
    </row>
    <row r="258" spans="1:25" ht="14.25" customHeight="1" x14ac:dyDescent="0.3">
      <c r="A258" s="1" t="s">
        <v>755</v>
      </c>
      <c r="B258" s="5">
        <v>46166</v>
      </c>
      <c r="C258" s="6">
        <v>0.41666666666666702</v>
      </c>
      <c r="D258" s="1" t="s">
        <v>18</v>
      </c>
      <c r="E258" s="1" t="s">
        <v>21</v>
      </c>
      <c r="F258" s="1" t="s">
        <v>756</v>
      </c>
      <c r="G258" s="39" t="s">
        <v>746</v>
      </c>
      <c r="H258" s="1">
        <v>2</v>
      </c>
      <c r="I258" s="1">
        <v>1</v>
      </c>
      <c r="J258" s="39" t="s">
        <v>757</v>
      </c>
      <c r="K258" s="1">
        <v>1</v>
      </c>
      <c r="L258" s="1">
        <v>2</v>
      </c>
      <c r="S258" s="1" t="s">
        <v>9022</v>
      </c>
      <c r="T258" s="1">
        <v>1</v>
      </c>
      <c r="U258" s="19"/>
      <c r="V258" s="19"/>
      <c r="W258" s="218">
        <v>1</v>
      </c>
      <c r="X258" s="218">
        <v>0</v>
      </c>
      <c r="Y258" s="218">
        <v>1</v>
      </c>
    </row>
    <row r="259" spans="1:25" ht="14.25" customHeight="1" x14ac:dyDescent="0.3">
      <c r="A259" s="1" t="s">
        <v>758</v>
      </c>
      <c r="B259" s="5">
        <v>46171</v>
      </c>
      <c r="C259" s="6">
        <v>0.52083333333333304</v>
      </c>
      <c r="D259" s="1" t="s">
        <v>18</v>
      </c>
      <c r="E259" s="1" t="s">
        <v>21</v>
      </c>
      <c r="F259" s="1" t="s">
        <v>759</v>
      </c>
      <c r="G259" s="39" t="s">
        <v>760</v>
      </c>
      <c r="H259" s="1">
        <v>4</v>
      </c>
      <c r="I259" s="1">
        <v>2</v>
      </c>
      <c r="J259" s="39" t="s">
        <v>746</v>
      </c>
      <c r="K259" s="1">
        <v>2</v>
      </c>
      <c r="L259" s="1">
        <v>4</v>
      </c>
      <c r="S259" s="1" t="s">
        <v>9023</v>
      </c>
      <c r="T259" s="1">
        <v>1</v>
      </c>
      <c r="U259" s="19"/>
      <c r="V259" s="19"/>
      <c r="W259" s="218">
        <v>1</v>
      </c>
      <c r="X259" s="218">
        <v>1</v>
      </c>
      <c r="Y259" s="218">
        <v>1</v>
      </c>
    </row>
    <row r="260" spans="1:25" x14ac:dyDescent="0.3">
      <c r="A260" s="1" t="s">
        <v>761</v>
      </c>
      <c r="B260" s="5">
        <v>46179</v>
      </c>
      <c r="C260" s="6">
        <v>0.52083333333333304</v>
      </c>
      <c r="D260" s="1" t="s">
        <v>18</v>
      </c>
      <c r="E260" s="1" t="s">
        <v>21</v>
      </c>
      <c r="F260" s="1" t="s">
        <v>762</v>
      </c>
      <c r="G260" s="39" t="s">
        <v>763</v>
      </c>
      <c r="H260" s="1">
        <v>1</v>
      </c>
      <c r="I260" s="1">
        <v>1</v>
      </c>
      <c r="J260" s="39" t="s">
        <v>746</v>
      </c>
      <c r="K260" s="1">
        <v>1</v>
      </c>
      <c r="L260" s="1">
        <v>1</v>
      </c>
      <c r="S260" s="1" t="s">
        <v>9024</v>
      </c>
      <c r="T260" s="1">
        <v>1</v>
      </c>
      <c r="U260" s="19"/>
      <c r="V260" s="19"/>
      <c r="W260" s="218">
        <v>1</v>
      </c>
      <c r="X260" s="218">
        <v>1</v>
      </c>
      <c r="Y260" s="218">
        <v>1</v>
      </c>
    </row>
    <row r="261" spans="1:25" x14ac:dyDescent="0.3">
      <c r="A261" s="1" t="s">
        <v>764</v>
      </c>
      <c r="B261" s="5">
        <v>46185</v>
      </c>
      <c r="C261" s="6">
        <v>0.54166666666666696</v>
      </c>
      <c r="D261" s="1" t="s">
        <v>18</v>
      </c>
      <c r="E261" s="1" t="s">
        <v>21</v>
      </c>
      <c r="F261" s="1" t="s">
        <v>765</v>
      </c>
      <c r="G261" s="39" t="s">
        <v>746</v>
      </c>
      <c r="H261" s="1">
        <v>1</v>
      </c>
      <c r="I261" s="1">
        <v>1</v>
      </c>
      <c r="J261" s="39" t="s">
        <v>766</v>
      </c>
      <c r="K261" s="1">
        <v>1</v>
      </c>
      <c r="L261" s="1">
        <v>1</v>
      </c>
      <c r="S261" s="1" t="s">
        <v>9025</v>
      </c>
      <c r="T261" s="1">
        <v>1</v>
      </c>
      <c r="U261" s="19"/>
      <c r="V261" s="19"/>
      <c r="W261" s="218">
        <v>1</v>
      </c>
      <c r="X261" s="218">
        <v>1</v>
      </c>
      <c r="Y261" s="218">
        <v>1</v>
      </c>
    </row>
    <row r="262" spans="1:25" x14ac:dyDescent="0.3">
      <c r="A262" s="1" t="s">
        <v>767</v>
      </c>
      <c r="B262" s="5">
        <v>46198</v>
      </c>
      <c r="C262" s="6">
        <v>0.52083333333333304</v>
      </c>
      <c r="D262" s="1" t="s">
        <v>18</v>
      </c>
      <c r="E262" s="1" t="s">
        <v>21</v>
      </c>
      <c r="F262" s="1" t="s">
        <v>768</v>
      </c>
      <c r="G262" s="39" t="s">
        <v>769</v>
      </c>
      <c r="H262" s="1">
        <v>11</v>
      </c>
      <c r="I262" s="1">
        <v>1</v>
      </c>
      <c r="J262" s="39" t="s">
        <v>746</v>
      </c>
      <c r="K262" s="1">
        <v>1</v>
      </c>
      <c r="L262" s="1">
        <v>11</v>
      </c>
      <c r="S262" s="1" t="s">
        <v>9026</v>
      </c>
      <c r="T262" s="1">
        <v>1</v>
      </c>
      <c r="U262" s="19"/>
      <c r="V262" s="19"/>
      <c r="W262" s="218">
        <v>1</v>
      </c>
      <c r="X262" s="218">
        <v>1</v>
      </c>
      <c r="Y262" s="218">
        <v>1</v>
      </c>
    </row>
    <row r="263" spans="1:25" x14ac:dyDescent="0.3">
      <c r="A263" s="1" t="s">
        <v>770</v>
      </c>
      <c r="B263" s="5">
        <v>46207</v>
      </c>
      <c r="C263" s="6">
        <v>0.41666666666666702</v>
      </c>
      <c r="D263" s="1" t="s">
        <v>18</v>
      </c>
      <c r="E263" s="1" t="s">
        <v>21</v>
      </c>
      <c r="F263" s="1" t="s">
        <v>771</v>
      </c>
      <c r="G263" s="39" t="s">
        <v>772</v>
      </c>
      <c r="H263" s="1">
        <v>1</v>
      </c>
      <c r="I263" s="1">
        <v>3</v>
      </c>
      <c r="J263" s="39" t="s">
        <v>746</v>
      </c>
      <c r="K263" s="1">
        <v>3</v>
      </c>
      <c r="L263" s="1">
        <v>1</v>
      </c>
      <c r="S263" s="1" t="s">
        <v>9027</v>
      </c>
      <c r="T263" s="1">
        <v>1</v>
      </c>
      <c r="U263" s="19"/>
      <c r="V263" s="19"/>
      <c r="W263" s="218">
        <v>1</v>
      </c>
      <c r="X263" s="218">
        <v>1</v>
      </c>
      <c r="Y263" s="218">
        <v>1</v>
      </c>
    </row>
    <row r="264" spans="1:25" x14ac:dyDescent="0.3">
      <c r="A264" s="1" t="s">
        <v>773</v>
      </c>
      <c r="B264" s="5">
        <v>46213</v>
      </c>
      <c r="C264" s="6">
        <v>0.52083333333333304</v>
      </c>
      <c r="D264" s="1" t="s">
        <v>18</v>
      </c>
      <c r="E264" s="1" t="s">
        <v>21</v>
      </c>
      <c r="F264" s="1" t="s">
        <v>2927</v>
      </c>
      <c r="G264" s="39" t="s">
        <v>746</v>
      </c>
      <c r="H264" s="1">
        <v>0</v>
      </c>
      <c r="I264" s="1">
        <v>2</v>
      </c>
      <c r="J264" s="39" t="s">
        <v>2926</v>
      </c>
      <c r="K264" s="1">
        <v>2</v>
      </c>
      <c r="L264" s="1">
        <v>0</v>
      </c>
      <c r="S264" s="1" t="s">
        <v>9028</v>
      </c>
      <c r="T264" s="1">
        <v>1</v>
      </c>
      <c r="U264" s="19"/>
      <c r="V264" s="19"/>
      <c r="W264" s="218">
        <v>1</v>
      </c>
      <c r="X264" s="218">
        <v>1</v>
      </c>
      <c r="Y264" s="218">
        <v>1</v>
      </c>
    </row>
    <row r="265" spans="1:25" x14ac:dyDescent="0.3">
      <c r="A265" s="1" t="s">
        <v>774</v>
      </c>
      <c r="B265" s="5">
        <v>46221</v>
      </c>
      <c r="C265" s="6">
        <v>0.41666666666666702</v>
      </c>
      <c r="D265" s="1" t="s">
        <v>18</v>
      </c>
      <c r="E265" s="1" t="s">
        <v>21</v>
      </c>
      <c r="F265" s="1" t="s">
        <v>775</v>
      </c>
      <c r="G265" s="39" t="s">
        <v>746</v>
      </c>
      <c r="H265" s="1">
        <v>1</v>
      </c>
      <c r="I265" s="1">
        <v>2</v>
      </c>
      <c r="J265" s="39" t="s">
        <v>745</v>
      </c>
      <c r="K265" s="1">
        <v>2</v>
      </c>
      <c r="L265" s="1">
        <v>1</v>
      </c>
      <c r="S265" s="1" t="s">
        <v>9029</v>
      </c>
      <c r="T265" s="1">
        <v>1</v>
      </c>
      <c r="U265" s="19"/>
      <c r="V265" s="19"/>
      <c r="W265" s="218">
        <v>1</v>
      </c>
      <c r="X265" s="218">
        <v>1</v>
      </c>
      <c r="Y265" s="218">
        <v>1</v>
      </c>
    </row>
    <row r="266" spans="1:25" x14ac:dyDescent="0.3">
      <c r="A266" s="1" t="s">
        <v>776</v>
      </c>
      <c r="B266" s="5">
        <v>46227</v>
      </c>
      <c r="C266" s="6">
        <v>0.54166666666666696</v>
      </c>
      <c r="D266" s="1" t="s">
        <v>18</v>
      </c>
      <c r="E266" s="1" t="s">
        <v>21</v>
      </c>
      <c r="F266" s="1" t="s">
        <v>777</v>
      </c>
      <c r="G266" s="39" t="s">
        <v>749</v>
      </c>
      <c r="H266" s="1">
        <v>2</v>
      </c>
      <c r="I266" s="1">
        <v>2</v>
      </c>
      <c r="J266" s="39" t="s">
        <v>746</v>
      </c>
      <c r="K266" s="1">
        <v>2</v>
      </c>
      <c r="L266" s="1">
        <v>2</v>
      </c>
      <c r="S266" s="1" t="s">
        <v>9030</v>
      </c>
      <c r="T266" s="1">
        <v>1</v>
      </c>
      <c r="U266" s="19"/>
      <c r="V266" s="19"/>
      <c r="W266" s="218">
        <v>1</v>
      </c>
      <c r="X266" s="218">
        <v>1</v>
      </c>
      <c r="Y266" s="218">
        <v>1</v>
      </c>
    </row>
    <row r="267" spans="1:25" x14ac:dyDescent="0.3">
      <c r="A267" s="1" t="s">
        <v>778</v>
      </c>
      <c r="B267" s="5">
        <v>46234</v>
      </c>
      <c r="C267" s="6">
        <v>0.52083333333333304</v>
      </c>
      <c r="D267" s="1" t="s">
        <v>18</v>
      </c>
      <c r="E267" s="1" t="s">
        <v>21</v>
      </c>
      <c r="F267" s="1" t="s">
        <v>779</v>
      </c>
      <c r="G267" s="39" t="s">
        <v>746</v>
      </c>
      <c r="H267" s="1">
        <v>1</v>
      </c>
      <c r="I267" s="1">
        <v>1</v>
      </c>
      <c r="J267" s="39" t="s">
        <v>752</v>
      </c>
      <c r="K267" s="1">
        <v>1</v>
      </c>
      <c r="L267" s="1">
        <v>1</v>
      </c>
      <c r="S267" s="1" t="s">
        <v>9031</v>
      </c>
      <c r="T267" s="1">
        <v>1</v>
      </c>
      <c r="U267" s="19"/>
      <c r="V267" s="19"/>
      <c r="W267" s="218">
        <v>1</v>
      </c>
      <c r="X267" s="218">
        <v>1</v>
      </c>
      <c r="Y267" s="218">
        <v>1</v>
      </c>
    </row>
    <row r="268" spans="1:25" x14ac:dyDescent="0.3">
      <c r="A268" s="1" t="s">
        <v>781</v>
      </c>
      <c r="B268" s="5">
        <v>46166</v>
      </c>
      <c r="C268" s="6">
        <v>0.52083333333333304</v>
      </c>
      <c r="D268" s="1" t="s">
        <v>18</v>
      </c>
      <c r="E268" s="1" t="s">
        <v>21</v>
      </c>
      <c r="F268" s="1" t="s">
        <v>2928</v>
      </c>
      <c r="G268" s="39" t="s">
        <v>163</v>
      </c>
      <c r="H268" s="1">
        <v>0</v>
      </c>
      <c r="I268" s="1">
        <v>1</v>
      </c>
      <c r="J268" s="39" t="s">
        <v>2926</v>
      </c>
      <c r="K268" s="1">
        <v>1</v>
      </c>
      <c r="L268" s="1">
        <v>0</v>
      </c>
      <c r="S268" s="1" t="s">
        <v>9032</v>
      </c>
      <c r="T268" s="1">
        <v>1</v>
      </c>
      <c r="U268" s="19"/>
      <c r="V268" s="19"/>
      <c r="W268" s="218">
        <v>1</v>
      </c>
      <c r="X268" s="218">
        <v>1</v>
      </c>
      <c r="Y268" s="218">
        <v>1</v>
      </c>
    </row>
    <row r="269" spans="1:25" x14ac:dyDescent="0.3">
      <c r="A269" s="1" t="s">
        <v>782</v>
      </c>
      <c r="B269" s="5">
        <v>46171</v>
      </c>
      <c r="C269" s="6">
        <v>0.52083333333333304</v>
      </c>
      <c r="D269" s="1" t="s">
        <v>18</v>
      </c>
      <c r="E269" s="1" t="s">
        <v>21</v>
      </c>
      <c r="F269" s="1" t="s">
        <v>783</v>
      </c>
      <c r="G269" s="39" t="s">
        <v>757</v>
      </c>
      <c r="H269" s="1">
        <v>3</v>
      </c>
      <c r="I269" s="1">
        <v>0</v>
      </c>
      <c r="J269" s="39" t="s">
        <v>163</v>
      </c>
      <c r="K269" s="1">
        <v>0</v>
      </c>
      <c r="L269" s="1">
        <v>3</v>
      </c>
      <c r="S269" s="1" t="s">
        <v>9033</v>
      </c>
      <c r="T269" s="1">
        <v>1</v>
      </c>
      <c r="U269" s="19"/>
      <c r="V269" s="19"/>
      <c r="W269" s="218">
        <v>1</v>
      </c>
      <c r="X269" s="218">
        <v>1</v>
      </c>
      <c r="Y269" s="218">
        <v>1</v>
      </c>
    </row>
    <row r="270" spans="1:25" x14ac:dyDescent="0.3">
      <c r="A270" s="1" t="s">
        <v>784</v>
      </c>
      <c r="B270" s="5">
        <v>46178</v>
      </c>
      <c r="C270" s="6">
        <v>0.54166666666666696</v>
      </c>
      <c r="D270" s="1" t="s">
        <v>18</v>
      </c>
      <c r="E270" s="1" t="s">
        <v>21</v>
      </c>
      <c r="F270" s="1" t="s">
        <v>785</v>
      </c>
      <c r="G270" s="39" t="s">
        <v>163</v>
      </c>
      <c r="H270" s="1">
        <v>4</v>
      </c>
      <c r="I270" s="1">
        <v>1</v>
      </c>
      <c r="J270" s="39" t="s">
        <v>760</v>
      </c>
      <c r="K270" s="1">
        <v>1</v>
      </c>
      <c r="L270" s="1">
        <v>4</v>
      </c>
      <c r="S270" s="1" t="s">
        <v>9034</v>
      </c>
      <c r="T270" s="1">
        <v>1</v>
      </c>
      <c r="U270" s="19"/>
      <c r="V270" s="19"/>
      <c r="W270" s="218">
        <v>1</v>
      </c>
      <c r="X270" s="218">
        <v>1</v>
      </c>
      <c r="Y270" s="218">
        <v>1</v>
      </c>
    </row>
    <row r="271" spans="1:25" x14ac:dyDescent="0.3">
      <c r="A271" s="1" t="s">
        <v>786</v>
      </c>
      <c r="B271" s="5">
        <v>46185</v>
      </c>
      <c r="C271" s="6">
        <v>0.54166666666666696</v>
      </c>
      <c r="D271" s="1" t="s">
        <v>18</v>
      </c>
      <c r="E271" s="1" t="s">
        <v>21</v>
      </c>
      <c r="F271" s="1" t="s">
        <v>787</v>
      </c>
      <c r="G271" s="39" t="s">
        <v>745</v>
      </c>
      <c r="H271" s="1">
        <v>4</v>
      </c>
      <c r="I271" s="1">
        <v>3</v>
      </c>
      <c r="J271" s="39" t="s">
        <v>163</v>
      </c>
      <c r="K271" s="1">
        <v>3</v>
      </c>
      <c r="L271" s="1">
        <v>4</v>
      </c>
      <c r="S271" s="1" t="s">
        <v>9035</v>
      </c>
      <c r="T271" s="1">
        <v>1</v>
      </c>
      <c r="U271" s="19"/>
      <c r="V271" s="19"/>
      <c r="W271" s="218">
        <v>1</v>
      </c>
      <c r="X271" s="218">
        <v>1</v>
      </c>
      <c r="Y271" s="218">
        <v>1</v>
      </c>
    </row>
    <row r="272" spans="1:25" x14ac:dyDescent="0.3">
      <c r="A272" s="1" t="s">
        <v>788</v>
      </c>
      <c r="B272" s="5">
        <v>46201</v>
      </c>
      <c r="C272" s="6">
        <v>0.52083333333333304</v>
      </c>
      <c r="D272" s="1" t="s">
        <v>18</v>
      </c>
      <c r="E272" s="1" t="s">
        <v>21</v>
      </c>
      <c r="F272" s="1" t="s">
        <v>789</v>
      </c>
      <c r="G272" s="39" t="s">
        <v>772</v>
      </c>
      <c r="H272" s="1">
        <v>2</v>
      </c>
      <c r="I272" s="1">
        <v>2</v>
      </c>
      <c r="J272" s="39" t="s">
        <v>163</v>
      </c>
      <c r="K272" s="1">
        <v>2</v>
      </c>
      <c r="L272" s="1">
        <v>2</v>
      </c>
      <c r="S272" s="1" t="s">
        <v>9036</v>
      </c>
      <c r="T272" s="1">
        <v>1</v>
      </c>
      <c r="U272" s="19"/>
      <c r="V272" s="19"/>
      <c r="W272" s="218">
        <v>1</v>
      </c>
      <c r="X272" s="218">
        <v>1</v>
      </c>
      <c r="Y272" s="218">
        <v>1</v>
      </c>
    </row>
    <row r="273" spans="1:25" x14ac:dyDescent="0.3">
      <c r="A273" s="1" t="s">
        <v>790</v>
      </c>
      <c r="B273" s="5">
        <v>46207</v>
      </c>
      <c r="C273" s="6">
        <v>0.41666666666666702</v>
      </c>
      <c r="D273" s="1" t="s">
        <v>18</v>
      </c>
      <c r="E273" s="1" t="s">
        <v>21</v>
      </c>
      <c r="F273" s="1" t="s">
        <v>791</v>
      </c>
      <c r="G273" s="39" t="s">
        <v>163</v>
      </c>
      <c r="H273" s="1">
        <v>2</v>
      </c>
      <c r="I273" s="1">
        <v>3</v>
      </c>
      <c r="J273" s="39" t="s">
        <v>749</v>
      </c>
      <c r="K273" s="1">
        <v>3</v>
      </c>
      <c r="L273" s="1">
        <v>2</v>
      </c>
      <c r="S273" s="1" t="s">
        <v>9037</v>
      </c>
      <c r="T273" s="1">
        <v>1</v>
      </c>
      <c r="U273" s="19"/>
      <c r="V273" s="19"/>
      <c r="W273" s="218">
        <v>1</v>
      </c>
      <c r="X273" s="218">
        <v>1</v>
      </c>
      <c r="Y273" s="218">
        <v>1</v>
      </c>
    </row>
    <row r="274" spans="1:25" x14ac:dyDescent="0.3">
      <c r="A274" s="1" t="s">
        <v>792</v>
      </c>
      <c r="B274" s="5">
        <v>46214</v>
      </c>
      <c r="C274" s="6">
        <v>0.41666666666666702</v>
      </c>
      <c r="D274" s="1" t="s">
        <v>18</v>
      </c>
      <c r="E274" s="1" t="s">
        <v>21</v>
      </c>
      <c r="F274" s="1" t="s">
        <v>793</v>
      </c>
      <c r="G274" s="39" t="s">
        <v>769</v>
      </c>
      <c r="H274" s="1">
        <v>4</v>
      </c>
      <c r="I274" s="1">
        <v>4</v>
      </c>
      <c r="J274" s="39" t="s">
        <v>163</v>
      </c>
      <c r="K274" s="1">
        <v>4</v>
      </c>
      <c r="L274" s="1">
        <v>4</v>
      </c>
      <c r="S274" s="1" t="s">
        <v>9038</v>
      </c>
      <c r="T274" s="1">
        <v>1</v>
      </c>
      <c r="U274" s="19"/>
      <c r="V274" s="19"/>
      <c r="W274" s="218">
        <v>1</v>
      </c>
      <c r="X274" s="218">
        <v>1</v>
      </c>
      <c r="Y274" s="218">
        <v>1</v>
      </c>
    </row>
    <row r="275" spans="1:25" ht="14.25" customHeight="1" x14ac:dyDescent="0.3">
      <c r="A275" s="1" t="s">
        <v>794</v>
      </c>
      <c r="B275" s="5">
        <v>46221</v>
      </c>
      <c r="C275" s="6">
        <v>0.41666666666666702</v>
      </c>
      <c r="D275" s="1" t="s">
        <v>18</v>
      </c>
      <c r="E275" s="1" t="s">
        <v>21</v>
      </c>
      <c r="F275" s="1" t="s">
        <v>795</v>
      </c>
      <c r="G275" s="39" t="s">
        <v>763</v>
      </c>
      <c r="H275" s="1">
        <v>3</v>
      </c>
      <c r="I275" s="1">
        <v>1</v>
      </c>
      <c r="J275" s="39" t="s">
        <v>163</v>
      </c>
      <c r="K275" s="1">
        <v>1</v>
      </c>
      <c r="L275" s="1">
        <v>3</v>
      </c>
      <c r="S275" s="1" t="s">
        <v>9039</v>
      </c>
      <c r="T275" s="1">
        <v>1</v>
      </c>
      <c r="U275" s="19"/>
      <c r="V275" s="19"/>
      <c r="W275" s="218">
        <v>1</v>
      </c>
      <c r="X275" s="218">
        <v>1</v>
      </c>
      <c r="Y275" s="218">
        <v>1</v>
      </c>
    </row>
    <row r="276" spans="1:25" ht="14.25" customHeight="1" x14ac:dyDescent="0.3">
      <c r="A276" s="1" t="s">
        <v>796</v>
      </c>
      <c r="B276" s="5">
        <v>46229</v>
      </c>
      <c r="C276" s="6">
        <v>0.52083333333333304</v>
      </c>
      <c r="D276" s="1" t="s">
        <v>18</v>
      </c>
      <c r="E276" s="1" t="s">
        <v>21</v>
      </c>
      <c r="F276" s="1" t="s">
        <v>797</v>
      </c>
      <c r="G276" s="39" t="s">
        <v>163</v>
      </c>
      <c r="H276" s="1">
        <v>2</v>
      </c>
      <c r="I276" s="1">
        <v>2</v>
      </c>
      <c r="J276" s="39" t="s">
        <v>752</v>
      </c>
      <c r="K276" s="1">
        <v>2</v>
      </c>
      <c r="L276" s="1">
        <v>2</v>
      </c>
      <c r="S276" s="1" t="s">
        <v>9040</v>
      </c>
      <c r="T276" s="1">
        <v>1</v>
      </c>
      <c r="U276" s="19"/>
      <c r="V276" s="19"/>
      <c r="W276" s="218">
        <v>1</v>
      </c>
      <c r="X276" s="218">
        <v>1</v>
      </c>
      <c r="Y276" s="218">
        <v>1</v>
      </c>
    </row>
    <row r="277" spans="1:25" ht="14.25" customHeight="1" x14ac:dyDescent="0.3">
      <c r="A277" s="1" t="s">
        <v>913</v>
      </c>
      <c r="B277" s="5">
        <v>46241</v>
      </c>
      <c r="C277" s="6">
        <v>0.52083333333333304</v>
      </c>
      <c r="D277" s="1" t="s">
        <v>18</v>
      </c>
      <c r="E277" s="1" t="s">
        <v>21</v>
      </c>
      <c r="F277" s="1" t="s">
        <v>780</v>
      </c>
      <c r="G277" s="39" t="s">
        <v>163</v>
      </c>
      <c r="H277" s="1">
        <v>0</v>
      </c>
      <c r="I277" s="1">
        <v>1</v>
      </c>
      <c r="J277" s="39" t="s">
        <v>746</v>
      </c>
      <c r="K277" s="1">
        <v>1</v>
      </c>
      <c r="L277" s="1">
        <v>0</v>
      </c>
      <c r="M277" s="1" t="s">
        <v>59</v>
      </c>
      <c r="N277" s="1" t="s">
        <v>205</v>
      </c>
      <c r="O277" s="46">
        <v>1.2250000000000001</v>
      </c>
      <c r="P277" s="14">
        <v>0.5</v>
      </c>
      <c r="Q277" s="1" t="s">
        <v>73</v>
      </c>
      <c r="R277" s="14">
        <v>-0.5</v>
      </c>
      <c r="S277" s="1" t="s">
        <v>9041</v>
      </c>
      <c r="T277" s="1">
        <v>1</v>
      </c>
      <c r="U277" s="19"/>
      <c r="V277" s="19"/>
      <c r="W277" s="218">
        <v>1</v>
      </c>
      <c r="X277" s="218">
        <v>1</v>
      </c>
      <c r="Y277" s="218">
        <v>1</v>
      </c>
    </row>
    <row r="278" spans="1:25" ht="14.25" customHeight="1" x14ac:dyDescent="0.3">
      <c r="A278" s="1" t="s">
        <v>914</v>
      </c>
      <c r="B278" s="5">
        <v>46241</v>
      </c>
      <c r="C278" s="6">
        <v>0.52083333333333304</v>
      </c>
      <c r="D278" s="1" t="s">
        <v>18</v>
      </c>
      <c r="E278" s="1" t="s">
        <v>23</v>
      </c>
      <c r="F278" s="1" t="s">
        <v>2975</v>
      </c>
      <c r="G278" s="39" t="s">
        <v>2946</v>
      </c>
      <c r="H278" s="1">
        <v>1</v>
      </c>
      <c r="I278" s="1">
        <v>3</v>
      </c>
      <c r="J278" s="39" t="s">
        <v>565</v>
      </c>
      <c r="K278" s="1">
        <v>3</v>
      </c>
      <c r="L278" s="1">
        <v>1</v>
      </c>
      <c r="M278" s="1" t="s">
        <v>59</v>
      </c>
      <c r="N278" s="1" t="s">
        <v>98</v>
      </c>
      <c r="O278" s="46">
        <v>1.2</v>
      </c>
      <c r="P278" s="14">
        <v>0.5</v>
      </c>
      <c r="Q278" s="1" t="s">
        <v>61</v>
      </c>
      <c r="R278" s="14">
        <v>0.1</v>
      </c>
      <c r="S278" s="1" t="s">
        <v>9042</v>
      </c>
      <c r="T278" s="1">
        <v>1</v>
      </c>
      <c r="U278" s="19"/>
      <c r="V278" s="19"/>
      <c r="W278" s="218">
        <v>1</v>
      </c>
      <c r="X278" s="218">
        <v>1</v>
      </c>
      <c r="Y278" s="218">
        <v>1</v>
      </c>
    </row>
    <row r="279" spans="1:25" ht="14.25" customHeight="1" x14ac:dyDescent="0.3">
      <c r="A279" s="1" t="s">
        <v>915</v>
      </c>
      <c r="B279" s="5">
        <v>46241</v>
      </c>
      <c r="C279" s="6">
        <v>0.35763888888888901</v>
      </c>
      <c r="D279" s="1" t="s">
        <v>888</v>
      </c>
      <c r="E279" s="1" t="s">
        <v>889</v>
      </c>
      <c r="F279" s="1" t="s">
        <v>890</v>
      </c>
      <c r="G279" s="39" t="s">
        <v>891</v>
      </c>
      <c r="H279" s="1">
        <v>4</v>
      </c>
      <c r="I279" s="1">
        <v>0</v>
      </c>
      <c r="J279" s="39" t="s">
        <v>892</v>
      </c>
      <c r="K279" s="1">
        <v>0</v>
      </c>
      <c r="L279" s="1">
        <v>4</v>
      </c>
      <c r="M279" s="1" t="s">
        <v>59</v>
      </c>
      <c r="N279" s="1" t="s">
        <v>60</v>
      </c>
      <c r="O279" s="46">
        <v>1.1399999999999999</v>
      </c>
      <c r="P279" s="14">
        <v>0.5</v>
      </c>
      <c r="Q279" s="1" t="s">
        <v>61</v>
      </c>
      <c r="R279" s="14">
        <v>7.0000000000000007E-2</v>
      </c>
      <c r="S279" s="1" t="s">
        <v>9043</v>
      </c>
      <c r="T279" s="1">
        <v>1</v>
      </c>
      <c r="U279" s="19"/>
      <c r="V279" s="19"/>
      <c r="W279" s="218">
        <v>1</v>
      </c>
      <c r="X279" s="218">
        <v>1</v>
      </c>
      <c r="Y279" s="218">
        <v>1</v>
      </c>
    </row>
    <row r="280" spans="1:25" ht="14.25" customHeight="1" x14ac:dyDescent="0.3">
      <c r="A280" s="1" t="s">
        <v>916</v>
      </c>
      <c r="B280" s="5">
        <v>46241</v>
      </c>
      <c r="C280" s="6">
        <v>0.22916666666666699</v>
      </c>
      <c r="D280" s="1" t="s">
        <v>7</v>
      </c>
      <c r="E280" s="1" t="s">
        <v>8</v>
      </c>
      <c r="F280" s="1" t="s">
        <v>894</v>
      </c>
      <c r="G280" s="39" t="s">
        <v>895</v>
      </c>
      <c r="H280" s="1">
        <v>4</v>
      </c>
      <c r="I280" s="1">
        <v>2</v>
      </c>
      <c r="J280" s="39" t="s">
        <v>260</v>
      </c>
      <c r="K280" s="1">
        <v>2</v>
      </c>
      <c r="L280" s="1">
        <v>4</v>
      </c>
      <c r="M280" s="1" t="s">
        <v>59</v>
      </c>
      <c r="N280" s="1" t="s">
        <v>205</v>
      </c>
      <c r="O280" s="46">
        <v>1.26</v>
      </c>
      <c r="P280" s="14">
        <v>0.5</v>
      </c>
      <c r="Q280" s="1" t="s">
        <v>61</v>
      </c>
      <c r="R280" s="14">
        <v>0.13</v>
      </c>
      <c r="S280" s="1" t="s">
        <v>9044</v>
      </c>
      <c r="T280" s="1">
        <v>1</v>
      </c>
      <c r="U280" s="19"/>
      <c r="V280" s="19"/>
      <c r="W280" s="218">
        <v>1</v>
      </c>
      <c r="X280" s="218">
        <v>1</v>
      </c>
      <c r="Y280" s="218">
        <v>1</v>
      </c>
    </row>
    <row r="281" spans="1:25" ht="14.25" customHeight="1" x14ac:dyDescent="0.3">
      <c r="A281" s="1" t="s">
        <v>917</v>
      </c>
      <c r="B281" s="5">
        <v>46239</v>
      </c>
      <c r="C281" s="6">
        <v>0.875</v>
      </c>
      <c r="D281" s="1" t="s">
        <v>10</v>
      </c>
      <c r="E281" s="1" t="s">
        <v>11</v>
      </c>
      <c r="F281" s="1" t="s">
        <v>897</v>
      </c>
      <c r="G281" s="39" t="s">
        <v>681</v>
      </c>
      <c r="H281" s="1">
        <v>2</v>
      </c>
      <c r="I281" s="1">
        <v>1</v>
      </c>
      <c r="J281" s="39" t="s">
        <v>662</v>
      </c>
      <c r="K281" s="1">
        <v>1</v>
      </c>
      <c r="L281" s="1">
        <v>2</v>
      </c>
      <c r="M281" s="1" t="s">
        <v>59</v>
      </c>
      <c r="N281" s="1" t="s">
        <v>98</v>
      </c>
      <c r="O281" s="46">
        <v>1.17</v>
      </c>
      <c r="P281" s="14">
        <v>0.5</v>
      </c>
      <c r="Q281" s="1" t="s">
        <v>61</v>
      </c>
      <c r="R281" s="14">
        <v>0.08</v>
      </c>
      <c r="S281" s="1" t="s">
        <v>9045</v>
      </c>
      <c r="T281" s="1">
        <v>1</v>
      </c>
      <c r="U281" s="19"/>
      <c r="V281" s="19"/>
      <c r="W281" s="218">
        <v>1</v>
      </c>
      <c r="X281" s="218">
        <v>1</v>
      </c>
      <c r="Y281" s="218">
        <v>1</v>
      </c>
    </row>
    <row r="282" spans="1:25" ht="14.25" customHeight="1" x14ac:dyDescent="0.3">
      <c r="A282" s="1" t="s">
        <v>918</v>
      </c>
      <c r="B282" s="5">
        <v>46239</v>
      </c>
      <c r="C282" s="6">
        <v>0.79166666666666696</v>
      </c>
      <c r="D282" s="1" t="s">
        <v>10</v>
      </c>
      <c r="E282" s="1" t="s">
        <v>11</v>
      </c>
      <c r="F282" s="1" t="s">
        <v>898</v>
      </c>
      <c r="G282" s="39" t="s">
        <v>668</v>
      </c>
      <c r="H282" s="1">
        <v>2</v>
      </c>
      <c r="I282" s="1">
        <v>3</v>
      </c>
      <c r="J282" s="39" t="s">
        <v>181</v>
      </c>
      <c r="K282" s="1">
        <v>3</v>
      </c>
      <c r="L282" s="1">
        <v>2</v>
      </c>
      <c r="M282" s="1" t="s">
        <v>59</v>
      </c>
      <c r="N282" s="1" t="s">
        <v>60</v>
      </c>
      <c r="O282" s="46">
        <v>1.2250000000000001</v>
      </c>
      <c r="P282" s="14">
        <v>0.5</v>
      </c>
      <c r="Q282" s="1" t="s">
        <v>61</v>
      </c>
      <c r="R282" s="14">
        <v>0.11</v>
      </c>
      <c r="S282" s="1" t="s">
        <v>9046</v>
      </c>
      <c r="T282" s="1">
        <v>1</v>
      </c>
      <c r="U282" s="19"/>
      <c r="V282" s="19"/>
      <c r="W282" s="218">
        <v>1</v>
      </c>
      <c r="X282" s="218">
        <v>1</v>
      </c>
      <c r="Y282" s="218">
        <v>1</v>
      </c>
    </row>
    <row r="283" spans="1:25" ht="14.25" customHeight="1" x14ac:dyDescent="0.3">
      <c r="A283" s="1" t="s">
        <v>919</v>
      </c>
      <c r="B283" s="5">
        <v>46239</v>
      </c>
      <c r="C283" s="6">
        <v>0.625</v>
      </c>
      <c r="D283" s="1" t="s">
        <v>24</v>
      </c>
      <c r="E283" s="1" t="s">
        <v>4288</v>
      </c>
      <c r="F283" s="1" t="s">
        <v>900</v>
      </c>
      <c r="G283" s="39" t="s">
        <v>901</v>
      </c>
      <c r="H283" s="1">
        <v>3</v>
      </c>
      <c r="I283" s="1">
        <v>0</v>
      </c>
      <c r="J283" s="39" t="s">
        <v>80</v>
      </c>
      <c r="K283" s="1">
        <v>0</v>
      </c>
      <c r="L283" s="1">
        <v>3</v>
      </c>
      <c r="M283" s="1" t="s">
        <v>59</v>
      </c>
      <c r="N283" s="1" t="s">
        <v>98</v>
      </c>
      <c r="O283" s="46">
        <v>1.24</v>
      </c>
      <c r="P283" s="14">
        <v>0.5</v>
      </c>
      <c r="Q283" s="1" t="s">
        <v>61</v>
      </c>
      <c r="R283" s="14">
        <v>0.12</v>
      </c>
      <c r="S283" s="1" t="s">
        <v>9047</v>
      </c>
      <c r="T283" s="1">
        <v>1</v>
      </c>
      <c r="U283" s="19"/>
      <c r="V283" s="19"/>
      <c r="W283" s="218">
        <v>1</v>
      </c>
      <c r="X283" s="218">
        <v>1</v>
      </c>
      <c r="Y283" s="218">
        <v>1</v>
      </c>
    </row>
    <row r="284" spans="1:25" ht="14.25" customHeight="1" x14ac:dyDescent="0.3">
      <c r="A284" s="1" t="s">
        <v>920</v>
      </c>
      <c r="B284" s="5">
        <v>46239</v>
      </c>
      <c r="C284" s="6">
        <v>0.54166666666666696</v>
      </c>
      <c r="D284" s="1" t="s">
        <v>18</v>
      </c>
      <c r="E284" s="1" t="s">
        <v>21</v>
      </c>
      <c r="F284" s="1" t="s">
        <v>903</v>
      </c>
      <c r="G284" s="39" t="s">
        <v>752</v>
      </c>
      <c r="H284" s="1">
        <v>0</v>
      </c>
      <c r="I284" s="1">
        <v>0</v>
      </c>
      <c r="J284" s="39" t="s">
        <v>757</v>
      </c>
      <c r="K284" s="1">
        <v>0</v>
      </c>
      <c r="L284" s="1">
        <v>0</v>
      </c>
      <c r="M284" s="1" t="s">
        <v>59</v>
      </c>
      <c r="N284" s="1" t="s">
        <v>60</v>
      </c>
      <c r="O284" s="46">
        <v>1.125</v>
      </c>
      <c r="P284" s="14">
        <v>0.5</v>
      </c>
      <c r="Q284" s="1" t="s">
        <v>73</v>
      </c>
      <c r="R284" s="14">
        <v>-0.5</v>
      </c>
      <c r="S284" s="1" t="s">
        <v>9048</v>
      </c>
      <c r="T284" s="1">
        <v>1</v>
      </c>
      <c r="U284" s="19"/>
      <c r="V284" s="19"/>
      <c r="W284" s="218">
        <v>1</v>
      </c>
      <c r="X284" s="218">
        <v>1</v>
      </c>
      <c r="Y284" s="218">
        <v>1</v>
      </c>
    </row>
    <row r="285" spans="1:25" ht="14.25" customHeight="1" x14ac:dyDescent="0.3">
      <c r="A285" s="1" t="s">
        <v>921</v>
      </c>
      <c r="B285" s="5">
        <v>46239</v>
      </c>
      <c r="C285" s="6">
        <v>0.52083333333333304</v>
      </c>
      <c r="D285" s="1" t="s">
        <v>18</v>
      </c>
      <c r="E285" s="1" t="s">
        <v>21</v>
      </c>
      <c r="F285" s="1" t="s">
        <v>905</v>
      </c>
      <c r="G285" s="39" t="s">
        <v>745</v>
      </c>
      <c r="H285" s="1">
        <v>2</v>
      </c>
      <c r="I285" s="1">
        <v>1</v>
      </c>
      <c r="J285" s="39" t="s">
        <v>769</v>
      </c>
      <c r="K285" s="1">
        <v>1</v>
      </c>
      <c r="L285" s="1">
        <v>2</v>
      </c>
      <c r="M285" s="1" t="s">
        <v>59</v>
      </c>
      <c r="N285" s="1" t="s">
        <v>60</v>
      </c>
      <c r="O285" s="46">
        <v>1.1299999999999999</v>
      </c>
      <c r="P285" s="14">
        <v>0.5</v>
      </c>
      <c r="Q285" s="1" t="s">
        <v>61</v>
      </c>
      <c r="R285" s="14">
        <v>0.06</v>
      </c>
      <c r="S285" s="1" t="s">
        <v>9049</v>
      </c>
      <c r="T285" s="1">
        <v>1</v>
      </c>
      <c r="U285" s="19"/>
      <c r="V285" s="19"/>
      <c r="W285" s="218">
        <v>1</v>
      </c>
      <c r="X285" s="218">
        <v>1</v>
      </c>
      <c r="Y285" s="218">
        <v>1</v>
      </c>
    </row>
    <row r="286" spans="1:25" ht="14.25" customHeight="1" x14ac:dyDescent="0.3">
      <c r="A286" s="1" t="s">
        <v>922</v>
      </c>
      <c r="B286" s="5">
        <v>46239</v>
      </c>
      <c r="C286" s="6">
        <v>0.52083333333333304</v>
      </c>
      <c r="D286" s="1" t="s">
        <v>18</v>
      </c>
      <c r="E286" s="1" t="s">
        <v>21</v>
      </c>
      <c r="F286" s="1" t="s">
        <v>2929</v>
      </c>
      <c r="G286" s="39" t="s">
        <v>2926</v>
      </c>
      <c r="H286" s="1">
        <v>2</v>
      </c>
      <c r="I286" s="1">
        <v>2</v>
      </c>
      <c r="J286" s="39" t="s">
        <v>766</v>
      </c>
      <c r="K286" s="1">
        <v>2</v>
      </c>
      <c r="L286" s="1">
        <v>2</v>
      </c>
      <c r="M286" s="1" t="s">
        <v>59</v>
      </c>
      <c r="N286" s="1" t="s">
        <v>98</v>
      </c>
      <c r="O286" s="46">
        <v>1.2250000000000001</v>
      </c>
      <c r="P286" s="14">
        <v>0.5</v>
      </c>
      <c r="Q286" s="1" t="s">
        <v>61</v>
      </c>
      <c r="R286" s="14">
        <v>0.11</v>
      </c>
      <c r="S286" s="1" t="s">
        <v>9050</v>
      </c>
      <c r="T286" s="1">
        <v>1</v>
      </c>
      <c r="U286" s="19"/>
      <c r="V286" s="19"/>
      <c r="W286" s="218">
        <v>1</v>
      </c>
      <c r="X286" s="218">
        <v>1</v>
      </c>
      <c r="Y286" s="218">
        <v>1</v>
      </c>
    </row>
    <row r="287" spans="1:25" ht="14.25" customHeight="1" x14ac:dyDescent="0.3">
      <c r="A287" s="1" t="s">
        <v>923</v>
      </c>
      <c r="B287" s="5">
        <v>46239</v>
      </c>
      <c r="C287" s="6">
        <v>0.5</v>
      </c>
      <c r="D287" s="1" t="s">
        <v>18</v>
      </c>
      <c r="E287" s="1" t="s">
        <v>21</v>
      </c>
      <c r="F287" s="1" t="s">
        <v>907</v>
      </c>
      <c r="G287" s="39" t="s">
        <v>772</v>
      </c>
      <c r="H287" s="1">
        <v>4</v>
      </c>
      <c r="I287" s="1">
        <v>2</v>
      </c>
      <c r="J287" s="39" t="s">
        <v>763</v>
      </c>
      <c r="K287" s="1">
        <v>2</v>
      </c>
      <c r="L287" s="1">
        <v>4</v>
      </c>
      <c r="M287" s="1" t="s">
        <v>59</v>
      </c>
      <c r="N287" s="1" t="s">
        <v>152</v>
      </c>
      <c r="O287" s="46">
        <v>1.1200000000000001</v>
      </c>
      <c r="P287" s="14">
        <v>0.5</v>
      </c>
      <c r="Q287" s="1" t="s">
        <v>61</v>
      </c>
      <c r="R287" s="14">
        <v>0.06</v>
      </c>
      <c r="S287" s="1" t="s">
        <v>9051</v>
      </c>
      <c r="T287" s="1">
        <v>1</v>
      </c>
      <c r="U287" s="19"/>
      <c r="V287" s="19"/>
      <c r="W287" s="218">
        <v>1</v>
      </c>
      <c r="X287" s="218">
        <v>1</v>
      </c>
      <c r="Y287" s="218">
        <v>1</v>
      </c>
    </row>
    <row r="288" spans="1:25" ht="14.25" customHeight="1" x14ac:dyDescent="0.3">
      <c r="A288" s="1" t="s">
        <v>924</v>
      </c>
      <c r="B288" s="5">
        <v>46238</v>
      </c>
      <c r="C288" s="6">
        <v>0.875</v>
      </c>
      <c r="D288" s="1" t="s">
        <v>10</v>
      </c>
      <c r="E288" s="1" t="s">
        <v>11</v>
      </c>
      <c r="F288" s="1" t="s">
        <v>909</v>
      </c>
      <c r="G288" s="39" t="s">
        <v>665</v>
      </c>
      <c r="H288" s="1">
        <v>3</v>
      </c>
      <c r="I288" s="1">
        <v>0</v>
      </c>
      <c r="J288" s="39" t="s">
        <v>189</v>
      </c>
      <c r="K288" s="1">
        <v>0</v>
      </c>
      <c r="L288" s="1">
        <v>3</v>
      </c>
      <c r="M288" s="1" t="s">
        <v>59</v>
      </c>
      <c r="N288" s="1" t="s">
        <v>120</v>
      </c>
      <c r="O288" s="46">
        <v>1.115</v>
      </c>
      <c r="P288" s="14">
        <v>0.5</v>
      </c>
      <c r="Q288" s="1" t="s">
        <v>61</v>
      </c>
      <c r="R288" s="14">
        <v>0.06</v>
      </c>
      <c r="S288" s="1" t="s">
        <v>9052</v>
      </c>
      <c r="T288" s="1">
        <v>1</v>
      </c>
      <c r="U288" s="19"/>
      <c r="V288" s="19"/>
      <c r="W288" s="218">
        <v>1</v>
      </c>
      <c r="X288" s="218">
        <v>1</v>
      </c>
      <c r="Y288" s="218">
        <v>1</v>
      </c>
    </row>
    <row r="289" spans="1:25" ht="14.25" customHeight="1" x14ac:dyDescent="0.3">
      <c r="A289" s="1" t="s">
        <v>925</v>
      </c>
      <c r="B289" s="5">
        <v>46238</v>
      </c>
      <c r="C289" s="6">
        <v>0.64583333333333304</v>
      </c>
      <c r="D289" s="1" t="s">
        <v>24</v>
      </c>
      <c r="E289" s="1" t="s">
        <v>4288</v>
      </c>
      <c r="F289" s="1" t="s">
        <v>4530</v>
      </c>
      <c r="G289" s="39" t="s">
        <v>4529</v>
      </c>
      <c r="H289" s="1">
        <v>1</v>
      </c>
      <c r="I289" s="1">
        <v>0</v>
      </c>
      <c r="J289" s="39" t="s">
        <v>77</v>
      </c>
      <c r="K289" s="1">
        <v>0</v>
      </c>
      <c r="L289" s="1">
        <v>1</v>
      </c>
      <c r="M289" s="1" t="s">
        <v>59</v>
      </c>
      <c r="N289" s="1" t="s">
        <v>60</v>
      </c>
      <c r="O289" s="46">
        <v>1.1299999999999999</v>
      </c>
      <c r="P289" s="14">
        <v>0.5</v>
      </c>
      <c r="Q289" s="1" t="s">
        <v>73</v>
      </c>
      <c r="R289" s="14">
        <v>-0.5</v>
      </c>
      <c r="S289" s="1" t="s">
        <v>9053</v>
      </c>
      <c r="T289" s="1">
        <v>1</v>
      </c>
      <c r="U289" s="19"/>
      <c r="V289" s="19"/>
      <c r="W289" s="218">
        <v>1</v>
      </c>
      <c r="X289" s="218">
        <v>1</v>
      </c>
      <c r="Y289" s="218">
        <v>1</v>
      </c>
    </row>
    <row r="290" spans="1:25" ht="14.25" customHeight="1" x14ac:dyDescent="0.3">
      <c r="A290" s="1" t="s">
        <v>926</v>
      </c>
      <c r="B290" s="5">
        <v>46238</v>
      </c>
      <c r="C290" s="6">
        <v>0.66666666666666696</v>
      </c>
      <c r="D290" s="1" t="s">
        <v>10</v>
      </c>
      <c r="E290" s="1" t="s">
        <v>11</v>
      </c>
      <c r="F290" s="1" t="s">
        <v>912</v>
      </c>
      <c r="G290" s="39" t="s">
        <v>190</v>
      </c>
      <c r="H290" s="1">
        <v>4</v>
      </c>
      <c r="I290" s="1">
        <v>1</v>
      </c>
      <c r="J290" s="39" t="s">
        <v>225</v>
      </c>
      <c r="K290" s="1">
        <v>1</v>
      </c>
      <c r="L290" s="1">
        <v>4</v>
      </c>
      <c r="M290" s="1" t="s">
        <v>59</v>
      </c>
      <c r="N290" s="1" t="s">
        <v>60</v>
      </c>
      <c r="O290" s="46">
        <v>1.125</v>
      </c>
      <c r="P290" s="14">
        <v>0.5</v>
      </c>
      <c r="Q290" s="1" t="s">
        <v>61</v>
      </c>
      <c r="R290" s="14">
        <v>0.06</v>
      </c>
      <c r="S290" s="1" t="s">
        <v>9054</v>
      </c>
      <c r="T290" s="1">
        <v>1</v>
      </c>
      <c r="U290" s="19"/>
      <c r="V290" s="19"/>
      <c r="W290" s="218">
        <v>1</v>
      </c>
      <c r="X290" s="218">
        <v>1</v>
      </c>
      <c r="Y290" s="218">
        <v>1</v>
      </c>
    </row>
    <row r="291" spans="1:25" ht="14.25" customHeight="1" x14ac:dyDescent="0.3">
      <c r="A291" s="1" t="s">
        <v>927</v>
      </c>
      <c r="B291" s="5">
        <v>46238</v>
      </c>
      <c r="C291" s="6">
        <v>0.54166666666666696</v>
      </c>
      <c r="D291" s="1" t="s">
        <v>18</v>
      </c>
      <c r="E291" s="1" t="s">
        <v>430</v>
      </c>
      <c r="F291" s="1" t="s">
        <v>460</v>
      </c>
      <c r="G291" s="39" t="s">
        <v>433</v>
      </c>
      <c r="H291" s="1">
        <v>7</v>
      </c>
      <c r="I291" s="1">
        <v>0</v>
      </c>
      <c r="J291" s="39" t="s">
        <v>439</v>
      </c>
      <c r="K291" s="1">
        <v>0</v>
      </c>
      <c r="L291" s="1">
        <v>7</v>
      </c>
      <c r="M291" s="1" t="s">
        <v>59</v>
      </c>
      <c r="N291" s="1" t="s">
        <v>205</v>
      </c>
      <c r="O291" s="46">
        <v>1.1399999999999999</v>
      </c>
      <c r="P291" s="14">
        <v>0.5</v>
      </c>
      <c r="Q291" s="1" t="s">
        <v>61</v>
      </c>
      <c r="R291" s="14">
        <v>7.0000000000000007E-2</v>
      </c>
      <c r="S291" s="1" t="s">
        <v>9055</v>
      </c>
      <c r="T291">
        <v>1</v>
      </c>
      <c r="U291" s="19"/>
      <c r="V291" s="19"/>
      <c r="W291" s="218">
        <v>1</v>
      </c>
      <c r="X291" s="218">
        <v>1</v>
      </c>
      <c r="Y291" s="218">
        <v>1</v>
      </c>
    </row>
    <row r="292" spans="1:25" ht="14.25" customHeight="1" x14ac:dyDescent="0.3">
      <c r="A292" s="1" t="s">
        <v>931</v>
      </c>
      <c r="B292" s="5">
        <v>46237</v>
      </c>
      <c r="C292" s="6">
        <v>0.91666666666666696</v>
      </c>
      <c r="D292" s="1" t="s">
        <v>17</v>
      </c>
      <c r="E292" s="1" t="s">
        <v>4056</v>
      </c>
      <c r="F292" s="1" t="s">
        <v>930</v>
      </c>
      <c r="G292" s="39" t="s">
        <v>929</v>
      </c>
      <c r="H292" s="1">
        <v>2</v>
      </c>
      <c r="I292" s="1">
        <v>1</v>
      </c>
      <c r="J292" s="39" t="s">
        <v>928</v>
      </c>
      <c r="K292" s="1">
        <v>1</v>
      </c>
      <c r="L292" s="1">
        <v>2</v>
      </c>
      <c r="M292" s="1" t="s">
        <v>59</v>
      </c>
      <c r="N292" s="1" t="s">
        <v>85</v>
      </c>
      <c r="O292" s="46">
        <v>1.18</v>
      </c>
      <c r="P292" s="14">
        <v>0.5</v>
      </c>
      <c r="Q292" s="1" t="s">
        <v>61</v>
      </c>
      <c r="R292" s="14">
        <v>0.09</v>
      </c>
      <c r="S292" s="1" t="s">
        <v>9056</v>
      </c>
      <c r="T292">
        <v>1</v>
      </c>
      <c r="U292" s="19"/>
      <c r="V292" s="19"/>
      <c r="W292" s="218">
        <v>1</v>
      </c>
      <c r="X292" s="218">
        <v>1</v>
      </c>
      <c r="Y292" s="218">
        <v>1</v>
      </c>
    </row>
    <row r="293" spans="1:25" ht="14.25" customHeight="1" x14ac:dyDescent="0.3">
      <c r="A293" s="1" t="s">
        <v>933</v>
      </c>
      <c r="B293" s="5">
        <v>46241</v>
      </c>
      <c r="C293" s="6">
        <v>0.54166666666666696</v>
      </c>
      <c r="D293" s="1" t="s">
        <v>18</v>
      </c>
      <c r="E293" s="1" t="s">
        <v>22</v>
      </c>
      <c r="F293" s="1" t="s">
        <v>2996</v>
      </c>
      <c r="G293" s="39" t="s">
        <v>2984</v>
      </c>
      <c r="H293" s="1">
        <v>4</v>
      </c>
      <c r="I293" s="1">
        <v>2</v>
      </c>
      <c r="J293" s="39" t="s">
        <v>2987</v>
      </c>
      <c r="K293" s="1">
        <v>2</v>
      </c>
      <c r="L293" s="1">
        <v>4</v>
      </c>
      <c r="M293" s="1" t="s">
        <v>59</v>
      </c>
      <c r="N293" s="1" t="s">
        <v>205</v>
      </c>
      <c r="O293" s="46">
        <v>1.1599999999999999</v>
      </c>
      <c r="P293" s="14">
        <v>0.5</v>
      </c>
      <c r="Q293" s="1" t="s">
        <v>61</v>
      </c>
      <c r="R293" s="14">
        <v>0.08</v>
      </c>
      <c r="S293" s="1" t="s">
        <v>9057</v>
      </c>
      <c r="T293" s="1">
        <v>1</v>
      </c>
      <c r="U293" s="19"/>
      <c r="V293" s="19"/>
      <c r="W293" s="218">
        <v>1</v>
      </c>
      <c r="X293" s="218">
        <v>1</v>
      </c>
      <c r="Y293" s="218">
        <v>1</v>
      </c>
    </row>
    <row r="294" spans="1:25" ht="14.25" customHeight="1" x14ac:dyDescent="0.3">
      <c r="A294" s="1" t="s">
        <v>934</v>
      </c>
      <c r="B294" s="5">
        <v>46241</v>
      </c>
      <c r="C294" s="6">
        <v>0.54166666666666696</v>
      </c>
      <c r="D294" s="1" t="s">
        <v>18</v>
      </c>
      <c r="E294" s="1" t="s">
        <v>22</v>
      </c>
      <c r="F294" s="1" t="s">
        <v>885</v>
      </c>
      <c r="G294" s="39" t="s">
        <v>288</v>
      </c>
      <c r="H294" s="1">
        <v>2</v>
      </c>
      <c r="I294" s="1">
        <v>2</v>
      </c>
      <c r="J294" s="39" t="s">
        <v>306</v>
      </c>
      <c r="K294" s="1">
        <v>2</v>
      </c>
      <c r="L294" s="1">
        <v>2</v>
      </c>
      <c r="M294" s="1" t="s">
        <v>59</v>
      </c>
      <c r="N294" s="1" t="s">
        <v>120</v>
      </c>
      <c r="O294" s="46">
        <v>1.1000000000000001</v>
      </c>
      <c r="P294" s="14">
        <v>0.5</v>
      </c>
      <c r="Q294" s="1" t="s">
        <v>61</v>
      </c>
      <c r="R294" s="14">
        <v>0.05</v>
      </c>
      <c r="S294" s="1" t="s">
        <v>9058</v>
      </c>
      <c r="T294">
        <v>1</v>
      </c>
      <c r="U294" s="19"/>
      <c r="V294" s="19"/>
      <c r="W294" s="218">
        <v>1</v>
      </c>
      <c r="X294" s="218">
        <v>1</v>
      </c>
      <c r="Y294" s="218">
        <v>1</v>
      </c>
    </row>
    <row r="295" spans="1:25" ht="14.25" customHeight="1" x14ac:dyDescent="0.3">
      <c r="A295" s="1" t="s">
        <v>941</v>
      </c>
      <c r="B295" s="5">
        <v>46237</v>
      </c>
      <c r="C295" s="6">
        <v>0.67708333333333304</v>
      </c>
      <c r="D295" s="1" t="s">
        <v>24</v>
      </c>
      <c r="E295" s="1" t="s">
        <v>4288</v>
      </c>
      <c r="F295" s="1" t="s">
        <v>940</v>
      </c>
      <c r="G295" s="39" t="s">
        <v>939</v>
      </c>
      <c r="H295" s="1">
        <v>2</v>
      </c>
      <c r="I295" s="1">
        <v>3</v>
      </c>
      <c r="J295" s="39" t="s">
        <v>938</v>
      </c>
      <c r="K295" s="1">
        <v>3</v>
      </c>
      <c r="L295" s="1">
        <v>2</v>
      </c>
      <c r="M295" s="1" t="s">
        <v>59</v>
      </c>
      <c r="N295" s="1" t="s">
        <v>205</v>
      </c>
      <c r="O295" s="46">
        <v>1.2749999999999999</v>
      </c>
      <c r="P295" s="14">
        <v>0.5</v>
      </c>
      <c r="Q295" s="1" t="s">
        <v>61</v>
      </c>
      <c r="R295" s="14">
        <v>0.14000000000000001</v>
      </c>
      <c r="S295" s="1" t="s">
        <v>9059</v>
      </c>
      <c r="T295">
        <v>1</v>
      </c>
      <c r="U295" s="19"/>
      <c r="V295" s="19"/>
      <c r="W295" s="218">
        <v>1</v>
      </c>
      <c r="X295" s="218">
        <v>1</v>
      </c>
      <c r="Y295" s="218">
        <v>1</v>
      </c>
    </row>
    <row r="296" spans="1:25" ht="14.25" customHeight="1" x14ac:dyDescent="0.3">
      <c r="A296" s="1" t="s">
        <v>947</v>
      </c>
      <c r="B296" s="5">
        <v>46241</v>
      </c>
      <c r="C296" s="6">
        <v>0.67708333333333304</v>
      </c>
      <c r="D296" s="1" t="s">
        <v>24</v>
      </c>
      <c r="E296" s="1" t="s">
        <v>4289</v>
      </c>
      <c r="F296" s="1" t="s">
        <v>946</v>
      </c>
      <c r="G296" s="39" t="s">
        <v>126</v>
      </c>
      <c r="H296" s="1">
        <v>4</v>
      </c>
      <c r="I296" s="1">
        <v>1</v>
      </c>
      <c r="J296" s="39" t="s">
        <v>132</v>
      </c>
      <c r="K296" s="1">
        <v>1</v>
      </c>
      <c r="L296" s="1">
        <v>4</v>
      </c>
      <c r="M296" s="1" t="s">
        <v>59</v>
      </c>
      <c r="N296" s="1" t="s">
        <v>98</v>
      </c>
      <c r="O296" s="46">
        <v>1.25</v>
      </c>
      <c r="P296" s="14">
        <v>0.5</v>
      </c>
      <c r="Q296" s="1" t="s">
        <v>61</v>
      </c>
      <c r="R296" s="14">
        <v>0.13</v>
      </c>
      <c r="S296" s="1" t="s">
        <v>9060</v>
      </c>
      <c r="T296">
        <v>1</v>
      </c>
      <c r="U296" s="19"/>
      <c r="V296" s="19"/>
      <c r="W296" s="218">
        <v>1</v>
      </c>
      <c r="X296" s="218">
        <v>1</v>
      </c>
      <c r="Y296" s="218">
        <v>1</v>
      </c>
    </row>
    <row r="297" spans="1:25" ht="14.25" customHeight="1" x14ac:dyDescent="0.3">
      <c r="A297" s="1" t="s">
        <v>952</v>
      </c>
      <c r="B297" s="5">
        <v>46241</v>
      </c>
      <c r="C297" s="6">
        <v>0.58333333333333304</v>
      </c>
      <c r="D297" s="1" t="s">
        <v>30</v>
      </c>
      <c r="E297" s="1" t="s">
        <v>32</v>
      </c>
      <c r="F297" s="1" t="s">
        <v>951</v>
      </c>
      <c r="G297" s="39" t="s">
        <v>950</v>
      </c>
      <c r="H297" s="1">
        <v>1</v>
      </c>
      <c r="I297" s="1">
        <v>0</v>
      </c>
      <c r="J297" s="39" t="s">
        <v>949</v>
      </c>
      <c r="K297" s="1">
        <v>0</v>
      </c>
      <c r="L297" s="1">
        <v>1</v>
      </c>
      <c r="M297" s="1" t="s">
        <v>59</v>
      </c>
      <c r="N297" s="1" t="s">
        <v>120</v>
      </c>
      <c r="O297" s="46">
        <v>1.26</v>
      </c>
      <c r="P297" s="14">
        <v>0.5</v>
      </c>
      <c r="Q297" s="1" t="s">
        <v>73</v>
      </c>
      <c r="R297" s="14">
        <v>-0.5</v>
      </c>
      <c r="S297" s="1" t="s">
        <v>9061</v>
      </c>
      <c r="T297">
        <v>1</v>
      </c>
      <c r="U297" s="19"/>
      <c r="V297" s="19"/>
      <c r="W297" s="218">
        <v>1</v>
      </c>
      <c r="X297" s="218">
        <v>1</v>
      </c>
      <c r="Y297" s="218">
        <v>1</v>
      </c>
    </row>
    <row r="298" spans="1:25" ht="14.25" customHeight="1" x14ac:dyDescent="0.3">
      <c r="A298" s="1" t="s">
        <v>957</v>
      </c>
      <c r="B298" s="5">
        <v>46241</v>
      </c>
      <c r="C298" s="6">
        <v>0.58333333333333304</v>
      </c>
      <c r="D298" s="1" t="s">
        <v>30</v>
      </c>
      <c r="E298" s="1" t="s">
        <v>36</v>
      </c>
      <c r="F298" s="1" t="s">
        <v>956</v>
      </c>
      <c r="G298" s="39" t="s">
        <v>955</v>
      </c>
      <c r="H298" s="1">
        <v>1</v>
      </c>
      <c r="I298" s="1">
        <v>1</v>
      </c>
      <c r="J298" s="39" t="s">
        <v>272</v>
      </c>
      <c r="K298" s="1">
        <v>1</v>
      </c>
      <c r="L298" s="1">
        <v>1</v>
      </c>
      <c r="M298" s="1" t="s">
        <v>59</v>
      </c>
      <c r="N298" s="1" t="s">
        <v>98</v>
      </c>
      <c r="O298" s="46">
        <v>1.24</v>
      </c>
      <c r="P298" s="14">
        <v>0.5</v>
      </c>
      <c r="Q298" s="1" t="s">
        <v>958</v>
      </c>
      <c r="R298" s="14">
        <v>-0.25</v>
      </c>
      <c r="S298" s="1" t="s">
        <v>9062</v>
      </c>
      <c r="T298">
        <v>1</v>
      </c>
      <c r="U298" s="19"/>
      <c r="V298" s="19"/>
      <c r="W298" s="218">
        <v>1</v>
      </c>
      <c r="X298" s="218">
        <v>1</v>
      </c>
      <c r="Y298" s="218">
        <v>1</v>
      </c>
    </row>
    <row r="299" spans="1:25" ht="14.25" customHeight="1" x14ac:dyDescent="0.3">
      <c r="A299" s="1" t="s">
        <v>964</v>
      </c>
      <c r="B299" s="5">
        <v>46241</v>
      </c>
      <c r="C299" s="6">
        <v>0.60416666666666696</v>
      </c>
      <c r="D299" s="1" t="s">
        <v>30</v>
      </c>
      <c r="E299" s="1" t="s">
        <v>33</v>
      </c>
      <c r="F299" s="1" t="s">
        <v>963</v>
      </c>
      <c r="G299" s="39" t="s">
        <v>961</v>
      </c>
      <c r="H299" s="1">
        <v>2</v>
      </c>
      <c r="I299" s="1">
        <v>1</v>
      </c>
      <c r="J299" s="39" t="s">
        <v>962</v>
      </c>
      <c r="K299" s="1">
        <v>1</v>
      </c>
      <c r="L299" s="1">
        <v>2</v>
      </c>
      <c r="M299" s="1" t="s">
        <v>59</v>
      </c>
      <c r="N299" s="1" t="s">
        <v>60</v>
      </c>
      <c r="O299" s="46">
        <v>1.23</v>
      </c>
      <c r="P299" s="14">
        <v>0.5</v>
      </c>
      <c r="Q299" s="1" t="s">
        <v>61</v>
      </c>
      <c r="R299" s="14">
        <v>0.12</v>
      </c>
      <c r="S299" s="1" t="s">
        <v>9063</v>
      </c>
      <c r="T299">
        <v>1</v>
      </c>
      <c r="U299" s="19"/>
      <c r="V299" s="19"/>
      <c r="W299" s="218">
        <v>1</v>
      </c>
      <c r="X299" s="218">
        <v>1</v>
      </c>
      <c r="Y299" s="218">
        <v>1</v>
      </c>
    </row>
    <row r="300" spans="1:25" ht="14.25" customHeight="1" x14ac:dyDescent="0.3">
      <c r="A300" s="1" t="s">
        <v>971</v>
      </c>
      <c r="B300" s="5">
        <v>46241</v>
      </c>
      <c r="C300" s="6">
        <v>0.3125</v>
      </c>
      <c r="D300" s="1" t="s">
        <v>7</v>
      </c>
      <c r="E300" s="1" t="s">
        <v>969</v>
      </c>
      <c r="F300" s="1" t="s">
        <v>970</v>
      </c>
      <c r="G300" s="39" t="s">
        <v>968</v>
      </c>
      <c r="H300" s="1">
        <v>6</v>
      </c>
      <c r="I300" s="1">
        <v>1</v>
      </c>
      <c r="J300" s="39" t="s">
        <v>967</v>
      </c>
      <c r="K300" s="1">
        <v>1</v>
      </c>
      <c r="L300" s="1">
        <v>6</v>
      </c>
      <c r="M300" s="1" t="s">
        <v>59</v>
      </c>
      <c r="N300" s="1" t="s">
        <v>98</v>
      </c>
      <c r="O300" s="46">
        <v>1.25</v>
      </c>
      <c r="P300" s="14">
        <v>0.5</v>
      </c>
      <c r="Q300" s="1" t="s">
        <v>61</v>
      </c>
      <c r="R300" s="14">
        <v>0.13</v>
      </c>
      <c r="S300" s="1" t="s">
        <v>9064</v>
      </c>
      <c r="T300">
        <v>1</v>
      </c>
      <c r="U300" s="19"/>
      <c r="V300" s="19"/>
      <c r="W300" s="218">
        <v>1</v>
      </c>
      <c r="X300" s="218">
        <v>1</v>
      </c>
      <c r="Y300" s="218">
        <v>1</v>
      </c>
    </row>
    <row r="301" spans="1:25" ht="14.25" customHeight="1" x14ac:dyDescent="0.3">
      <c r="A301" s="1" t="s">
        <v>978</v>
      </c>
      <c r="B301" s="5">
        <v>46241</v>
      </c>
      <c r="C301" s="6">
        <v>0.23958333333333301</v>
      </c>
      <c r="D301" s="1" t="s">
        <v>7</v>
      </c>
      <c r="E301" s="1" t="s">
        <v>969</v>
      </c>
      <c r="F301" s="1" t="s">
        <v>977</v>
      </c>
      <c r="G301" s="39" t="s">
        <v>975</v>
      </c>
      <c r="H301" s="1">
        <v>0</v>
      </c>
      <c r="I301" s="1">
        <v>1</v>
      </c>
      <c r="J301" s="39" t="s">
        <v>976</v>
      </c>
      <c r="K301" s="1">
        <v>1</v>
      </c>
      <c r="L301" s="1">
        <v>0</v>
      </c>
      <c r="M301" s="1" t="s">
        <v>59</v>
      </c>
      <c r="N301" s="1" t="s">
        <v>60</v>
      </c>
      <c r="O301" s="46">
        <v>1.175</v>
      </c>
      <c r="P301" s="14">
        <v>0.5</v>
      </c>
      <c r="Q301" s="1" t="s">
        <v>73</v>
      </c>
      <c r="R301" s="14">
        <v>-0.5</v>
      </c>
      <c r="S301" s="1" t="s">
        <v>9065</v>
      </c>
      <c r="T301">
        <v>1</v>
      </c>
      <c r="U301" s="19"/>
      <c r="V301" s="19"/>
      <c r="W301" s="218">
        <v>1</v>
      </c>
      <c r="X301" s="218">
        <v>1</v>
      </c>
      <c r="Y301" s="218">
        <v>1</v>
      </c>
    </row>
    <row r="302" spans="1:25" ht="14.25" customHeight="1" x14ac:dyDescent="0.3">
      <c r="A302" s="1" t="s">
        <v>983</v>
      </c>
      <c r="B302" s="5">
        <v>46237</v>
      </c>
      <c r="C302" s="6">
        <v>0.58333333333333304</v>
      </c>
      <c r="D302" s="1" t="s">
        <v>30</v>
      </c>
      <c r="E302" s="1" t="s">
        <v>33</v>
      </c>
      <c r="F302" s="1" t="s">
        <v>982</v>
      </c>
      <c r="G302" s="39" t="s">
        <v>981</v>
      </c>
      <c r="H302" s="1">
        <v>1</v>
      </c>
      <c r="I302" s="1">
        <v>1</v>
      </c>
      <c r="J302" s="39" t="s">
        <v>980</v>
      </c>
      <c r="K302" s="1">
        <v>1</v>
      </c>
      <c r="L302" s="1">
        <v>1</v>
      </c>
      <c r="M302" s="1" t="s">
        <v>59</v>
      </c>
      <c r="N302" s="1" t="s">
        <v>60</v>
      </c>
      <c r="O302" s="46">
        <v>1.24</v>
      </c>
      <c r="P302" s="14">
        <v>0.5</v>
      </c>
      <c r="Q302" s="1" t="s">
        <v>68</v>
      </c>
      <c r="R302" s="14">
        <v>0</v>
      </c>
      <c r="S302" s="1" t="s">
        <v>9066</v>
      </c>
      <c r="T302">
        <v>1</v>
      </c>
      <c r="U302" s="19"/>
      <c r="V302" s="19"/>
      <c r="W302" s="218">
        <v>1</v>
      </c>
      <c r="X302" s="218">
        <v>1</v>
      </c>
      <c r="Y302" s="218">
        <v>1</v>
      </c>
    </row>
    <row r="303" spans="1:25" ht="14.25" customHeight="1" x14ac:dyDescent="0.3">
      <c r="A303" s="1" t="s">
        <v>985</v>
      </c>
      <c r="B303" s="5">
        <v>46237</v>
      </c>
      <c r="C303" s="6">
        <v>0.58333333333333304</v>
      </c>
      <c r="D303" s="1" t="s">
        <v>27</v>
      </c>
      <c r="E303" s="1" t="s">
        <v>29</v>
      </c>
      <c r="F303" s="1" t="s">
        <v>6956</v>
      </c>
      <c r="G303" s="39" t="s">
        <v>6957</v>
      </c>
      <c r="H303" s="1">
        <v>3</v>
      </c>
      <c r="I303" s="1">
        <v>4</v>
      </c>
      <c r="J303" s="39" t="s">
        <v>6958</v>
      </c>
      <c r="K303" s="1">
        <v>4</v>
      </c>
      <c r="L303" s="1">
        <v>3</v>
      </c>
      <c r="M303" s="1" t="s">
        <v>59</v>
      </c>
      <c r="N303" s="1" t="s">
        <v>205</v>
      </c>
      <c r="O303" s="46">
        <v>1.23</v>
      </c>
      <c r="P303" s="14">
        <v>0.5</v>
      </c>
      <c r="Q303" s="1" t="s">
        <v>61</v>
      </c>
      <c r="R303" s="14">
        <v>0.12</v>
      </c>
      <c r="S303" s="1" t="s">
        <v>6959</v>
      </c>
      <c r="T303">
        <v>1</v>
      </c>
      <c r="U303" s="19"/>
      <c r="V303" s="19"/>
      <c r="W303" s="218">
        <v>1</v>
      </c>
      <c r="X303" s="218">
        <v>1</v>
      </c>
      <c r="Y303" s="218">
        <v>1</v>
      </c>
    </row>
    <row r="304" spans="1:25" ht="14.25" customHeight="1" x14ac:dyDescent="0.3">
      <c r="A304" s="1" t="s">
        <v>992</v>
      </c>
      <c r="B304" s="5">
        <v>46237</v>
      </c>
      <c r="C304" s="6">
        <v>0.54166666666666696</v>
      </c>
      <c r="D304" s="1" t="s">
        <v>18</v>
      </c>
      <c r="E304" s="1" t="s">
        <v>19</v>
      </c>
      <c r="F304" s="1" t="s">
        <v>991</v>
      </c>
      <c r="G304" s="39" t="s">
        <v>990</v>
      </c>
      <c r="H304" s="1">
        <v>3</v>
      </c>
      <c r="I304" s="1">
        <v>0</v>
      </c>
      <c r="J304" s="39" t="s">
        <v>989</v>
      </c>
      <c r="K304" s="1">
        <v>0</v>
      </c>
      <c r="L304" s="1">
        <v>3</v>
      </c>
      <c r="M304" s="1" t="s">
        <v>59</v>
      </c>
      <c r="N304" s="1" t="s">
        <v>60</v>
      </c>
      <c r="O304" s="46">
        <v>1.21</v>
      </c>
      <c r="P304" s="14">
        <v>0.5</v>
      </c>
      <c r="Q304" s="1" t="s">
        <v>61</v>
      </c>
      <c r="R304" s="14">
        <v>0.11</v>
      </c>
      <c r="S304" s="1" t="s">
        <v>9067</v>
      </c>
      <c r="T304">
        <v>1</v>
      </c>
      <c r="U304" s="19"/>
      <c r="V304" s="19"/>
      <c r="W304" s="218">
        <v>1</v>
      </c>
      <c r="X304" s="218">
        <v>1</v>
      </c>
      <c r="Y304" s="218">
        <v>1</v>
      </c>
    </row>
    <row r="305" spans="1:25" ht="14.25" customHeight="1" x14ac:dyDescent="0.3">
      <c r="A305" s="1" t="s">
        <v>998</v>
      </c>
      <c r="B305" s="5">
        <v>46237</v>
      </c>
      <c r="C305" s="6">
        <v>0.58333333333333304</v>
      </c>
      <c r="D305" s="1" t="s">
        <v>30</v>
      </c>
      <c r="E305" s="1" t="s">
        <v>31</v>
      </c>
      <c r="F305" s="1" t="s">
        <v>997</v>
      </c>
      <c r="G305" s="39" t="s">
        <v>995</v>
      </c>
      <c r="H305" s="1">
        <v>0</v>
      </c>
      <c r="I305" s="1">
        <v>2</v>
      </c>
      <c r="J305" s="39" t="s">
        <v>996</v>
      </c>
      <c r="K305" s="1">
        <v>2</v>
      </c>
      <c r="L305" s="1">
        <v>0</v>
      </c>
      <c r="M305" s="1" t="s">
        <v>59</v>
      </c>
      <c r="N305" s="1" t="s">
        <v>120</v>
      </c>
      <c r="O305" s="46">
        <v>1.1299999999999999</v>
      </c>
      <c r="P305" s="14">
        <v>0.5</v>
      </c>
      <c r="Q305" s="1" t="s">
        <v>61</v>
      </c>
      <c r="R305" s="14">
        <v>7.0000000000000007E-2</v>
      </c>
      <c r="S305" s="1" t="s">
        <v>9068</v>
      </c>
      <c r="T305">
        <v>1</v>
      </c>
      <c r="U305" s="19"/>
      <c r="V305" s="19"/>
      <c r="W305" s="218">
        <v>1</v>
      </c>
      <c r="X305" s="218">
        <v>1</v>
      </c>
      <c r="Y305" s="218">
        <v>1</v>
      </c>
    </row>
    <row r="306" spans="1:25" ht="14.25" customHeight="1" x14ac:dyDescent="0.3">
      <c r="A306" s="1" t="s">
        <v>884</v>
      </c>
      <c r="B306" s="5">
        <v>46130</v>
      </c>
      <c r="C306" s="6">
        <v>0.45833333333333298</v>
      </c>
      <c r="D306" s="1" t="s">
        <v>18</v>
      </c>
      <c r="E306" s="1" t="s">
        <v>430</v>
      </c>
      <c r="F306" s="1" t="s">
        <v>1002</v>
      </c>
      <c r="G306" s="39" t="s">
        <v>436</v>
      </c>
      <c r="H306" s="1">
        <v>4</v>
      </c>
      <c r="I306" s="1">
        <v>0</v>
      </c>
      <c r="J306" s="39" t="s">
        <v>439</v>
      </c>
      <c r="K306" s="1">
        <v>0</v>
      </c>
      <c r="L306" s="1">
        <v>4</v>
      </c>
      <c r="S306" s="1" t="s">
        <v>9069</v>
      </c>
      <c r="T306" s="1">
        <v>1</v>
      </c>
      <c r="U306" s="19"/>
      <c r="V306" s="19"/>
      <c r="W306" s="218">
        <v>0</v>
      </c>
      <c r="X306" s="218">
        <v>0</v>
      </c>
      <c r="Y306" s="218">
        <v>0</v>
      </c>
    </row>
    <row r="307" spans="1:25" ht="14.25" customHeight="1" x14ac:dyDescent="0.3">
      <c r="A307" s="1" t="s">
        <v>886</v>
      </c>
      <c r="B307" s="5">
        <v>46136</v>
      </c>
      <c r="C307" s="6">
        <v>0.52083333333333304</v>
      </c>
      <c r="D307" s="1" t="s">
        <v>18</v>
      </c>
      <c r="E307" s="1" t="s">
        <v>430</v>
      </c>
      <c r="F307" s="1" t="s">
        <v>1003</v>
      </c>
      <c r="G307" s="39" t="s">
        <v>439</v>
      </c>
      <c r="H307" s="1">
        <v>0</v>
      </c>
      <c r="I307" s="1">
        <v>6</v>
      </c>
      <c r="J307" s="39" t="s">
        <v>432</v>
      </c>
      <c r="K307" s="1">
        <v>6</v>
      </c>
      <c r="L307" s="1">
        <v>0</v>
      </c>
      <c r="S307" s="1" t="s">
        <v>9070</v>
      </c>
      <c r="T307" s="1">
        <v>1</v>
      </c>
      <c r="U307" s="19"/>
      <c r="V307" s="19"/>
      <c r="W307" s="218">
        <v>0</v>
      </c>
      <c r="X307" s="218">
        <v>1</v>
      </c>
      <c r="Y307" s="218">
        <v>1</v>
      </c>
    </row>
    <row r="308" spans="1:25" ht="14.25" customHeight="1" x14ac:dyDescent="0.3">
      <c r="A308" s="1" t="s">
        <v>887</v>
      </c>
      <c r="B308" s="5">
        <v>46144</v>
      </c>
      <c r="C308" s="6">
        <v>0.41666666666666702</v>
      </c>
      <c r="D308" s="1" t="s">
        <v>18</v>
      </c>
      <c r="E308" s="1" t="s">
        <v>430</v>
      </c>
      <c r="F308" s="1" t="s">
        <v>1004</v>
      </c>
      <c r="G308" s="39" t="s">
        <v>455</v>
      </c>
      <c r="H308" s="1">
        <v>1</v>
      </c>
      <c r="I308" s="1">
        <v>1</v>
      </c>
      <c r="J308" s="39" t="s">
        <v>439</v>
      </c>
      <c r="K308" s="1">
        <v>1</v>
      </c>
      <c r="L308" s="1">
        <v>1</v>
      </c>
      <c r="S308" s="1" t="s">
        <v>9071</v>
      </c>
      <c r="T308" s="1">
        <v>1</v>
      </c>
      <c r="U308" s="19"/>
      <c r="V308" s="19"/>
      <c r="W308" s="218">
        <v>0</v>
      </c>
      <c r="X308" s="218">
        <v>0</v>
      </c>
      <c r="Y308" s="218">
        <v>0</v>
      </c>
    </row>
    <row r="309" spans="1:25" ht="14.25" customHeight="1" x14ac:dyDescent="0.3">
      <c r="A309" s="1" t="s">
        <v>893</v>
      </c>
      <c r="B309" s="5">
        <v>46151</v>
      </c>
      <c r="C309" s="6">
        <v>0.41666666666666702</v>
      </c>
      <c r="D309" s="1" t="s">
        <v>18</v>
      </c>
      <c r="E309" s="1" t="s">
        <v>430</v>
      </c>
      <c r="F309" s="1" t="s">
        <v>1005</v>
      </c>
      <c r="G309" s="39" t="s">
        <v>439</v>
      </c>
      <c r="H309" s="1">
        <v>0</v>
      </c>
      <c r="I309" s="1">
        <v>2</v>
      </c>
      <c r="J309" s="39" t="s">
        <v>442</v>
      </c>
      <c r="K309" s="1">
        <v>2</v>
      </c>
      <c r="L309" s="1">
        <v>0</v>
      </c>
      <c r="S309" s="1" t="s">
        <v>9072</v>
      </c>
      <c r="T309" s="1">
        <v>1</v>
      </c>
      <c r="U309" s="19"/>
      <c r="V309" s="19"/>
      <c r="W309" s="218">
        <v>0</v>
      </c>
      <c r="X309" s="218">
        <v>1</v>
      </c>
      <c r="Y309" s="218">
        <v>1</v>
      </c>
    </row>
    <row r="310" spans="1:25" ht="14.25" customHeight="1" x14ac:dyDescent="0.3">
      <c r="A310" s="1" t="s">
        <v>896</v>
      </c>
      <c r="B310" s="5">
        <v>46158</v>
      </c>
      <c r="C310" s="6">
        <v>0.41666666666666702</v>
      </c>
      <c r="D310" s="1" t="s">
        <v>18</v>
      </c>
      <c r="E310" s="1" t="s">
        <v>430</v>
      </c>
      <c r="F310" s="1" t="s">
        <v>1006</v>
      </c>
      <c r="G310" s="39" t="s">
        <v>451</v>
      </c>
      <c r="H310" s="1">
        <v>6</v>
      </c>
      <c r="I310" s="1">
        <v>1</v>
      </c>
      <c r="J310" s="39" t="s">
        <v>439</v>
      </c>
      <c r="K310" s="1">
        <v>1</v>
      </c>
      <c r="L310" s="1">
        <v>6</v>
      </c>
      <c r="S310" s="1" t="s">
        <v>9073</v>
      </c>
      <c r="T310" s="1">
        <v>1</v>
      </c>
      <c r="U310" s="19"/>
      <c r="V310" s="19"/>
      <c r="W310" s="218">
        <v>1</v>
      </c>
      <c r="X310" s="218">
        <v>1</v>
      </c>
      <c r="Y310" s="218">
        <v>1</v>
      </c>
    </row>
    <row r="311" spans="1:25" ht="14.25" customHeight="1" x14ac:dyDescent="0.3">
      <c r="A311" s="1" t="s">
        <v>899</v>
      </c>
      <c r="B311" s="5">
        <v>46171</v>
      </c>
      <c r="C311" s="6">
        <v>0.52083333333333304</v>
      </c>
      <c r="D311" s="1" t="s">
        <v>18</v>
      </c>
      <c r="E311" s="1" t="s">
        <v>430</v>
      </c>
      <c r="F311" s="1" t="s">
        <v>1460</v>
      </c>
      <c r="G311" s="39" t="s">
        <v>1457</v>
      </c>
      <c r="H311" s="1">
        <v>4</v>
      </c>
      <c r="I311" s="1">
        <v>2</v>
      </c>
      <c r="J311" s="39" t="s">
        <v>439</v>
      </c>
      <c r="K311" s="1">
        <v>2</v>
      </c>
      <c r="L311" s="1">
        <v>4</v>
      </c>
      <c r="S311" s="1" t="s">
        <v>9074</v>
      </c>
      <c r="T311" s="1">
        <v>1</v>
      </c>
      <c r="U311" s="19"/>
      <c r="V311" s="19"/>
      <c r="W311" s="218">
        <v>1</v>
      </c>
      <c r="X311" s="218">
        <v>1</v>
      </c>
      <c r="Y311" s="218">
        <v>1</v>
      </c>
    </row>
    <row r="312" spans="1:25" ht="14.25" customHeight="1" x14ac:dyDescent="0.3">
      <c r="A312" s="1" t="s">
        <v>902</v>
      </c>
      <c r="B312" s="5">
        <v>46178</v>
      </c>
      <c r="C312" s="6">
        <v>0.52083333333333304</v>
      </c>
      <c r="D312" s="1" t="s">
        <v>18</v>
      </c>
      <c r="E312" s="1" t="s">
        <v>430</v>
      </c>
      <c r="F312" s="1" t="s">
        <v>1007</v>
      </c>
      <c r="G312" s="39" t="s">
        <v>439</v>
      </c>
      <c r="H312" s="1">
        <v>0</v>
      </c>
      <c r="I312" s="1">
        <v>0</v>
      </c>
      <c r="J312" s="39" t="s">
        <v>445</v>
      </c>
      <c r="K312" s="1">
        <v>0</v>
      </c>
      <c r="L312" s="1">
        <v>0</v>
      </c>
      <c r="S312" s="1" t="s">
        <v>9075</v>
      </c>
      <c r="T312" s="1">
        <v>1</v>
      </c>
      <c r="U312" s="19"/>
      <c r="V312" s="19"/>
      <c r="W312" s="218">
        <v>1</v>
      </c>
      <c r="X312" s="218">
        <v>1</v>
      </c>
      <c r="Y312" s="218">
        <v>1</v>
      </c>
    </row>
    <row r="313" spans="1:25" ht="14.25" customHeight="1" x14ac:dyDescent="0.3">
      <c r="A313" s="1" t="s">
        <v>904</v>
      </c>
      <c r="B313" s="5">
        <v>46185</v>
      </c>
      <c r="C313" s="6">
        <v>0.52083333333333304</v>
      </c>
      <c r="D313" s="1" t="s">
        <v>18</v>
      </c>
      <c r="E313" s="1" t="s">
        <v>430</v>
      </c>
      <c r="F313" s="1" t="s">
        <v>1008</v>
      </c>
      <c r="G313" s="39" t="s">
        <v>448</v>
      </c>
      <c r="H313" s="1">
        <v>0</v>
      </c>
      <c r="I313" s="1">
        <v>2</v>
      </c>
      <c r="J313" s="39" t="s">
        <v>439</v>
      </c>
      <c r="K313" s="1">
        <v>2</v>
      </c>
      <c r="L313" s="1">
        <v>0</v>
      </c>
      <c r="S313" s="1" t="s">
        <v>9076</v>
      </c>
      <c r="T313" s="1">
        <v>1</v>
      </c>
      <c r="U313" s="19"/>
      <c r="V313" s="19"/>
      <c r="W313" s="218">
        <v>1</v>
      </c>
      <c r="X313" s="218">
        <v>1</v>
      </c>
      <c r="Y313" s="218">
        <v>1</v>
      </c>
    </row>
    <row r="314" spans="1:25" ht="14.25" customHeight="1" x14ac:dyDescent="0.3">
      <c r="A314" s="1" t="s">
        <v>906</v>
      </c>
      <c r="B314" s="5">
        <v>46200</v>
      </c>
      <c r="C314" s="6">
        <v>0.45833333333333298</v>
      </c>
      <c r="D314" s="1" t="s">
        <v>18</v>
      </c>
      <c r="E314" s="1" t="s">
        <v>430</v>
      </c>
      <c r="F314" s="1" t="s">
        <v>1009</v>
      </c>
      <c r="G314" s="39" t="s">
        <v>439</v>
      </c>
      <c r="H314" s="1">
        <v>2</v>
      </c>
      <c r="I314" s="1">
        <v>2</v>
      </c>
      <c r="J314" s="39" t="s">
        <v>436</v>
      </c>
      <c r="K314" s="1">
        <v>2</v>
      </c>
      <c r="L314" s="1">
        <v>2</v>
      </c>
      <c r="S314" s="1" t="s">
        <v>9077</v>
      </c>
      <c r="T314" s="1">
        <v>1</v>
      </c>
      <c r="U314" s="19"/>
      <c r="V314" s="19"/>
      <c r="W314" s="218">
        <v>1</v>
      </c>
      <c r="X314" s="218">
        <v>1</v>
      </c>
      <c r="Y314" s="218">
        <v>1</v>
      </c>
    </row>
    <row r="315" spans="1:25" ht="14.25" customHeight="1" x14ac:dyDescent="0.3">
      <c r="A315" s="1" t="s">
        <v>908</v>
      </c>
      <c r="B315" s="5">
        <v>46212</v>
      </c>
      <c r="C315" s="6">
        <v>0.52083333333333304</v>
      </c>
      <c r="D315" s="1" t="s">
        <v>18</v>
      </c>
      <c r="E315" s="1" t="s">
        <v>430</v>
      </c>
      <c r="F315" s="1" t="s">
        <v>1010</v>
      </c>
      <c r="G315" s="39" t="s">
        <v>439</v>
      </c>
      <c r="H315" s="1">
        <v>3</v>
      </c>
      <c r="I315" s="1">
        <v>1</v>
      </c>
      <c r="J315" s="39" t="s">
        <v>455</v>
      </c>
      <c r="K315" s="1">
        <v>1</v>
      </c>
      <c r="L315" s="1">
        <v>3</v>
      </c>
      <c r="S315" s="1" t="s">
        <v>9078</v>
      </c>
      <c r="T315" s="1">
        <v>1</v>
      </c>
      <c r="U315" s="19"/>
      <c r="V315" s="19"/>
      <c r="W315" s="218">
        <v>1</v>
      </c>
      <c r="X315" s="218">
        <v>1</v>
      </c>
      <c r="Y315" s="218">
        <v>1</v>
      </c>
    </row>
    <row r="316" spans="1:25" ht="14.25" customHeight="1" x14ac:dyDescent="0.3">
      <c r="A316" s="1" t="s">
        <v>910</v>
      </c>
      <c r="B316" s="5">
        <v>46221</v>
      </c>
      <c r="C316" s="6">
        <v>0.41666666666666702</v>
      </c>
      <c r="D316" s="1" t="s">
        <v>18</v>
      </c>
      <c r="E316" s="1" t="s">
        <v>430</v>
      </c>
      <c r="F316" s="1" t="s">
        <v>1011</v>
      </c>
      <c r="G316" s="39" t="s">
        <v>442</v>
      </c>
      <c r="H316" s="1">
        <v>2</v>
      </c>
      <c r="I316" s="1">
        <v>1</v>
      </c>
      <c r="J316" s="39" t="s">
        <v>439</v>
      </c>
      <c r="K316" s="1">
        <v>1</v>
      </c>
      <c r="L316" s="1">
        <v>2</v>
      </c>
      <c r="S316" s="1" t="s">
        <v>9079</v>
      </c>
      <c r="T316" s="1">
        <v>1</v>
      </c>
      <c r="U316" s="19"/>
      <c r="V316" s="19"/>
      <c r="W316" s="218">
        <v>1</v>
      </c>
      <c r="X316" s="218">
        <v>1</v>
      </c>
      <c r="Y316" s="218">
        <v>1</v>
      </c>
    </row>
    <row r="317" spans="1:25" ht="14.25" customHeight="1" x14ac:dyDescent="0.3">
      <c r="A317" s="1" t="s">
        <v>911</v>
      </c>
      <c r="B317" s="5">
        <v>46228</v>
      </c>
      <c r="C317" s="6">
        <v>0.41666666666666702</v>
      </c>
      <c r="D317" s="1" t="s">
        <v>18</v>
      </c>
      <c r="E317" s="1" t="s">
        <v>430</v>
      </c>
      <c r="F317" s="1" t="s">
        <v>1012</v>
      </c>
      <c r="G317" s="39" t="s">
        <v>439</v>
      </c>
      <c r="H317" s="1">
        <v>0</v>
      </c>
      <c r="I317" s="1">
        <v>2</v>
      </c>
      <c r="J317" s="39" t="s">
        <v>451</v>
      </c>
      <c r="K317" s="1">
        <v>2</v>
      </c>
      <c r="L317" s="1">
        <v>0</v>
      </c>
      <c r="S317" s="1" t="s">
        <v>9080</v>
      </c>
      <c r="T317" s="1">
        <v>1</v>
      </c>
      <c r="U317" s="19"/>
      <c r="V317" s="19"/>
      <c r="W317" s="218">
        <v>1</v>
      </c>
      <c r="X317" s="218">
        <v>1</v>
      </c>
      <c r="Y317" s="218">
        <v>1</v>
      </c>
    </row>
    <row r="318" spans="1:25" ht="14.25" customHeight="1" x14ac:dyDescent="0.3">
      <c r="A318" s="1" t="s">
        <v>1013</v>
      </c>
      <c r="B318" s="5">
        <v>46137</v>
      </c>
      <c r="C318" s="6">
        <v>0.41666666666666702</v>
      </c>
      <c r="D318" s="1" t="s">
        <v>18</v>
      </c>
      <c r="E318" s="1" t="s">
        <v>21</v>
      </c>
      <c r="F318" s="1" t="s">
        <v>1014</v>
      </c>
      <c r="G318" s="39" t="s">
        <v>772</v>
      </c>
      <c r="H318" s="1">
        <v>2</v>
      </c>
      <c r="I318" s="1">
        <v>0</v>
      </c>
      <c r="J318" s="39" t="s">
        <v>757</v>
      </c>
      <c r="K318" s="1">
        <v>0</v>
      </c>
      <c r="L318" s="1">
        <v>2</v>
      </c>
      <c r="S318" s="1" t="s">
        <v>9081</v>
      </c>
      <c r="T318" s="1">
        <v>1</v>
      </c>
      <c r="U318" s="19"/>
      <c r="V318" s="19"/>
      <c r="W318" s="218">
        <v>0</v>
      </c>
      <c r="X318" s="218">
        <v>0</v>
      </c>
      <c r="Y318" s="218">
        <v>0</v>
      </c>
    </row>
    <row r="319" spans="1:25" ht="14.25" customHeight="1" x14ac:dyDescent="0.3">
      <c r="A319" s="1" t="s">
        <v>1015</v>
      </c>
      <c r="B319" s="5">
        <v>46144</v>
      </c>
      <c r="C319" s="6">
        <v>0.41666666666666702</v>
      </c>
      <c r="D319" s="1" t="s">
        <v>18</v>
      </c>
      <c r="E319" s="1" t="s">
        <v>21</v>
      </c>
      <c r="F319" s="1" t="s">
        <v>1016</v>
      </c>
      <c r="G319" s="39" t="s">
        <v>760</v>
      </c>
      <c r="H319" s="1">
        <v>0</v>
      </c>
      <c r="I319" s="1">
        <v>4</v>
      </c>
      <c r="J319" s="39" t="s">
        <v>772</v>
      </c>
      <c r="K319" s="1">
        <v>4</v>
      </c>
      <c r="L319" s="1">
        <v>0</v>
      </c>
      <c r="S319" s="1" t="s">
        <v>9082</v>
      </c>
      <c r="T319" s="1">
        <v>1</v>
      </c>
      <c r="U319" s="19"/>
      <c r="V319" s="19"/>
      <c r="W319" s="218">
        <v>0</v>
      </c>
      <c r="X319" s="218">
        <v>0</v>
      </c>
      <c r="Y319" s="218">
        <v>0</v>
      </c>
    </row>
    <row r="320" spans="1:25" ht="14.25" customHeight="1" x14ac:dyDescent="0.3">
      <c r="A320" s="1" t="s">
        <v>1017</v>
      </c>
      <c r="B320" s="5">
        <v>46151</v>
      </c>
      <c r="C320" s="6">
        <v>0.41666666666666702</v>
      </c>
      <c r="D320" s="1" t="s">
        <v>18</v>
      </c>
      <c r="E320" s="1" t="s">
        <v>21</v>
      </c>
      <c r="F320" s="1" t="s">
        <v>1018</v>
      </c>
      <c r="G320" s="39" t="s">
        <v>772</v>
      </c>
      <c r="H320" s="1">
        <v>2</v>
      </c>
      <c r="I320" s="1">
        <v>1</v>
      </c>
      <c r="J320" s="39" t="s">
        <v>769</v>
      </c>
      <c r="K320" s="1">
        <v>1</v>
      </c>
      <c r="L320" s="1">
        <v>2</v>
      </c>
      <c r="S320" s="1" t="s">
        <v>9083</v>
      </c>
      <c r="T320" s="1">
        <v>1</v>
      </c>
      <c r="U320" s="19"/>
      <c r="V320" s="19"/>
      <c r="W320" s="218">
        <v>0</v>
      </c>
      <c r="X320" s="218">
        <v>0</v>
      </c>
      <c r="Y320" s="218">
        <v>0</v>
      </c>
    </row>
    <row r="321" spans="1:25" ht="14.25" customHeight="1" x14ac:dyDescent="0.3">
      <c r="A321" s="1" t="s">
        <v>1019</v>
      </c>
      <c r="B321" s="5">
        <v>46158</v>
      </c>
      <c r="C321" s="6">
        <v>0.41666666666666702</v>
      </c>
      <c r="D321" s="1" t="s">
        <v>18</v>
      </c>
      <c r="E321" s="1" t="s">
        <v>21</v>
      </c>
      <c r="F321" s="1" t="s">
        <v>1020</v>
      </c>
      <c r="G321" s="39" t="s">
        <v>763</v>
      </c>
      <c r="H321" s="1">
        <v>2</v>
      </c>
      <c r="I321" s="1">
        <v>2</v>
      </c>
      <c r="J321" s="39" t="s">
        <v>772</v>
      </c>
      <c r="K321" s="1">
        <v>2</v>
      </c>
      <c r="L321" s="1">
        <v>2</v>
      </c>
      <c r="S321" s="1" t="s">
        <v>9084</v>
      </c>
      <c r="T321" s="1">
        <v>1</v>
      </c>
      <c r="U321" s="19"/>
      <c r="V321" s="19"/>
      <c r="W321" s="218">
        <v>0</v>
      </c>
      <c r="X321" s="218">
        <v>0</v>
      </c>
      <c r="Y321" s="218">
        <v>0</v>
      </c>
    </row>
    <row r="322" spans="1:25" ht="14.25" customHeight="1" x14ac:dyDescent="0.3">
      <c r="A322" s="1" t="s">
        <v>1021</v>
      </c>
      <c r="B322" s="5">
        <v>46166</v>
      </c>
      <c r="C322" s="6">
        <v>0.52083333333333304</v>
      </c>
      <c r="D322" s="1" t="s">
        <v>18</v>
      </c>
      <c r="E322" s="1" t="s">
        <v>21</v>
      </c>
      <c r="F322" s="1" t="s">
        <v>1022</v>
      </c>
      <c r="G322" s="39" t="s">
        <v>772</v>
      </c>
      <c r="H322" s="1">
        <v>1</v>
      </c>
      <c r="I322" s="1">
        <v>2</v>
      </c>
      <c r="J322" s="39" t="s">
        <v>766</v>
      </c>
      <c r="K322" s="1">
        <v>2</v>
      </c>
      <c r="L322" s="1">
        <v>1</v>
      </c>
      <c r="S322" s="1" t="s">
        <v>9085</v>
      </c>
      <c r="T322" s="1">
        <v>1</v>
      </c>
      <c r="U322" s="19"/>
      <c r="V322" s="19"/>
      <c r="W322" s="218">
        <v>1</v>
      </c>
      <c r="X322" s="218">
        <v>1</v>
      </c>
      <c r="Y322" s="218">
        <v>1</v>
      </c>
    </row>
    <row r="323" spans="1:25" ht="14.25" customHeight="1" x14ac:dyDescent="0.3">
      <c r="A323" s="1" t="s">
        <v>1023</v>
      </c>
      <c r="B323" s="5">
        <v>46170</v>
      </c>
      <c r="C323" s="6">
        <v>0.52083333333333304</v>
      </c>
      <c r="D323" s="1" t="s">
        <v>18</v>
      </c>
      <c r="E323" s="1" t="s">
        <v>21</v>
      </c>
      <c r="F323" s="1" t="s">
        <v>1024</v>
      </c>
      <c r="G323" s="39" t="s">
        <v>769</v>
      </c>
      <c r="H323" s="1">
        <v>1</v>
      </c>
      <c r="I323" s="1">
        <v>0</v>
      </c>
      <c r="J323" s="39" t="s">
        <v>772</v>
      </c>
      <c r="K323" s="1">
        <v>0</v>
      </c>
      <c r="L323" s="1">
        <v>1</v>
      </c>
      <c r="S323" s="1" t="s">
        <v>9086</v>
      </c>
      <c r="T323" s="1">
        <v>1</v>
      </c>
      <c r="U323" s="19"/>
      <c r="V323" s="19"/>
      <c r="W323" s="218">
        <v>1</v>
      </c>
      <c r="X323" s="218">
        <v>1</v>
      </c>
      <c r="Y323" s="218">
        <v>1</v>
      </c>
    </row>
    <row r="324" spans="1:25" ht="14.25" customHeight="1" x14ac:dyDescent="0.3">
      <c r="A324" s="1" t="s">
        <v>1025</v>
      </c>
      <c r="B324" s="5">
        <v>46175</v>
      </c>
      <c r="C324" s="6">
        <v>0.54166666666666696</v>
      </c>
      <c r="D324" s="1" t="s">
        <v>18</v>
      </c>
      <c r="E324" s="1" t="s">
        <v>21</v>
      </c>
      <c r="F324" s="1" t="s">
        <v>2930</v>
      </c>
      <c r="G324" s="39" t="s">
        <v>2926</v>
      </c>
      <c r="H324" s="1">
        <v>1</v>
      </c>
      <c r="I324" s="1">
        <v>1</v>
      </c>
      <c r="J324" s="39" t="s">
        <v>772</v>
      </c>
      <c r="K324" s="1">
        <v>1</v>
      </c>
      <c r="L324" s="1">
        <v>1</v>
      </c>
      <c r="S324" s="1" t="s">
        <v>9087</v>
      </c>
      <c r="T324" s="1">
        <v>1</v>
      </c>
      <c r="U324" s="19"/>
      <c r="V324" s="19"/>
      <c r="W324" s="218">
        <v>1</v>
      </c>
      <c r="X324" s="218">
        <v>1</v>
      </c>
      <c r="Y324" s="218">
        <v>1</v>
      </c>
    </row>
    <row r="325" spans="1:25" ht="14.25" customHeight="1" x14ac:dyDescent="0.3">
      <c r="A325" s="1" t="s">
        <v>1026</v>
      </c>
      <c r="B325" s="5">
        <v>46179</v>
      </c>
      <c r="C325" s="6">
        <v>0.41666666666666702</v>
      </c>
      <c r="D325" s="1" t="s">
        <v>18</v>
      </c>
      <c r="E325" s="1" t="s">
        <v>21</v>
      </c>
      <c r="F325" s="1" t="s">
        <v>1027</v>
      </c>
      <c r="G325" s="39" t="s">
        <v>772</v>
      </c>
      <c r="H325" s="1">
        <v>5</v>
      </c>
      <c r="I325" s="1">
        <v>0</v>
      </c>
      <c r="J325" s="39" t="s">
        <v>745</v>
      </c>
      <c r="K325" s="1">
        <v>0</v>
      </c>
      <c r="L325" s="1">
        <v>5</v>
      </c>
      <c r="S325" s="1" t="s">
        <v>9088</v>
      </c>
      <c r="T325" s="1">
        <v>1</v>
      </c>
      <c r="U325" s="19"/>
      <c r="V325" s="19"/>
      <c r="W325" s="218">
        <v>1</v>
      </c>
      <c r="X325" s="218">
        <v>1</v>
      </c>
      <c r="Y325" s="218">
        <v>1</v>
      </c>
    </row>
    <row r="326" spans="1:25" ht="14.25" customHeight="1" x14ac:dyDescent="0.3">
      <c r="A326" s="1" t="s">
        <v>1028</v>
      </c>
      <c r="B326" s="5">
        <v>46184</v>
      </c>
      <c r="C326" s="6">
        <v>0.54166666666666696</v>
      </c>
      <c r="D326" s="1" t="s">
        <v>18</v>
      </c>
      <c r="E326" s="1" t="s">
        <v>21</v>
      </c>
      <c r="F326" s="1" t="s">
        <v>1029</v>
      </c>
      <c r="G326" s="39" t="s">
        <v>749</v>
      </c>
      <c r="H326" s="1">
        <v>3</v>
      </c>
      <c r="I326" s="1">
        <v>0</v>
      </c>
      <c r="J326" s="39" t="s">
        <v>772</v>
      </c>
      <c r="K326" s="1">
        <v>0</v>
      </c>
      <c r="L326" s="1">
        <v>3</v>
      </c>
      <c r="S326" s="1" t="s">
        <v>9089</v>
      </c>
      <c r="T326" s="1">
        <v>1</v>
      </c>
      <c r="U326" s="19"/>
      <c r="V326" s="19"/>
      <c r="W326" s="218">
        <v>1</v>
      </c>
      <c r="X326" s="218">
        <v>1</v>
      </c>
      <c r="Y326" s="218">
        <v>1</v>
      </c>
    </row>
    <row r="327" spans="1:25" ht="14.25" customHeight="1" x14ac:dyDescent="0.3">
      <c r="A327" s="1" t="s">
        <v>1030</v>
      </c>
      <c r="B327" s="5">
        <v>46214</v>
      </c>
      <c r="C327" s="6">
        <v>0.41666666666666702</v>
      </c>
      <c r="D327" s="1" t="s">
        <v>18</v>
      </c>
      <c r="E327" s="1" t="s">
        <v>21</v>
      </c>
      <c r="F327" s="1" t="s">
        <v>1031</v>
      </c>
      <c r="G327" s="39" t="s">
        <v>752</v>
      </c>
      <c r="H327" s="1">
        <v>4</v>
      </c>
      <c r="I327" s="1">
        <v>3</v>
      </c>
      <c r="J327" s="39" t="s">
        <v>772</v>
      </c>
      <c r="K327" s="1">
        <v>3</v>
      </c>
      <c r="L327" s="1">
        <v>4</v>
      </c>
      <c r="S327" s="1" t="s">
        <v>9090</v>
      </c>
      <c r="T327" s="1">
        <v>1</v>
      </c>
      <c r="U327" s="19"/>
      <c r="V327" s="19"/>
      <c r="W327" s="218">
        <v>1</v>
      </c>
      <c r="X327" s="218">
        <v>1</v>
      </c>
      <c r="Y327" s="218">
        <v>1</v>
      </c>
    </row>
    <row r="328" spans="1:25" ht="14.25" customHeight="1" x14ac:dyDescent="0.3">
      <c r="A328" s="1" t="s">
        <v>1032</v>
      </c>
      <c r="B328" s="5">
        <v>46221</v>
      </c>
      <c r="C328" s="6">
        <v>0.41666666666666702</v>
      </c>
      <c r="D328" s="1" t="s">
        <v>18</v>
      </c>
      <c r="E328" s="1" t="s">
        <v>21</v>
      </c>
      <c r="F328" s="1" t="s">
        <v>1033</v>
      </c>
      <c r="G328" s="39" t="s">
        <v>757</v>
      </c>
      <c r="H328" s="1">
        <v>1</v>
      </c>
      <c r="I328" s="1">
        <v>1</v>
      </c>
      <c r="J328" s="39" t="s">
        <v>772</v>
      </c>
      <c r="K328" s="1">
        <v>1</v>
      </c>
      <c r="L328" s="1">
        <v>1</v>
      </c>
      <c r="S328" s="1" t="s">
        <v>9091</v>
      </c>
      <c r="T328" s="1">
        <v>1</v>
      </c>
      <c r="U328" s="19"/>
      <c r="V328" s="19"/>
      <c r="W328" s="218">
        <v>1</v>
      </c>
      <c r="X328" s="218">
        <v>1</v>
      </c>
      <c r="Y328" s="218">
        <v>1</v>
      </c>
    </row>
    <row r="329" spans="1:25" ht="14.25" customHeight="1" x14ac:dyDescent="0.3">
      <c r="A329" s="1" t="s">
        <v>1034</v>
      </c>
      <c r="B329" s="5">
        <v>46229</v>
      </c>
      <c r="C329" s="6">
        <v>0.52083333333333304</v>
      </c>
      <c r="D329" s="1" t="s">
        <v>18</v>
      </c>
      <c r="E329" s="1" t="s">
        <v>21</v>
      </c>
      <c r="F329" s="1" t="s">
        <v>1035</v>
      </c>
      <c r="G329" s="39" t="s">
        <v>772</v>
      </c>
      <c r="H329" s="1">
        <v>2</v>
      </c>
      <c r="I329" s="1">
        <v>1</v>
      </c>
      <c r="J329" s="39" t="s">
        <v>760</v>
      </c>
      <c r="K329" s="1">
        <v>1</v>
      </c>
      <c r="L329" s="1">
        <v>2</v>
      </c>
      <c r="S329" s="1" t="s">
        <v>9092</v>
      </c>
      <c r="T329" s="1">
        <v>1</v>
      </c>
      <c r="U329" s="19"/>
      <c r="V329" s="19"/>
      <c r="W329" s="218">
        <v>1</v>
      </c>
      <c r="X329" s="218">
        <v>1</v>
      </c>
      <c r="Y329" s="218">
        <v>1</v>
      </c>
    </row>
    <row r="330" spans="1:25" ht="14.25" customHeight="1" x14ac:dyDescent="0.3">
      <c r="A330" s="1" t="s">
        <v>1036</v>
      </c>
      <c r="B330" s="5">
        <v>46144</v>
      </c>
      <c r="C330" s="6">
        <v>0.41666666666666702</v>
      </c>
      <c r="D330" s="1" t="s">
        <v>18</v>
      </c>
      <c r="E330" s="1" t="s">
        <v>21</v>
      </c>
      <c r="F330" s="1" t="s">
        <v>2931</v>
      </c>
      <c r="G330" s="39" t="s">
        <v>769</v>
      </c>
      <c r="H330" s="1">
        <v>3</v>
      </c>
      <c r="I330" s="1">
        <v>3</v>
      </c>
      <c r="J330" s="39" t="s">
        <v>2926</v>
      </c>
      <c r="K330" s="1">
        <v>3</v>
      </c>
      <c r="L330" s="1">
        <v>3</v>
      </c>
      <c r="S330" s="1" t="s">
        <v>9093</v>
      </c>
      <c r="T330">
        <v>1</v>
      </c>
      <c r="U330" s="19"/>
      <c r="V330" s="19"/>
      <c r="W330" s="218">
        <v>0</v>
      </c>
      <c r="X330" s="218">
        <v>0</v>
      </c>
      <c r="Y330" s="218">
        <v>0</v>
      </c>
    </row>
    <row r="331" spans="1:25" ht="14.25" customHeight="1" x14ac:dyDescent="0.3">
      <c r="A331" s="1" t="s">
        <v>1037</v>
      </c>
      <c r="B331" s="5">
        <v>46158</v>
      </c>
      <c r="C331" s="6">
        <v>0.41666666666666702</v>
      </c>
      <c r="D331" s="1" t="s">
        <v>18</v>
      </c>
      <c r="E331" s="1" t="s">
        <v>21</v>
      </c>
      <c r="F331" s="1" t="s">
        <v>1038</v>
      </c>
      <c r="G331" s="39" t="s">
        <v>769</v>
      </c>
      <c r="H331" s="1">
        <v>2</v>
      </c>
      <c r="I331" s="1">
        <v>2</v>
      </c>
      <c r="J331" s="39" t="s">
        <v>745</v>
      </c>
      <c r="K331" s="1">
        <v>2</v>
      </c>
      <c r="L331" s="1">
        <v>2</v>
      </c>
      <c r="S331" s="1" t="s">
        <v>9094</v>
      </c>
      <c r="T331" s="1">
        <v>1</v>
      </c>
      <c r="U331" s="19"/>
      <c r="V331" s="19"/>
      <c r="W331" s="218">
        <v>0</v>
      </c>
      <c r="X331" s="218">
        <v>0</v>
      </c>
      <c r="Y331" s="218">
        <v>0</v>
      </c>
    </row>
    <row r="332" spans="1:25" ht="14.25" customHeight="1" x14ac:dyDescent="0.3">
      <c r="A332" s="1" t="s">
        <v>1039</v>
      </c>
      <c r="B332" s="5">
        <v>46164</v>
      </c>
      <c r="C332" s="6">
        <v>0.52083333333333304</v>
      </c>
      <c r="D332" s="1" t="s">
        <v>18</v>
      </c>
      <c r="E332" s="1" t="s">
        <v>21</v>
      </c>
      <c r="F332" s="1" t="s">
        <v>1040</v>
      </c>
      <c r="G332" s="39" t="s">
        <v>749</v>
      </c>
      <c r="H332" s="1">
        <v>1</v>
      </c>
      <c r="I332" s="1">
        <v>0</v>
      </c>
      <c r="J332" s="39" t="s">
        <v>769</v>
      </c>
      <c r="K332" s="1">
        <v>0</v>
      </c>
      <c r="L332" s="1">
        <v>1</v>
      </c>
      <c r="S332" s="1" t="s">
        <v>9095</v>
      </c>
      <c r="T332" s="1">
        <v>1</v>
      </c>
      <c r="U332" s="19"/>
      <c r="V332" s="19"/>
      <c r="W332" s="218">
        <v>1</v>
      </c>
      <c r="X332" s="218">
        <v>1</v>
      </c>
      <c r="Y332" s="218">
        <v>1</v>
      </c>
    </row>
    <row r="333" spans="1:25" ht="14.25" customHeight="1" x14ac:dyDescent="0.3">
      <c r="A333" s="1" t="s">
        <v>1041</v>
      </c>
      <c r="B333" s="5">
        <v>46175</v>
      </c>
      <c r="C333" s="6">
        <v>0.54166666666666696</v>
      </c>
      <c r="D333" s="1" t="s">
        <v>18</v>
      </c>
      <c r="E333" s="1" t="s">
        <v>21</v>
      </c>
      <c r="F333" s="1" t="s">
        <v>1042</v>
      </c>
      <c r="G333" s="39" t="s">
        <v>769</v>
      </c>
      <c r="H333" s="1">
        <v>2</v>
      </c>
      <c r="I333" s="1">
        <v>2</v>
      </c>
      <c r="J333" s="39" t="s">
        <v>752</v>
      </c>
      <c r="K333" s="1">
        <v>2</v>
      </c>
      <c r="L333" s="1">
        <v>2</v>
      </c>
      <c r="S333" s="1" t="s">
        <v>9096</v>
      </c>
      <c r="T333" s="1">
        <v>1</v>
      </c>
      <c r="U333" s="19"/>
      <c r="V333" s="19"/>
      <c r="W333" s="218">
        <v>1</v>
      </c>
      <c r="X333" s="218">
        <v>1</v>
      </c>
      <c r="Y333" s="218">
        <v>1</v>
      </c>
    </row>
    <row r="334" spans="1:25" ht="14.25" customHeight="1" x14ac:dyDescent="0.3">
      <c r="A334" s="1" t="s">
        <v>1043</v>
      </c>
      <c r="B334" s="5">
        <v>46179</v>
      </c>
      <c r="C334" s="6">
        <v>0.41666666666666702</v>
      </c>
      <c r="D334" s="1" t="s">
        <v>18</v>
      </c>
      <c r="E334" s="1" t="s">
        <v>21</v>
      </c>
      <c r="F334" s="1" t="s">
        <v>1044</v>
      </c>
      <c r="G334" s="39" t="s">
        <v>769</v>
      </c>
      <c r="H334" s="1">
        <v>1</v>
      </c>
      <c r="I334" s="1">
        <v>3</v>
      </c>
      <c r="J334" s="39" t="s">
        <v>757</v>
      </c>
      <c r="K334" s="1">
        <v>3</v>
      </c>
      <c r="L334" s="1">
        <v>1</v>
      </c>
      <c r="S334" s="1" t="s">
        <v>9097</v>
      </c>
      <c r="T334" s="1">
        <v>1</v>
      </c>
      <c r="U334" s="19"/>
      <c r="V334" s="19"/>
      <c r="W334" s="218">
        <v>1</v>
      </c>
      <c r="X334" s="218">
        <v>1</v>
      </c>
      <c r="Y334" s="218">
        <v>1</v>
      </c>
    </row>
    <row r="335" spans="1:25" ht="14.25" customHeight="1" x14ac:dyDescent="0.3">
      <c r="A335" s="1" t="s">
        <v>1045</v>
      </c>
      <c r="B335" s="5">
        <v>46186</v>
      </c>
      <c r="C335" s="6">
        <v>0.41666666666666702</v>
      </c>
      <c r="D335" s="1" t="s">
        <v>18</v>
      </c>
      <c r="E335" s="1" t="s">
        <v>21</v>
      </c>
      <c r="F335" s="1" t="s">
        <v>1046</v>
      </c>
      <c r="G335" s="39" t="s">
        <v>760</v>
      </c>
      <c r="H335" s="1">
        <v>2</v>
      </c>
      <c r="I335" s="1">
        <v>3</v>
      </c>
      <c r="J335" s="39" t="s">
        <v>769</v>
      </c>
      <c r="K335" s="1">
        <v>3</v>
      </c>
      <c r="L335" s="1">
        <v>2</v>
      </c>
      <c r="S335" s="1" t="s">
        <v>9098</v>
      </c>
      <c r="T335" s="1">
        <v>1</v>
      </c>
      <c r="U335" s="19"/>
      <c r="V335" s="19"/>
      <c r="W335" s="218">
        <v>1</v>
      </c>
      <c r="X335" s="218">
        <v>1</v>
      </c>
      <c r="Y335" s="218">
        <v>1</v>
      </c>
    </row>
    <row r="336" spans="1:25" ht="14.25" customHeight="1" x14ac:dyDescent="0.3">
      <c r="A336" s="1" t="s">
        <v>1047</v>
      </c>
      <c r="B336" s="5">
        <v>46208</v>
      </c>
      <c r="C336" s="6">
        <v>0.52083333333333304</v>
      </c>
      <c r="D336" s="1" t="s">
        <v>18</v>
      </c>
      <c r="E336" s="1" t="s">
        <v>21</v>
      </c>
      <c r="F336" s="1" t="s">
        <v>1048</v>
      </c>
      <c r="G336" s="39" t="s">
        <v>763</v>
      </c>
      <c r="H336" s="1">
        <v>1</v>
      </c>
      <c r="I336" s="1">
        <v>0</v>
      </c>
      <c r="J336" s="39" t="s">
        <v>769</v>
      </c>
      <c r="K336" s="1">
        <v>0</v>
      </c>
      <c r="L336" s="1">
        <v>1</v>
      </c>
      <c r="S336" s="1" t="s">
        <v>9099</v>
      </c>
      <c r="T336" s="1">
        <v>1</v>
      </c>
      <c r="U336" s="19"/>
      <c r="V336" s="19"/>
      <c r="W336" s="218">
        <v>1</v>
      </c>
      <c r="X336" s="218">
        <v>1</v>
      </c>
      <c r="Y336" s="218">
        <v>1</v>
      </c>
    </row>
    <row r="337" spans="1:25" ht="14.25" customHeight="1" x14ac:dyDescent="0.3">
      <c r="A337" s="1" t="s">
        <v>1049</v>
      </c>
      <c r="B337" s="5">
        <v>46221</v>
      </c>
      <c r="C337" s="6">
        <v>0.41666666666666702</v>
      </c>
      <c r="D337" s="1" t="s">
        <v>18</v>
      </c>
      <c r="E337" s="1" t="s">
        <v>21</v>
      </c>
      <c r="F337" s="1" t="s">
        <v>1050</v>
      </c>
      <c r="G337" s="39" t="s">
        <v>769</v>
      </c>
      <c r="H337" s="1">
        <v>1</v>
      </c>
      <c r="I337" s="1">
        <v>3</v>
      </c>
      <c r="J337" s="39" t="s">
        <v>766</v>
      </c>
      <c r="K337" s="1">
        <v>3</v>
      </c>
      <c r="L337" s="1">
        <v>1</v>
      </c>
      <c r="S337" s="1" t="s">
        <v>9100</v>
      </c>
      <c r="T337" s="1">
        <v>1</v>
      </c>
      <c r="U337" s="19"/>
      <c r="V337" s="19"/>
      <c r="W337" s="218">
        <v>1</v>
      </c>
      <c r="X337" s="218">
        <v>1</v>
      </c>
      <c r="Y337" s="218">
        <v>1</v>
      </c>
    </row>
    <row r="338" spans="1:25" ht="14.25" customHeight="1" x14ac:dyDescent="0.3">
      <c r="A338" s="1" t="s">
        <v>1051</v>
      </c>
      <c r="B338" s="5">
        <v>46228</v>
      </c>
      <c r="C338" s="6">
        <v>0.41666666666666702</v>
      </c>
      <c r="D338" s="1" t="s">
        <v>18</v>
      </c>
      <c r="E338" s="1" t="s">
        <v>21</v>
      </c>
      <c r="F338" s="1" t="s">
        <v>2932</v>
      </c>
      <c r="G338" s="39" t="s">
        <v>2926</v>
      </c>
      <c r="H338" s="1">
        <v>4</v>
      </c>
      <c r="I338" s="1">
        <v>0</v>
      </c>
      <c r="J338" s="39" t="s">
        <v>769</v>
      </c>
      <c r="K338" s="1">
        <v>0</v>
      </c>
      <c r="L338" s="1">
        <v>4</v>
      </c>
      <c r="S338" s="1" t="s">
        <v>9101</v>
      </c>
      <c r="T338" s="1">
        <v>1</v>
      </c>
      <c r="U338" s="19"/>
      <c r="V338" s="19"/>
      <c r="W338" s="218">
        <v>1</v>
      </c>
      <c r="X338" s="218">
        <v>1</v>
      </c>
      <c r="Y338" s="218">
        <v>1</v>
      </c>
    </row>
    <row r="339" spans="1:25" ht="14.25" customHeight="1" x14ac:dyDescent="0.3">
      <c r="A339" s="1" t="s">
        <v>1055</v>
      </c>
      <c r="B339" s="5">
        <v>46145</v>
      </c>
      <c r="C339" s="6">
        <v>0.52083333333333304</v>
      </c>
      <c r="D339" s="1" t="s">
        <v>18</v>
      </c>
      <c r="E339" s="1" t="s">
        <v>22</v>
      </c>
      <c r="F339" s="1" t="s">
        <v>1056</v>
      </c>
      <c r="G339" s="39" t="s">
        <v>288</v>
      </c>
      <c r="H339" s="1">
        <v>0</v>
      </c>
      <c r="I339" s="1">
        <v>0</v>
      </c>
      <c r="J339" s="39" t="s">
        <v>292</v>
      </c>
      <c r="K339" s="1">
        <v>0</v>
      </c>
      <c r="L339" s="1">
        <v>0</v>
      </c>
      <c r="S339" s="1" t="s">
        <v>9102</v>
      </c>
      <c r="T339">
        <v>1</v>
      </c>
      <c r="U339" s="19"/>
      <c r="V339" s="19"/>
      <c r="W339" s="218">
        <v>0</v>
      </c>
      <c r="X339" s="218">
        <v>0</v>
      </c>
      <c r="Y339" s="218">
        <v>0</v>
      </c>
    </row>
    <row r="340" spans="1:25" ht="14.25" customHeight="1" x14ac:dyDescent="0.3">
      <c r="A340" s="1" t="s">
        <v>1057</v>
      </c>
      <c r="B340" s="5">
        <v>46150</v>
      </c>
      <c r="C340" s="6">
        <v>0.52083333333333304</v>
      </c>
      <c r="D340" s="1" t="s">
        <v>18</v>
      </c>
      <c r="E340" s="1" t="s">
        <v>22</v>
      </c>
      <c r="F340" s="1" t="s">
        <v>2999</v>
      </c>
      <c r="G340" s="39" t="s">
        <v>2987</v>
      </c>
      <c r="H340" s="1">
        <v>3</v>
      </c>
      <c r="I340" s="1">
        <v>1</v>
      </c>
      <c r="J340" s="39" t="s">
        <v>292</v>
      </c>
      <c r="K340" s="1">
        <v>1</v>
      </c>
      <c r="L340" s="1">
        <v>3</v>
      </c>
      <c r="S340" s="1" t="s">
        <v>9103</v>
      </c>
      <c r="T340" s="1">
        <v>1</v>
      </c>
      <c r="U340" s="19"/>
      <c r="V340" s="19"/>
      <c r="W340" s="218">
        <v>1</v>
      </c>
      <c r="X340" s="218">
        <v>0</v>
      </c>
      <c r="Y340" s="218">
        <v>1</v>
      </c>
    </row>
    <row r="341" spans="1:25" ht="14.25" customHeight="1" x14ac:dyDescent="0.3">
      <c r="A341" s="1" t="s">
        <v>1058</v>
      </c>
      <c r="B341" s="5">
        <v>46158</v>
      </c>
      <c r="C341" s="6">
        <v>0.41666666666666702</v>
      </c>
      <c r="D341" s="1" t="s">
        <v>18</v>
      </c>
      <c r="E341" s="1" t="s">
        <v>22</v>
      </c>
      <c r="F341" s="1" t="s">
        <v>1059</v>
      </c>
      <c r="G341" s="39" t="s">
        <v>292</v>
      </c>
      <c r="H341" s="1">
        <v>1</v>
      </c>
      <c r="I341" s="1">
        <v>2</v>
      </c>
      <c r="J341" s="39" t="s">
        <v>300</v>
      </c>
      <c r="K341" s="1">
        <v>2</v>
      </c>
      <c r="L341" s="1">
        <v>1</v>
      </c>
      <c r="S341" s="1" t="s">
        <v>9104</v>
      </c>
      <c r="T341" s="1">
        <v>1</v>
      </c>
      <c r="U341" s="19"/>
      <c r="V341" s="19"/>
      <c r="W341" s="218">
        <v>1</v>
      </c>
      <c r="X341" s="218">
        <v>1</v>
      </c>
      <c r="Y341" s="218">
        <v>1</v>
      </c>
    </row>
    <row r="342" spans="1:25" ht="14.25" customHeight="1" x14ac:dyDescent="0.3">
      <c r="A342" s="1" t="s">
        <v>1060</v>
      </c>
      <c r="B342" s="5">
        <v>46171</v>
      </c>
      <c r="C342" s="6">
        <v>0.52083333333333304</v>
      </c>
      <c r="D342" s="1" t="s">
        <v>18</v>
      </c>
      <c r="E342" s="1" t="s">
        <v>22</v>
      </c>
      <c r="F342" s="1" t="s">
        <v>1061</v>
      </c>
      <c r="G342" s="39" t="s">
        <v>292</v>
      </c>
      <c r="H342" s="1">
        <v>0</v>
      </c>
      <c r="I342" s="1">
        <v>2</v>
      </c>
      <c r="J342" s="39" t="s">
        <v>295</v>
      </c>
      <c r="K342" s="1">
        <v>2</v>
      </c>
      <c r="L342" s="1">
        <v>0</v>
      </c>
      <c r="S342" s="1" t="s">
        <v>9105</v>
      </c>
      <c r="T342" s="1">
        <v>1</v>
      </c>
      <c r="U342" s="19"/>
      <c r="V342" s="19"/>
      <c r="W342" s="218">
        <v>1</v>
      </c>
      <c r="X342" s="218">
        <v>1</v>
      </c>
      <c r="Y342" s="218">
        <v>1</v>
      </c>
    </row>
    <row r="343" spans="1:25" ht="14.25" customHeight="1" x14ac:dyDescent="0.3">
      <c r="A343" s="1" t="s">
        <v>1062</v>
      </c>
      <c r="B343" s="5">
        <v>46186</v>
      </c>
      <c r="C343" s="6">
        <v>0.45833333333333298</v>
      </c>
      <c r="D343" s="1" t="s">
        <v>18</v>
      </c>
      <c r="E343" s="1" t="s">
        <v>22</v>
      </c>
      <c r="F343" s="1" t="s">
        <v>1063</v>
      </c>
      <c r="G343" s="39" t="s">
        <v>292</v>
      </c>
      <c r="H343" s="1">
        <v>1</v>
      </c>
      <c r="I343" s="1">
        <v>1</v>
      </c>
      <c r="J343" s="39" t="s">
        <v>298</v>
      </c>
      <c r="K343" s="1">
        <v>1</v>
      </c>
      <c r="L343" s="1">
        <v>1</v>
      </c>
      <c r="S343" s="1" t="s">
        <v>9106</v>
      </c>
      <c r="T343" s="1">
        <v>1</v>
      </c>
      <c r="U343" s="19"/>
      <c r="V343" s="19"/>
      <c r="W343" s="218">
        <v>1</v>
      </c>
      <c r="X343" s="218">
        <v>1</v>
      </c>
      <c r="Y343" s="218">
        <v>1</v>
      </c>
    </row>
    <row r="344" spans="1:25" ht="14.25" customHeight="1" x14ac:dyDescent="0.3">
      <c r="A344" s="1" t="s">
        <v>1064</v>
      </c>
      <c r="B344" s="5">
        <v>46207</v>
      </c>
      <c r="C344" s="6">
        <v>0.41666666666666702</v>
      </c>
      <c r="D344" s="1" t="s">
        <v>18</v>
      </c>
      <c r="E344" s="1" t="s">
        <v>22</v>
      </c>
      <c r="F344" s="1" t="s">
        <v>1065</v>
      </c>
      <c r="G344" s="39" t="s">
        <v>304</v>
      </c>
      <c r="H344" s="1">
        <v>2</v>
      </c>
      <c r="I344" s="1">
        <v>1</v>
      </c>
      <c r="J344" s="39" t="s">
        <v>292</v>
      </c>
      <c r="K344" s="1">
        <v>1</v>
      </c>
      <c r="L344" s="1">
        <v>2</v>
      </c>
      <c r="S344" s="1" t="s">
        <v>9107</v>
      </c>
      <c r="T344" s="1">
        <v>1</v>
      </c>
      <c r="U344" s="19"/>
      <c r="V344" s="19"/>
      <c r="W344" s="218">
        <v>1</v>
      </c>
      <c r="X344" s="218">
        <v>1</v>
      </c>
      <c r="Y344" s="218">
        <v>1</v>
      </c>
    </row>
    <row r="345" spans="1:25" ht="14.25" customHeight="1" x14ac:dyDescent="0.3">
      <c r="A345" s="1" t="s">
        <v>1066</v>
      </c>
      <c r="B345" s="5">
        <v>46214</v>
      </c>
      <c r="C345" s="6">
        <v>0.41666666666666702</v>
      </c>
      <c r="D345" s="1" t="s">
        <v>18</v>
      </c>
      <c r="E345" s="1" t="s">
        <v>22</v>
      </c>
      <c r="F345" s="1" t="s">
        <v>1067</v>
      </c>
      <c r="G345" s="39" t="s">
        <v>292</v>
      </c>
      <c r="H345" s="1">
        <v>4</v>
      </c>
      <c r="I345" s="1">
        <v>1</v>
      </c>
      <c r="J345" s="39" t="s">
        <v>288</v>
      </c>
      <c r="K345" s="1">
        <v>1</v>
      </c>
      <c r="L345" s="1">
        <v>4</v>
      </c>
      <c r="S345" s="1" t="s">
        <v>9108</v>
      </c>
      <c r="T345" s="1">
        <v>1</v>
      </c>
      <c r="U345" s="19"/>
      <c r="V345" s="19"/>
      <c r="W345" s="218">
        <v>1</v>
      </c>
      <c r="X345" s="218">
        <v>1</v>
      </c>
      <c r="Y345" s="218">
        <v>1</v>
      </c>
    </row>
    <row r="346" spans="1:25" ht="14.25" customHeight="1" x14ac:dyDescent="0.3">
      <c r="A346" s="1" t="s">
        <v>1068</v>
      </c>
      <c r="B346" s="5">
        <v>46221</v>
      </c>
      <c r="C346" s="6">
        <v>0.45833333333333298</v>
      </c>
      <c r="D346" s="1" t="s">
        <v>18</v>
      </c>
      <c r="E346" s="1" t="s">
        <v>22</v>
      </c>
      <c r="F346" s="1" t="s">
        <v>3000</v>
      </c>
      <c r="G346" s="39" t="s">
        <v>292</v>
      </c>
      <c r="H346" s="1">
        <v>4</v>
      </c>
      <c r="I346" s="1">
        <v>1</v>
      </c>
      <c r="J346" s="39" t="s">
        <v>2987</v>
      </c>
      <c r="K346" s="1">
        <v>1</v>
      </c>
      <c r="L346" s="1">
        <v>4</v>
      </c>
      <c r="S346" s="1" t="s">
        <v>9109</v>
      </c>
      <c r="T346" s="1">
        <v>1</v>
      </c>
      <c r="U346" s="19"/>
      <c r="V346" s="19"/>
      <c r="W346" s="218">
        <v>1</v>
      </c>
      <c r="X346" s="218">
        <v>1</v>
      </c>
      <c r="Y346" s="218">
        <v>1</v>
      </c>
    </row>
    <row r="347" spans="1:25" ht="14.25" customHeight="1" x14ac:dyDescent="0.3">
      <c r="A347" s="1" t="s">
        <v>1069</v>
      </c>
      <c r="B347" s="5">
        <v>46227</v>
      </c>
      <c r="C347" s="6">
        <v>0.52083333333333304</v>
      </c>
      <c r="D347" s="1" t="s">
        <v>18</v>
      </c>
      <c r="E347" s="1" t="s">
        <v>22</v>
      </c>
      <c r="F347" s="1" t="s">
        <v>1070</v>
      </c>
      <c r="G347" s="39" t="s">
        <v>300</v>
      </c>
      <c r="H347" s="1">
        <v>3</v>
      </c>
      <c r="I347" s="1">
        <v>2</v>
      </c>
      <c r="J347" s="39" t="s">
        <v>292</v>
      </c>
      <c r="K347" s="1">
        <v>2</v>
      </c>
      <c r="L347" s="1">
        <v>3</v>
      </c>
      <c r="S347" s="1" t="s">
        <v>9110</v>
      </c>
      <c r="T347" s="1">
        <v>1</v>
      </c>
      <c r="U347" s="19"/>
      <c r="V347" s="19"/>
      <c r="W347" s="218">
        <v>1</v>
      </c>
      <c r="X347" s="218">
        <v>1</v>
      </c>
      <c r="Y347" s="218">
        <v>1</v>
      </c>
    </row>
    <row r="348" spans="1:25" ht="14.25" customHeight="1" x14ac:dyDescent="0.3">
      <c r="A348" s="1" t="s">
        <v>1071</v>
      </c>
      <c r="B348" s="5">
        <v>46151</v>
      </c>
      <c r="C348" s="6">
        <v>0.52083333333333304</v>
      </c>
      <c r="D348" s="1" t="s">
        <v>18</v>
      </c>
      <c r="E348" s="1" t="s">
        <v>22</v>
      </c>
      <c r="F348" s="1" t="s">
        <v>1072</v>
      </c>
      <c r="G348" s="39" t="s">
        <v>288</v>
      </c>
      <c r="H348" s="1">
        <v>1</v>
      </c>
      <c r="I348" s="1">
        <v>1</v>
      </c>
      <c r="J348" s="39" t="s">
        <v>295</v>
      </c>
      <c r="K348" s="1">
        <v>1</v>
      </c>
      <c r="L348" s="1">
        <v>1</v>
      </c>
      <c r="S348" s="1" t="s">
        <v>9111</v>
      </c>
      <c r="T348" s="1">
        <v>1</v>
      </c>
      <c r="U348" s="19"/>
      <c r="V348" s="19"/>
      <c r="W348" s="218">
        <v>0</v>
      </c>
      <c r="X348" s="218">
        <v>1</v>
      </c>
      <c r="Y348" s="218">
        <v>1</v>
      </c>
    </row>
    <row r="349" spans="1:25" ht="14.25" customHeight="1" x14ac:dyDescent="0.3">
      <c r="A349" s="1" t="s">
        <v>1073</v>
      </c>
      <c r="B349" s="5">
        <v>46158</v>
      </c>
      <c r="C349" s="6">
        <v>0.41666666666666702</v>
      </c>
      <c r="D349" s="1" t="s">
        <v>18</v>
      </c>
      <c r="E349" s="1" t="s">
        <v>22</v>
      </c>
      <c r="F349" s="1" t="s">
        <v>1074</v>
      </c>
      <c r="G349" s="39" t="s">
        <v>304</v>
      </c>
      <c r="H349" s="1">
        <v>2</v>
      </c>
      <c r="I349" s="1">
        <v>2</v>
      </c>
      <c r="J349" s="39" t="s">
        <v>288</v>
      </c>
      <c r="K349" s="1">
        <v>2</v>
      </c>
      <c r="L349" s="1">
        <v>2</v>
      </c>
      <c r="S349" s="1" t="s">
        <v>9112</v>
      </c>
      <c r="T349" s="1">
        <v>1</v>
      </c>
      <c r="U349" s="19"/>
      <c r="V349" s="19"/>
      <c r="W349" s="218">
        <v>1</v>
      </c>
      <c r="X349" s="218">
        <v>0</v>
      </c>
      <c r="Y349" s="218">
        <v>1</v>
      </c>
    </row>
    <row r="350" spans="1:25" ht="14.25" customHeight="1" x14ac:dyDescent="0.3">
      <c r="A350" s="1" t="s">
        <v>1075</v>
      </c>
      <c r="B350" s="5">
        <v>46164</v>
      </c>
      <c r="C350" s="6">
        <v>0.52083333333333304</v>
      </c>
      <c r="D350" s="1" t="s">
        <v>18</v>
      </c>
      <c r="E350" s="1" t="s">
        <v>22</v>
      </c>
      <c r="F350" s="1" t="s">
        <v>3001</v>
      </c>
      <c r="G350" s="39" t="s">
        <v>288</v>
      </c>
      <c r="H350" s="1">
        <v>3</v>
      </c>
      <c r="I350" s="1">
        <v>0</v>
      </c>
      <c r="J350" s="39" t="s">
        <v>2987</v>
      </c>
      <c r="K350" s="1">
        <v>0</v>
      </c>
      <c r="L350" s="1">
        <v>3</v>
      </c>
      <c r="S350" s="1" t="s">
        <v>9113</v>
      </c>
      <c r="T350" s="1">
        <v>1</v>
      </c>
      <c r="U350" s="19"/>
      <c r="V350" s="19"/>
      <c r="W350" s="218">
        <v>1</v>
      </c>
      <c r="X350" s="218">
        <v>1</v>
      </c>
      <c r="Y350" s="218">
        <v>1</v>
      </c>
    </row>
    <row r="351" spans="1:25" ht="14.25" customHeight="1" x14ac:dyDescent="0.3">
      <c r="A351" s="1" t="s">
        <v>1076</v>
      </c>
      <c r="B351" s="5">
        <v>46173</v>
      </c>
      <c r="C351" s="6">
        <v>0.52083333333333304</v>
      </c>
      <c r="D351" s="1" t="s">
        <v>18</v>
      </c>
      <c r="E351" s="1" t="s">
        <v>22</v>
      </c>
      <c r="F351" s="1" t="s">
        <v>1077</v>
      </c>
      <c r="G351" s="39" t="s">
        <v>306</v>
      </c>
      <c r="H351" s="1">
        <v>2</v>
      </c>
      <c r="I351" s="1">
        <v>2</v>
      </c>
      <c r="J351" s="39" t="s">
        <v>288</v>
      </c>
      <c r="K351" s="1">
        <v>2</v>
      </c>
      <c r="L351" s="1">
        <v>2</v>
      </c>
      <c r="S351" s="1" t="s">
        <v>9114</v>
      </c>
      <c r="T351" s="1">
        <v>1</v>
      </c>
      <c r="U351" s="19"/>
      <c r="V351" s="19"/>
      <c r="W351" s="218">
        <v>1</v>
      </c>
      <c r="X351" s="218">
        <v>1</v>
      </c>
      <c r="Y351" s="218">
        <v>1</v>
      </c>
    </row>
    <row r="352" spans="1:25" ht="14.25" customHeight="1" x14ac:dyDescent="0.3">
      <c r="A352" s="1" t="s">
        <v>1078</v>
      </c>
      <c r="B352" s="5">
        <v>46179</v>
      </c>
      <c r="C352" s="6">
        <v>0.52083333333333304</v>
      </c>
      <c r="D352" s="1" t="s">
        <v>18</v>
      </c>
      <c r="E352" s="1" t="s">
        <v>22</v>
      </c>
      <c r="F352" s="1" t="s">
        <v>1079</v>
      </c>
      <c r="G352" s="39" t="s">
        <v>298</v>
      </c>
      <c r="H352" s="1">
        <v>1</v>
      </c>
      <c r="I352" s="1">
        <v>3</v>
      </c>
      <c r="J352" s="39" t="s">
        <v>288</v>
      </c>
      <c r="K352" s="1">
        <v>3</v>
      </c>
      <c r="L352" s="1">
        <v>1</v>
      </c>
      <c r="S352" s="1" t="s">
        <v>9115</v>
      </c>
      <c r="T352" s="1">
        <v>1</v>
      </c>
      <c r="U352" s="19"/>
      <c r="V352" s="19"/>
      <c r="W352" s="218">
        <v>1</v>
      </c>
      <c r="X352" s="218">
        <v>1</v>
      </c>
      <c r="Y352" s="218">
        <v>1</v>
      </c>
    </row>
    <row r="353" spans="1:25" ht="14.25" customHeight="1" x14ac:dyDescent="0.3">
      <c r="A353" s="1" t="s">
        <v>1080</v>
      </c>
      <c r="B353" s="5">
        <v>46200</v>
      </c>
      <c r="C353" s="6">
        <v>0.45833333333333298</v>
      </c>
      <c r="D353" s="1" t="s">
        <v>18</v>
      </c>
      <c r="E353" s="1" t="s">
        <v>22</v>
      </c>
      <c r="F353" s="1" t="s">
        <v>1081</v>
      </c>
      <c r="G353" s="39" t="s">
        <v>300</v>
      </c>
      <c r="H353" s="1">
        <v>2</v>
      </c>
      <c r="I353" s="1">
        <v>2</v>
      </c>
      <c r="J353" s="39" t="s">
        <v>288</v>
      </c>
      <c r="K353" s="1">
        <v>2</v>
      </c>
      <c r="L353" s="1">
        <v>2</v>
      </c>
      <c r="S353" s="1" t="s">
        <v>9116</v>
      </c>
      <c r="T353" s="1">
        <v>1</v>
      </c>
      <c r="U353" s="19"/>
      <c r="V353" s="19"/>
      <c r="W353" s="218">
        <v>1</v>
      </c>
      <c r="X353" s="218">
        <v>1</v>
      </c>
      <c r="Y353" s="218">
        <v>1</v>
      </c>
    </row>
    <row r="354" spans="1:25" ht="14.25" customHeight="1" x14ac:dyDescent="0.3">
      <c r="A354" s="1" t="s">
        <v>1082</v>
      </c>
      <c r="B354" s="5">
        <v>46219</v>
      </c>
      <c r="C354" s="6">
        <v>0.54166666666666696</v>
      </c>
      <c r="D354" s="1" t="s">
        <v>18</v>
      </c>
      <c r="E354" s="1" t="s">
        <v>22</v>
      </c>
      <c r="F354" s="1" t="s">
        <v>1083</v>
      </c>
      <c r="G354" s="39" t="s">
        <v>295</v>
      </c>
      <c r="H354" s="1">
        <v>1</v>
      </c>
      <c r="I354" s="1">
        <v>2</v>
      </c>
      <c r="J354" s="39" t="s">
        <v>288</v>
      </c>
      <c r="K354" s="1">
        <v>2</v>
      </c>
      <c r="L354" s="1">
        <v>1</v>
      </c>
      <c r="S354" s="1" t="s">
        <v>9117</v>
      </c>
      <c r="T354" s="1">
        <v>1</v>
      </c>
      <c r="U354" s="19"/>
      <c r="V354" s="19"/>
      <c r="W354" s="218">
        <v>1</v>
      </c>
      <c r="X354" s="218">
        <v>1</v>
      </c>
      <c r="Y354" s="218">
        <v>1</v>
      </c>
    </row>
    <row r="355" spans="1:25" ht="14.25" customHeight="1" x14ac:dyDescent="0.3">
      <c r="A355" s="1" t="s">
        <v>1084</v>
      </c>
      <c r="B355" s="5">
        <v>46227</v>
      </c>
      <c r="C355" s="6">
        <v>0.52083333333333304</v>
      </c>
      <c r="D355" s="1" t="s">
        <v>18</v>
      </c>
      <c r="E355" s="1" t="s">
        <v>22</v>
      </c>
      <c r="F355" s="1" t="s">
        <v>1085</v>
      </c>
      <c r="G355" s="39" t="s">
        <v>288</v>
      </c>
      <c r="H355" s="1">
        <v>0</v>
      </c>
      <c r="I355" s="1">
        <v>1</v>
      </c>
      <c r="J355" s="39" t="s">
        <v>304</v>
      </c>
      <c r="K355" s="1">
        <v>1</v>
      </c>
      <c r="L355" s="1">
        <v>0</v>
      </c>
      <c r="S355" s="1" t="s">
        <v>9118</v>
      </c>
      <c r="T355" s="1">
        <v>1</v>
      </c>
      <c r="U355" s="19"/>
      <c r="V355" s="19"/>
      <c r="W355" s="218">
        <v>1</v>
      </c>
      <c r="X355" s="218">
        <v>1</v>
      </c>
      <c r="Y355" s="218">
        <v>1</v>
      </c>
    </row>
    <row r="356" spans="1:25" ht="14.25" customHeight="1" x14ac:dyDescent="0.3">
      <c r="A356" s="1" t="s">
        <v>1086</v>
      </c>
      <c r="B356" s="5">
        <v>46116</v>
      </c>
      <c r="C356" s="6">
        <v>0.66666666666666696</v>
      </c>
      <c r="D356" s="1" t="s">
        <v>10</v>
      </c>
      <c r="E356" s="1" t="s">
        <v>11</v>
      </c>
      <c r="F356" s="1" t="s">
        <v>1112</v>
      </c>
      <c r="G356" s="39" t="s">
        <v>661</v>
      </c>
      <c r="H356" s="1">
        <v>4</v>
      </c>
      <c r="I356" s="1">
        <v>0</v>
      </c>
      <c r="J356" s="39" t="s">
        <v>189</v>
      </c>
      <c r="K356" s="1">
        <v>0</v>
      </c>
      <c r="L356" s="1">
        <v>4</v>
      </c>
      <c r="S356" s="1" t="s">
        <v>9119</v>
      </c>
      <c r="T356">
        <v>1</v>
      </c>
      <c r="U356" s="19"/>
      <c r="V356" s="19"/>
      <c r="W356" s="218">
        <v>0</v>
      </c>
      <c r="X356" s="218">
        <v>0</v>
      </c>
      <c r="Y356" s="218">
        <v>0</v>
      </c>
    </row>
    <row r="357" spans="1:25" ht="14.25" customHeight="1" x14ac:dyDescent="0.3">
      <c r="A357" s="1" t="s">
        <v>1087</v>
      </c>
      <c r="B357" s="5">
        <v>46125</v>
      </c>
      <c r="C357" s="6">
        <v>0.77083333333333304</v>
      </c>
      <c r="D357" s="1" t="s">
        <v>10</v>
      </c>
      <c r="E357" s="1" t="s">
        <v>11</v>
      </c>
      <c r="F357" s="1" t="s">
        <v>1554</v>
      </c>
      <c r="G357" s="39" t="s">
        <v>189</v>
      </c>
      <c r="H357" s="1">
        <v>1</v>
      </c>
      <c r="I357" s="1">
        <v>1</v>
      </c>
      <c r="J357" s="39" t="s">
        <v>1553</v>
      </c>
      <c r="K357" s="1">
        <v>1</v>
      </c>
      <c r="L357" s="1">
        <v>1</v>
      </c>
      <c r="S357" s="1" t="s">
        <v>9120</v>
      </c>
      <c r="T357" s="1">
        <v>1</v>
      </c>
      <c r="U357" s="19"/>
      <c r="V357" s="19"/>
      <c r="W357" s="218">
        <v>0</v>
      </c>
      <c r="X357" s="218">
        <v>1</v>
      </c>
      <c r="Y357" s="218">
        <v>1</v>
      </c>
    </row>
    <row r="358" spans="1:25" ht="14.25" customHeight="1" x14ac:dyDescent="0.3">
      <c r="A358" s="1" t="s">
        <v>1088</v>
      </c>
      <c r="B358" s="5">
        <v>46135</v>
      </c>
      <c r="C358" s="6">
        <v>0.875</v>
      </c>
      <c r="D358" s="1" t="s">
        <v>10</v>
      </c>
      <c r="E358" s="1" t="s">
        <v>11</v>
      </c>
      <c r="F358" s="1" t="s">
        <v>1113</v>
      </c>
      <c r="G358" s="39" t="s">
        <v>189</v>
      </c>
      <c r="H358" s="1">
        <v>0</v>
      </c>
      <c r="I358" s="1">
        <v>0</v>
      </c>
      <c r="J358" s="39" t="s">
        <v>181</v>
      </c>
      <c r="K358" s="1">
        <v>0</v>
      </c>
      <c r="L358" s="1">
        <v>0</v>
      </c>
      <c r="S358" s="1" t="s">
        <v>9121</v>
      </c>
      <c r="T358" s="1">
        <v>1</v>
      </c>
      <c r="U358" s="19"/>
      <c r="V358" s="19"/>
      <c r="W358" s="218">
        <v>1</v>
      </c>
      <c r="X358" s="218">
        <v>1</v>
      </c>
      <c r="Y358" s="218">
        <v>1</v>
      </c>
    </row>
    <row r="359" spans="1:25" ht="14.25" customHeight="1" x14ac:dyDescent="0.3">
      <c r="A359" s="1" t="s">
        <v>1089</v>
      </c>
      <c r="B359" s="5">
        <v>46138</v>
      </c>
      <c r="C359" s="6">
        <v>0.66666666666666696</v>
      </c>
      <c r="D359" s="1" t="s">
        <v>10</v>
      </c>
      <c r="E359" s="1" t="s">
        <v>11</v>
      </c>
      <c r="F359" s="1" t="s">
        <v>1531</v>
      </c>
      <c r="G359" s="39" t="s">
        <v>681</v>
      </c>
      <c r="H359" s="1">
        <v>6</v>
      </c>
      <c r="I359" s="1">
        <v>0</v>
      </c>
      <c r="J359" s="39" t="s">
        <v>189</v>
      </c>
      <c r="K359" s="1">
        <v>0</v>
      </c>
      <c r="L359" s="1">
        <v>6</v>
      </c>
      <c r="S359" s="1" t="s">
        <v>9122</v>
      </c>
      <c r="T359" s="1">
        <v>1</v>
      </c>
      <c r="U359" s="19"/>
      <c r="V359" s="19"/>
      <c r="W359" s="218">
        <v>1</v>
      </c>
      <c r="X359" s="218">
        <v>1</v>
      </c>
      <c r="Y359" s="218">
        <v>1</v>
      </c>
    </row>
    <row r="360" spans="1:25" ht="14.25" customHeight="1" x14ac:dyDescent="0.3">
      <c r="A360" s="1" t="s">
        <v>1090</v>
      </c>
      <c r="B360" s="5">
        <v>46144</v>
      </c>
      <c r="C360" s="6">
        <v>0.77083333333333304</v>
      </c>
      <c r="D360" s="1" t="s">
        <v>10</v>
      </c>
      <c r="E360" s="1" t="s">
        <v>11</v>
      </c>
      <c r="F360" s="1" t="s">
        <v>1114</v>
      </c>
      <c r="G360" s="39" t="s">
        <v>662</v>
      </c>
      <c r="H360" s="1">
        <v>3</v>
      </c>
      <c r="I360" s="1">
        <v>1</v>
      </c>
      <c r="J360" s="39" t="s">
        <v>189</v>
      </c>
      <c r="K360" s="1">
        <v>1</v>
      </c>
      <c r="L360" s="1">
        <v>3</v>
      </c>
      <c r="S360" s="1" t="s">
        <v>9123</v>
      </c>
      <c r="T360" s="1">
        <v>1</v>
      </c>
      <c r="U360" s="19"/>
      <c r="V360" s="19"/>
      <c r="W360" s="218">
        <v>1</v>
      </c>
      <c r="X360" s="218">
        <v>1</v>
      </c>
      <c r="Y360" s="218">
        <v>1</v>
      </c>
    </row>
    <row r="361" spans="1:25" ht="14.25" customHeight="1" x14ac:dyDescent="0.3">
      <c r="A361" s="1" t="s">
        <v>1091</v>
      </c>
      <c r="B361" s="5">
        <v>46151</v>
      </c>
      <c r="C361" s="6">
        <v>0.85416666666666696</v>
      </c>
      <c r="D361" s="1" t="s">
        <v>10</v>
      </c>
      <c r="E361" s="1" t="s">
        <v>11</v>
      </c>
      <c r="F361" s="1" t="s">
        <v>1115</v>
      </c>
      <c r="G361" s="39" t="s">
        <v>189</v>
      </c>
      <c r="H361" s="1">
        <v>1</v>
      </c>
      <c r="I361" s="1">
        <v>0</v>
      </c>
      <c r="J361" s="39" t="s">
        <v>1092</v>
      </c>
      <c r="K361" s="1">
        <v>0</v>
      </c>
      <c r="L361" s="1">
        <v>1</v>
      </c>
      <c r="S361" s="1" t="s">
        <v>9124</v>
      </c>
      <c r="T361" s="1">
        <v>1</v>
      </c>
      <c r="U361" s="19"/>
      <c r="V361" s="19"/>
      <c r="W361" s="218">
        <v>1</v>
      </c>
      <c r="X361" s="218">
        <v>1</v>
      </c>
      <c r="Y361" s="218">
        <v>1</v>
      </c>
    </row>
    <row r="362" spans="1:25" ht="14.25" customHeight="1" x14ac:dyDescent="0.3">
      <c r="A362" s="1" t="s">
        <v>1093</v>
      </c>
      <c r="B362" s="5">
        <v>46157</v>
      </c>
      <c r="C362" s="6">
        <v>0.875</v>
      </c>
      <c r="D362" s="1" t="s">
        <v>10</v>
      </c>
      <c r="E362" s="1" t="s">
        <v>11</v>
      </c>
      <c r="F362" s="1" t="s">
        <v>1555</v>
      </c>
      <c r="G362" s="39" t="s">
        <v>189</v>
      </c>
      <c r="H362" s="1">
        <v>0</v>
      </c>
      <c r="I362" s="1">
        <v>2</v>
      </c>
      <c r="J362" s="39" t="s">
        <v>182</v>
      </c>
      <c r="K362" s="1">
        <v>2</v>
      </c>
      <c r="L362" s="1">
        <v>0</v>
      </c>
      <c r="S362" s="1" t="s">
        <v>9125</v>
      </c>
      <c r="T362" s="1">
        <v>1</v>
      </c>
      <c r="U362" s="19"/>
      <c r="V362" s="19"/>
      <c r="W362" s="218">
        <v>1</v>
      </c>
      <c r="X362" s="218">
        <v>1</v>
      </c>
      <c r="Y362" s="218">
        <v>1</v>
      </c>
    </row>
    <row r="363" spans="1:25" ht="14.25" customHeight="1" x14ac:dyDescent="0.3">
      <c r="A363" s="1" t="s">
        <v>1094</v>
      </c>
      <c r="B363" s="5">
        <v>46210</v>
      </c>
      <c r="C363" s="6">
        <v>0.85416666666666696</v>
      </c>
      <c r="D363" s="1" t="s">
        <v>10</v>
      </c>
      <c r="E363" s="1" t="s">
        <v>11</v>
      </c>
      <c r="F363" s="1" t="s">
        <v>1575</v>
      </c>
      <c r="G363" s="39" t="s">
        <v>1574</v>
      </c>
      <c r="H363" s="1">
        <v>3</v>
      </c>
      <c r="I363" s="1">
        <v>2</v>
      </c>
      <c r="J363" s="39" t="s">
        <v>189</v>
      </c>
      <c r="K363" s="1">
        <v>2</v>
      </c>
      <c r="L363" s="1">
        <v>3</v>
      </c>
      <c r="S363" s="1" t="s">
        <v>9126</v>
      </c>
      <c r="T363" s="1">
        <v>1</v>
      </c>
      <c r="U363" s="19"/>
      <c r="V363" s="19"/>
      <c r="W363" s="218">
        <v>1</v>
      </c>
      <c r="X363" s="218">
        <v>1</v>
      </c>
      <c r="Y363" s="218">
        <v>1</v>
      </c>
    </row>
    <row r="364" spans="1:25" ht="14.25" customHeight="1" x14ac:dyDescent="0.3">
      <c r="A364" s="1" t="s">
        <v>1095</v>
      </c>
      <c r="B364" s="5">
        <v>46215</v>
      </c>
      <c r="C364" s="6">
        <v>0.66666666666666696</v>
      </c>
      <c r="D364" s="1" t="s">
        <v>10</v>
      </c>
      <c r="E364" s="1" t="s">
        <v>11</v>
      </c>
      <c r="F364" s="1" t="s">
        <v>1556</v>
      </c>
      <c r="G364" s="39" t="s">
        <v>189</v>
      </c>
      <c r="H364" s="1">
        <v>2</v>
      </c>
      <c r="I364" s="1">
        <v>1</v>
      </c>
      <c r="J364" s="39" t="s">
        <v>226</v>
      </c>
      <c r="K364" s="1">
        <v>1</v>
      </c>
      <c r="L364" s="1">
        <v>2</v>
      </c>
      <c r="S364" s="1" t="s">
        <v>9127</v>
      </c>
      <c r="T364" s="1">
        <v>1</v>
      </c>
      <c r="U364" s="19"/>
      <c r="V364" s="19"/>
      <c r="W364" s="218">
        <v>1</v>
      </c>
      <c r="X364" s="218">
        <v>1</v>
      </c>
      <c r="Y364" s="218">
        <v>1</v>
      </c>
    </row>
    <row r="365" spans="1:25" ht="14.25" customHeight="1" x14ac:dyDescent="0.3">
      <c r="A365" s="1" t="s">
        <v>1096</v>
      </c>
      <c r="B365" s="5">
        <v>46222</v>
      </c>
      <c r="C365" s="6">
        <v>0.77083333333333304</v>
      </c>
      <c r="D365" s="1" t="s">
        <v>10</v>
      </c>
      <c r="E365" s="1" t="s">
        <v>11</v>
      </c>
      <c r="F365" s="1" t="s">
        <v>1116</v>
      </c>
      <c r="G365" s="39" t="s">
        <v>233</v>
      </c>
      <c r="H365" s="1">
        <v>1</v>
      </c>
      <c r="I365" s="1">
        <v>0</v>
      </c>
      <c r="J365" s="39" t="s">
        <v>189</v>
      </c>
      <c r="K365" s="1">
        <v>0</v>
      </c>
      <c r="L365" s="1">
        <v>1</v>
      </c>
      <c r="S365" s="1" t="s">
        <v>9128</v>
      </c>
      <c r="T365" s="1">
        <v>1</v>
      </c>
      <c r="U365" s="19"/>
      <c r="V365" s="19"/>
      <c r="W365" s="218">
        <v>1</v>
      </c>
      <c r="X365" s="218">
        <v>1</v>
      </c>
      <c r="Y365" s="218">
        <v>1</v>
      </c>
    </row>
    <row r="366" spans="1:25" ht="14.25" customHeight="1" x14ac:dyDescent="0.3">
      <c r="A366" s="1" t="s">
        <v>1097</v>
      </c>
      <c r="B366" s="5">
        <v>46229</v>
      </c>
      <c r="C366" s="6">
        <v>0.66666666666666696</v>
      </c>
      <c r="D366" s="1" t="s">
        <v>10</v>
      </c>
      <c r="E366" s="1" t="s">
        <v>11</v>
      </c>
      <c r="F366" s="1" t="s">
        <v>1532</v>
      </c>
      <c r="G366" s="39" t="s">
        <v>668</v>
      </c>
      <c r="H366" s="1">
        <v>4</v>
      </c>
      <c r="I366" s="1">
        <v>1</v>
      </c>
      <c r="J366" s="39" t="s">
        <v>189</v>
      </c>
      <c r="K366" s="1">
        <v>1</v>
      </c>
      <c r="L366" s="1">
        <v>4</v>
      </c>
      <c r="S366" s="1" t="s">
        <v>9129</v>
      </c>
      <c r="T366" s="1">
        <v>1</v>
      </c>
      <c r="U366" s="19"/>
      <c r="V366" s="19"/>
      <c r="W366" s="218">
        <v>1</v>
      </c>
      <c r="X366" s="218">
        <v>1</v>
      </c>
      <c r="Y366" s="218">
        <v>1</v>
      </c>
    </row>
    <row r="367" spans="1:25" ht="14.25" customHeight="1" x14ac:dyDescent="0.3">
      <c r="A367" s="1" t="s">
        <v>1098</v>
      </c>
      <c r="B367" s="5">
        <v>46115</v>
      </c>
      <c r="C367" s="6">
        <v>0.66666666666666696</v>
      </c>
      <c r="D367" s="1" t="s">
        <v>10</v>
      </c>
      <c r="E367" s="1" t="s">
        <v>11</v>
      </c>
      <c r="F367" s="1" t="s">
        <v>1533</v>
      </c>
      <c r="G367" s="39" t="s">
        <v>681</v>
      </c>
      <c r="H367" s="1">
        <v>5</v>
      </c>
      <c r="I367" s="1">
        <v>2</v>
      </c>
      <c r="J367" s="39" t="s">
        <v>225</v>
      </c>
      <c r="K367" s="1">
        <v>2</v>
      </c>
      <c r="L367" s="1">
        <v>5</v>
      </c>
      <c r="S367" s="1" t="s">
        <v>9130</v>
      </c>
      <c r="T367">
        <v>1</v>
      </c>
      <c r="U367" s="19"/>
      <c r="V367" s="19"/>
      <c r="W367" s="218">
        <v>0</v>
      </c>
      <c r="X367" s="218">
        <v>0</v>
      </c>
      <c r="Y367" s="218">
        <v>0</v>
      </c>
    </row>
    <row r="368" spans="1:25" ht="14.25" customHeight="1" x14ac:dyDescent="0.3">
      <c r="A368" s="1" t="s">
        <v>1099</v>
      </c>
      <c r="B368" s="5">
        <v>46124</v>
      </c>
      <c r="C368" s="6">
        <v>0.66666666666666696</v>
      </c>
      <c r="D368" s="1" t="s">
        <v>10</v>
      </c>
      <c r="E368" s="1" t="s">
        <v>11</v>
      </c>
      <c r="F368" s="1" t="s">
        <v>1100</v>
      </c>
      <c r="G368" s="39" t="s">
        <v>225</v>
      </c>
      <c r="H368" s="1">
        <v>2</v>
      </c>
      <c r="I368" s="1">
        <v>2</v>
      </c>
      <c r="J368" s="39" t="s">
        <v>233</v>
      </c>
      <c r="K368" s="1">
        <v>2</v>
      </c>
      <c r="L368" s="1">
        <v>2</v>
      </c>
      <c r="S368" s="1" t="s">
        <v>9131</v>
      </c>
      <c r="T368" s="1">
        <v>1</v>
      </c>
      <c r="U368" s="19"/>
      <c r="V368" s="19"/>
      <c r="W368" s="218">
        <v>0</v>
      </c>
      <c r="X368" s="218">
        <v>0</v>
      </c>
      <c r="Y368" s="218">
        <v>0</v>
      </c>
    </row>
    <row r="369" spans="1:25" ht="14.25" customHeight="1" x14ac:dyDescent="0.3">
      <c r="A369" s="1" t="s">
        <v>1101</v>
      </c>
      <c r="B369" s="5">
        <v>46135</v>
      </c>
      <c r="C369" s="6">
        <v>0.66666666666666696</v>
      </c>
      <c r="D369" s="1" t="s">
        <v>10</v>
      </c>
      <c r="E369" s="1" t="s">
        <v>11</v>
      </c>
      <c r="F369" s="1" t="s">
        <v>1102</v>
      </c>
      <c r="G369" s="39" t="s">
        <v>1092</v>
      </c>
      <c r="H369" s="1">
        <v>2</v>
      </c>
      <c r="I369" s="1">
        <v>1</v>
      </c>
      <c r="J369" s="39" t="s">
        <v>225</v>
      </c>
      <c r="K369" s="1">
        <v>1</v>
      </c>
      <c r="L369" s="1">
        <v>2</v>
      </c>
      <c r="S369" s="1" t="s">
        <v>9132</v>
      </c>
      <c r="T369" s="1">
        <v>1</v>
      </c>
      <c r="U369" s="19"/>
      <c r="V369" s="19"/>
      <c r="W369" s="218">
        <v>1</v>
      </c>
      <c r="X369" s="218">
        <v>1</v>
      </c>
      <c r="Y369" s="218">
        <v>1</v>
      </c>
    </row>
    <row r="370" spans="1:25" ht="14.25" customHeight="1" x14ac:dyDescent="0.3">
      <c r="A370" s="1" t="s">
        <v>1103</v>
      </c>
      <c r="B370" s="5">
        <v>46138</v>
      </c>
      <c r="C370" s="6">
        <v>0.77083333333333304</v>
      </c>
      <c r="D370" s="1" t="s">
        <v>10</v>
      </c>
      <c r="E370" s="1" t="s">
        <v>11</v>
      </c>
      <c r="F370" s="1" t="s">
        <v>1104</v>
      </c>
      <c r="G370" s="39" t="s">
        <v>225</v>
      </c>
      <c r="H370" s="1">
        <v>2</v>
      </c>
      <c r="I370" s="1">
        <v>3</v>
      </c>
      <c r="J370" s="39" t="s">
        <v>181</v>
      </c>
      <c r="K370" s="1">
        <v>3</v>
      </c>
      <c r="L370" s="1">
        <v>2</v>
      </c>
      <c r="S370" s="1" t="s">
        <v>9133</v>
      </c>
      <c r="T370" s="1">
        <v>1</v>
      </c>
      <c r="U370" s="19"/>
      <c r="V370" s="19"/>
      <c r="W370" s="218">
        <v>1</v>
      </c>
      <c r="X370" s="218">
        <v>1</v>
      </c>
      <c r="Y370" s="218">
        <v>1</v>
      </c>
    </row>
    <row r="371" spans="1:25" ht="14.25" customHeight="1" x14ac:dyDescent="0.3">
      <c r="A371" s="1" t="s">
        <v>1105</v>
      </c>
      <c r="B371" s="5">
        <v>46143</v>
      </c>
      <c r="C371" s="6">
        <v>0.875</v>
      </c>
      <c r="D371" s="1" t="s">
        <v>10</v>
      </c>
      <c r="E371" s="1" t="s">
        <v>11</v>
      </c>
      <c r="F371" s="1" t="s">
        <v>1557</v>
      </c>
      <c r="G371" s="39" t="s">
        <v>1553</v>
      </c>
      <c r="H371" s="1">
        <v>1</v>
      </c>
      <c r="I371" s="1">
        <v>2</v>
      </c>
      <c r="J371" s="39" t="s">
        <v>225</v>
      </c>
      <c r="K371" s="1">
        <v>2</v>
      </c>
      <c r="L371" s="1">
        <v>1</v>
      </c>
      <c r="S371" s="1" t="s">
        <v>9134</v>
      </c>
      <c r="T371" s="1">
        <v>1</v>
      </c>
      <c r="U371" s="19"/>
      <c r="V371" s="19"/>
      <c r="W371" s="218">
        <v>1</v>
      </c>
      <c r="X371" s="218">
        <v>1</v>
      </c>
      <c r="Y371" s="218">
        <v>1</v>
      </c>
    </row>
    <row r="372" spans="1:25" ht="14.25" customHeight="1" x14ac:dyDescent="0.3">
      <c r="A372" s="1" t="s">
        <v>1106</v>
      </c>
      <c r="B372" s="5">
        <v>46154</v>
      </c>
      <c r="C372" s="6">
        <v>0.875</v>
      </c>
      <c r="D372" s="1" t="s">
        <v>10</v>
      </c>
      <c r="E372" s="1" t="s">
        <v>11</v>
      </c>
      <c r="F372" s="1" t="s">
        <v>1558</v>
      </c>
      <c r="G372" s="39" t="s">
        <v>182</v>
      </c>
      <c r="H372" s="1">
        <v>1</v>
      </c>
      <c r="I372" s="1">
        <v>1</v>
      </c>
      <c r="J372" s="39" t="s">
        <v>225</v>
      </c>
      <c r="K372" s="1">
        <v>1</v>
      </c>
      <c r="L372" s="1">
        <v>1</v>
      </c>
      <c r="S372" s="1" t="s">
        <v>9135</v>
      </c>
      <c r="T372" s="1">
        <v>1</v>
      </c>
      <c r="U372" s="19"/>
      <c r="V372" s="19"/>
      <c r="W372" s="218">
        <v>1</v>
      </c>
      <c r="X372" s="218">
        <v>1</v>
      </c>
      <c r="Y372" s="218">
        <v>1</v>
      </c>
    </row>
    <row r="373" spans="1:25" ht="14.25" customHeight="1" x14ac:dyDescent="0.3">
      <c r="A373" s="1" t="s">
        <v>1107</v>
      </c>
      <c r="B373" s="5">
        <v>46211</v>
      </c>
      <c r="C373" s="6">
        <v>0.79166666666666696</v>
      </c>
      <c r="D373" s="1" t="s">
        <v>10</v>
      </c>
      <c r="E373" s="1" t="s">
        <v>11</v>
      </c>
      <c r="F373" s="1" t="s">
        <v>1108</v>
      </c>
      <c r="G373" s="39" t="s">
        <v>225</v>
      </c>
      <c r="H373" s="1">
        <v>4</v>
      </c>
      <c r="I373" s="1">
        <v>1</v>
      </c>
      <c r="J373" s="39" t="s">
        <v>677</v>
      </c>
      <c r="K373" s="1">
        <v>1</v>
      </c>
      <c r="L373" s="1">
        <v>4</v>
      </c>
      <c r="S373" s="1" t="s">
        <v>9136</v>
      </c>
      <c r="T373" s="1">
        <v>1</v>
      </c>
      <c r="U373" s="19"/>
      <c r="V373" s="19"/>
      <c r="W373" s="218">
        <v>1</v>
      </c>
      <c r="X373" s="218">
        <v>1</v>
      </c>
      <c r="Y373" s="218">
        <v>1</v>
      </c>
    </row>
    <row r="374" spans="1:25" ht="14.25" customHeight="1" x14ac:dyDescent="0.3">
      <c r="A374" s="1" t="s">
        <v>1109</v>
      </c>
      <c r="B374" s="5">
        <v>46214</v>
      </c>
      <c r="C374" s="6">
        <v>0.66666666666666696</v>
      </c>
      <c r="D374" s="1" t="s">
        <v>10</v>
      </c>
      <c r="E374" s="1" t="s">
        <v>11</v>
      </c>
      <c r="F374" s="1" t="s">
        <v>1576</v>
      </c>
      <c r="G374" s="39" t="s">
        <v>225</v>
      </c>
      <c r="H374" s="1">
        <v>3</v>
      </c>
      <c r="I374" s="1">
        <v>1</v>
      </c>
      <c r="J374" s="39" t="s">
        <v>1574</v>
      </c>
      <c r="K374" s="1">
        <v>1</v>
      </c>
      <c r="L374" s="1">
        <v>3</v>
      </c>
      <c r="S374" s="1" t="s">
        <v>9137</v>
      </c>
      <c r="T374" s="1">
        <v>1</v>
      </c>
      <c r="U374" s="19"/>
      <c r="V374" s="19"/>
      <c r="W374" s="218">
        <v>1</v>
      </c>
      <c r="X374" s="218">
        <v>1</v>
      </c>
      <c r="Y374" s="218">
        <v>1</v>
      </c>
    </row>
    <row r="375" spans="1:25" ht="14.25" customHeight="1" x14ac:dyDescent="0.3">
      <c r="A375" s="1" t="s">
        <v>1110</v>
      </c>
      <c r="B375" s="5">
        <v>46223</v>
      </c>
      <c r="C375" s="6">
        <v>0.83333333333333304</v>
      </c>
      <c r="D375" s="1" t="s">
        <v>10</v>
      </c>
      <c r="E375" s="1" t="s">
        <v>11</v>
      </c>
      <c r="F375" s="1" t="s">
        <v>1534</v>
      </c>
      <c r="G375" s="39" t="s">
        <v>668</v>
      </c>
      <c r="H375" s="1">
        <v>1</v>
      </c>
      <c r="I375" s="1">
        <v>4</v>
      </c>
      <c r="J375" s="39" t="s">
        <v>225</v>
      </c>
      <c r="K375" s="1">
        <v>4</v>
      </c>
      <c r="L375" s="1">
        <v>1</v>
      </c>
      <c r="S375" s="1" t="s">
        <v>9138</v>
      </c>
      <c r="T375" s="1">
        <v>1</v>
      </c>
      <c r="U375" s="19"/>
      <c r="V375" s="19"/>
      <c r="W375" s="218">
        <v>1</v>
      </c>
      <c r="X375" s="218">
        <v>1</v>
      </c>
      <c r="Y375" s="218">
        <v>1</v>
      </c>
    </row>
    <row r="376" spans="1:25" ht="14.25" customHeight="1" x14ac:dyDescent="0.3">
      <c r="A376" s="1" t="s">
        <v>1111</v>
      </c>
      <c r="B376" s="5">
        <v>46228</v>
      </c>
      <c r="C376" s="6">
        <v>0.66666666666666696</v>
      </c>
      <c r="D376" s="1" t="s">
        <v>10</v>
      </c>
      <c r="E376" s="1" t="s">
        <v>11</v>
      </c>
      <c r="F376" s="1" t="s">
        <v>1535</v>
      </c>
      <c r="G376" s="39" t="s">
        <v>665</v>
      </c>
      <c r="H376" s="1">
        <v>4</v>
      </c>
      <c r="I376" s="1">
        <v>1</v>
      </c>
      <c r="J376" s="39" t="s">
        <v>225</v>
      </c>
      <c r="K376" s="1">
        <v>1</v>
      </c>
      <c r="L376" s="1">
        <v>4</v>
      </c>
      <c r="S376" s="1" t="s">
        <v>9139</v>
      </c>
      <c r="T376" s="1">
        <v>1</v>
      </c>
      <c r="U376" s="19"/>
      <c r="V376" s="19"/>
      <c r="W376" s="218">
        <v>1</v>
      </c>
      <c r="X376" s="218">
        <v>1</v>
      </c>
      <c r="Y376" s="218">
        <v>1</v>
      </c>
    </row>
    <row r="377" spans="1:25" ht="14.25" customHeight="1" x14ac:dyDescent="0.3">
      <c r="A377" s="1" t="s">
        <v>1118</v>
      </c>
      <c r="B377" s="5">
        <v>46110</v>
      </c>
      <c r="C377" s="6">
        <v>0.19791666666666699</v>
      </c>
      <c r="D377" s="1" t="s">
        <v>7</v>
      </c>
      <c r="E377" s="1" t="s">
        <v>8</v>
      </c>
      <c r="F377" s="1" t="s">
        <v>1144</v>
      </c>
      <c r="G377" s="39" t="s">
        <v>260</v>
      </c>
      <c r="H377" s="1">
        <v>0</v>
      </c>
      <c r="I377" s="1">
        <v>1</v>
      </c>
      <c r="J377" s="39" t="s">
        <v>256</v>
      </c>
      <c r="K377" s="1">
        <v>1</v>
      </c>
      <c r="L377" s="1">
        <v>0</v>
      </c>
      <c r="S377" s="1" t="s">
        <v>9140</v>
      </c>
      <c r="T377" s="1">
        <v>1</v>
      </c>
      <c r="U377" s="19"/>
      <c r="V377" s="19"/>
      <c r="W377" s="218">
        <v>1</v>
      </c>
      <c r="X377" s="218">
        <v>0</v>
      </c>
      <c r="Y377" s="218">
        <v>1</v>
      </c>
    </row>
    <row r="378" spans="1:25" ht="14.25" customHeight="1" x14ac:dyDescent="0.3">
      <c r="A378" s="1" t="s">
        <v>1119</v>
      </c>
      <c r="B378" s="5">
        <v>46124</v>
      </c>
      <c r="C378" s="6">
        <v>0.1875</v>
      </c>
      <c r="D378" s="1" t="s">
        <v>7</v>
      </c>
      <c r="E378" s="1" t="s">
        <v>8</v>
      </c>
      <c r="F378" s="1" t="s">
        <v>1120</v>
      </c>
      <c r="G378" s="39" t="s">
        <v>1121</v>
      </c>
      <c r="H378" s="1">
        <v>2</v>
      </c>
      <c r="I378" s="1">
        <v>2</v>
      </c>
      <c r="J378" s="39" t="s">
        <v>256</v>
      </c>
      <c r="K378" s="1">
        <v>2</v>
      </c>
      <c r="L378" s="1">
        <v>2</v>
      </c>
      <c r="S378" s="1" t="s">
        <v>9141</v>
      </c>
      <c r="T378" s="1">
        <v>1</v>
      </c>
      <c r="U378" s="19"/>
      <c r="V378" s="19"/>
      <c r="W378" s="218">
        <v>0</v>
      </c>
      <c r="X378" s="218">
        <v>0</v>
      </c>
      <c r="Y378" s="218">
        <v>0</v>
      </c>
    </row>
    <row r="379" spans="1:25" ht="14.25" customHeight="1" x14ac:dyDescent="0.3">
      <c r="A379" s="1" t="s">
        <v>1122</v>
      </c>
      <c r="B379" s="5">
        <v>46130</v>
      </c>
      <c r="C379" s="6">
        <v>0.19791666666666699</v>
      </c>
      <c r="D379" s="1" t="s">
        <v>7</v>
      </c>
      <c r="E379" s="1" t="s">
        <v>8</v>
      </c>
      <c r="F379" s="1" t="s">
        <v>1123</v>
      </c>
      <c r="G379" s="39" t="s">
        <v>256</v>
      </c>
      <c r="H379" s="1">
        <v>0</v>
      </c>
      <c r="I379" s="1">
        <v>2</v>
      </c>
      <c r="J379" s="39" t="s">
        <v>1124</v>
      </c>
      <c r="K379" s="1">
        <v>2</v>
      </c>
      <c r="L379" s="1">
        <v>0</v>
      </c>
      <c r="S379" s="1" t="s">
        <v>9142</v>
      </c>
      <c r="T379" s="1">
        <v>1</v>
      </c>
      <c r="U379" s="19"/>
      <c r="V379" s="19"/>
      <c r="W379" s="218">
        <v>0</v>
      </c>
      <c r="X379" s="218">
        <v>1</v>
      </c>
      <c r="Y379" s="218">
        <v>1</v>
      </c>
    </row>
    <row r="380" spans="1:25" ht="14.25" customHeight="1" x14ac:dyDescent="0.3">
      <c r="A380" s="1" t="s">
        <v>1125</v>
      </c>
      <c r="B380" s="5">
        <v>46136</v>
      </c>
      <c r="C380" s="6">
        <v>0.27083333333333298</v>
      </c>
      <c r="D380" s="1" t="s">
        <v>7</v>
      </c>
      <c r="E380" s="1" t="s">
        <v>8</v>
      </c>
      <c r="F380" s="1" t="s">
        <v>1145</v>
      </c>
      <c r="G380" s="39" t="s">
        <v>257</v>
      </c>
      <c r="H380" s="1">
        <v>2</v>
      </c>
      <c r="I380" s="1">
        <v>0</v>
      </c>
      <c r="J380" s="39" t="s">
        <v>256</v>
      </c>
      <c r="K380" s="1">
        <v>0</v>
      </c>
      <c r="L380" s="1">
        <v>2</v>
      </c>
      <c r="S380" s="1" t="s">
        <v>9143</v>
      </c>
      <c r="T380" s="1">
        <v>1</v>
      </c>
      <c r="U380" s="19"/>
      <c r="V380" s="19"/>
      <c r="W380" s="218">
        <v>0</v>
      </c>
      <c r="X380" s="218">
        <v>0</v>
      </c>
      <c r="Y380" s="218">
        <v>0</v>
      </c>
    </row>
    <row r="381" spans="1:25" ht="14.25" customHeight="1" x14ac:dyDescent="0.3">
      <c r="A381" s="1" t="s">
        <v>1126</v>
      </c>
      <c r="B381" s="5">
        <v>46152</v>
      </c>
      <c r="C381" s="6">
        <v>0.21875</v>
      </c>
      <c r="D381" s="1" t="s">
        <v>7</v>
      </c>
      <c r="E381" s="1" t="s">
        <v>8</v>
      </c>
      <c r="F381" s="1" t="s">
        <v>1127</v>
      </c>
      <c r="G381" s="39" t="s">
        <v>256</v>
      </c>
      <c r="H381" s="1">
        <v>1</v>
      </c>
      <c r="I381" s="1">
        <v>3</v>
      </c>
      <c r="J381" s="39" t="s">
        <v>1128</v>
      </c>
      <c r="K381" s="1">
        <v>3</v>
      </c>
      <c r="L381" s="1">
        <v>1</v>
      </c>
      <c r="S381" s="1" t="s">
        <v>9144</v>
      </c>
      <c r="T381" s="1">
        <v>1</v>
      </c>
      <c r="U381" s="19"/>
      <c r="V381" s="19"/>
      <c r="W381" s="218">
        <v>1</v>
      </c>
      <c r="X381" s="218">
        <v>1</v>
      </c>
      <c r="Y381" s="218">
        <v>1</v>
      </c>
    </row>
    <row r="382" spans="1:25" ht="14.25" customHeight="1" x14ac:dyDescent="0.3">
      <c r="A382" s="1" t="s">
        <v>1129</v>
      </c>
      <c r="B382" s="5">
        <v>46165</v>
      </c>
      <c r="C382" s="6">
        <v>0.20833333333333301</v>
      </c>
      <c r="D382" s="1" t="s">
        <v>7</v>
      </c>
      <c r="E382" s="1" t="s">
        <v>8</v>
      </c>
      <c r="F382" s="1" t="s">
        <v>1146</v>
      </c>
      <c r="G382" s="39" t="s">
        <v>202</v>
      </c>
      <c r="H382" s="1">
        <v>3</v>
      </c>
      <c r="I382" s="1">
        <v>2</v>
      </c>
      <c r="J382" s="39" t="s">
        <v>256</v>
      </c>
      <c r="K382" s="1">
        <v>2</v>
      </c>
      <c r="L382" s="1">
        <v>3</v>
      </c>
      <c r="S382" s="1" t="s">
        <v>9145</v>
      </c>
      <c r="T382" s="1">
        <v>1</v>
      </c>
      <c r="U382" s="19"/>
      <c r="V382" s="19"/>
      <c r="W382" s="218">
        <v>1</v>
      </c>
      <c r="X382" s="218">
        <v>1</v>
      </c>
      <c r="Y382" s="218">
        <v>1</v>
      </c>
    </row>
    <row r="383" spans="1:25" ht="14.25" customHeight="1" x14ac:dyDescent="0.3">
      <c r="A383" s="1" t="s">
        <v>1130</v>
      </c>
      <c r="B383" s="5">
        <v>46173</v>
      </c>
      <c r="C383" s="6">
        <v>0.19791666666666699</v>
      </c>
      <c r="D383" s="1" t="s">
        <v>7</v>
      </c>
      <c r="E383" s="1" t="s">
        <v>8</v>
      </c>
      <c r="F383" s="1" t="s">
        <v>8233</v>
      </c>
      <c r="G383" s="39" t="s">
        <v>256</v>
      </c>
      <c r="H383" s="1">
        <v>3</v>
      </c>
      <c r="I383" s="1">
        <v>5</v>
      </c>
      <c r="J383" s="39" t="s">
        <v>895</v>
      </c>
      <c r="K383" s="1">
        <v>5</v>
      </c>
      <c r="L383" s="1">
        <v>3</v>
      </c>
      <c r="S383" s="1" t="s">
        <v>8234</v>
      </c>
      <c r="T383" s="1">
        <v>1</v>
      </c>
      <c r="U383" s="19"/>
      <c r="V383" s="19"/>
      <c r="W383" s="218">
        <v>1</v>
      </c>
      <c r="X383" s="218">
        <v>1</v>
      </c>
      <c r="Y383" s="218">
        <v>1</v>
      </c>
    </row>
    <row r="384" spans="1:25" ht="14.25" customHeight="1" x14ac:dyDescent="0.3">
      <c r="A384" s="1" t="s">
        <v>1131</v>
      </c>
      <c r="B384" s="5">
        <v>46176</v>
      </c>
      <c r="C384" s="6">
        <v>0.27083333333333298</v>
      </c>
      <c r="D384" s="1" t="s">
        <v>7</v>
      </c>
      <c r="E384" s="1" t="s">
        <v>8</v>
      </c>
      <c r="F384" s="1" t="s">
        <v>1148</v>
      </c>
      <c r="G384" s="39" t="s">
        <v>1147</v>
      </c>
      <c r="H384" s="1">
        <v>4</v>
      </c>
      <c r="I384" s="1">
        <v>0</v>
      </c>
      <c r="J384" s="39" t="s">
        <v>256</v>
      </c>
      <c r="K384" s="1">
        <v>0</v>
      </c>
      <c r="L384" s="1">
        <v>4</v>
      </c>
      <c r="S384" s="1" t="s">
        <v>9146</v>
      </c>
      <c r="T384" s="1">
        <v>1</v>
      </c>
      <c r="U384" s="19"/>
      <c r="V384" s="19"/>
      <c r="W384" s="218">
        <v>1</v>
      </c>
      <c r="X384" s="218">
        <v>1</v>
      </c>
      <c r="Y384" s="218">
        <v>1</v>
      </c>
    </row>
    <row r="385" spans="1:25" ht="14.25" customHeight="1" x14ac:dyDescent="0.3">
      <c r="A385" s="1" t="s">
        <v>1132</v>
      </c>
      <c r="B385" s="5">
        <v>46179</v>
      </c>
      <c r="C385" s="6">
        <v>0.23958333333333301</v>
      </c>
      <c r="D385" s="1" t="s">
        <v>7</v>
      </c>
      <c r="E385" s="1" t="s">
        <v>8</v>
      </c>
      <c r="F385" s="1" t="s">
        <v>1149</v>
      </c>
      <c r="G385" s="39" t="s">
        <v>256</v>
      </c>
      <c r="H385" s="1">
        <v>2</v>
      </c>
      <c r="I385" s="1">
        <v>1</v>
      </c>
      <c r="J385" s="39" t="s">
        <v>260</v>
      </c>
      <c r="K385" s="1">
        <v>1</v>
      </c>
      <c r="L385" s="1">
        <v>2</v>
      </c>
      <c r="S385" s="1" t="s">
        <v>9147</v>
      </c>
      <c r="T385" s="1">
        <v>1</v>
      </c>
      <c r="U385" s="19"/>
      <c r="V385" s="19"/>
      <c r="W385" s="218">
        <v>1</v>
      </c>
      <c r="X385" s="218">
        <v>1</v>
      </c>
      <c r="Y385" s="218">
        <v>1</v>
      </c>
    </row>
    <row r="386" spans="1:25" ht="14.25" customHeight="1" x14ac:dyDescent="0.3">
      <c r="A386" s="1" t="s">
        <v>1133</v>
      </c>
      <c r="B386" s="5">
        <v>46192</v>
      </c>
      <c r="C386" s="6">
        <v>0.27083333333333298</v>
      </c>
      <c r="D386" s="1" t="s">
        <v>7</v>
      </c>
      <c r="E386" s="1" t="s">
        <v>8</v>
      </c>
      <c r="F386" s="1" t="s">
        <v>1134</v>
      </c>
      <c r="G386" s="39" t="s">
        <v>1117</v>
      </c>
      <c r="H386" s="1">
        <v>2</v>
      </c>
      <c r="I386" s="1">
        <v>1</v>
      </c>
      <c r="J386" s="39" t="s">
        <v>256</v>
      </c>
      <c r="K386" s="1">
        <v>1</v>
      </c>
      <c r="L386" s="1">
        <v>2</v>
      </c>
      <c r="S386" s="1" t="s">
        <v>9148</v>
      </c>
      <c r="T386" s="1">
        <v>1</v>
      </c>
      <c r="U386" s="19"/>
      <c r="V386" s="19"/>
      <c r="W386" s="218">
        <v>1</v>
      </c>
      <c r="X386" s="218">
        <v>1</v>
      </c>
      <c r="Y386" s="218">
        <v>1</v>
      </c>
    </row>
    <row r="387" spans="1:25" ht="14.25" customHeight="1" x14ac:dyDescent="0.3">
      <c r="A387" s="1" t="s">
        <v>1135</v>
      </c>
      <c r="B387" s="5">
        <v>46200</v>
      </c>
      <c r="C387" s="6">
        <v>0.20833333333333301</v>
      </c>
      <c r="D387" s="1" t="s">
        <v>7</v>
      </c>
      <c r="E387" s="1" t="s">
        <v>8</v>
      </c>
      <c r="F387" s="1" t="s">
        <v>1136</v>
      </c>
      <c r="G387" s="39" t="s">
        <v>256</v>
      </c>
      <c r="H387" s="1">
        <v>3</v>
      </c>
      <c r="I387" s="1">
        <v>5</v>
      </c>
      <c r="J387" s="39" t="s">
        <v>1121</v>
      </c>
      <c r="K387" s="1">
        <v>5</v>
      </c>
      <c r="L387" s="1">
        <v>3</v>
      </c>
      <c r="S387" s="1" t="s">
        <v>9149</v>
      </c>
      <c r="T387" s="1">
        <v>1</v>
      </c>
      <c r="U387" s="19"/>
      <c r="V387" s="19"/>
      <c r="W387" s="218">
        <v>1</v>
      </c>
      <c r="X387" s="218">
        <v>1</v>
      </c>
      <c r="Y387" s="218">
        <v>1</v>
      </c>
    </row>
    <row r="388" spans="1:25" ht="14.25" customHeight="1" x14ac:dyDescent="0.3">
      <c r="A388" s="1" t="s">
        <v>1137</v>
      </c>
      <c r="B388" s="5">
        <v>46208</v>
      </c>
      <c r="C388" s="6">
        <v>0.16666666666666699</v>
      </c>
      <c r="D388" s="1" t="s">
        <v>7</v>
      </c>
      <c r="E388" s="1" t="s">
        <v>8</v>
      </c>
      <c r="F388" s="1" t="s">
        <v>1138</v>
      </c>
      <c r="G388" s="39" t="s">
        <v>1139</v>
      </c>
      <c r="H388" s="1">
        <v>1</v>
      </c>
      <c r="I388" s="1">
        <v>3</v>
      </c>
      <c r="J388" s="39" t="s">
        <v>256</v>
      </c>
      <c r="K388" s="1">
        <v>3</v>
      </c>
      <c r="L388" s="1">
        <v>1</v>
      </c>
      <c r="S388" s="1" t="s">
        <v>9150</v>
      </c>
      <c r="T388" s="1">
        <v>1</v>
      </c>
      <c r="U388" s="19"/>
      <c r="V388" s="19"/>
      <c r="W388" s="218">
        <v>1</v>
      </c>
      <c r="X388" s="218">
        <v>1</v>
      </c>
      <c r="Y388" s="218">
        <v>1</v>
      </c>
    </row>
    <row r="389" spans="1:25" ht="14.25" customHeight="1" x14ac:dyDescent="0.3">
      <c r="A389" s="1" t="s">
        <v>1140</v>
      </c>
      <c r="B389" s="5">
        <v>46214</v>
      </c>
      <c r="C389" s="6">
        <v>0.20833333333333301</v>
      </c>
      <c r="D389" s="1" t="s">
        <v>7</v>
      </c>
      <c r="E389" s="1" t="s">
        <v>8</v>
      </c>
      <c r="F389" s="1" t="s">
        <v>1141</v>
      </c>
      <c r="G389" s="39" t="s">
        <v>261</v>
      </c>
      <c r="H389" s="1">
        <v>4</v>
      </c>
      <c r="I389" s="1">
        <v>3</v>
      </c>
      <c r="J389" s="39" t="s">
        <v>256</v>
      </c>
      <c r="K389" s="1">
        <v>3</v>
      </c>
      <c r="L389" s="1">
        <v>4</v>
      </c>
      <c r="S389" s="1" t="s">
        <v>9151</v>
      </c>
      <c r="T389" s="1">
        <v>1</v>
      </c>
      <c r="U389" s="19"/>
      <c r="V389" s="19"/>
      <c r="W389" s="218">
        <v>1</v>
      </c>
      <c r="X389" s="218">
        <v>1</v>
      </c>
      <c r="Y389" s="218">
        <v>1</v>
      </c>
    </row>
    <row r="390" spans="1:25" ht="14.25" customHeight="1" x14ac:dyDescent="0.3">
      <c r="A390" s="1" t="s">
        <v>1142</v>
      </c>
      <c r="B390" s="5">
        <v>46221</v>
      </c>
      <c r="C390" s="6">
        <v>0.20833333333333301</v>
      </c>
      <c r="D390" s="1" t="s">
        <v>7</v>
      </c>
      <c r="E390" s="1" t="s">
        <v>8</v>
      </c>
      <c r="F390" s="1" t="s">
        <v>1143</v>
      </c>
      <c r="G390" s="39" t="s">
        <v>1124</v>
      </c>
      <c r="H390" s="1">
        <v>1</v>
      </c>
      <c r="I390" s="1">
        <v>4</v>
      </c>
      <c r="J390" s="39" t="s">
        <v>256</v>
      </c>
      <c r="K390" s="1">
        <v>4</v>
      </c>
      <c r="L390" s="1">
        <v>1</v>
      </c>
      <c r="S390" s="1" t="s">
        <v>9152</v>
      </c>
      <c r="T390" s="1">
        <v>1</v>
      </c>
      <c r="U390" s="19"/>
      <c r="V390" s="19"/>
      <c r="W390" s="218">
        <v>1</v>
      </c>
      <c r="X390" s="218">
        <v>1</v>
      </c>
      <c r="Y390" s="218">
        <v>1</v>
      </c>
    </row>
    <row r="391" spans="1:25" ht="14.25" customHeight="1" x14ac:dyDescent="0.3">
      <c r="A391" s="1" t="s">
        <v>1150</v>
      </c>
      <c r="B391" s="5">
        <v>46110</v>
      </c>
      <c r="C391" s="6">
        <v>0.16666666666666699</v>
      </c>
      <c r="D391" s="1" t="s">
        <v>7</v>
      </c>
      <c r="E391" s="1" t="s">
        <v>8</v>
      </c>
      <c r="F391" s="1" t="s">
        <v>1164</v>
      </c>
      <c r="G391" s="39" t="s">
        <v>202</v>
      </c>
      <c r="H391" s="1">
        <v>3</v>
      </c>
      <c r="I391" s="1">
        <v>1</v>
      </c>
      <c r="J391" s="39" t="s">
        <v>1147</v>
      </c>
      <c r="K391" s="1">
        <v>1</v>
      </c>
      <c r="L391" s="1">
        <v>3</v>
      </c>
      <c r="S391" s="1" t="s">
        <v>9153</v>
      </c>
      <c r="T391" s="1">
        <v>1</v>
      </c>
      <c r="U391" s="19"/>
      <c r="V391" s="19"/>
      <c r="W391" s="218">
        <v>0</v>
      </c>
      <c r="X391" s="218">
        <v>0</v>
      </c>
      <c r="Y391" s="218">
        <v>0</v>
      </c>
    </row>
    <row r="392" spans="1:25" ht="14.25" customHeight="1" x14ac:dyDescent="0.3">
      <c r="A392" s="1" t="s">
        <v>1151</v>
      </c>
      <c r="B392" s="5">
        <v>46122</v>
      </c>
      <c r="C392" s="6">
        <v>0.27083333333333298</v>
      </c>
      <c r="D392" s="1" t="s">
        <v>7</v>
      </c>
      <c r="E392" s="1" t="s">
        <v>8</v>
      </c>
      <c r="F392" s="1" t="s">
        <v>1165</v>
      </c>
      <c r="G392" s="39" t="s">
        <v>1117</v>
      </c>
      <c r="H392" s="1">
        <v>1</v>
      </c>
      <c r="I392" s="1">
        <v>1</v>
      </c>
      <c r="J392" s="39" t="s">
        <v>1147</v>
      </c>
      <c r="K392" s="1">
        <v>1</v>
      </c>
      <c r="L392" s="1">
        <v>1</v>
      </c>
      <c r="S392" s="1" t="s">
        <v>9154</v>
      </c>
      <c r="T392" s="1">
        <v>1</v>
      </c>
      <c r="U392" s="19"/>
      <c r="V392" s="19"/>
      <c r="W392" s="218">
        <v>0</v>
      </c>
      <c r="X392" s="218">
        <v>0</v>
      </c>
      <c r="Y392" s="218">
        <v>0</v>
      </c>
    </row>
    <row r="393" spans="1:25" ht="14.25" customHeight="1" x14ac:dyDescent="0.3">
      <c r="A393" s="1" t="s">
        <v>1152</v>
      </c>
      <c r="B393" s="5">
        <v>46131</v>
      </c>
      <c r="C393" s="6">
        <v>0.19791666666666699</v>
      </c>
      <c r="D393" s="1" t="s">
        <v>7</v>
      </c>
      <c r="E393" s="1" t="s">
        <v>8</v>
      </c>
      <c r="F393" s="1" t="s">
        <v>1166</v>
      </c>
      <c r="G393" s="39" t="s">
        <v>1121</v>
      </c>
      <c r="H393" s="1">
        <v>2</v>
      </c>
      <c r="I393" s="1">
        <v>2</v>
      </c>
      <c r="J393" s="39" t="s">
        <v>1147</v>
      </c>
      <c r="K393" s="1">
        <v>2</v>
      </c>
      <c r="L393" s="1">
        <v>2</v>
      </c>
      <c r="S393" s="1" t="s">
        <v>9155</v>
      </c>
      <c r="T393" s="1">
        <v>1</v>
      </c>
      <c r="U393" s="19"/>
      <c r="V393" s="19"/>
      <c r="W393" s="218">
        <v>0</v>
      </c>
      <c r="X393" s="218">
        <v>0</v>
      </c>
      <c r="Y393" s="218">
        <v>0</v>
      </c>
    </row>
    <row r="394" spans="1:25" ht="14.25" customHeight="1" x14ac:dyDescent="0.3">
      <c r="A394" s="1" t="s">
        <v>1153</v>
      </c>
      <c r="B394" s="5">
        <v>46137</v>
      </c>
      <c r="C394" s="6">
        <v>0.20833333333333301</v>
      </c>
      <c r="D394" s="1" t="s">
        <v>7</v>
      </c>
      <c r="E394" s="1" t="s">
        <v>8</v>
      </c>
      <c r="F394" s="1" t="s">
        <v>1167</v>
      </c>
      <c r="G394" s="39" t="s">
        <v>1124</v>
      </c>
      <c r="H394" s="1">
        <v>6</v>
      </c>
      <c r="I394" s="1">
        <v>1</v>
      </c>
      <c r="J394" s="39" t="s">
        <v>1147</v>
      </c>
      <c r="K394" s="1">
        <v>1</v>
      </c>
      <c r="L394" s="1">
        <v>6</v>
      </c>
      <c r="S394" s="1" t="s">
        <v>9156</v>
      </c>
      <c r="T394" s="1">
        <v>1</v>
      </c>
      <c r="U394" s="19"/>
      <c r="V394" s="19"/>
      <c r="W394" s="218">
        <v>1</v>
      </c>
      <c r="X394" s="218">
        <v>0</v>
      </c>
      <c r="Y394" s="218">
        <v>1</v>
      </c>
    </row>
    <row r="395" spans="1:25" ht="14.25" customHeight="1" x14ac:dyDescent="0.3">
      <c r="A395" s="1" t="s">
        <v>1154</v>
      </c>
      <c r="B395" s="5">
        <v>46152</v>
      </c>
      <c r="C395" s="6">
        <v>0.21875</v>
      </c>
      <c r="D395" s="1" t="s">
        <v>7</v>
      </c>
      <c r="E395" s="1" t="s">
        <v>8</v>
      </c>
      <c r="F395" s="1" t="s">
        <v>1168</v>
      </c>
      <c r="G395" s="39" t="s">
        <v>1147</v>
      </c>
      <c r="H395" s="1">
        <v>3</v>
      </c>
      <c r="I395" s="1">
        <v>1</v>
      </c>
      <c r="J395" s="39" t="s">
        <v>257</v>
      </c>
      <c r="K395" s="1">
        <v>1</v>
      </c>
      <c r="L395" s="1">
        <v>3</v>
      </c>
      <c r="S395" s="1" t="s">
        <v>9157</v>
      </c>
      <c r="T395" s="1">
        <v>1</v>
      </c>
      <c r="U395" s="19"/>
      <c r="V395" s="19"/>
      <c r="W395" s="218">
        <v>1</v>
      </c>
      <c r="X395" s="218">
        <v>1</v>
      </c>
      <c r="Y395" s="218">
        <v>1</v>
      </c>
    </row>
    <row r="396" spans="1:25" ht="14.25" customHeight="1" x14ac:dyDescent="0.3">
      <c r="A396" s="1" t="s">
        <v>1155</v>
      </c>
      <c r="B396" s="5">
        <v>46165</v>
      </c>
      <c r="C396" s="6">
        <v>0.16666666666666699</v>
      </c>
      <c r="D396" s="1" t="s">
        <v>7</v>
      </c>
      <c r="E396" s="1" t="s">
        <v>8</v>
      </c>
      <c r="F396" s="1" t="s">
        <v>1169</v>
      </c>
      <c r="G396" s="39" t="s">
        <v>1139</v>
      </c>
      <c r="H396" s="1">
        <v>4</v>
      </c>
      <c r="I396" s="1">
        <v>0</v>
      </c>
      <c r="J396" s="39" t="s">
        <v>1147</v>
      </c>
      <c r="K396" s="1">
        <v>0</v>
      </c>
      <c r="L396" s="1">
        <v>4</v>
      </c>
      <c r="S396" s="1" t="s">
        <v>9158</v>
      </c>
      <c r="T396" s="1">
        <v>1</v>
      </c>
      <c r="U396" s="19"/>
      <c r="V396" s="19"/>
      <c r="W396" s="218">
        <v>1</v>
      </c>
      <c r="X396" s="218">
        <v>1</v>
      </c>
      <c r="Y396" s="218">
        <v>1</v>
      </c>
    </row>
    <row r="397" spans="1:25" ht="14.25" customHeight="1" x14ac:dyDescent="0.3">
      <c r="A397" s="1" t="s">
        <v>1156</v>
      </c>
      <c r="B397" s="5">
        <v>46179</v>
      </c>
      <c r="C397" s="6">
        <v>0.23958333333333301</v>
      </c>
      <c r="D397" s="1" t="s">
        <v>7</v>
      </c>
      <c r="E397" s="1" t="s">
        <v>8</v>
      </c>
      <c r="F397" s="1" t="s">
        <v>1170</v>
      </c>
      <c r="G397" s="39" t="s">
        <v>1147</v>
      </c>
      <c r="H397" s="1">
        <v>0</v>
      </c>
      <c r="I397" s="1">
        <v>2</v>
      </c>
      <c r="J397" s="39" t="s">
        <v>202</v>
      </c>
      <c r="K397" s="1">
        <v>2</v>
      </c>
      <c r="L397" s="1">
        <v>0</v>
      </c>
      <c r="S397" s="1" t="s">
        <v>9159</v>
      </c>
      <c r="T397" s="1">
        <v>1</v>
      </c>
      <c r="U397" s="19"/>
      <c r="V397" s="19"/>
      <c r="W397" s="218">
        <v>1</v>
      </c>
      <c r="X397" s="218">
        <v>1</v>
      </c>
      <c r="Y397" s="218">
        <v>1</v>
      </c>
    </row>
    <row r="398" spans="1:25" ht="14.25" customHeight="1" x14ac:dyDescent="0.3">
      <c r="A398" s="1" t="s">
        <v>1157</v>
      </c>
      <c r="B398" s="5">
        <v>46189</v>
      </c>
      <c r="C398" s="6">
        <v>0.27083333333333298</v>
      </c>
      <c r="D398" s="1" t="s">
        <v>7</v>
      </c>
      <c r="E398" s="1" t="s">
        <v>8</v>
      </c>
      <c r="F398" s="1" t="s">
        <v>1171</v>
      </c>
      <c r="G398" s="39" t="s">
        <v>1147</v>
      </c>
      <c r="H398" s="1">
        <v>2</v>
      </c>
      <c r="I398" s="1">
        <v>5</v>
      </c>
      <c r="J398" s="39" t="s">
        <v>261</v>
      </c>
      <c r="K398" s="1">
        <v>5</v>
      </c>
      <c r="L398" s="1">
        <v>2</v>
      </c>
      <c r="S398" s="1" t="s">
        <v>9160</v>
      </c>
      <c r="T398" s="1">
        <v>1</v>
      </c>
      <c r="U398" s="19"/>
      <c r="V398" s="19"/>
      <c r="W398" s="218">
        <v>1</v>
      </c>
      <c r="X398" s="218">
        <v>1</v>
      </c>
      <c r="Y398" s="218">
        <v>1</v>
      </c>
    </row>
    <row r="399" spans="1:25" ht="14.25" customHeight="1" x14ac:dyDescent="0.3">
      <c r="A399" s="1" t="s">
        <v>1158</v>
      </c>
      <c r="B399" s="5">
        <v>46194</v>
      </c>
      <c r="C399" s="6">
        <v>0.20833333333333301</v>
      </c>
      <c r="D399" s="1" t="s">
        <v>7</v>
      </c>
      <c r="E399" s="1" t="s">
        <v>8</v>
      </c>
      <c r="F399" s="1" t="s">
        <v>8235</v>
      </c>
      <c r="G399" s="39" t="s">
        <v>895</v>
      </c>
      <c r="H399" s="1">
        <v>2</v>
      </c>
      <c r="I399" s="1">
        <v>1</v>
      </c>
      <c r="J399" s="39" t="s">
        <v>1147</v>
      </c>
      <c r="K399" s="1">
        <v>1</v>
      </c>
      <c r="L399" s="1">
        <v>2</v>
      </c>
      <c r="S399" s="1" t="s">
        <v>8236</v>
      </c>
      <c r="T399" s="1">
        <v>1</v>
      </c>
      <c r="U399" s="19"/>
      <c r="V399" s="19"/>
      <c r="W399" s="218">
        <v>1</v>
      </c>
      <c r="X399" s="218">
        <v>1</v>
      </c>
      <c r="Y399" s="218">
        <v>1</v>
      </c>
    </row>
    <row r="400" spans="1:25" ht="14.25" customHeight="1" x14ac:dyDescent="0.3">
      <c r="A400" s="1" t="s">
        <v>1159</v>
      </c>
      <c r="B400" s="5">
        <v>46199</v>
      </c>
      <c r="C400" s="6">
        <v>0.27083333333333298</v>
      </c>
      <c r="D400" s="1" t="s">
        <v>7</v>
      </c>
      <c r="E400" s="1" t="s">
        <v>8</v>
      </c>
      <c r="F400" s="1" t="s">
        <v>1172</v>
      </c>
      <c r="G400" s="39" t="s">
        <v>1147</v>
      </c>
      <c r="H400" s="1">
        <v>4</v>
      </c>
      <c r="I400" s="1">
        <v>1</v>
      </c>
      <c r="J400" s="39" t="s">
        <v>1117</v>
      </c>
      <c r="K400" s="1">
        <v>1</v>
      </c>
      <c r="L400" s="1">
        <v>4</v>
      </c>
      <c r="S400" s="1" t="s">
        <v>9161</v>
      </c>
      <c r="T400" s="1">
        <v>1</v>
      </c>
      <c r="U400" s="19"/>
      <c r="V400" s="19"/>
      <c r="W400" s="218">
        <v>1</v>
      </c>
      <c r="X400" s="218">
        <v>1</v>
      </c>
      <c r="Y400" s="218">
        <v>1</v>
      </c>
    </row>
    <row r="401" spans="1:25" ht="14.25" customHeight="1" x14ac:dyDescent="0.3">
      <c r="A401" s="1" t="s">
        <v>1160</v>
      </c>
      <c r="B401" s="5">
        <v>46206</v>
      </c>
      <c r="C401" s="6">
        <v>0.27083333333333298</v>
      </c>
      <c r="D401" s="1" t="s">
        <v>7</v>
      </c>
      <c r="E401" s="1" t="s">
        <v>8</v>
      </c>
      <c r="F401" s="1" t="s">
        <v>1173</v>
      </c>
      <c r="G401" s="39" t="s">
        <v>1128</v>
      </c>
      <c r="H401" s="1">
        <v>1</v>
      </c>
      <c r="I401" s="1">
        <v>1</v>
      </c>
      <c r="J401" s="39" t="s">
        <v>1147</v>
      </c>
      <c r="K401" s="1">
        <v>1</v>
      </c>
      <c r="L401" s="1">
        <v>1</v>
      </c>
      <c r="S401" s="1" t="s">
        <v>9162</v>
      </c>
      <c r="T401" s="1">
        <v>1</v>
      </c>
      <c r="U401" s="19"/>
      <c r="V401" s="19"/>
      <c r="W401" s="218">
        <v>1</v>
      </c>
      <c r="X401" s="218">
        <v>1</v>
      </c>
      <c r="Y401" s="218">
        <v>1</v>
      </c>
    </row>
    <row r="402" spans="1:25" ht="14.25" customHeight="1" x14ac:dyDescent="0.3">
      <c r="A402" s="1" t="s">
        <v>1161</v>
      </c>
      <c r="B402" s="5">
        <v>46213</v>
      </c>
      <c r="C402" s="6">
        <v>0.27083333333333298</v>
      </c>
      <c r="D402" s="1" t="s">
        <v>7</v>
      </c>
      <c r="E402" s="1" t="s">
        <v>8</v>
      </c>
      <c r="F402" s="1" t="s">
        <v>1174</v>
      </c>
      <c r="G402" s="39" t="s">
        <v>260</v>
      </c>
      <c r="H402" s="1">
        <v>4</v>
      </c>
      <c r="I402" s="1">
        <v>1</v>
      </c>
      <c r="J402" s="39" t="s">
        <v>1147</v>
      </c>
      <c r="K402" s="1">
        <v>1</v>
      </c>
      <c r="L402" s="1">
        <v>4</v>
      </c>
      <c r="S402" s="1" t="s">
        <v>9163</v>
      </c>
      <c r="T402" s="1">
        <v>1</v>
      </c>
      <c r="U402" s="19"/>
      <c r="V402" s="19"/>
      <c r="W402" s="218">
        <v>1</v>
      </c>
      <c r="X402" s="218">
        <v>1</v>
      </c>
      <c r="Y402" s="218">
        <v>1</v>
      </c>
    </row>
    <row r="403" spans="1:25" ht="14.25" customHeight="1" x14ac:dyDescent="0.3">
      <c r="A403" s="1" t="s">
        <v>1162</v>
      </c>
      <c r="B403" s="5">
        <v>46221</v>
      </c>
      <c r="C403" s="6">
        <v>0.20833333333333301</v>
      </c>
      <c r="D403" s="1" t="s">
        <v>7</v>
      </c>
      <c r="E403" s="1" t="s">
        <v>8</v>
      </c>
      <c r="F403" s="1" t="s">
        <v>1175</v>
      </c>
      <c r="G403" s="39" t="s">
        <v>1147</v>
      </c>
      <c r="H403" s="1">
        <v>2</v>
      </c>
      <c r="I403" s="1">
        <v>3</v>
      </c>
      <c r="J403" s="39" t="s">
        <v>1121</v>
      </c>
      <c r="K403" s="1">
        <v>3</v>
      </c>
      <c r="L403" s="1">
        <v>2</v>
      </c>
      <c r="S403" s="1" t="s">
        <v>9164</v>
      </c>
      <c r="T403" s="1">
        <v>1</v>
      </c>
      <c r="U403" s="19"/>
      <c r="V403" s="19"/>
      <c r="W403" s="218">
        <v>1</v>
      </c>
      <c r="X403" s="218">
        <v>1</v>
      </c>
      <c r="Y403" s="218">
        <v>1</v>
      </c>
    </row>
    <row r="404" spans="1:25" ht="14.25" customHeight="1" x14ac:dyDescent="0.3">
      <c r="A404" s="1" t="s">
        <v>1163</v>
      </c>
      <c r="B404" s="5">
        <v>46234</v>
      </c>
      <c r="C404" s="6">
        <v>0.27083333333333298</v>
      </c>
      <c r="D404" s="1" t="s">
        <v>7</v>
      </c>
      <c r="E404" s="1" t="s">
        <v>8</v>
      </c>
      <c r="F404" s="1" t="s">
        <v>1176</v>
      </c>
      <c r="G404" s="39" t="s">
        <v>1147</v>
      </c>
      <c r="H404" s="1">
        <v>2</v>
      </c>
      <c r="I404" s="1">
        <v>1</v>
      </c>
      <c r="J404" s="39" t="s">
        <v>1124</v>
      </c>
      <c r="K404" s="1">
        <v>1</v>
      </c>
      <c r="L404" s="1">
        <v>2</v>
      </c>
      <c r="S404" s="1" t="s">
        <v>9165</v>
      </c>
      <c r="T404" s="1">
        <v>1</v>
      </c>
      <c r="U404" s="19"/>
      <c r="V404" s="19"/>
      <c r="W404" s="218">
        <v>1</v>
      </c>
      <c r="X404" s="218">
        <v>1</v>
      </c>
      <c r="Y404" s="218">
        <v>1</v>
      </c>
    </row>
    <row r="405" spans="1:25" ht="14.25" customHeight="1" x14ac:dyDescent="0.3">
      <c r="A405" s="1" t="s">
        <v>1177</v>
      </c>
      <c r="B405" s="5">
        <v>46109</v>
      </c>
      <c r="C405" s="6">
        <v>0.16666666666666699</v>
      </c>
      <c r="D405" s="1" t="s">
        <v>7</v>
      </c>
      <c r="E405" s="1" t="s">
        <v>8</v>
      </c>
      <c r="F405" s="1" t="s">
        <v>1189</v>
      </c>
      <c r="G405" s="39" t="s">
        <v>257</v>
      </c>
      <c r="H405" s="1">
        <v>1</v>
      </c>
      <c r="I405" s="1">
        <v>0</v>
      </c>
      <c r="J405" s="39" t="s">
        <v>1117</v>
      </c>
      <c r="K405" s="1">
        <v>0</v>
      </c>
      <c r="L405" s="1">
        <v>1</v>
      </c>
      <c r="S405" s="1" t="s">
        <v>9166</v>
      </c>
      <c r="T405" s="1">
        <v>1</v>
      </c>
      <c r="U405" s="19"/>
      <c r="V405" s="19"/>
      <c r="W405" s="218">
        <v>0</v>
      </c>
      <c r="X405" s="218">
        <v>0</v>
      </c>
      <c r="Y405" s="218">
        <v>0</v>
      </c>
    </row>
    <row r="406" spans="1:25" ht="14.25" customHeight="1" x14ac:dyDescent="0.3">
      <c r="A406" s="1" t="s">
        <v>1178</v>
      </c>
      <c r="B406" s="5">
        <v>46123</v>
      </c>
      <c r="C406" s="6">
        <v>0.1875</v>
      </c>
      <c r="D406" s="1" t="s">
        <v>7</v>
      </c>
      <c r="E406" s="1" t="s">
        <v>8</v>
      </c>
      <c r="F406" s="1" t="s">
        <v>1190</v>
      </c>
      <c r="G406" s="39" t="s">
        <v>257</v>
      </c>
      <c r="H406" s="1">
        <v>1</v>
      </c>
      <c r="I406" s="1">
        <v>2</v>
      </c>
      <c r="J406" s="39" t="s">
        <v>1124</v>
      </c>
      <c r="K406" s="1">
        <v>2</v>
      </c>
      <c r="L406" s="1">
        <v>1</v>
      </c>
      <c r="S406" s="1" t="s">
        <v>9167</v>
      </c>
      <c r="T406" s="1">
        <v>1</v>
      </c>
      <c r="U406" s="19"/>
      <c r="V406" s="19"/>
      <c r="W406" s="218">
        <v>0</v>
      </c>
      <c r="X406" s="218">
        <v>0</v>
      </c>
      <c r="Y406" s="218">
        <v>0</v>
      </c>
    </row>
    <row r="407" spans="1:25" ht="14.25" customHeight="1" x14ac:dyDescent="0.3">
      <c r="A407" s="1" t="s">
        <v>1179</v>
      </c>
      <c r="B407" s="5">
        <v>46131</v>
      </c>
      <c r="C407" s="6">
        <v>0.19791666666666699</v>
      </c>
      <c r="D407" s="1" t="s">
        <v>7</v>
      </c>
      <c r="E407" s="1" t="s">
        <v>8</v>
      </c>
      <c r="F407" s="1" t="s">
        <v>1191</v>
      </c>
      <c r="G407" s="39" t="s">
        <v>260</v>
      </c>
      <c r="H407" s="1">
        <v>1</v>
      </c>
      <c r="I407" s="1">
        <v>5</v>
      </c>
      <c r="J407" s="39" t="s">
        <v>257</v>
      </c>
      <c r="K407" s="1">
        <v>5</v>
      </c>
      <c r="L407" s="1">
        <v>1</v>
      </c>
      <c r="S407" s="1" t="s">
        <v>9168</v>
      </c>
      <c r="T407" s="1">
        <v>1</v>
      </c>
      <c r="U407" s="19"/>
      <c r="V407" s="19"/>
      <c r="W407" s="218">
        <v>1</v>
      </c>
      <c r="X407" s="218">
        <v>0</v>
      </c>
      <c r="Y407" s="218">
        <v>1</v>
      </c>
    </row>
    <row r="408" spans="1:25" ht="14.25" customHeight="1" x14ac:dyDescent="0.3">
      <c r="A408" s="1" t="s">
        <v>1180</v>
      </c>
      <c r="B408" s="5">
        <v>46158</v>
      </c>
      <c r="C408" s="6">
        <v>0.20833333333333301</v>
      </c>
      <c r="D408" s="1" t="s">
        <v>7</v>
      </c>
      <c r="E408" s="1" t="s">
        <v>8</v>
      </c>
      <c r="F408" s="1" t="s">
        <v>1192</v>
      </c>
      <c r="G408" s="39" t="s">
        <v>261</v>
      </c>
      <c r="H408" s="1">
        <v>4</v>
      </c>
      <c r="I408" s="1">
        <v>3</v>
      </c>
      <c r="J408" s="39" t="s">
        <v>257</v>
      </c>
      <c r="K408" s="1">
        <v>3</v>
      </c>
      <c r="L408" s="1">
        <v>4</v>
      </c>
      <c r="S408" s="1" t="s">
        <v>9169</v>
      </c>
      <c r="T408" s="1">
        <v>1</v>
      </c>
      <c r="U408" s="19"/>
      <c r="V408" s="19"/>
      <c r="W408" s="218">
        <v>1</v>
      </c>
      <c r="X408" s="218">
        <v>1</v>
      </c>
      <c r="Y408" s="218">
        <v>1</v>
      </c>
    </row>
    <row r="409" spans="1:25" ht="14.25" customHeight="1" x14ac:dyDescent="0.3">
      <c r="A409" s="1" t="s">
        <v>1181</v>
      </c>
      <c r="B409" s="5">
        <v>46164</v>
      </c>
      <c r="C409" s="6">
        <v>0.27083333333333298</v>
      </c>
      <c r="D409" s="1" t="s">
        <v>7</v>
      </c>
      <c r="E409" s="1" t="s">
        <v>8</v>
      </c>
      <c r="F409" s="1" t="s">
        <v>1193</v>
      </c>
      <c r="G409" s="39" t="s">
        <v>1128</v>
      </c>
      <c r="H409" s="1">
        <v>2</v>
      </c>
      <c r="I409" s="1">
        <v>1</v>
      </c>
      <c r="J409" s="39" t="s">
        <v>257</v>
      </c>
      <c r="K409" s="1">
        <v>1</v>
      </c>
      <c r="L409" s="1">
        <v>2</v>
      </c>
      <c r="S409" s="1" t="s">
        <v>9170</v>
      </c>
      <c r="T409" s="1">
        <v>1</v>
      </c>
      <c r="U409" s="19"/>
      <c r="V409" s="19"/>
      <c r="W409" s="218">
        <v>1</v>
      </c>
      <c r="X409" s="218">
        <v>1</v>
      </c>
      <c r="Y409" s="218">
        <v>1</v>
      </c>
    </row>
    <row r="410" spans="1:25" ht="14.25" customHeight="1" x14ac:dyDescent="0.3">
      <c r="A410" s="1" t="s">
        <v>1182</v>
      </c>
      <c r="B410" s="5">
        <v>46173</v>
      </c>
      <c r="C410" s="6">
        <v>0.19791666666666699</v>
      </c>
      <c r="D410" s="1" t="s">
        <v>7</v>
      </c>
      <c r="E410" s="1" t="s">
        <v>8</v>
      </c>
      <c r="F410" s="1" t="s">
        <v>1194</v>
      </c>
      <c r="G410" s="39" t="s">
        <v>257</v>
      </c>
      <c r="H410" s="1">
        <v>2</v>
      </c>
      <c r="I410" s="1">
        <v>3</v>
      </c>
      <c r="J410" s="39" t="s">
        <v>1121</v>
      </c>
      <c r="K410" s="1">
        <v>3</v>
      </c>
      <c r="L410" s="1">
        <v>2</v>
      </c>
      <c r="S410" s="1" t="s">
        <v>9171</v>
      </c>
      <c r="T410" s="1">
        <v>1</v>
      </c>
      <c r="U410" s="19"/>
      <c r="V410" s="19"/>
      <c r="W410" s="218">
        <v>1</v>
      </c>
      <c r="X410" s="218">
        <v>1</v>
      </c>
      <c r="Y410" s="218">
        <v>1</v>
      </c>
    </row>
    <row r="411" spans="1:25" ht="14.25" customHeight="1" x14ac:dyDescent="0.3">
      <c r="A411" s="1" t="s">
        <v>1183</v>
      </c>
      <c r="B411" s="5">
        <v>46178</v>
      </c>
      <c r="C411" s="6">
        <v>0.27083333333333298</v>
      </c>
      <c r="D411" s="1" t="s">
        <v>7</v>
      </c>
      <c r="E411" s="1" t="s">
        <v>8</v>
      </c>
      <c r="F411" s="1" t="s">
        <v>1195</v>
      </c>
      <c r="G411" s="39" t="s">
        <v>1117</v>
      </c>
      <c r="H411" s="1">
        <v>5</v>
      </c>
      <c r="I411" s="1">
        <v>2</v>
      </c>
      <c r="J411" s="39" t="s">
        <v>257</v>
      </c>
      <c r="K411" s="1">
        <v>2</v>
      </c>
      <c r="L411" s="1">
        <v>5</v>
      </c>
      <c r="S411" s="1" t="s">
        <v>9172</v>
      </c>
      <c r="T411" s="1">
        <v>1</v>
      </c>
      <c r="U411" s="19"/>
      <c r="V411" s="19"/>
      <c r="W411" s="218">
        <v>1</v>
      </c>
      <c r="X411" s="218">
        <v>1</v>
      </c>
      <c r="Y411" s="218">
        <v>1</v>
      </c>
    </row>
    <row r="412" spans="1:25" ht="14.25" customHeight="1" x14ac:dyDescent="0.3">
      <c r="A412" s="1" t="s">
        <v>1184</v>
      </c>
      <c r="B412" s="5">
        <v>46194</v>
      </c>
      <c r="C412" s="6">
        <v>0.20833333333333301</v>
      </c>
      <c r="D412" s="1" t="s">
        <v>7</v>
      </c>
      <c r="E412" s="1" t="s">
        <v>8</v>
      </c>
      <c r="F412" s="1" t="s">
        <v>1196</v>
      </c>
      <c r="G412" s="39" t="s">
        <v>257</v>
      </c>
      <c r="H412" s="1">
        <v>1</v>
      </c>
      <c r="I412" s="1">
        <v>3</v>
      </c>
      <c r="J412" s="39" t="s">
        <v>202</v>
      </c>
      <c r="K412" s="1">
        <v>3</v>
      </c>
      <c r="L412" s="1">
        <v>1</v>
      </c>
      <c r="S412" s="1" t="s">
        <v>9173</v>
      </c>
      <c r="T412" s="1">
        <v>1</v>
      </c>
      <c r="U412" s="19"/>
      <c r="V412" s="19"/>
      <c r="W412" s="218">
        <v>1</v>
      </c>
      <c r="X412" s="218">
        <v>1</v>
      </c>
      <c r="Y412" s="218">
        <v>1</v>
      </c>
    </row>
    <row r="413" spans="1:25" ht="14.25" customHeight="1" x14ac:dyDescent="0.3">
      <c r="A413" s="1" t="s">
        <v>1185</v>
      </c>
      <c r="B413" s="5">
        <v>46200</v>
      </c>
      <c r="C413" s="6">
        <v>0.20833333333333301</v>
      </c>
      <c r="D413" s="1" t="s">
        <v>7</v>
      </c>
      <c r="E413" s="1" t="s">
        <v>8</v>
      </c>
      <c r="F413" s="1" t="s">
        <v>1197</v>
      </c>
      <c r="G413" s="39" t="s">
        <v>1124</v>
      </c>
      <c r="H413" s="1">
        <v>1</v>
      </c>
      <c r="I413" s="1">
        <v>2</v>
      </c>
      <c r="J413" s="39" t="s">
        <v>257</v>
      </c>
      <c r="K413" s="1">
        <v>2</v>
      </c>
      <c r="L413" s="1">
        <v>1</v>
      </c>
      <c r="S413" s="1" t="s">
        <v>9174</v>
      </c>
      <c r="T413" s="1">
        <v>1</v>
      </c>
      <c r="U413" s="19"/>
      <c r="V413" s="19"/>
      <c r="W413" s="218">
        <v>1</v>
      </c>
      <c r="X413" s="218">
        <v>1</v>
      </c>
      <c r="Y413" s="218">
        <v>1</v>
      </c>
    </row>
    <row r="414" spans="1:25" ht="14.25" customHeight="1" x14ac:dyDescent="0.3">
      <c r="A414" s="1" t="s">
        <v>1186</v>
      </c>
      <c r="B414" s="5">
        <v>46207</v>
      </c>
      <c r="C414" s="6">
        <v>0.20833333333333301</v>
      </c>
      <c r="D414" s="1" t="s">
        <v>7</v>
      </c>
      <c r="E414" s="1" t="s">
        <v>8</v>
      </c>
      <c r="F414" s="1" t="s">
        <v>8237</v>
      </c>
      <c r="G414" s="39" t="s">
        <v>895</v>
      </c>
      <c r="H414" s="1">
        <v>2</v>
      </c>
      <c r="I414" s="1">
        <v>0</v>
      </c>
      <c r="J414" s="39" t="s">
        <v>257</v>
      </c>
      <c r="K414" s="1">
        <v>0</v>
      </c>
      <c r="L414" s="1">
        <v>2</v>
      </c>
      <c r="S414" s="1" t="s">
        <v>8238</v>
      </c>
      <c r="T414" s="1">
        <v>1</v>
      </c>
      <c r="U414" s="19"/>
      <c r="V414" s="19"/>
      <c r="W414" s="218">
        <v>1</v>
      </c>
      <c r="X414" s="218">
        <v>1</v>
      </c>
      <c r="Y414" s="218">
        <v>1</v>
      </c>
    </row>
    <row r="415" spans="1:25" ht="14.25" customHeight="1" x14ac:dyDescent="0.3">
      <c r="A415" s="1" t="s">
        <v>1187</v>
      </c>
      <c r="B415" s="5">
        <v>46215</v>
      </c>
      <c r="C415" s="6">
        <v>0.16666666666666699</v>
      </c>
      <c r="D415" s="1" t="s">
        <v>7</v>
      </c>
      <c r="E415" s="1" t="s">
        <v>8</v>
      </c>
      <c r="F415" s="1" t="s">
        <v>1198</v>
      </c>
      <c r="G415" s="39" t="s">
        <v>1139</v>
      </c>
      <c r="H415" s="1">
        <v>3</v>
      </c>
      <c r="I415" s="1">
        <v>0</v>
      </c>
      <c r="J415" s="39" t="s">
        <v>257</v>
      </c>
      <c r="K415" s="1">
        <v>0</v>
      </c>
      <c r="L415" s="1">
        <v>3</v>
      </c>
      <c r="S415" s="1" t="s">
        <v>9175</v>
      </c>
      <c r="T415" s="1">
        <v>1</v>
      </c>
      <c r="U415" s="19"/>
      <c r="V415" s="19"/>
      <c r="W415" s="218">
        <v>1</v>
      </c>
      <c r="X415" s="218">
        <v>1</v>
      </c>
      <c r="Y415" s="218">
        <v>1</v>
      </c>
    </row>
    <row r="416" spans="1:25" ht="14.25" customHeight="1" x14ac:dyDescent="0.3">
      <c r="A416" s="1" t="s">
        <v>1188</v>
      </c>
      <c r="B416" s="5">
        <v>46222</v>
      </c>
      <c r="C416" s="6">
        <v>0.20833333333333301</v>
      </c>
      <c r="D416" s="1" t="s">
        <v>7</v>
      </c>
      <c r="E416" s="1" t="s">
        <v>8</v>
      </c>
      <c r="F416" s="1" t="s">
        <v>1199</v>
      </c>
      <c r="G416" s="39" t="s">
        <v>257</v>
      </c>
      <c r="H416" s="1">
        <v>3</v>
      </c>
      <c r="I416" s="1">
        <v>1</v>
      </c>
      <c r="J416" s="39" t="s">
        <v>260</v>
      </c>
      <c r="K416" s="1">
        <v>1</v>
      </c>
      <c r="L416" s="1">
        <v>3</v>
      </c>
      <c r="S416" s="1" t="s">
        <v>9176</v>
      </c>
      <c r="T416" s="1">
        <v>1</v>
      </c>
      <c r="U416" s="19"/>
      <c r="V416" s="19"/>
      <c r="W416" s="218">
        <v>1</v>
      </c>
      <c r="X416" s="218">
        <v>1</v>
      </c>
      <c r="Y416" s="218">
        <v>1</v>
      </c>
    </row>
    <row r="417" spans="1:25" ht="14.25" customHeight="1" x14ac:dyDescent="0.3">
      <c r="A417" s="1" t="s">
        <v>1200</v>
      </c>
      <c r="B417" s="5">
        <v>46087</v>
      </c>
      <c r="C417" s="6">
        <v>0.27083333333333298</v>
      </c>
      <c r="D417" s="1" t="s">
        <v>7</v>
      </c>
      <c r="E417" s="1" t="s">
        <v>8</v>
      </c>
      <c r="F417" s="1" t="s">
        <v>1201</v>
      </c>
      <c r="G417" s="39" t="s">
        <v>1128</v>
      </c>
      <c r="H417" s="1">
        <v>3</v>
      </c>
      <c r="I417" s="1">
        <v>0</v>
      </c>
      <c r="J417" s="39" t="s">
        <v>261</v>
      </c>
      <c r="K417" s="1">
        <v>0</v>
      </c>
      <c r="L417" s="1">
        <v>3</v>
      </c>
      <c r="S417" s="1" t="s">
        <v>9177</v>
      </c>
      <c r="T417">
        <v>1</v>
      </c>
      <c r="U417" s="19"/>
      <c r="V417" s="19"/>
      <c r="W417" s="218">
        <v>0</v>
      </c>
      <c r="X417" s="218">
        <v>0</v>
      </c>
      <c r="Y417" s="218">
        <v>0</v>
      </c>
    </row>
    <row r="418" spans="1:25" ht="14.25" customHeight="1" x14ac:dyDescent="0.3">
      <c r="A418" s="1" t="s">
        <v>1202</v>
      </c>
      <c r="B418" s="5">
        <v>46109</v>
      </c>
      <c r="C418" s="6">
        <v>0.16666666666666699</v>
      </c>
      <c r="D418" s="1" t="s">
        <v>7</v>
      </c>
      <c r="E418" s="1" t="s">
        <v>8</v>
      </c>
      <c r="F418" s="1" t="s">
        <v>1203</v>
      </c>
      <c r="G418" s="39" t="s">
        <v>261</v>
      </c>
      <c r="H418" s="1">
        <v>3</v>
      </c>
      <c r="I418" s="1">
        <v>0</v>
      </c>
      <c r="J418" s="39" t="s">
        <v>1124</v>
      </c>
      <c r="K418" s="1">
        <v>0</v>
      </c>
      <c r="L418" s="1">
        <v>3</v>
      </c>
      <c r="S418" s="1" t="s">
        <v>9178</v>
      </c>
      <c r="T418" s="1">
        <v>1</v>
      </c>
      <c r="U418" s="19"/>
      <c r="V418" s="19"/>
      <c r="W418" s="218">
        <v>0</v>
      </c>
      <c r="X418" s="218">
        <v>0</v>
      </c>
      <c r="Y418" s="218">
        <v>0</v>
      </c>
    </row>
    <row r="419" spans="1:25" ht="14.25" customHeight="1" x14ac:dyDescent="0.3">
      <c r="A419" s="1" t="s">
        <v>1204</v>
      </c>
      <c r="B419" s="5">
        <v>46123</v>
      </c>
      <c r="C419" s="6">
        <v>0.1875</v>
      </c>
      <c r="D419" s="1" t="s">
        <v>7</v>
      </c>
      <c r="E419" s="1" t="s">
        <v>8</v>
      </c>
      <c r="F419" s="1" t="s">
        <v>1205</v>
      </c>
      <c r="G419" s="39" t="s">
        <v>261</v>
      </c>
      <c r="H419" s="1">
        <v>2</v>
      </c>
      <c r="I419" s="1">
        <v>1</v>
      </c>
      <c r="J419" s="39" t="s">
        <v>1139</v>
      </c>
      <c r="K419" s="1">
        <v>1</v>
      </c>
      <c r="L419" s="1">
        <v>2</v>
      </c>
      <c r="S419" s="1" t="s">
        <v>9179</v>
      </c>
      <c r="T419" s="1">
        <v>1</v>
      </c>
      <c r="U419" s="19"/>
      <c r="V419" s="19"/>
      <c r="W419" s="218">
        <v>0</v>
      </c>
      <c r="X419" s="218">
        <v>0</v>
      </c>
      <c r="Y419" s="218">
        <v>0</v>
      </c>
    </row>
    <row r="420" spans="1:25" ht="14.25" customHeight="1" x14ac:dyDescent="0.3">
      <c r="A420" s="1" t="s">
        <v>1206</v>
      </c>
      <c r="B420" s="5">
        <v>46130</v>
      </c>
      <c r="C420" s="6">
        <v>0.19791666666666699</v>
      </c>
      <c r="D420" s="1" t="s">
        <v>7</v>
      </c>
      <c r="E420" s="1" t="s">
        <v>8</v>
      </c>
      <c r="F420" s="1" t="s">
        <v>1220</v>
      </c>
      <c r="G420" s="39" t="s">
        <v>202</v>
      </c>
      <c r="H420" s="1">
        <v>1</v>
      </c>
      <c r="I420" s="1">
        <v>4</v>
      </c>
      <c r="J420" s="39" t="s">
        <v>261</v>
      </c>
      <c r="K420" s="1">
        <v>4</v>
      </c>
      <c r="L420" s="1">
        <v>1</v>
      </c>
      <c r="S420" s="1" t="s">
        <v>9180</v>
      </c>
      <c r="T420" s="1">
        <v>1</v>
      </c>
      <c r="U420" s="19"/>
      <c r="V420" s="19"/>
      <c r="W420" s="218">
        <v>1</v>
      </c>
      <c r="X420" s="218">
        <v>0</v>
      </c>
      <c r="Y420" s="218">
        <v>1</v>
      </c>
    </row>
    <row r="421" spans="1:25" ht="14.25" customHeight="1" x14ac:dyDescent="0.3">
      <c r="A421" s="1" t="s">
        <v>1207</v>
      </c>
      <c r="B421" s="5">
        <v>46137</v>
      </c>
      <c r="C421" s="6">
        <v>0.20833333333333301</v>
      </c>
      <c r="D421" s="1" t="s">
        <v>7</v>
      </c>
      <c r="E421" s="1" t="s">
        <v>8</v>
      </c>
      <c r="F421" s="1" t="s">
        <v>1221</v>
      </c>
      <c r="G421" s="39" t="s">
        <v>261</v>
      </c>
      <c r="H421" s="1">
        <v>6</v>
      </c>
      <c r="I421" s="1">
        <v>0</v>
      </c>
      <c r="J421" s="39" t="s">
        <v>260</v>
      </c>
      <c r="K421" s="1">
        <v>0</v>
      </c>
      <c r="L421" s="1">
        <v>6</v>
      </c>
      <c r="S421" s="1" t="s">
        <v>9181</v>
      </c>
      <c r="T421" s="1">
        <v>1</v>
      </c>
      <c r="U421" s="19"/>
      <c r="V421" s="19"/>
      <c r="W421" s="218">
        <v>0</v>
      </c>
      <c r="X421" s="218">
        <v>1</v>
      </c>
      <c r="Y421" s="218">
        <v>1</v>
      </c>
    </row>
    <row r="422" spans="1:25" ht="14.25" customHeight="1" x14ac:dyDescent="0.3">
      <c r="A422" s="1" t="s">
        <v>1208</v>
      </c>
      <c r="B422" s="5">
        <v>46151</v>
      </c>
      <c r="C422" s="6">
        <v>0.21875</v>
      </c>
      <c r="D422" s="1" t="s">
        <v>7</v>
      </c>
      <c r="E422" s="1" t="s">
        <v>8</v>
      </c>
      <c r="F422" s="1" t="s">
        <v>8239</v>
      </c>
      <c r="G422" s="39" t="s">
        <v>895</v>
      </c>
      <c r="H422" s="1">
        <v>2</v>
      </c>
      <c r="I422" s="1">
        <v>0</v>
      </c>
      <c r="J422" s="39" t="s">
        <v>261</v>
      </c>
      <c r="K422" s="1">
        <v>0</v>
      </c>
      <c r="L422" s="1">
        <v>2</v>
      </c>
      <c r="S422" s="1" t="s">
        <v>8240</v>
      </c>
      <c r="T422" s="1">
        <v>1</v>
      </c>
      <c r="U422" s="19"/>
      <c r="V422" s="19"/>
      <c r="W422" s="218">
        <v>1</v>
      </c>
      <c r="X422" s="218">
        <v>1</v>
      </c>
      <c r="Y422" s="218">
        <v>1</v>
      </c>
    </row>
    <row r="423" spans="1:25" ht="14.25" customHeight="1" x14ac:dyDescent="0.3">
      <c r="A423" s="1" t="s">
        <v>1209</v>
      </c>
      <c r="B423" s="5">
        <v>46164</v>
      </c>
      <c r="C423" s="6">
        <v>0.27083333333333298</v>
      </c>
      <c r="D423" s="1" t="s">
        <v>7</v>
      </c>
      <c r="E423" s="1" t="s">
        <v>8</v>
      </c>
      <c r="F423" s="1" t="s">
        <v>1210</v>
      </c>
      <c r="G423" s="39" t="s">
        <v>261</v>
      </c>
      <c r="H423" s="1">
        <v>2</v>
      </c>
      <c r="I423" s="1">
        <v>5</v>
      </c>
      <c r="J423" s="39" t="s">
        <v>1121</v>
      </c>
      <c r="K423" s="1">
        <v>5</v>
      </c>
      <c r="L423" s="1">
        <v>2</v>
      </c>
      <c r="S423" s="1" t="s">
        <v>9182</v>
      </c>
      <c r="T423" s="1">
        <v>1</v>
      </c>
      <c r="U423" s="19"/>
      <c r="V423" s="19"/>
      <c r="W423" s="218">
        <v>1</v>
      </c>
      <c r="X423" s="218">
        <v>1</v>
      </c>
      <c r="Y423" s="218">
        <v>1</v>
      </c>
    </row>
    <row r="424" spans="1:25" ht="14.25" customHeight="1" x14ac:dyDescent="0.3">
      <c r="A424" s="1" t="s">
        <v>1211</v>
      </c>
      <c r="B424" s="5">
        <v>46178</v>
      </c>
      <c r="C424" s="6">
        <v>0.27083333333333298</v>
      </c>
      <c r="D424" s="1" t="s">
        <v>7</v>
      </c>
      <c r="E424" s="1" t="s">
        <v>8</v>
      </c>
      <c r="F424" s="1" t="s">
        <v>1212</v>
      </c>
      <c r="G424" s="39" t="s">
        <v>1124</v>
      </c>
      <c r="H424" s="1">
        <v>0</v>
      </c>
      <c r="I424" s="1">
        <v>0</v>
      </c>
      <c r="J424" s="39" t="s">
        <v>261</v>
      </c>
      <c r="K424" s="1">
        <v>0</v>
      </c>
      <c r="L424" s="1">
        <v>0</v>
      </c>
      <c r="S424" s="1" t="s">
        <v>9183</v>
      </c>
      <c r="T424" s="1">
        <v>1</v>
      </c>
      <c r="U424" s="19"/>
      <c r="V424" s="19"/>
      <c r="W424" s="218">
        <v>1</v>
      </c>
      <c r="X424" s="218">
        <v>1</v>
      </c>
      <c r="Y424" s="218">
        <v>1</v>
      </c>
    </row>
    <row r="425" spans="1:25" ht="14.25" customHeight="1" x14ac:dyDescent="0.3">
      <c r="A425" s="1" t="s">
        <v>1213</v>
      </c>
      <c r="B425" s="5">
        <v>46193</v>
      </c>
      <c r="C425" s="6">
        <v>0.20833333333333301</v>
      </c>
      <c r="D425" s="1" t="s">
        <v>7</v>
      </c>
      <c r="E425" s="1" t="s">
        <v>8</v>
      </c>
      <c r="F425" s="1" t="s">
        <v>1214</v>
      </c>
      <c r="G425" s="39" t="s">
        <v>261</v>
      </c>
      <c r="H425" s="1">
        <v>2</v>
      </c>
      <c r="I425" s="1">
        <v>2</v>
      </c>
      <c r="J425" s="39" t="s">
        <v>1128</v>
      </c>
      <c r="K425" s="1">
        <v>2</v>
      </c>
      <c r="L425" s="1">
        <v>2</v>
      </c>
      <c r="S425" s="1" t="s">
        <v>9184</v>
      </c>
      <c r="T425" s="1">
        <v>1</v>
      </c>
      <c r="U425" s="19"/>
      <c r="V425" s="19"/>
      <c r="W425" s="218">
        <v>1</v>
      </c>
      <c r="X425" s="218">
        <v>1</v>
      </c>
      <c r="Y425" s="218">
        <v>1</v>
      </c>
    </row>
    <row r="426" spans="1:25" ht="14.25" customHeight="1" x14ac:dyDescent="0.3">
      <c r="A426" s="1" t="s">
        <v>1215</v>
      </c>
      <c r="B426" s="5">
        <v>46201</v>
      </c>
      <c r="C426" s="6">
        <v>0.16666666666666699</v>
      </c>
      <c r="D426" s="1" t="s">
        <v>7</v>
      </c>
      <c r="E426" s="1" t="s">
        <v>8</v>
      </c>
      <c r="F426" s="1" t="s">
        <v>1216</v>
      </c>
      <c r="G426" s="39" t="s">
        <v>1139</v>
      </c>
      <c r="H426" s="1">
        <v>0</v>
      </c>
      <c r="I426" s="1">
        <v>1</v>
      </c>
      <c r="J426" s="39" t="s">
        <v>261</v>
      </c>
      <c r="K426" s="1">
        <v>1</v>
      </c>
      <c r="L426" s="1">
        <v>0</v>
      </c>
      <c r="S426" s="1" t="s">
        <v>9185</v>
      </c>
      <c r="T426" s="1">
        <v>1</v>
      </c>
      <c r="U426" s="19"/>
      <c r="V426" s="19"/>
      <c r="W426" s="218">
        <v>1</v>
      </c>
      <c r="X426" s="218">
        <v>1</v>
      </c>
      <c r="Y426" s="218">
        <v>1</v>
      </c>
    </row>
    <row r="427" spans="1:25" ht="14.25" customHeight="1" x14ac:dyDescent="0.3">
      <c r="A427" s="1" t="s">
        <v>1217</v>
      </c>
      <c r="B427" s="5">
        <v>46207</v>
      </c>
      <c r="C427" s="6">
        <v>0.20833333333333301</v>
      </c>
      <c r="D427" s="1" t="s">
        <v>7</v>
      </c>
      <c r="E427" s="1" t="s">
        <v>8</v>
      </c>
      <c r="F427" s="1" t="s">
        <v>1218</v>
      </c>
      <c r="G427" s="39" t="s">
        <v>1117</v>
      </c>
      <c r="H427" s="1">
        <v>2</v>
      </c>
      <c r="I427" s="1">
        <v>1</v>
      </c>
      <c r="J427" s="39" t="s">
        <v>261</v>
      </c>
      <c r="K427" s="1">
        <v>1</v>
      </c>
      <c r="L427" s="1">
        <v>2</v>
      </c>
      <c r="S427" s="1" t="s">
        <v>9186</v>
      </c>
      <c r="T427" s="1">
        <v>1</v>
      </c>
      <c r="U427" s="19"/>
      <c r="V427" s="19"/>
      <c r="W427" s="218">
        <v>1</v>
      </c>
      <c r="X427" s="218">
        <v>1</v>
      </c>
      <c r="Y427" s="218">
        <v>1</v>
      </c>
    </row>
    <row r="428" spans="1:25" ht="14.25" customHeight="1" x14ac:dyDescent="0.3">
      <c r="A428" s="1" t="s">
        <v>1219</v>
      </c>
      <c r="B428" s="5">
        <v>46221</v>
      </c>
      <c r="C428" s="6">
        <v>0.20833333333333301</v>
      </c>
      <c r="D428" s="1" t="s">
        <v>7</v>
      </c>
      <c r="E428" s="1" t="s">
        <v>8</v>
      </c>
      <c r="F428" s="1" t="s">
        <v>1222</v>
      </c>
      <c r="G428" s="39" t="s">
        <v>261</v>
      </c>
      <c r="H428" s="1">
        <v>2</v>
      </c>
      <c r="I428" s="1">
        <v>2</v>
      </c>
      <c r="J428" s="39" t="s">
        <v>202</v>
      </c>
      <c r="K428" s="1">
        <v>2</v>
      </c>
      <c r="L428" s="1">
        <v>2</v>
      </c>
      <c r="S428" s="1" t="s">
        <v>9187</v>
      </c>
      <c r="T428" s="1">
        <v>1</v>
      </c>
      <c r="U428" s="19"/>
      <c r="V428" s="19"/>
      <c r="W428" s="218">
        <v>1</v>
      </c>
      <c r="X428" s="218">
        <v>1</v>
      </c>
      <c r="Y428" s="218">
        <v>1</v>
      </c>
    </row>
    <row r="429" spans="1:25" ht="14.25" customHeight="1" x14ac:dyDescent="0.3">
      <c r="A429" s="1" t="s">
        <v>1223</v>
      </c>
      <c r="B429" s="5">
        <v>46109</v>
      </c>
      <c r="C429" s="6">
        <v>0.20833333333333301</v>
      </c>
      <c r="D429" s="1" t="s">
        <v>7</v>
      </c>
      <c r="E429" s="1" t="s">
        <v>8</v>
      </c>
      <c r="F429" s="1" t="s">
        <v>8241</v>
      </c>
      <c r="G429" s="39" t="s">
        <v>895</v>
      </c>
      <c r="H429" s="1">
        <v>2</v>
      </c>
      <c r="I429" s="1">
        <v>2</v>
      </c>
      <c r="J429" s="39" t="s">
        <v>1121</v>
      </c>
      <c r="K429" s="1">
        <v>2</v>
      </c>
      <c r="L429" s="1">
        <v>2</v>
      </c>
      <c r="S429" s="1" t="s">
        <v>8242</v>
      </c>
      <c r="T429" s="1">
        <v>1</v>
      </c>
      <c r="U429" s="19"/>
      <c r="V429" s="19"/>
      <c r="W429" s="218">
        <v>0</v>
      </c>
      <c r="X429" s="218">
        <v>0</v>
      </c>
      <c r="Y429" s="218">
        <v>0</v>
      </c>
    </row>
    <row r="430" spans="1:25" ht="14.25" customHeight="1" x14ac:dyDescent="0.3">
      <c r="A430" s="1" t="s">
        <v>1224</v>
      </c>
      <c r="B430" s="5">
        <v>46138</v>
      </c>
      <c r="C430" s="6">
        <v>0.1875</v>
      </c>
      <c r="D430" s="1" t="s">
        <v>7</v>
      </c>
      <c r="E430" s="1" t="s">
        <v>8</v>
      </c>
      <c r="F430" s="1" t="s">
        <v>1225</v>
      </c>
      <c r="G430" s="39" t="s">
        <v>1121</v>
      </c>
      <c r="H430" s="1">
        <v>3</v>
      </c>
      <c r="I430" s="1">
        <v>0</v>
      </c>
      <c r="J430" s="39" t="s">
        <v>1128</v>
      </c>
      <c r="K430" s="1">
        <v>0</v>
      </c>
      <c r="L430" s="1">
        <v>3</v>
      </c>
      <c r="S430" s="1" t="s">
        <v>9188</v>
      </c>
      <c r="T430" s="1">
        <v>1</v>
      </c>
      <c r="U430" s="19"/>
      <c r="V430" s="19"/>
      <c r="W430" s="218">
        <v>0</v>
      </c>
      <c r="X430" s="218">
        <v>1</v>
      </c>
      <c r="Y430" s="218">
        <v>1</v>
      </c>
    </row>
    <row r="431" spans="1:25" ht="14.25" customHeight="1" x14ac:dyDescent="0.3">
      <c r="A431" s="1" t="s">
        <v>1226</v>
      </c>
      <c r="B431" s="5">
        <v>46150</v>
      </c>
      <c r="C431" s="6">
        <v>0.27083333333333298</v>
      </c>
      <c r="D431" s="1" t="s">
        <v>7</v>
      </c>
      <c r="E431" s="1" t="s">
        <v>8</v>
      </c>
      <c r="F431" s="1" t="s">
        <v>1252</v>
      </c>
      <c r="G431" s="39" t="s">
        <v>1121</v>
      </c>
      <c r="H431" s="1">
        <v>1</v>
      </c>
      <c r="I431" s="1">
        <v>4</v>
      </c>
      <c r="J431" s="39" t="s">
        <v>202</v>
      </c>
      <c r="K431" s="1">
        <v>4</v>
      </c>
      <c r="L431" s="1">
        <v>1</v>
      </c>
      <c r="S431" s="1" t="s">
        <v>9189</v>
      </c>
      <c r="T431" s="1">
        <v>1</v>
      </c>
      <c r="U431" s="19"/>
      <c r="V431" s="19"/>
      <c r="W431" s="218">
        <v>1</v>
      </c>
      <c r="X431" s="218">
        <v>1</v>
      </c>
      <c r="Y431" s="218">
        <v>1</v>
      </c>
    </row>
    <row r="432" spans="1:25" ht="14.25" customHeight="1" x14ac:dyDescent="0.3">
      <c r="A432" s="1" t="s">
        <v>1227</v>
      </c>
      <c r="B432" s="5">
        <v>46179</v>
      </c>
      <c r="C432" s="6">
        <v>0.23958333333333301</v>
      </c>
      <c r="D432" s="1" t="s">
        <v>7</v>
      </c>
      <c r="E432" s="1" t="s">
        <v>8</v>
      </c>
      <c r="F432" s="1" t="s">
        <v>8243</v>
      </c>
      <c r="G432" s="39" t="s">
        <v>1121</v>
      </c>
      <c r="H432" s="1">
        <v>0</v>
      </c>
      <c r="I432" s="1">
        <v>4</v>
      </c>
      <c r="J432" s="39" t="s">
        <v>895</v>
      </c>
      <c r="K432" s="1">
        <v>4</v>
      </c>
      <c r="L432" s="1">
        <v>0</v>
      </c>
      <c r="S432" s="1" t="s">
        <v>8244</v>
      </c>
      <c r="T432" s="1">
        <v>1</v>
      </c>
      <c r="U432" s="19"/>
      <c r="V432" s="19"/>
      <c r="W432" s="218">
        <v>1</v>
      </c>
      <c r="X432" s="218">
        <v>1</v>
      </c>
      <c r="Y432" s="218">
        <v>1</v>
      </c>
    </row>
    <row r="433" spans="1:25" ht="14.25" customHeight="1" x14ac:dyDescent="0.3">
      <c r="A433" s="1" t="s">
        <v>1228</v>
      </c>
      <c r="B433" s="5">
        <v>46186</v>
      </c>
      <c r="C433" s="6">
        <v>0.20833333333333301</v>
      </c>
      <c r="D433" s="1" t="s">
        <v>7</v>
      </c>
      <c r="E433" s="1" t="s">
        <v>8</v>
      </c>
      <c r="F433" s="1" t="s">
        <v>1229</v>
      </c>
      <c r="G433" s="39" t="s">
        <v>1139</v>
      </c>
      <c r="H433" s="1">
        <v>0</v>
      </c>
      <c r="I433" s="1">
        <v>2</v>
      </c>
      <c r="J433" s="39" t="s">
        <v>1121</v>
      </c>
      <c r="K433" s="1">
        <v>2</v>
      </c>
      <c r="L433" s="1">
        <v>0</v>
      </c>
      <c r="S433" s="1" t="s">
        <v>9190</v>
      </c>
      <c r="T433" s="1">
        <v>1</v>
      </c>
      <c r="U433" s="19"/>
      <c r="V433" s="19"/>
      <c r="W433" s="218">
        <v>1</v>
      </c>
      <c r="X433" s="218">
        <v>1</v>
      </c>
      <c r="Y433" s="218">
        <v>1</v>
      </c>
    </row>
    <row r="434" spans="1:25" ht="14.25" customHeight="1" x14ac:dyDescent="0.3">
      <c r="A434" s="1" t="s">
        <v>1230</v>
      </c>
      <c r="B434" s="5">
        <v>46193</v>
      </c>
      <c r="C434" s="6">
        <v>0.20833333333333301</v>
      </c>
      <c r="D434" s="1" t="s">
        <v>7</v>
      </c>
      <c r="E434" s="1" t="s">
        <v>8</v>
      </c>
      <c r="F434" s="1" t="s">
        <v>1231</v>
      </c>
      <c r="G434" s="39" t="s">
        <v>1124</v>
      </c>
      <c r="H434" s="1">
        <v>3</v>
      </c>
      <c r="I434" s="1">
        <v>1</v>
      </c>
      <c r="J434" s="39" t="s">
        <v>1121</v>
      </c>
      <c r="K434" s="1">
        <v>1</v>
      </c>
      <c r="L434" s="1">
        <v>3</v>
      </c>
      <c r="S434" s="1" t="s">
        <v>9191</v>
      </c>
      <c r="T434" s="1">
        <v>1</v>
      </c>
      <c r="U434" s="19"/>
      <c r="V434" s="19"/>
      <c r="W434" s="218">
        <v>1</v>
      </c>
      <c r="X434" s="218">
        <v>1</v>
      </c>
      <c r="Y434" s="218">
        <v>1</v>
      </c>
    </row>
    <row r="435" spans="1:25" ht="14.25" customHeight="1" x14ac:dyDescent="0.3">
      <c r="A435" s="1" t="s">
        <v>1232</v>
      </c>
      <c r="B435" s="5">
        <v>46208</v>
      </c>
      <c r="C435" s="6">
        <v>0.16666666666666699</v>
      </c>
      <c r="D435" s="1" t="s">
        <v>7</v>
      </c>
      <c r="E435" s="1" t="s">
        <v>8</v>
      </c>
      <c r="F435" s="1" t="s">
        <v>1253</v>
      </c>
      <c r="G435" s="39" t="s">
        <v>1121</v>
      </c>
      <c r="H435" s="1">
        <v>1</v>
      </c>
      <c r="I435" s="1">
        <v>1</v>
      </c>
      <c r="J435" s="39" t="s">
        <v>260</v>
      </c>
      <c r="K435" s="1">
        <v>1</v>
      </c>
      <c r="L435" s="1">
        <v>1</v>
      </c>
      <c r="S435" s="1" t="s">
        <v>9192</v>
      </c>
      <c r="T435" s="1">
        <v>1</v>
      </c>
      <c r="U435" s="19"/>
      <c r="V435" s="19"/>
      <c r="W435" s="218">
        <v>1</v>
      </c>
      <c r="X435" s="218">
        <v>1</v>
      </c>
      <c r="Y435" s="218">
        <v>1</v>
      </c>
    </row>
    <row r="436" spans="1:25" ht="14.25" customHeight="1" x14ac:dyDescent="0.3">
      <c r="A436" s="1" t="s">
        <v>1233</v>
      </c>
      <c r="B436" s="5">
        <v>46215</v>
      </c>
      <c r="C436" s="6">
        <v>0.16666666666666699</v>
      </c>
      <c r="D436" s="1" t="s">
        <v>7</v>
      </c>
      <c r="E436" s="1" t="s">
        <v>8</v>
      </c>
      <c r="F436" s="1" t="s">
        <v>1234</v>
      </c>
      <c r="G436" s="39" t="s">
        <v>1117</v>
      </c>
      <c r="H436" s="1">
        <v>0</v>
      </c>
      <c r="I436" s="1">
        <v>0</v>
      </c>
      <c r="J436" s="39" t="s">
        <v>1121</v>
      </c>
      <c r="K436" s="1">
        <v>0</v>
      </c>
      <c r="L436" s="1">
        <v>0</v>
      </c>
      <c r="S436" s="1" t="s">
        <v>9193</v>
      </c>
      <c r="T436" s="1">
        <v>1</v>
      </c>
      <c r="U436" s="19"/>
      <c r="V436" s="19"/>
      <c r="W436" s="218">
        <v>1</v>
      </c>
      <c r="X436" s="218">
        <v>1</v>
      </c>
      <c r="Y436" s="218">
        <v>1</v>
      </c>
    </row>
    <row r="437" spans="1:25" ht="14.25" customHeight="1" x14ac:dyDescent="0.3">
      <c r="A437" s="1" t="s">
        <v>1235</v>
      </c>
      <c r="B437" s="5">
        <v>46234</v>
      </c>
      <c r="C437" s="6">
        <v>0.27083333333333298</v>
      </c>
      <c r="D437" s="1" t="s">
        <v>7</v>
      </c>
      <c r="E437" s="1" t="s">
        <v>8</v>
      </c>
      <c r="F437" s="1" t="s">
        <v>1236</v>
      </c>
      <c r="G437" s="39" t="s">
        <v>1128</v>
      </c>
      <c r="H437" s="1">
        <v>5</v>
      </c>
      <c r="I437" s="1">
        <v>2</v>
      </c>
      <c r="J437" s="39" t="s">
        <v>1121</v>
      </c>
      <c r="K437" s="1">
        <v>2</v>
      </c>
      <c r="L437" s="1">
        <v>5</v>
      </c>
      <c r="S437" s="1" t="s">
        <v>9194</v>
      </c>
      <c r="T437" s="1">
        <v>1</v>
      </c>
      <c r="U437" s="19"/>
      <c r="V437" s="19"/>
      <c r="W437" s="218">
        <v>1</v>
      </c>
      <c r="X437" s="218">
        <v>1</v>
      </c>
      <c r="Y437" s="218">
        <v>1</v>
      </c>
    </row>
    <row r="438" spans="1:25" ht="14.25" customHeight="1" x14ac:dyDescent="0.3">
      <c r="A438" s="1" t="s">
        <v>1237</v>
      </c>
      <c r="B438" s="5">
        <v>46101</v>
      </c>
      <c r="C438" s="6">
        <v>0.27083333333333298</v>
      </c>
      <c r="D438" s="1" t="s">
        <v>7</v>
      </c>
      <c r="E438" s="1" t="s">
        <v>8</v>
      </c>
      <c r="F438" s="1" t="s">
        <v>1254</v>
      </c>
      <c r="G438" s="39" t="s">
        <v>202</v>
      </c>
      <c r="H438" s="1">
        <v>4</v>
      </c>
      <c r="I438" s="1">
        <v>2</v>
      </c>
      <c r="J438" s="39" t="s">
        <v>1139</v>
      </c>
      <c r="K438" s="1">
        <v>2</v>
      </c>
      <c r="L438" s="1">
        <v>4</v>
      </c>
      <c r="S438" s="1" t="s">
        <v>9195</v>
      </c>
      <c r="T438" s="1">
        <v>1</v>
      </c>
      <c r="U438" s="19"/>
      <c r="V438" s="19"/>
      <c r="W438" s="218">
        <v>0</v>
      </c>
      <c r="X438" s="218">
        <v>0</v>
      </c>
      <c r="Y438" s="218">
        <v>0</v>
      </c>
    </row>
    <row r="439" spans="1:25" ht="14.25" customHeight="1" x14ac:dyDescent="0.3">
      <c r="A439" s="1" t="s">
        <v>1238</v>
      </c>
      <c r="B439" s="5">
        <v>46119</v>
      </c>
      <c r="C439" s="6">
        <v>0.27083333333333298</v>
      </c>
      <c r="D439" s="1" t="s">
        <v>7</v>
      </c>
      <c r="E439" s="1" t="s">
        <v>8</v>
      </c>
      <c r="F439" s="1" t="s">
        <v>1239</v>
      </c>
      <c r="G439" s="39" t="s">
        <v>1128</v>
      </c>
      <c r="H439" s="1">
        <v>1</v>
      </c>
      <c r="I439" s="1">
        <v>1</v>
      </c>
      <c r="J439" s="39" t="s">
        <v>1139</v>
      </c>
      <c r="K439" s="1">
        <v>1</v>
      </c>
      <c r="L439" s="1">
        <v>1</v>
      </c>
      <c r="S439" s="1" t="s">
        <v>9196</v>
      </c>
      <c r="T439" s="1">
        <v>1</v>
      </c>
      <c r="U439" s="19"/>
      <c r="V439" s="19"/>
      <c r="W439" s="218">
        <v>1</v>
      </c>
      <c r="X439" s="218">
        <v>0</v>
      </c>
      <c r="Y439" s="218">
        <v>1</v>
      </c>
    </row>
    <row r="440" spans="1:25" ht="14.25" customHeight="1" x14ac:dyDescent="0.3">
      <c r="A440" s="1" t="s">
        <v>1240</v>
      </c>
      <c r="B440" s="5">
        <v>46131</v>
      </c>
      <c r="C440" s="6">
        <v>0.19791666666666699</v>
      </c>
      <c r="D440" s="1" t="s">
        <v>7</v>
      </c>
      <c r="E440" s="1" t="s">
        <v>8</v>
      </c>
      <c r="F440" s="1" t="s">
        <v>8245</v>
      </c>
      <c r="G440" s="39" t="s">
        <v>895</v>
      </c>
      <c r="H440" s="1">
        <v>1</v>
      </c>
      <c r="I440" s="1">
        <v>0</v>
      </c>
      <c r="J440" s="39" t="s">
        <v>1139</v>
      </c>
      <c r="K440" s="1">
        <v>0</v>
      </c>
      <c r="L440" s="1">
        <v>1</v>
      </c>
      <c r="S440" s="1" t="s">
        <v>8246</v>
      </c>
      <c r="T440" s="1">
        <v>1</v>
      </c>
      <c r="U440" s="19"/>
      <c r="V440" s="19"/>
      <c r="W440" s="218">
        <v>1</v>
      </c>
      <c r="X440" s="218">
        <v>0</v>
      </c>
      <c r="Y440" s="218">
        <v>1</v>
      </c>
    </row>
    <row r="441" spans="1:25" ht="14.25" customHeight="1" x14ac:dyDescent="0.3">
      <c r="A441" s="1" t="s">
        <v>1241</v>
      </c>
      <c r="B441" s="5">
        <v>46152</v>
      </c>
      <c r="C441" s="6">
        <v>0.21875</v>
      </c>
      <c r="D441" s="1" t="s">
        <v>7</v>
      </c>
      <c r="E441" s="1" t="s">
        <v>8</v>
      </c>
      <c r="F441" s="1" t="s">
        <v>1242</v>
      </c>
      <c r="G441" s="39" t="s">
        <v>1124</v>
      </c>
      <c r="H441" s="1">
        <v>2</v>
      </c>
      <c r="I441" s="1">
        <v>1</v>
      </c>
      <c r="J441" s="39" t="s">
        <v>1139</v>
      </c>
      <c r="K441" s="1">
        <v>1</v>
      </c>
      <c r="L441" s="1">
        <v>2</v>
      </c>
      <c r="S441" s="1" t="s">
        <v>9197</v>
      </c>
      <c r="T441" s="1">
        <v>1</v>
      </c>
      <c r="U441" s="19"/>
      <c r="V441" s="19"/>
      <c r="W441" s="218">
        <v>1</v>
      </c>
      <c r="X441" s="218">
        <v>0</v>
      </c>
      <c r="Y441" s="218">
        <v>1</v>
      </c>
    </row>
    <row r="442" spans="1:25" ht="14.25" customHeight="1" x14ac:dyDescent="0.3">
      <c r="A442" s="1" t="s">
        <v>1243</v>
      </c>
      <c r="B442" s="5">
        <v>46172</v>
      </c>
      <c r="C442" s="6">
        <v>0.20833333333333301</v>
      </c>
      <c r="D442" s="1" t="s">
        <v>7</v>
      </c>
      <c r="E442" s="1" t="s">
        <v>8</v>
      </c>
      <c r="F442" s="1" t="s">
        <v>1255</v>
      </c>
      <c r="G442" s="39" t="s">
        <v>1139</v>
      </c>
      <c r="H442" s="1">
        <v>0</v>
      </c>
      <c r="I442" s="1">
        <v>4</v>
      </c>
      <c r="J442" s="39" t="s">
        <v>202</v>
      </c>
      <c r="K442" s="1">
        <v>4</v>
      </c>
      <c r="L442" s="1">
        <v>0</v>
      </c>
      <c r="S442" s="1" t="s">
        <v>9198</v>
      </c>
      <c r="T442" s="1">
        <v>1</v>
      </c>
      <c r="U442" s="19"/>
      <c r="V442" s="19"/>
      <c r="W442" s="218">
        <v>1</v>
      </c>
      <c r="X442" s="218">
        <v>1</v>
      </c>
      <c r="Y442" s="218">
        <v>1</v>
      </c>
    </row>
    <row r="443" spans="1:25" ht="14.25" customHeight="1" x14ac:dyDescent="0.3">
      <c r="A443" s="1" t="s">
        <v>1244</v>
      </c>
      <c r="B443" s="5">
        <v>46180</v>
      </c>
      <c r="C443" s="6">
        <v>0.16666666666666699</v>
      </c>
      <c r="D443" s="1" t="s">
        <v>7</v>
      </c>
      <c r="E443" s="1" t="s">
        <v>8</v>
      </c>
      <c r="F443" s="1" t="s">
        <v>1245</v>
      </c>
      <c r="G443" s="39" t="s">
        <v>1139</v>
      </c>
      <c r="H443" s="1">
        <v>1</v>
      </c>
      <c r="I443" s="1">
        <v>2</v>
      </c>
      <c r="J443" s="39" t="s">
        <v>1128</v>
      </c>
      <c r="K443" s="1">
        <v>2</v>
      </c>
      <c r="L443" s="1">
        <v>1</v>
      </c>
      <c r="S443" s="1" t="s">
        <v>9199</v>
      </c>
      <c r="T443" s="1">
        <v>1</v>
      </c>
      <c r="U443" s="19"/>
      <c r="V443" s="19"/>
      <c r="W443" s="218">
        <v>1</v>
      </c>
      <c r="X443" s="218">
        <v>1</v>
      </c>
      <c r="Y443" s="218">
        <v>1</v>
      </c>
    </row>
    <row r="444" spans="1:25" ht="14.25" customHeight="1" x14ac:dyDescent="0.3">
      <c r="A444" s="1" t="s">
        <v>1246</v>
      </c>
      <c r="B444" s="5">
        <v>46193</v>
      </c>
      <c r="C444" s="6">
        <v>0.20833333333333301</v>
      </c>
      <c r="D444" s="1" t="s">
        <v>7</v>
      </c>
      <c r="E444" s="1" t="s">
        <v>8</v>
      </c>
      <c r="F444" s="1" t="s">
        <v>1256</v>
      </c>
      <c r="G444" s="39" t="s">
        <v>1139</v>
      </c>
      <c r="H444" s="1">
        <v>1</v>
      </c>
      <c r="I444" s="1">
        <v>4</v>
      </c>
      <c r="J444" s="39" t="s">
        <v>260</v>
      </c>
      <c r="K444" s="1">
        <v>4</v>
      </c>
      <c r="L444" s="1">
        <v>1</v>
      </c>
      <c r="S444" s="1" t="s">
        <v>9200</v>
      </c>
      <c r="T444" s="1">
        <v>1</v>
      </c>
      <c r="U444" s="19"/>
      <c r="V444" s="19"/>
      <c r="W444" s="218">
        <v>1</v>
      </c>
      <c r="X444" s="218">
        <v>1</v>
      </c>
      <c r="Y444" s="218">
        <v>1</v>
      </c>
    </row>
    <row r="445" spans="1:25" ht="14.25" customHeight="1" x14ac:dyDescent="0.3">
      <c r="A445" s="1" t="s">
        <v>1247</v>
      </c>
      <c r="B445" s="5">
        <v>46221</v>
      </c>
      <c r="C445" s="6">
        <v>0.20833333333333301</v>
      </c>
      <c r="D445" s="1" t="s">
        <v>7</v>
      </c>
      <c r="E445" s="1" t="s">
        <v>8</v>
      </c>
      <c r="F445" s="1" t="s">
        <v>8247</v>
      </c>
      <c r="G445" s="39" t="s">
        <v>1139</v>
      </c>
      <c r="H445" s="1">
        <v>0</v>
      </c>
      <c r="I445" s="1">
        <v>1</v>
      </c>
      <c r="J445" s="39" t="s">
        <v>895</v>
      </c>
      <c r="K445" s="1">
        <v>1</v>
      </c>
      <c r="L445" s="1">
        <v>0</v>
      </c>
      <c r="S445" s="1" t="s">
        <v>8248</v>
      </c>
      <c r="T445" s="1">
        <v>1</v>
      </c>
      <c r="U445" s="19"/>
      <c r="V445" s="19"/>
      <c r="W445" s="218">
        <v>1</v>
      </c>
      <c r="X445" s="218">
        <v>1</v>
      </c>
      <c r="Y445" s="218">
        <v>1</v>
      </c>
    </row>
    <row r="446" spans="1:25" ht="14.25" customHeight="1" x14ac:dyDescent="0.3">
      <c r="A446" s="1" t="s">
        <v>1248</v>
      </c>
      <c r="B446" s="5">
        <v>46228</v>
      </c>
      <c r="C446" s="6">
        <v>0.20833333333333301</v>
      </c>
      <c r="D446" s="1" t="s">
        <v>7</v>
      </c>
      <c r="E446" s="1" t="s">
        <v>8</v>
      </c>
      <c r="F446" s="1" t="s">
        <v>1249</v>
      </c>
      <c r="G446" s="39" t="s">
        <v>1117</v>
      </c>
      <c r="H446" s="1">
        <v>1</v>
      </c>
      <c r="I446" s="1">
        <v>1</v>
      </c>
      <c r="J446" s="39" t="s">
        <v>1139</v>
      </c>
      <c r="K446" s="1">
        <v>1</v>
      </c>
      <c r="L446" s="1">
        <v>1</v>
      </c>
      <c r="S446" s="1" t="s">
        <v>9201</v>
      </c>
      <c r="T446" s="1">
        <v>1</v>
      </c>
      <c r="U446" s="19"/>
      <c r="V446" s="19"/>
      <c r="W446" s="218">
        <v>1</v>
      </c>
      <c r="X446" s="218">
        <v>1</v>
      </c>
      <c r="Y446" s="218">
        <v>1</v>
      </c>
    </row>
    <row r="447" spans="1:25" ht="14.25" customHeight="1" x14ac:dyDescent="0.3">
      <c r="A447" s="1" t="s">
        <v>1250</v>
      </c>
      <c r="B447" s="5">
        <v>46235</v>
      </c>
      <c r="C447" s="6">
        <v>0.20833333333333301</v>
      </c>
      <c r="D447" s="1" t="s">
        <v>7</v>
      </c>
      <c r="E447" s="1" t="s">
        <v>8</v>
      </c>
      <c r="F447" s="1" t="s">
        <v>1251</v>
      </c>
      <c r="G447" s="39" t="s">
        <v>1139</v>
      </c>
      <c r="H447" s="1">
        <v>1</v>
      </c>
      <c r="I447" s="1">
        <v>0</v>
      </c>
      <c r="J447" s="39" t="s">
        <v>1117</v>
      </c>
      <c r="K447" s="1">
        <v>0</v>
      </c>
      <c r="L447" s="1">
        <v>1</v>
      </c>
      <c r="S447" s="1" t="s">
        <v>9202</v>
      </c>
      <c r="T447" s="1">
        <v>1</v>
      </c>
      <c r="U447" s="19"/>
      <c r="V447" s="19"/>
      <c r="W447" s="218">
        <v>1</v>
      </c>
      <c r="X447" s="218">
        <v>1</v>
      </c>
      <c r="Y447" s="218">
        <v>1</v>
      </c>
    </row>
    <row r="448" spans="1:25" ht="14.25" customHeight="1" x14ac:dyDescent="0.3">
      <c r="A448" s="1" t="s">
        <v>1257</v>
      </c>
      <c r="B448" s="5">
        <v>46082</v>
      </c>
      <c r="C448" s="6">
        <v>0.19791666666666699</v>
      </c>
      <c r="D448" s="1" t="s">
        <v>7</v>
      </c>
      <c r="E448" s="1" t="s">
        <v>8</v>
      </c>
      <c r="F448" s="1" t="s">
        <v>1266</v>
      </c>
      <c r="G448" s="39" t="s">
        <v>1124</v>
      </c>
      <c r="H448" s="1">
        <v>3</v>
      </c>
      <c r="I448" s="1">
        <v>2</v>
      </c>
      <c r="J448" s="39" t="s">
        <v>260</v>
      </c>
      <c r="K448" s="1">
        <v>2</v>
      </c>
      <c r="L448" s="1">
        <v>3</v>
      </c>
      <c r="S448" s="1" t="s">
        <v>9203</v>
      </c>
      <c r="T448">
        <v>1</v>
      </c>
      <c r="U448" s="19"/>
      <c r="V448" s="19"/>
      <c r="W448" s="218">
        <v>0</v>
      </c>
      <c r="X448" s="218">
        <v>0</v>
      </c>
      <c r="Y448" s="218">
        <v>0</v>
      </c>
    </row>
    <row r="449" spans="1:25" ht="14.25" customHeight="1" x14ac:dyDescent="0.3">
      <c r="A449" s="1" t="s">
        <v>1258</v>
      </c>
      <c r="B449" s="5">
        <v>46101</v>
      </c>
      <c r="C449" s="6">
        <v>0.27083333333333298</v>
      </c>
      <c r="D449" s="1" t="s">
        <v>7</v>
      </c>
      <c r="E449" s="1" t="s">
        <v>8</v>
      </c>
      <c r="F449" s="1" t="s">
        <v>1259</v>
      </c>
      <c r="G449" s="39" t="s">
        <v>1124</v>
      </c>
      <c r="H449" s="1">
        <v>1</v>
      </c>
      <c r="I449" s="1">
        <v>2</v>
      </c>
      <c r="J449" s="39" t="s">
        <v>1117</v>
      </c>
      <c r="K449" s="1">
        <v>2</v>
      </c>
      <c r="L449" s="1">
        <v>1</v>
      </c>
      <c r="S449" s="1" t="s">
        <v>9204</v>
      </c>
      <c r="T449" s="1">
        <v>1</v>
      </c>
      <c r="U449" s="19"/>
      <c r="V449" s="19"/>
      <c r="W449" s="218">
        <v>0</v>
      </c>
      <c r="X449" s="218">
        <v>0</v>
      </c>
      <c r="Y449" s="218">
        <v>0</v>
      </c>
    </row>
    <row r="450" spans="1:25" ht="14.25" customHeight="1" x14ac:dyDescent="0.3">
      <c r="A450" s="1" t="s">
        <v>1260</v>
      </c>
      <c r="B450" s="5">
        <v>46207</v>
      </c>
      <c r="C450" s="6">
        <v>0.20833333333333301</v>
      </c>
      <c r="D450" s="1" t="s">
        <v>7</v>
      </c>
      <c r="E450" s="1" t="s">
        <v>8</v>
      </c>
      <c r="F450" s="1" t="s">
        <v>1267</v>
      </c>
      <c r="G450" s="39" t="s">
        <v>1124</v>
      </c>
      <c r="H450" s="1">
        <v>1</v>
      </c>
      <c r="I450" s="1">
        <v>3</v>
      </c>
      <c r="J450" s="39" t="s">
        <v>202</v>
      </c>
      <c r="K450" s="1">
        <v>3</v>
      </c>
      <c r="L450" s="1">
        <v>1</v>
      </c>
      <c r="S450" s="1" t="s">
        <v>9205</v>
      </c>
      <c r="T450" s="1">
        <v>1</v>
      </c>
      <c r="U450" s="19"/>
      <c r="V450" s="19"/>
      <c r="W450" s="218">
        <v>1</v>
      </c>
      <c r="X450" s="218">
        <v>1</v>
      </c>
      <c r="Y450" s="218">
        <v>1</v>
      </c>
    </row>
    <row r="451" spans="1:25" ht="14.25" customHeight="1" x14ac:dyDescent="0.3">
      <c r="A451" s="1" t="s">
        <v>1261</v>
      </c>
      <c r="B451" s="5">
        <v>46103</v>
      </c>
      <c r="C451" s="6">
        <v>0.21875</v>
      </c>
      <c r="D451" s="1" t="s">
        <v>7</v>
      </c>
      <c r="E451" s="1" t="s">
        <v>8</v>
      </c>
      <c r="F451" s="1" t="s">
        <v>1268</v>
      </c>
      <c r="G451" s="39" t="s">
        <v>260</v>
      </c>
      <c r="H451" s="1">
        <v>3</v>
      </c>
      <c r="I451" s="1">
        <v>2</v>
      </c>
      <c r="J451" s="39" t="s">
        <v>1128</v>
      </c>
      <c r="K451" s="1">
        <v>2</v>
      </c>
      <c r="L451" s="1">
        <v>3</v>
      </c>
      <c r="S451" s="1" t="s">
        <v>9206</v>
      </c>
      <c r="T451" s="1">
        <v>1</v>
      </c>
      <c r="U451" s="19"/>
      <c r="V451" s="19"/>
      <c r="W451" s="218">
        <v>0</v>
      </c>
      <c r="X451" s="218">
        <v>0</v>
      </c>
      <c r="Y451" s="218">
        <v>0</v>
      </c>
    </row>
    <row r="452" spans="1:25" ht="14.25" customHeight="1" x14ac:dyDescent="0.3">
      <c r="A452" s="1" t="s">
        <v>1262</v>
      </c>
      <c r="B452" s="5">
        <v>46201</v>
      </c>
      <c r="C452" s="6">
        <v>0.16666666666666699</v>
      </c>
      <c r="D452" s="1" t="s">
        <v>7</v>
      </c>
      <c r="E452" s="1" t="s">
        <v>8</v>
      </c>
      <c r="F452" s="1" t="s">
        <v>8249</v>
      </c>
      <c r="G452" s="39" t="s">
        <v>895</v>
      </c>
      <c r="H452" s="1">
        <v>6</v>
      </c>
      <c r="I452" s="1">
        <v>2</v>
      </c>
      <c r="J452" s="39" t="s">
        <v>1128</v>
      </c>
      <c r="K452" s="1">
        <v>2</v>
      </c>
      <c r="L452" s="1">
        <v>6</v>
      </c>
      <c r="S452" s="1" t="s">
        <v>8250</v>
      </c>
      <c r="T452" s="1">
        <v>1</v>
      </c>
      <c r="U452" s="19"/>
      <c r="V452" s="19"/>
      <c r="W452" s="218">
        <v>1</v>
      </c>
      <c r="X452" s="218">
        <v>1</v>
      </c>
      <c r="Y452" s="218">
        <v>1</v>
      </c>
    </row>
    <row r="453" spans="1:25" ht="14.25" customHeight="1" x14ac:dyDescent="0.3">
      <c r="A453" s="1" t="s">
        <v>1263</v>
      </c>
      <c r="B453" s="5">
        <v>46213</v>
      </c>
      <c r="C453" s="6">
        <v>0.27083333333333298</v>
      </c>
      <c r="D453" s="1" t="s">
        <v>7</v>
      </c>
      <c r="E453" s="1" t="s">
        <v>8</v>
      </c>
      <c r="F453" s="1" t="s">
        <v>1269</v>
      </c>
      <c r="G453" s="39" t="s">
        <v>202</v>
      </c>
      <c r="H453" s="1">
        <v>0</v>
      </c>
      <c r="I453" s="1">
        <v>0</v>
      </c>
      <c r="J453" s="39" t="s">
        <v>1128</v>
      </c>
      <c r="K453" s="1">
        <v>0</v>
      </c>
      <c r="L453" s="1">
        <v>0</v>
      </c>
      <c r="S453" s="1" t="s">
        <v>9207</v>
      </c>
      <c r="T453" s="1">
        <v>1</v>
      </c>
      <c r="U453" s="19"/>
      <c r="V453" s="19"/>
      <c r="W453" s="218">
        <v>1</v>
      </c>
      <c r="X453" s="218">
        <v>1</v>
      </c>
      <c r="Y453" s="218">
        <v>1</v>
      </c>
    </row>
    <row r="454" spans="1:25" ht="14.25" customHeight="1" x14ac:dyDescent="0.3">
      <c r="A454" s="1" t="s">
        <v>1264</v>
      </c>
      <c r="B454" s="5">
        <v>46221</v>
      </c>
      <c r="C454" s="6">
        <v>0.20833333333333301</v>
      </c>
      <c r="D454" s="1" t="s">
        <v>7</v>
      </c>
      <c r="E454" s="1" t="s">
        <v>8</v>
      </c>
      <c r="F454" s="1" t="s">
        <v>1265</v>
      </c>
      <c r="G454" s="39" t="s">
        <v>1117</v>
      </c>
      <c r="H454" s="1">
        <v>1</v>
      </c>
      <c r="I454" s="1">
        <v>2</v>
      </c>
      <c r="J454" s="39" t="s">
        <v>1128</v>
      </c>
      <c r="K454" s="1">
        <v>2</v>
      </c>
      <c r="L454" s="1">
        <v>1</v>
      </c>
      <c r="S454" s="1" t="s">
        <v>9208</v>
      </c>
      <c r="T454" s="1">
        <v>1</v>
      </c>
      <c r="U454" s="19"/>
      <c r="V454" s="19"/>
      <c r="W454" s="218">
        <v>1</v>
      </c>
      <c r="X454" s="218">
        <v>1</v>
      </c>
      <c r="Y454" s="218">
        <v>1</v>
      </c>
    </row>
    <row r="455" spans="1:25" ht="14.25" customHeight="1" x14ac:dyDescent="0.3">
      <c r="A455" s="1" t="s">
        <v>1270</v>
      </c>
      <c r="B455" s="5">
        <v>46152</v>
      </c>
      <c r="C455" s="6">
        <v>0.21875</v>
      </c>
      <c r="D455" s="1" t="s">
        <v>7</v>
      </c>
      <c r="E455" s="1" t="s">
        <v>8</v>
      </c>
      <c r="F455" s="1" t="s">
        <v>1276</v>
      </c>
      <c r="G455" s="39" t="s">
        <v>1117</v>
      </c>
      <c r="H455" s="1">
        <v>3</v>
      </c>
      <c r="I455" s="1">
        <v>2</v>
      </c>
      <c r="J455" s="39" t="s">
        <v>260</v>
      </c>
      <c r="K455" s="1">
        <v>2</v>
      </c>
      <c r="L455" s="1">
        <v>3</v>
      </c>
      <c r="S455" s="1" t="s">
        <v>9209</v>
      </c>
      <c r="T455" s="1">
        <v>1</v>
      </c>
      <c r="U455" s="19"/>
      <c r="V455" s="19"/>
      <c r="W455" s="218">
        <v>1</v>
      </c>
      <c r="X455" s="218">
        <v>1</v>
      </c>
      <c r="Y455" s="218">
        <v>1</v>
      </c>
    </row>
    <row r="456" spans="1:25" ht="14.25" customHeight="1" x14ac:dyDescent="0.3">
      <c r="A456" s="1" t="s">
        <v>1271</v>
      </c>
      <c r="B456" s="5">
        <v>46196</v>
      </c>
      <c r="C456" s="6">
        <v>0.27083333333333298</v>
      </c>
      <c r="D456" s="1" t="s">
        <v>7</v>
      </c>
      <c r="E456" s="1" t="s">
        <v>8</v>
      </c>
      <c r="F456" s="1" t="s">
        <v>1272</v>
      </c>
      <c r="G456" s="39" t="s">
        <v>1117</v>
      </c>
      <c r="H456" s="1">
        <v>4</v>
      </c>
      <c r="I456" s="1">
        <v>1</v>
      </c>
      <c r="J456" s="39" t="s">
        <v>1124</v>
      </c>
      <c r="K456" s="1">
        <v>1</v>
      </c>
      <c r="L456" s="1">
        <v>4</v>
      </c>
      <c r="S456" s="1" t="s">
        <v>9210</v>
      </c>
      <c r="T456" s="1">
        <v>1</v>
      </c>
      <c r="U456" s="19"/>
      <c r="V456" s="19"/>
      <c r="W456" s="218">
        <v>1</v>
      </c>
      <c r="X456" s="218">
        <v>1</v>
      </c>
      <c r="Y456" s="218">
        <v>1</v>
      </c>
    </row>
    <row r="457" spans="1:25" ht="14.25" customHeight="1" x14ac:dyDescent="0.3">
      <c r="A457" s="1" t="s">
        <v>1273</v>
      </c>
      <c r="B457" s="5">
        <v>46210</v>
      </c>
      <c r="C457" s="6">
        <v>0.27083333333333298</v>
      </c>
      <c r="D457" s="1" t="s">
        <v>7</v>
      </c>
      <c r="E457" s="1" t="s">
        <v>8</v>
      </c>
      <c r="F457" s="1" t="s">
        <v>8251</v>
      </c>
      <c r="G457" s="39" t="s">
        <v>1117</v>
      </c>
      <c r="H457" s="1">
        <v>2</v>
      </c>
      <c r="I457" s="1">
        <v>1</v>
      </c>
      <c r="J457" s="39" t="s">
        <v>895</v>
      </c>
      <c r="K457" s="1">
        <v>1</v>
      </c>
      <c r="L457" s="1">
        <v>2</v>
      </c>
      <c r="S457" s="1" t="s">
        <v>8252</v>
      </c>
      <c r="T457" s="1">
        <v>1</v>
      </c>
      <c r="U457" s="19"/>
      <c r="V457" s="19"/>
      <c r="W457" s="218">
        <v>1</v>
      </c>
      <c r="X457" s="218">
        <v>1</v>
      </c>
      <c r="Y457" s="218">
        <v>1</v>
      </c>
    </row>
    <row r="458" spans="1:25" ht="14.25" customHeight="1" x14ac:dyDescent="0.3">
      <c r="A458" s="1" t="s">
        <v>1274</v>
      </c>
      <c r="B458" s="5">
        <v>46094</v>
      </c>
      <c r="C458" s="6">
        <v>0.27083333333333298</v>
      </c>
      <c r="D458" s="1" t="s">
        <v>7</v>
      </c>
      <c r="E458" s="1" t="s">
        <v>8</v>
      </c>
      <c r="F458" s="1" t="s">
        <v>1277</v>
      </c>
      <c r="G458" s="39" t="s">
        <v>1128</v>
      </c>
      <c r="H458" s="1">
        <v>2</v>
      </c>
      <c r="I458" s="1">
        <v>2</v>
      </c>
      <c r="J458" s="39" t="s">
        <v>202</v>
      </c>
      <c r="K458" s="1">
        <v>2</v>
      </c>
      <c r="L458" s="1">
        <v>2</v>
      </c>
      <c r="S458" s="1" t="s">
        <v>9211</v>
      </c>
      <c r="T458" s="1">
        <v>1</v>
      </c>
      <c r="U458" s="19"/>
      <c r="V458" s="19"/>
      <c r="W458" s="218">
        <v>0</v>
      </c>
      <c r="X458" s="218">
        <v>0</v>
      </c>
      <c r="Y458" s="218">
        <v>0</v>
      </c>
    </row>
    <row r="459" spans="1:25" ht="14.25" customHeight="1" x14ac:dyDescent="0.3">
      <c r="A459" s="1" t="s">
        <v>1275</v>
      </c>
      <c r="B459" s="5">
        <v>46124</v>
      </c>
      <c r="C459" s="6">
        <v>0.16666666666666699</v>
      </c>
      <c r="D459" s="1" t="s">
        <v>7</v>
      </c>
      <c r="E459" s="1" t="s">
        <v>8</v>
      </c>
      <c r="F459" s="1" t="s">
        <v>1278</v>
      </c>
      <c r="G459" s="39" t="s">
        <v>260</v>
      </c>
      <c r="H459" s="1">
        <v>2</v>
      </c>
      <c r="I459" s="1">
        <v>1</v>
      </c>
      <c r="J459" s="39" t="s">
        <v>202</v>
      </c>
      <c r="K459" s="1">
        <v>1</v>
      </c>
      <c r="L459" s="1">
        <v>2</v>
      </c>
      <c r="S459" s="1" t="s">
        <v>9212</v>
      </c>
      <c r="T459" s="1">
        <v>1</v>
      </c>
      <c r="U459" s="19"/>
      <c r="V459" s="19"/>
      <c r="W459" s="218">
        <v>1</v>
      </c>
      <c r="X459" s="218">
        <v>1</v>
      </c>
      <c r="Y459" s="218">
        <v>1</v>
      </c>
    </row>
    <row r="460" spans="1:25" ht="14.25" customHeight="1" x14ac:dyDescent="0.3">
      <c r="A460" s="1" t="s">
        <v>1279</v>
      </c>
      <c r="B460" s="5">
        <v>46080</v>
      </c>
      <c r="C460" s="6">
        <v>0.25</v>
      </c>
      <c r="D460" s="1" t="s">
        <v>7</v>
      </c>
      <c r="E460" s="1" t="s">
        <v>969</v>
      </c>
      <c r="F460" s="1" t="s">
        <v>1280</v>
      </c>
      <c r="G460" s="39" t="s">
        <v>1281</v>
      </c>
      <c r="H460" s="1">
        <v>3</v>
      </c>
      <c r="I460" s="1">
        <v>2</v>
      </c>
      <c r="J460" s="39" t="s">
        <v>1282</v>
      </c>
      <c r="K460" s="1">
        <v>2</v>
      </c>
      <c r="L460" s="1">
        <v>3</v>
      </c>
      <c r="S460" s="1" t="s">
        <v>9213</v>
      </c>
      <c r="T460">
        <v>1</v>
      </c>
      <c r="U460" s="19"/>
      <c r="V460" s="19"/>
      <c r="W460" s="218">
        <v>0</v>
      </c>
      <c r="X460" s="218">
        <v>0</v>
      </c>
      <c r="Y460" s="218">
        <v>0</v>
      </c>
    </row>
    <row r="461" spans="1:25" ht="14.25" customHeight="1" x14ac:dyDescent="0.3">
      <c r="A461" s="1" t="s">
        <v>1283</v>
      </c>
      <c r="B461" s="5">
        <v>46088</v>
      </c>
      <c r="C461" s="6">
        <v>0.22916666666666699</v>
      </c>
      <c r="D461" s="1" t="s">
        <v>7</v>
      </c>
      <c r="E461" s="1" t="s">
        <v>969</v>
      </c>
      <c r="F461" s="1" t="s">
        <v>1284</v>
      </c>
      <c r="G461" s="39" t="s">
        <v>1281</v>
      </c>
      <c r="H461" s="1">
        <v>0</v>
      </c>
      <c r="I461" s="1">
        <v>4</v>
      </c>
      <c r="J461" s="39" t="s">
        <v>1285</v>
      </c>
      <c r="K461" s="1">
        <v>4</v>
      </c>
      <c r="L461" s="1">
        <v>0</v>
      </c>
      <c r="S461" s="1" t="s">
        <v>9214</v>
      </c>
      <c r="T461" s="1">
        <v>1</v>
      </c>
      <c r="U461" s="19"/>
      <c r="V461" s="19"/>
      <c r="W461" s="218">
        <v>0</v>
      </c>
      <c r="X461" s="218">
        <v>0</v>
      </c>
      <c r="Y461" s="218">
        <v>0</v>
      </c>
    </row>
    <row r="462" spans="1:25" ht="14.25" customHeight="1" x14ac:dyDescent="0.3">
      <c r="A462" s="1" t="s">
        <v>1286</v>
      </c>
      <c r="B462" s="5">
        <v>46102</v>
      </c>
      <c r="C462" s="6">
        <v>0.22916666666666699</v>
      </c>
      <c r="D462" s="1" t="s">
        <v>7</v>
      </c>
      <c r="E462" s="1" t="s">
        <v>969</v>
      </c>
      <c r="F462" s="1" t="s">
        <v>1536</v>
      </c>
      <c r="G462" s="39" t="s">
        <v>1281</v>
      </c>
      <c r="H462" s="1">
        <v>1</v>
      </c>
      <c r="I462" s="1">
        <v>2</v>
      </c>
      <c r="J462" s="39" t="s">
        <v>967</v>
      </c>
      <c r="K462" s="1">
        <v>2</v>
      </c>
      <c r="L462" s="1">
        <v>1</v>
      </c>
      <c r="S462" s="1" t="s">
        <v>9215</v>
      </c>
      <c r="T462" s="1">
        <v>1</v>
      </c>
      <c r="U462" s="19"/>
      <c r="V462" s="19"/>
      <c r="W462" s="218">
        <v>0</v>
      </c>
      <c r="X462" s="218">
        <v>0</v>
      </c>
      <c r="Y462" s="218">
        <v>0</v>
      </c>
    </row>
    <row r="463" spans="1:25" ht="14.25" customHeight="1" x14ac:dyDescent="0.3">
      <c r="A463" s="1" t="s">
        <v>1287</v>
      </c>
      <c r="B463" s="5">
        <v>46123</v>
      </c>
      <c r="C463" s="6">
        <v>0.22916666666666699</v>
      </c>
      <c r="D463" s="1" t="s">
        <v>7</v>
      </c>
      <c r="E463" s="1" t="s">
        <v>969</v>
      </c>
      <c r="F463" s="1" t="s">
        <v>1288</v>
      </c>
      <c r="G463" s="39" t="s">
        <v>1281</v>
      </c>
      <c r="H463" s="1">
        <v>2</v>
      </c>
      <c r="I463" s="1">
        <v>2</v>
      </c>
      <c r="J463" s="39" t="s">
        <v>975</v>
      </c>
      <c r="K463" s="1">
        <v>2</v>
      </c>
      <c r="L463" s="1">
        <v>2</v>
      </c>
      <c r="S463" s="1" t="s">
        <v>9216</v>
      </c>
      <c r="T463" s="1">
        <v>1</v>
      </c>
      <c r="U463" s="19"/>
      <c r="V463" s="19"/>
      <c r="W463" s="218">
        <v>0</v>
      </c>
      <c r="X463" s="218">
        <v>0</v>
      </c>
      <c r="Y463" s="218">
        <v>0</v>
      </c>
    </row>
    <row r="464" spans="1:25" ht="14.25" customHeight="1" x14ac:dyDescent="0.3">
      <c r="A464" s="1" t="s">
        <v>1289</v>
      </c>
      <c r="B464" s="5">
        <v>46129</v>
      </c>
      <c r="C464" s="6">
        <v>0.25</v>
      </c>
      <c r="D464" s="1" t="s">
        <v>7</v>
      </c>
      <c r="E464" s="1" t="s">
        <v>969</v>
      </c>
      <c r="F464" s="1" t="s">
        <v>8522</v>
      </c>
      <c r="G464" s="39" t="s">
        <v>1281</v>
      </c>
      <c r="H464" s="1">
        <v>4</v>
      </c>
      <c r="I464" s="1">
        <v>2</v>
      </c>
      <c r="J464" s="39" t="s">
        <v>968</v>
      </c>
      <c r="K464" s="1">
        <v>2</v>
      </c>
      <c r="L464" s="1">
        <v>4</v>
      </c>
      <c r="S464" s="1" t="s">
        <v>9217</v>
      </c>
      <c r="T464" s="1">
        <v>1</v>
      </c>
      <c r="U464" s="19"/>
      <c r="V464" s="19"/>
      <c r="W464" s="218">
        <v>0</v>
      </c>
      <c r="X464" s="218">
        <v>0</v>
      </c>
      <c r="Y464" s="218">
        <v>0</v>
      </c>
    </row>
    <row r="465" spans="1:25" ht="14.25" customHeight="1" x14ac:dyDescent="0.3">
      <c r="A465" s="1" t="s">
        <v>1290</v>
      </c>
      <c r="B465" s="5">
        <v>46151</v>
      </c>
      <c r="C465" s="6">
        <v>0.22916666666666699</v>
      </c>
      <c r="D465" s="1" t="s">
        <v>7</v>
      </c>
      <c r="E465" s="1" t="s">
        <v>969</v>
      </c>
      <c r="F465" s="1" t="s">
        <v>1291</v>
      </c>
      <c r="G465" s="39" t="s">
        <v>1281</v>
      </c>
      <c r="H465" s="1">
        <v>0</v>
      </c>
      <c r="I465" s="1">
        <v>2</v>
      </c>
      <c r="J465" s="39" t="s">
        <v>1292</v>
      </c>
      <c r="K465" s="1">
        <v>2</v>
      </c>
      <c r="L465" s="1">
        <v>0</v>
      </c>
      <c r="S465" s="1" t="s">
        <v>9218</v>
      </c>
      <c r="T465" s="1">
        <v>1</v>
      </c>
      <c r="U465" s="19"/>
      <c r="V465" s="19"/>
      <c r="W465" s="218">
        <v>0</v>
      </c>
      <c r="X465" s="218">
        <v>0</v>
      </c>
      <c r="Y465" s="218">
        <v>0</v>
      </c>
    </row>
    <row r="466" spans="1:25" ht="14.25" customHeight="1" x14ac:dyDescent="0.3">
      <c r="A466" s="1" t="s">
        <v>1293</v>
      </c>
      <c r="B466" s="5">
        <v>46165</v>
      </c>
      <c r="C466" s="6">
        <v>0.22916666666666699</v>
      </c>
      <c r="D466" s="1" t="s">
        <v>7</v>
      </c>
      <c r="E466" s="1" t="s">
        <v>969</v>
      </c>
      <c r="F466" s="1" t="s">
        <v>8523</v>
      </c>
      <c r="G466" s="39" t="s">
        <v>1281</v>
      </c>
      <c r="H466" s="1">
        <v>2</v>
      </c>
      <c r="I466" s="1">
        <v>3</v>
      </c>
      <c r="J466" s="39" t="s">
        <v>976</v>
      </c>
      <c r="K466" s="1">
        <v>3</v>
      </c>
      <c r="L466" s="1">
        <v>2</v>
      </c>
      <c r="S466" s="1" t="s">
        <v>9219</v>
      </c>
      <c r="T466" s="1">
        <v>1</v>
      </c>
      <c r="U466" s="19"/>
      <c r="V466" s="19"/>
      <c r="W466" s="218">
        <v>1</v>
      </c>
      <c r="X466" s="218">
        <v>1</v>
      </c>
      <c r="Y466" s="218">
        <v>1</v>
      </c>
    </row>
    <row r="467" spans="1:25" ht="14.25" customHeight="1" x14ac:dyDescent="0.3">
      <c r="A467" s="1" t="s">
        <v>1294</v>
      </c>
      <c r="B467" s="5">
        <v>46186</v>
      </c>
      <c r="C467" s="6">
        <v>0.22916666666666699</v>
      </c>
      <c r="D467" s="1" t="s">
        <v>7</v>
      </c>
      <c r="E467" s="1" t="s">
        <v>969</v>
      </c>
      <c r="F467" s="1" t="s">
        <v>1295</v>
      </c>
      <c r="G467" s="39" t="s">
        <v>1281</v>
      </c>
      <c r="H467" s="1">
        <v>4</v>
      </c>
      <c r="I467" s="1">
        <v>1</v>
      </c>
      <c r="J467" s="39" t="s">
        <v>1296</v>
      </c>
      <c r="K467" s="1">
        <v>1</v>
      </c>
      <c r="L467" s="1">
        <v>4</v>
      </c>
      <c r="S467" s="1" t="s">
        <v>9220</v>
      </c>
      <c r="T467" s="1">
        <v>1</v>
      </c>
      <c r="U467" s="19"/>
      <c r="V467" s="19"/>
      <c r="W467" s="218">
        <v>1</v>
      </c>
      <c r="X467" s="218">
        <v>1</v>
      </c>
      <c r="Y467" s="218">
        <v>1</v>
      </c>
    </row>
    <row r="468" spans="1:25" ht="14.25" customHeight="1" x14ac:dyDescent="0.3">
      <c r="A468" s="1" t="s">
        <v>1297</v>
      </c>
      <c r="B468" s="5">
        <v>46199</v>
      </c>
      <c r="C468" s="6">
        <v>0.25</v>
      </c>
      <c r="D468" s="1" t="s">
        <v>7</v>
      </c>
      <c r="E468" s="1" t="s">
        <v>969</v>
      </c>
      <c r="F468" s="1" t="s">
        <v>1298</v>
      </c>
      <c r="G468" s="39" t="s">
        <v>1281</v>
      </c>
      <c r="H468" s="1">
        <v>3</v>
      </c>
      <c r="I468" s="1">
        <v>0</v>
      </c>
      <c r="J468" s="39" t="s">
        <v>1299</v>
      </c>
      <c r="K468" s="1">
        <v>0</v>
      </c>
      <c r="L468" s="1">
        <v>3</v>
      </c>
      <c r="S468" s="1" t="s">
        <v>9221</v>
      </c>
      <c r="T468" s="1">
        <v>1</v>
      </c>
      <c r="U468" s="19"/>
      <c r="V468" s="19"/>
      <c r="W468" s="218">
        <v>1</v>
      </c>
      <c r="X468" s="218">
        <v>1</v>
      </c>
      <c r="Y468" s="218">
        <v>1</v>
      </c>
    </row>
    <row r="469" spans="1:25" ht="14.25" customHeight="1" x14ac:dyDescent="0.3">
      <c r="A469" s="1" t="s">
        <v>1300</v>
      </c>
      <c r="B469" s="5">
        <v>46228</v>
      </c>
      <c r="C469" s="6">
        <v>0.22916666666666699</v>
      </c>
      <c r="D469" s="1" t="s">
        <v>7</v>
      </c>
      <c r="E469" s="1" t="s">
        <v>969</v>
      </c>
      <c r="F469" s="1" t="s">
        <v>1301</v>
      </c>
      <c r="G469" s="39" t="s">
        <v>1281</v>
      </c>
      <c r="H469" s="1">
        <v>2</v>
      </c>
      <c r="I469" s="1">
        <v>2</v>
      </c>
      <c r="J469" s="39" t="s">
        <v>1302</v>
      </c>
      <c r="K469" s="1">
        <v>2</v>
      </c>
      <c r="L469" s="1">
        <v>2</v>
      </c>
      <c r="S469" s="1" t="s">
        <v>9222</v>
      </c>
      <c r="T469" s="1">
        <v>1</v>
      </c>
      <c r="U469" s="19"/>
      <c r="V469" s="19"/>
      <c r="W469" s="218">
        <v>1</v>
      </c>
      <c r="X469" s="218">
        <v>1</v>
      </c>
      <c r="Y469" s="218">
        <v>1</v>
      </c>
    </row>
    <row r="470" spans="1:25" ht="14.25" customHeight="1" x14ac:dyDescent="0.3">
      <c r="A470" s="1" t="s">
        <v>1303</v>
      </c>
      <c r="B470" s="5">
        <v>46081</v>
      </c>
      <c r="C470" s="6">
        <v>0.25</v>
      </c>
      <c r="D470" s="1" t="s">
        <v>7</v>
      </c>
      <c r="E470" s="1" t="s">
        <v>969</v>
      </c>
      <c r="F470" s="1" t="s">
        <v>1304</v>
      </c>
      <c r="G470" s="39" t="s">
        <v>1292</v>
      </c>
      <c r="H470" s="1">
        <v>1</v>
      </c>
      <c r="I470" s="1">
        <v>3</v>
      </c>
      <c r="J470" s="39" t="s">
        <v>1305</v>
      </c>
      <c r="K470" s="1">
        <v>3</v>
      </c>
      <c r="L470" s="1">
        <v>1</v>
      </c>
      <c r="S470" s="1" t="s">
        <v>9223</v>
      </c>
      <c r="T470">
        <v>1</v>
      </c>
      <c r="U470" s="19"/>
      <c r="V470" s="19"/>
      <c r="W470" s="218">
        <v>0</v>
      </c>
      <c r="X470" s="218">
        <v>0</v>
      </c>
      <c r="Y470" s="218">
        <v>0</v>
      </c>
    </row>
    <row r="471" spans="1:25" ht="14.25" customHeight="1" x14ac:dyDescent="0.3">
      <c r="A471" s="1" t="s">
        <v>1306</v>
      </c>
      <c r="B471" s="5">
        <v>46102</v>
      </c>
      <c r="C471" s="6">
        <v>0.22916666666666699</v>
      </c>
      <c r="D471" s="1" t="s">
        <v>7</v>
      </c>
      <c r="E471" s="1" t="s">
        <v>969</v>
      </c>
      <c r="F471" s="1" t="s">
        <v>1307</v>
      </c>
      <c r="G471" s="39" t="s">
        <v>1282</v>
      </c>
      <c r="H471" s="1">
        <v>0</v>
      </c>
      <c r="I471" s="1">
        <v>5</v>
      </c>
      <c r="J471" s="39" t="s">
        <v>1305</v>
      </c>
      <c r="K471" s="1">
        <v>5</v>
      </c>
      <c r="L471" s="1">
        <v>0</v>
      </c>
      <c r="S471" s="1" t="s">
        <v>9224</v>
      </c>
      <c r="T471" s="1">
        <v>1</v>
      </c>
      <c r="U471" s="19"/>
      <c r="V471" s="19"/>
      <c r="W471" s="218">
        <v>0</v>
      </c>
      <c r="X471" s="218">
        <v>0</v>
      </c>
      <c r="Y471" s="218">
        <v>0</v>
      </c>
    </row>
    <row r="472" spans="1:25" ht="14.25" customHeight="1" x14ac:dyDescent="0.3">
      <c r="A472" s="1" t="s">
        <v>1308</v>
      </c>
      <c r="B472" s="5">
        <v>46123</v>
      </c>
      <c r="C472" s="6">
        <v>0.22916666666666699</v>
      </c>
      <c r="D472" s="1" t="s">
        <v>7</v>
      </c>
      <c r="E472" s="1" t="s">
        <v>969</v>
      </c>
      <c r="F472" s="1" t="s">
        <v>1309</v>
      </c>
      <c r="G472" s="39" t="s">
        <v>1296</v>
      </c>
      <c r="H472" s="1">
        <v>2</v>
      </c>
      <c r="I472" s="1">
        <v>1</v>
      </c>
      <c r="J472" s="39" t="s">
        <v>1305</v>
      </c>
      <c r="K472" s="1">
        <v>1</v>
      </c>
      <c r="L472" s="1">
        <v>2</v>
      </c>
      <c r="S472" s="1" t="s">
        <v>9225</v>
      </c>
      <c r="T472" s="1">
        <v>1</v>
      </c>
      <c r="U472" s="19"/>
      <c r="V472" s="19"/>
      <c r="W472" s="218">
        <v>0</v>
      </c>
      <c r="X472" s="218">
        <v>0</v>
      </c>
      <c r="Y472" s="218">
        <v>0</v>
      </c>
    </row>
    <row r="473" spans="1:25" ht="14.25" customHeight="1" x14ac:dyDescent="0.3">
      <c r="A473" s="1" t="s">
        <v>1310</v>
      </c>
      <c r="B473" s="5">
        <v>46150</v>
      </c>
      <c r="C473" s="6">
        <v>0.25</v>
      </c>
      <c r="D473" s="1" t="s">
        <v>7</v>
      </c>
      <c r="E473" s="1" t="s">
        <v>969</v>
      </c>
      <c r="F473" s="1" t="s">
        <v>1311</v>
      </c>
      <c r="G473" s="39" t="s">
        <v>975</v>
      </c>
      <c r="H473" s="1">
        <v>2</v>
      </c>
      <c r="I473" s="1">
        <v>1</v>
      </c>
      <c r="J473" s="39" t="s">
        <v>1305</v>
      </c>
      <c r="K473" s="1">
        <v>1</v>
      </c>
      <c r="L473" s="1">
        <v>2</v>
      </c>
      <c r="S473" s="1" t="s">
        <v>9226</v>
      </c>
      <c r="T473" s="1">
        <v>1</v>
      </c>
      <c r="U473" s="19"/>
      <c r="V473" s="19"/>
      <c r="W473" s="218">
        <v>0</v>
      </c>
      <c r="X473" s="218">
        <v>0</v>
      </c>
      <c r="Y473" s="218">
        <v>0</v>
      </c>
    </row>
    <row r="474" spans="1:25" ht="14.25" customHeight="1" x14ac:dyDescent="0.3">
      <c r="A474" s="1" t="s">
        <v>1312</v>
      </c>
      <c r="B474" s="5">
        <v>46165</v>
      </c>
      <c r="C474" s="6">
        <v>0.22916666666666699</v>
      </c>
      <c r="D474" s="1" t="s">
        <v>7</v>
      </c>
      <c r="E474" s="1" t="s">
        <v>969</v>
      </c>
      <c r="F474" s="1" t="s">
        <v>1313</v>
      </c>
      <c r="G474" s="39" t="s">
        <v>1302</v>
      </c>
      <c r="H474" s="1">
        <v>2</v>
      </c>
      <c r="I474" s="1">
        <v>0</v>
      </c>
      <c r="J474" s="39" t="s">
        <v>1305</v>
      </c>
      <c r="K474" s="1">
        <v>0</v>
      </c>
      <c r="L474" s="1">
        <v>2</v>
      </c>
      <c r="S474" s="1" t="s">
        <v>9227</v>
      </c>
      <c r="T474" s="1">
        <v>1</v>
      </c>
      <c r="U474" s="19"/>
      <c r="V474" s="19"/>
      <c r="W474" s="218">
        <v>1</v>
      </c>
      <c r="X474" s="218">
        <v>1</v>
      </c>
      <c r="Y474" s="218">
        <v>1</v>
      </c>
    </row>
    <row r="475" spans="1:25" ht="14.25" customHeight="1" x14ac:dyDescent="0.3">
      <c r="A475" s="1" t="s">
        <v>1314</v>
      </c>
      <c r="B475" s="5">
        <v>46178</v>
      </c>
      <c r="C475" s="6">
        <v>0.25</v>
      </c>
      <c r="D475" s="1" t="s">
        <v>7</v>
      </c>
      <c r="E475" s="1" t="s">
        <v>969</v>
      </c>
      <c r="F475" s="1" t="s">
        <v>1315</v>
      </c>
      <c r="G475" s="39" t="s">
        <v>1285</v>
      </c>
      <c r="H475" s="1">
        <v>4</v>
      </c>
      <c r="I475" s="1">
        <v>1</v>
      </c>
      <c r="J475" s="39" t="s">
        <v>1305</v>
      </c>
      <c r="K475" s="1">
        <v>1</v>
      </c>
      <c r="L475" s="1">
        <v>4</v>
      </c>
      <c r="S475" s="1" t="s">
        <v>9228</v>
      </c>
      <c r="T475" s="1">
        <v>1</v>
      </c>
      <c r="U475" s="19"/>
      <c r="V475" s="19"/>
      <c r="W475" s="218">
        <v>1</v>
      </c>
      <c r="X475" s="218">
        <v>1</v>
      </c>
      <c r="Y475" s="218">
        <v>1</v>
      </c>
    </row>
    <row r="476" spans="1:25" ht="14.25" customHeight="1" x14ac:dyDescent="0.3">
      <c r="A476" s="1" t="s">
        <v>1316</v>
      </c>
      <c r="B476" s="5">
        <v>46186</v>
      </c>
      <c r="C476" s="6">
        <v>0.22916666666666699</v>
      </c>
      <c r="D476" s="1" t="s">
        <v>7</v>
      </c>
      <c r="E476" s="1" t="s">
        <v>969</v>
      </c>
      <c r="F476" s="1" t="s">
        <v>8524</v>
      </c>
      <c r="G476" s="39" t="s">
        <v>976</v>
      </c>
      <c r="H476" s="1">
        <v>1</v>
      </c>
      <c r="I476" s="1">
        <v>0</v>
      </c>
      <c r="J476" s="39" t="s">
        <v>1305</v>
      </c>
      <c r="K476" s="1">
        <v>0</v>
      </c>
      <c r="L476" s="1">
        <v>1</v>
      </c>
      <c r="S476" s="1" t="s">
        <v>9229</v>
      </c>
      <c r="T476" s="1">
        <v>1</v>
      </c>
      <c r="U476" s="19"/>
      <c r="V476" s="19"/>
      <c r="W476" s="218">
        <v>1</v>
      </c>
      <c r="X476" s="218">
        <v>1</v>
      </c>
      <c r="Y476" s="218">
        <v>1</v>
      </c>
    </row>
    <row r="477" spans="1:25" ht="14.25" customHeight="1" x14ac:dyDescent="0.3">
      <c r="A477" s="1" t="s">
        <v>1317</v>
      </c>
      <c r="B477" s="5">
        <v>46199</v>
      </c>
      <c r="C477" s="6">
        <v>0.25</v>
      </c>
      <c r="D477" s="1" t="s">
        <v>7</v>
      </c>
      <c r="E477" s="1" t="s">
        <v>969</v>
      </c>
      <c r="F477" s="1" t="s">
        <v>8525</v>
      </c>
      <c r="G477" s="39" t="s">
        <v>968</v>
      </c>
      <c r="H477" s="1">
        <v>4</v>
      </c>
      <c r="I477" s="1">
        <v>1</v>
      </c>
      <c r="J477" s="39" t="s">
        <v>1305</v>
      </c>
      <c r="K477" s="1">
        <v>1</v>
      </c>
      <c r="L477" s="1">
        <v>4</v>
      </c>
      <c r="S477" s="1" t="s">
        <v>9230</v>
      </c>
      <c r="T477" s="1">
        <v>1</v>
      </c>
      <c r="U477" s="19"/>
      <c r="V477" s="19"/>
      <c r="W477" s="218">
        <v>1</v>
      </c>
      <c r="X477" s="218">
        <v>1</v>
      </c>
      <c r="Y477" s="218">
        <v>1</v>
      </c>
    </row>
    <row r="478" spans="1:25" ht="14.25" customHeight="1" x14ac:dyDescent="0.3">
      <c r="A478" s="1" t="s">
        <v>1318</v>
      </c>
      <c r="B478" s="5">
        <v>46221</v>
      </c>
      <c r="C478" s="6">
        <v>0.22916666666666699</v>
      </c>
      <c r="D478" s="1" t="s">
        <v>7</v>
      </c>
      <c r="E478" s="1" t="s">
        <v>969</v>
      </c>
      <c r="F478" s="1" t="s">
        <v>1537</v>
      </c>
      <c r="G478" s="39" t="s">
        <v>967</v>
      </c>
      <c r="H478" s="1">
        <v>0</v>
      </c>
      <c r="I478" s="1">
        <v>0</v>
      </c>
      <c r="J478" s="39" t="s">
        <v>1305</v>
      </c>
      <c r="K478" s="1">
        <v>0</v>
      </c>
      <c r="L478" s="1">
        <v>0</v>
      </c>
      <c r="S478" s="1" t="s">
        <v>9231</v>
      </c>
      <c r="T478" s="1">
        <v>1</v>
      </c>
      <c r="U478" s="19"/>
      <c r="V478" s="19"/>
      <c r="W478" s="218">
        <v>1</v>
      </c>
      <c r="X478" s="218">
        <v>1</v>
      </c>
      <c r="Y478" s="218">
        <v>1</v>
      </c>
    </row>
    <row r="479" spans="1:25" ht="14.25" customHeight="1" x14ac:dyDescent="0.3">
      <c r="A479" s="1" t="s">
        <v>1319</v>
      </c>
      <c r="B479" s="5">
        <v>46228</v>
      </c>
      <c r="C479" s="6">
        <v>0.22916666666666699</v>
      </c>
      <c r="D479" s="1" t="s">
        <v>7</v>
      </c>
      <c r="E479" s="1" t="s">
        <v>969</v>
      </c>
      <c r="F479" s="1" t="s">
        <v>1320</v>
      </c>
      <c r="G479" s="39" t="s">
        <v>1299</v>
      </c>
      <c r="H479" s="1">
        <v>2</v>
      </c>
      <c r="I479" s="1">
        <v>3</v>
      </c>
      <c r="J479" s="39" t="s">
        <v>1305</v>
      </c>
      <c r="K479" s="1">
        <v>3</v>
      </c>
      <c r="L479" s="1">
        <v>2</v>
      </c>
      <c r="S479" s="1" t="s">
        <v>9232</v>
      </c>
      <c r="T479" s="1">
        <v>1</v>
      </c>
      <c r="U479" s="19"/>
      <c r="V479" s="19"/>
      <c r="W479" s="218">
        <v>1</v>
      </c>
      <c r="X479" s="218">
        <v>1</v>
      </c>
      <c r="Y479" s="218">
        <v>1</v>
      </c>
    </row>
    <row r="480" spans="1:25" ht="14.25" customHeight="1" x14ac:dyDescent="0.3">
      <c r="A480" s="1" t="s">
        <v>1379</v>
      </c>
      <c r="B480" s="5">
        <v>46080</v>
      </c>
      <c r="C480" s="6">
        <v>0.33333333333333298</v>
      </c>
      <c r="D480" s="1" t="s">
        <v>7</v>
      </c>
      <c r="E480" s="1" t="s">
        <v>1380</v>
      </c>
      <c r="F480" s="1" t="s">
        <v>1406</v>
      </c>
      <c r="G480" s="1" t="s">
        <v>1377</v>
      </c>
      <c r="H480" s="15">
        <v>7</v>
      </c>
      <c r="I480" s="15">
        <v>0</v>
      </c>
      <c r="J480" s="1" t="s">
        <v>1381</v>
      </c>
      <c r="K480" s="1">
        <v>0</v>
      </c>
      <c r="L480" s="1">
        <v>7</v>
      </c>
      <c r="S480" s="1" t="s">
        <v>9233</v>
      </c>
      <c r="T480">
        <v>1</v>
      </c>
      <c r="U480" s="19"/>
      <c r="V480" s="19"/>
      <c r="W480" s="218">
        <v>0</v>
      </c>
      <c r="X480" s="218">
        <v>0</v>
      </c>
      <c r="Y480" s="218">
        <v>0</v>
      </c>
    </row>
    <row r="481" spans="1:25" x14ac:dyDescent="0.3">
      <c r="A481" s="1" t="s">
        <v>1382</v>
      </c>
      <c r="B481" s="5">
        <v>46087</v>
      </c>
      <c r="C481" s="6">
        <v>0.33333333333333298</v>
      </c>
      <c r="D481" s="1" t="s">
        <v>7</v>
      </c>
      <c r="E481" s="1" t="s">
        <v>1380</v>
      </c>
      <c r="F481" s="1" t="s">
        <v>1407</v>
      </c>
      <c r="G481" s="1" t="s">
        <v>1377</v>
      </c>
      <c r="H481" s="15">
        <v>2</v>
      </c>
      <c r="I481" s="15">
        <v>0</v>
      </c>
      <c r="J481" s="1" t="s">
        <v>1383</v>
      </c>
      <c r="K481" s="1">
        <v>0</v>
      </c>
      <c r="L481" s="1">
        <v>2</v>
      </c>
      <c r="S481" s="1" t="s">
        <v>9234</v>
      </c>
      <c r="T481" s="1">
        <v>1</v>
      </c>
      <c r="U481" s="19"/>
      <c r="V481" s="19"/>
      <c r="W481" s="218">
        <v>0</v>
      </c>
      <c r="X481" s="218">
        <v>0</v>
      </c>
      <c r="Y481" s="218">
        <v>0</v>
      </c>
    </row>
    <row r="482" spans="1:25" x14ac:dyDescent="0.3">
      <c r="A482" s="1" t="s">
        <v>1384</v>
      </c>
      <c r="B482" s="5">
        <v>46101</v>
      </c>
      <c r="C482" s="6">
        <v>0.33333333333333298</v>
      </c>
      <c r="D482" s="1" t="s">
        <v>7</v>
      </c>
      <c r="E482" s="1" t="s">
        <v>1380</v>
      </c>
      <c r="F482" s="1" t="s">
        <v>1408</v>
      </c>
      <c r="G482" s="1" t="s">
        <v>1377</v>
      </c>
      <c r="H482" s="15">
        <v>0</v>
      </c>
      <c r="I482" s="15">
        <v>0</v>
      </c>
      <c r="J482" s="1" t="s">
        <v>200</v>
      </c>
      <c r="K482" s="1">
        <v>0</v>
      </c>
      <c r="L482" s="1">
        <v>0</v>
      </c>
      <c r="S482" s="1" t="s">
        <v>9235</v>
      </c>
      <c r="T482" s="1">
        <v>1</v>
      </c>
      <c r="U482" s="19"/>
      <c r="V482" s="19"/>
      <c r="W482" s="218">
        <v>0</v>
      </c>
      <c r="X482" s="218">
        <v>0</v>
      </c>
      <c r="Y482" s="218">
        <v>0</v>
      </c>
    </row>
    <row r="483" spans="1:25" x14ac:dyDescent="0.3">
      <c r="A483" s="1" t="s">
        <v>1385</v>
      </c>
      <c r="B483" s="5">
        <v>46114</v>
      </c>
      <c r="C483" s="6">
        <v>0.33333333333333298</v>
      </c>
      <c r="D483" s="1" t="s">
        <v>7</v>
      </c>
      <c r="E483" s="1" t="s">
        <v>1380</v>
      </c>
      <c r="F483" s="1" t="s">
        <v>1409</v>
      </c>
      <c r="G483" s="1" t="s">
        <v>1377</v>
      </c>
      <c r="H483" s="15">
        <v>3</v>
      </c>
      <c r="I483" s="15">
        <v>3</v>
      </c>
      <c r="J483" s="1" t="s">
        <v>1386</v>
      </c>
      <c r="K483" s="1">
        <v>3</v>
      </c>
      <c r="L483" s="1">
        <v>3</v>
      </c>
      <c r="S483" s="1" t="s">
        <v>9236</v>
      </c>
      <c r="T483" s="1">
        <v>1</v>
      </c>
      <c r="U483" s="19"/>
      <c r="V483" s="19"/>
      <c r="W483" s="218">
        <v>0</v>
      </c>
      <c r="X483" s="218">
        <v>0</v>
      </c>
      <c r="Y483" s="218">
        <v>0</v>
      </c>
    </row>
    <row r="484" spans="1:25" x14ac:dyDescent="0.3">
      <c r="A484" s="1" t="s">
        <v>1387</v>
      </c>
      <c r="B484" s="5">
        <v>46136</v>
      </c>
      <c r="C484" s="6">
        <v>0.33333333333333298</v>
      </c>
      <c r="D484" s="1" t="s">
        <v>7</v>
      </c>
      <c r="E484" s="1" t="s">
        <v>1380</v>
      </c>
      <c r="F484" s="1" t="s">
        <v>1410</v>
      </c>
      <c r="G484" s="1" t="s">
        <v>1377</v>
      </c>
      <c r="H484" s="15">
        <v>3</v>
      </c>
      <c r="I484" s="15">
        <v>2</v>
      </c>
      <c r="J484" s="1" t="s">
        <v>1388</v>
      </c>
      <c r="K484" s="1">
        <v>2</v>
      </c>
      <c r="L484" s="1">
        <v>3</v>
      </c>
      <c r="S484" s="1" t="s">
        <v>9237</v>
      </c>
      <c r="T484" s="1">
        <v>1</v>
      </c>
      <c r="U484" s="19"/>
      <c r="V484" s="19"/>
      <c r="W484" s="218">
        <v>0</v>
      </c>
      <c r="X484" s="218">
        <v>0</v>
      </c>
      <c r="Y484" s="218">
        <v>0</v>
      </c>
    </row>
    <row r="485" spans="1:25" x14ac:dyDescent="0.3">
      <c r="A485" s="1" t="s">
        <v>1389</v>
      </c>
      <c r="B485" s="5">
        <v>46150</v>
      </c>
      <c r="C485" s="6">
        <v>0.33333333333333298</v>
      </c>
      <c r="D485" s="1" t="s">
        <v>7</v>
      </c>
      <c r="E485" s="1" t="s">
        <v>1380</v>
      </c>
      <c r="F485" s="1" t="s">
        <v>1411</v>
      </c>
      <c r="G485" s="1" t="s">
        <v>1377</v>
      </c>
      <c r="H485" s="15">
        <v>3</v>
      </c>
      <c r="I485" s="15">
        <v>2</v>
      </c>
      <c r="J485" s="1" t="s">
        <v>1390</v>
      </c>
      <c r="K485" s="1">
        <v>2</v>
      </c>
      <c r="L485" s="1">
        <v>3</v>
      </c>
      <c r="S485" s="1" t="s">
        <v>9238</v>
      </c>
      <c r="T485" s="1">
        <v>1</v>
      </c>
      <c r="U485" s="19"/>
      <c r="V485" s="19"/>
      <c r="W485" s="218">
        <v>1</v>
      </c>
      <c r="X485" s="218">
        <v>1</v>
      </c>
      <c r="Y485" s="218">
        <v>1</v>
      </c>
    </row>
    <row r="486" spans="1:25" x14ac:dyDescent="0.3">
      <c r="A486" s="1" t="s">
        <v>1391</v>
      </c>
      <c r="B486" s="5">
        <v>46178</v>
      </c>
      <c r="C486" s="6">
        <v>0.33333333333333298</v>
      </c>
      <c r="D486" s="1" t="s">
        <v>7</v>
      </c>
      <c r="E486" s="1" t="s">
        <v>1380</v>
      </c>
      <c r="F486" s="1" t="s">
        <v>1412</v>
      </c>
      <c r="G486" s="1" t="s">
        <v>1377</v>
      </c>
      <c r="H486" s="15">
        <v>4</v>
      </c>
      <c r="I486" s="15">
        <v>3</v>
      </c>
      <c r="J486" s="1" t="s">
        <v>1392</v>
      </c>
      <c r="K486" s="1">
        <v>3</v>
      </c>
      <c r="L486" s="1">
        <v>4</v>
      </c>
      <c r="S486" s="1" t="s">
        <v>9239</v>
      </c>
      <c r="T486" s="1">
        <v>1</v>
      </c>
      <c r="U486" s="19"/>
      <c r="V486" s="19"/>
      <c r="W486" s="218">
        <v>1</v>
      </c>
      <c r="X486" s="218">
        <v>1</v>
      </c>
      <c r="Y486" s="218">
        <v>1</v>
      </c>
    </row>
    <row r="487" spans="1:25" x14ac:dyDescent="0.3">
      <c r="A487" s="1" t="s">
        <v>1393</v>
      </c>
      <c r="B487" s="5">
        <v>46199</v>
      </c>
      <c r="C487" s="6">
        <v>0.33333333333333298</v>
      </c>
      <c r="D487" s="1" t="s">
        <v>7</v>
      </c>
      <c r="E487" s="1" t="s">
        <v>1380</v>
      </c>
      <c r="F487" s="1" t="s">
        <v>1413</v>
      </c>
      <c r="G487" s="1" t="s">
        <v>1377</v>
      </c>
      <c r="H487" s="15">
        <v>3</v>
      </c>
      <c r="I487" s="15">
        <v>0</v>
      </c>
      <c r="J487" s="1" t="s">
        <v>1394</v>
      </c>
      <c r="K487" s="1">
        <v>0</v>
      </c>
      <c r="L487" s="1">
        <v>3</v>
      </c>
      <c r="S487" s="1" t="s">
        <v>9240</v>
      </c>
      <c r="T487" s="1">
        <v>1</v>
      </c>
      <c r="U487" s="19"/>
      <c r="V487" s="19"/>
      <c r="W487" s="218">
        <v>1</v>
      </c>
      <c r="X487" s="218">
        <v>1</v>
      </c>
      <c r="Y487" s="218">
        <v>1</v>
      </c>
    </row>
    <row r="488" spans="1:25" ht="14.4" x14ac:dyDescent="0.3">
      <c r="A488" s="1" t="s">
        <v>1395</v>
      </c>
      <c r="B488" s="5">
        <v>46102</v>
      </c>
      <c r="C488" s="6">
        <v>0.16666666666666699</v>
      </c>
      <c r="D488" s="1" t="s">
        <v>7</v>
      </c>
      <c r="E488" s="1" t="s">
        <v>1380</v>
      </c>
      <c r="F488" s="1" t="s">
        <v>1414</v>
      </c>
      <c r="G488" s="1" t="s">
        <v>1383</v>
      </c>
      <c r="H488" s="15">
        <v>1</v>
      </c>
      <c r="I488" s="15">
        <v>1</v>
      </c>
      <c r="J488" s="1" t="s">
        <v>1378</v>
      </c>
      <c r="K488" s="1">
        <v>1</v>
      </c>
      <c r="L488" s="1">
        <v>1</v>
      </c>
      <c r="S488" s="1" t="s">
        <v>9241</v>
      </c>
      <c r="T488">
        <v>1</v>
      </c>
      <c r="U488" s="19"/>
      <c r="V488" s="19"/>
      <c r="W488" s="218">
        <v>0</v>
      </c>
      <c r="X488" s="218">
        <v>0</v>
      </c>
      <c r="Y488" s="218">
        <v>0</v>
      </c>
    </row>
    <row r="489" spans="1:25" x14ac:dyDescent="0.3">
      <c r="A489" s="1" t="s">
        <v>1396</v>
      </c>
      <c r="B489" s="5">
        <v>46130</v>
      </c>
      <c r="C489" s="6">
        <v>0.16666666666666699</v>
      </c>
      <c r="D489" s="1" t="s">
        <v>7</v>
      </c>
      <c r="E489" s="1" t="s">
        <v>1380</v>
      </c>
      <c r="F489" s="1" t="s">
        <v>1415</v>
      </c>
      <c r="G489" s="1" t="s">
        <v>1397</v>
      </c>
      <c r="H489" s="15">
        <v>0</v>
      </c>
      <c r="I489" s="15">
        <v>1</v>
      </c>
      <c r="J489" s="1" t="s">
        <v>1378</v>
      </c>
      <c r="K489" s="1">
        <v>1</v>
      </c>
      <c r="L489" s="1">
        <v>0</v>
      </c>
      <c r="S489" s="1" t="s">
        <v>9242</v>
      </c>
      <c r="T489" s="1">
        <v>1</v>
      </c>
      <c r="U489" s="19"/>
      <c r="V489" s="19"/>
      <c r="W489" s="218">
        <v>0</v>
      </c>
      <c r="X489" s="218">
        <v>0</v>
      </c>
      <c r="Y489" s="218">
        <v>0</v>
      </c>
    </row>
    <row r="490" spans="1:25" x14ac:dyDescent="0.3">
      <c r="A490" s="1" t="s">
        <v>1398</v>
      </c>
      <c r="B490" s="5">
        <v>46137</v>
      </c>
      <c r="C490" s="6">
        <v>0.16666666666666699</v>
      </c>
      <c r="D490" s="1" t="s">
        <v>7</v>
      </c>
      <c r="E490" s="1" t="s">
        <v>1380</v>
      </c>
      <c r="F490" s="1" t="s">
        <v>1416</v>
      </c>
      <c r="G490" s="1" t="s">
        <v>1386</v>
      </c>
      <c r="H490" s="15">
        <v>0</v>
      </c>
      <c r="I490" s="15">
        <v>1</v>
      </c>
      <c r="J490" s="1" t="s">
        <v>1378</v>
      </c>
      <c r="K490" s="1">
        <v>1</v>
      </c>
      <c r="L490" s="1">
        <v>0</v>
      </c>
      <c r="S490" s="1" t="s">
        <v>9243</v>
      </c>
      <c r="T490" s="1">
        <v>1</v>
      </c>
      <c r="U490" s="19"/>
      <c r="V490" s="19"/>
      <c r="W490" s="218">
        <v>0</v>
      </c>
      <c r="X490" s="218">
        <v>0</v>
      </c>
      <c r="Y490" s="218">
        <v>0</v>
      </c>
    </row>
    <row r="491" spans="1:25" x14ac:dyDescent="0.3">
      <c r="A491" s="1" t="s">
        <v>1399</v>
      </c>
      <c r="B491" s="5">
        <v>46150</v>
      </c>
      <c r="C491" s="6">
        <v>0.3125</v>
      </c>
      <c r="D491" s="1" t="s">
        <v>7</v>
      </c>
      <c r="E491" s="1" t="s">
        <v>1380</v>
      </c>
      <c r="F491" s="1" t="s">
        <v>1417</v>
      </c>
      <c r="G491" s="1" t="s">
        <v>1394</v>
      </c>
      <c r="H491" s="15">
        <v>4</v>
      </c>
      <c r="I491" s="15">
        <v>1</v>
      </c>
      <c r="J491" s="1" t="s">
        <v>1378</v>
      </c>
      <c r="K491" s="1">
        <v>1</v>
      </c>
      <c r="L491" s="1">
        <v>4</v>
      </c>
      <c r="S491" s="1" t="s">
        <v>9244</v>
      </c>
      <c r="T491" s="1">
        <v>1</v>
      </c>
      <c r="U491" s="19"/>
      <c r="V491" s="19"/>
      <c r="W491" s="218">
        <v>1</v>
      </c>
      <c r="X491" s="218">
        <v>1</v>
      </c>
      <c r="Y491" s="218">
        <v>1</v>
      </c>
    </row>
    <row r="492" spans="1:25" x14ac:dyDescent="0.3">
      <c r="A492" s="1" t="s">
        <v>1400</v>
      </c>
      <c r="B492" s="5">
        <v>46179</v>
      </c>
      <c r="C492" s="6">
        <v>0.16666666666666699</v>
      </c>
      <c r="D492" s="1" t="s">
        <v>7</v>
      </c>
      <c r="E492" s="1" t="s">
        <v>1380</v>
      </c>
      <c r="F492" s="1" t="s">
        <v>1418</v>
      </c>
      <c r="G492" s="1" t="s">
        <v>1381</v>
      </c>
      <c r="H492" s="15">
        <v>0</v>
      </c>
      <c r="I492" s="15">
        <v>3</v>
      </c>
      <c r="J492" s="1" t="s">
        <v>1378</v>
      </c>
      <c r="K492" s="1">
        <v>3</v>
      </c>
      <c r="L492" s="1">
        <v>0</v>
      </c>
      <c r="S492" s="1" t="s">
        <v>9245</v>
      </c>
      <c r="T492" s="1">
        <v>1</v>
      </c>
      <c r="U492" s="19"/>
      <c r="V492" s="19"/>
      <c r="W492" s="218">
        <v>1</v>
      </c>
      <c r="X492" s="218">
        <v>1</v>
      </c>
      <c r="Y492" s="218">
        <v>1</v>
      </c>
    </row>
    <row r="493" spans="1:25" x14ac:dyDescent="0.3">
      <c r="A493" s="1" t="s">
        <v>1401</v>
      </c>
      <c r="B493" s="5">
        <v>46186</v>
      </c>
      <c r="C493" s="6">
        <v>0.16666666666666699</v>
      </c>
      <c r="D493" s="1" t="s">
        <v>7</v>
      </c>
      <c r="E493" s="1" t="s">
        <v>1380</v>
      </c>
      <c r="F493" s="1" t="s">
        <v>1419</v>
      </c>
      <c r="G493" s="1" t="s">
        <v>1402</v>
      </c>
      <c r="H493" s="15">
        <v>0</v>
      </c>
      <c r="I493" s="15">
        <v>1</v>
      </c>
      <c r="J493" s="1" t="s">
        <v>1378</v>
      </c>
      <c r="K493" s="1">
        <v>1</v>
      </c>
      <c r="L493" s="1">
        <v>0</v>
      </c>
      <c r="S493" s="1" t="s">
        <v>9246</v>
      </c>
      <c r="T493" s="1">
        <v>1</v>
      </c>
      <c r="U493" s="19"/>
      <c r="V493" s="19"/>
      <c r="W493" s="218">
        <v>1</v>
      </c>
      <c r="X493" s="218">
        <v>1</v>
      </c>
      <c r="Y493" s="218">
        <v>1</v>
      </c>
    </row>
    <row r="494" spans="1:25" x14ac:dyDescent="0.3">
      <c r="A494" s="1" t="s">
        <v>1403</v>
      </c>
      <c r="B494" s="5">
        <v>46200</v>
      </c>
      <c r="C494" s="6">
        <v>0.16666666666666699</v>
      </c>
      <c r="D494" s="1" t="s">
        <v>7</v>
      </c>
      <c r="E494" s="1" t="s">
        <v>1380</v>
      </c>
      <c r="F494" s="1" t="s">
        <v>1420</v>
      </c>
      <c r="G494" s="1" t="s">
        <v>1392</v>
      </c>
      <c r="H494" s="15">
        <v>2</v>
      </c>
      <c r="I494" s="15">
        <v>1</v>
      </c>
      <c r="J494" s="1" t="s">
        <v>1378</v>
      </c>
      <c r="K494" s="1">
        <v>1</v>
      </c>
      <c r="L494" s="1">
        <v>2</v>
      </c>
      <c r="S494" s="1" t="s">
        <v>9247</v>
      </c>
      <c r="T494" s="1">
        <v>1</v>
      </c>
      <c r="U494" s="19"/>
      <c r="V494" s="19"/>
      <c r="W494" s="218">
        <v>1</v>
      </c>
      <c r="X494" s="218">
        <v>1</v>
      </c>
      <c r="Y494" s="218">
        <v>1</v>
      </c>
    </row>
    <row r="495" spans="1:25" x14ac:dyDescent="0.3">
      <c r="A495" s="1" t="s">
        <v>1404</v>
      </c>
      <c r="B495" s="5">
        <v>46207</v>
      </c>
      <c r="C495" s="6">
        <v>0.16666666666666699</v>
      </c>
      <c r="D495" s="1" t="s">
        <v>7</v>
      </c>
      <c r="E495" s="1" t="s">
        <v>1380</v>
      </c>
      <c r="F495" s="1" t="s">
        <v>1421</v>
      </c>
      <c r="G495" s="39" t="s">
        <v>200</v>
      </c>
      <c r="H495" s="1">
        <v>2</v>
      </c>
      <c r="I495" s="1">
        <v>0</v>
      </c>
      <c r="J495" s="39" t="s">
        <v>1378</v>
      </c>
      <c r="K495" s="1">
        <v>0</v>
      </c>
      <c r="L495" s="1">
        <v>2</v>
      </c>
      <c r="S495" s="1" t="s">
        <v>9248</v>
      </c>
      <c r="T495" s="1">
        <v>1</v>
      </c>
      <c r="U495" s="19"/>
      <c r="V495" s="19"/>
      <c r="W495" s="218">
        <v>1</v>
      </c>
      <c r="X495" s="218">
        <v>1</v>
      </c>
      <c r="Y495" s="218">
        <v>1</v>
      </c>
    </row>
    <row r="496" spans="1:25" ht="14.4" x14ac:dyDescent="0.3">
      <c r="A496" s="1" t="s">
        <v>1450</v>
      </c>
      <c r="B496" s="5">
        <v>46130</v>
      </c>
      <c r="C496" s="6">
        <v>0.41666666666666702</v>
      </c>
      <c r="D496" s="1" t="s">
        <v>18</v>
      </c>
      <c r="E496" s="1" t="s">
        <v>430</v>
      </c>
      <c r="F496" s="1" t="s">
        <v>1461</v>
      </c>
      <c r="G496" s="39" t="s">
        <v>432</v>
      </c>
      <c r="H496" s="1">
        <v>1</v>
      </c>
      <c r="I496" s="1">
        <v>1</v>
      </c>
      <c r="J496" s="39" t="s">
        <v>1457</v>
      </c>
      <c r="K496" s="1">
        <v>1</v>
      </c>
      <c r="L496" s="1">
        <v>1</v>
      </c>
      <c r="S496" s="1" t="s">
        <v>9249</v>
      </c>
      <c r="T496">
        <v>1</v>
      </c>
      <c r="U496" s="19"/>
      <c r="V496" s="19"/>
      <c r="W496" s="218">
        <v>0</v>
      </c>
      <c r="X496" s="218">
        <v>0</v>
      </c>
      <c r="Y496" s="218">
        <v>0</v>
      </c>
    </row>
    <row r="497" spans="1:25" x14ac:dyDescent="0.3">
      <c r="A497" s="1" t="s">
        <v>1451</v>
      </c>
      <c r="B497" s="5">
        <v>46147</v>
      </c>
      <c r="C497" s="6">
        <v>0.52083333333333304</v>
      </c>
      <c r="D497" s="1" t="s">
        <v>18</v>
      </c>
      <c r="E497" s="1" t="s">
        <v>430</v>
      </c>
      <c r="F497" s="1" t="s">
        <v>1462</v>
      </c>
      <c r="G497" s="39" t="s">
        <v>433</v>
      </c>
      <c r="H497" s="1">
        <v>1</v>
      </c>
      <c r="I497" s="1">
        <v>2</v>
      </c>
      <c r="J497" s="39" t="s">
        <v>1457</v>
      </c>
      <c r="K497" s="1">
        <v>2</v>
      </c>
      <c r="L497" s="1">
        <v>1</v>
      </c>
      <c r="S497" s="1" t="s">
        <v>9250</v>
      </c>
      <c r="T497" s="1">
        <v>1</v>
      </c>
      <c r="U497" s="19"/>
      <c r="V497" s="19"/>
      <c r="W497" s="218">
        <v>0</v>
      </c>
      <c r="X497" s="218">
        <v>0</v>
      </c>
      <c r="Y497" s="218">
        <v>0</v>
      </c>
    </row>
    <row r="498" spans="1:25" x14ac:dyDescent="0.3">
      <c r="A498" s="1" t="s">
        <v>1452</v>
      </c>
      <c r="B498" s="5">
        <v>46165</v>
      </c>
      <c r="C498" s="6">
        <v>0.41666666666666702</v>
      </c>
      <c r="D498" s="1" t="s">
        <v>18</v>
      </c>
      <c r="E498" s="1" t="s">
        <v>430</v>
      </c>
      <c r="F498" s="1" t="s">
        <v>1463</v>
      </c>
      <c r="G498" s="39" t="s">
        <v>442</v>
      </c>
      <c r="H498" s="1">
        <v>1</v>
      </c>
      <c r="I498" s="1">
        <v>1</v>
      </c>
      <c r="J498" s="39" t="s">
        <v>1457</v>
      </c>
      <c r="K498" s="1">
        <v>1</v>
      </c>
      <c r="L498" s="1">
        <v>1</v>
      </c>
      <c r="S498" s="1" t="s">
        <v>9251</v>
      </c>
      <c r="T498" s="1">
        <v>1</v>
      </c>
      <c r="U498" s="19"/>
      <c r="V498" s="19"/>
      <c r="W498" s="218">
        <v>1</v>
      </c>
      <c r="X498" s="218">
        <v>1</v>
      </c>
      <c r="Y498" s="218">
        <v>1</v>
      </c>
    </row>
    <row r="499" spans="1:25" x14ac:dyDescent="0.3">
      <c r="A499" s="1" t="s">
        <v>1453</v>
      </c>
      <c r="B499" s="5">
        <v>46186</v>
      </c>
      <c r="C499" s="6">
        <v>0.52083333333333304</v>
      </c>
      <c r="D499" s="1" t="s">
        <v>18</v>
      </c>
      <c r="E499" s="1" t="s">
        <v>430</v>
      </c>
      <c r="F499" s="1" t="s">
        <v>1464</v>
      </c>
      <c r="G499" s="39" t="s">
        <v>451</v>
      </c>
      <c r="H499" s="1">
        <v>1</v>
      </c>
      <c r="I499" s="1">
        <v>2</v>
      </c>
      <c r="J499" s="39" t="s">
        <v>1457</v>
      </c>
      <c r="K499" s="1">
        <v>2</v>
      </c>
      <c r="L499" s="1">
        <v>1</v>
      </c>
      <c r="S499" s="1" t="s">
        <v>9252</v>
      </c>
      <c r="T499" s="1">
        <v>1</v>
      </c>
      <c r="U499" s="19"/>
      <c r="V499" s="19"/>
      <c r="W499" s="218">
        <v>1</v>
      </c>
      <c r="X499" s="218">
        <v>1</v>
      </c>
      <c r="Y499" s="218">
        <v>1</v>
      </c>
    </row>
    <row r="500" spans="1:25" x14ac:dyDescent="0.3">
      <c r="A500" s="1" t="s">
        <v>1454</v>
      </c>
      <c r="B500" s="5">
        <v>46205</v>
      </c>
      <c r="C500" s="6">
        <v>0.54166666666666696</v>
      </c>
      <c r="D500" s="1" t="s">
        <v>18</v>
      </c>
      <c r="E500" s="1" t="s">
        <v>430</v>
      </c>
      <c r="F500" s="1" t="s">
        <v>1465</v>
      </c>
      <c r="G500" s="39" t="s">
        <v>448</v>
      </c>
      <c r="H500" s="1">
        <v>1</v>
      </c>
      <c r="I500" s="1">
        <v>6</v>
      </c>
      <c r="J500" s="39" t="s">
        <v>1457</v>
      </c>
      <c r="K500" s="1">
        <v>6</v>
      </c>
      <c r="L500" s="1">
        <v>1</v>
      </c>
      <c r="S500" s="1" t="s">
        <v>9253</v>
      </c>
      <c r="T500" s="1">
        <v>1</v>
      </c>
      <c r="U500" s="19"/>
      <c r="V500" s="19"/>
      <c r="W500" s="218">
        <v>1</v>
      </c>
      <c r="X500" s="218">
        <v>1</v>
      </c>
      <c r="Y500" s="218">
        <v>1</v>
      </c>
    </row>
    <row r="501" spans="1:25" x14ac:dyDescent="0.3">
      <c r="A501" s="1" t="s">
        <v>1455</v>
      </c>
      <c r="B501" s="5">
        <v>46220</v>
      </c>
      <c r="C501" s="6">
        <v>0.54166666666666696</v>
      </c>
      <c r="D501" s="1" t="s">
        <v>18</v>
      </c>
      <c r="E501" s="1" t="s">
        <v>430</v>
      </c>
      <c r="F501" s="1" t="s">
        <v>1466</v>
      </c>
      <c r="G501" s="39" t="s">
        <v>455</v>
      </c>
      <c r="H501" s="1">
        <v>0</v>
      </c>
      <c r="I501" s="1">
        <v>1</v>
      </c>
      <c r="J501" s="39" t="s">
        <v>1457</v>
      </c>
      <c r="K501" s="1">
        <v>1</v>
      </c>
      <c r="L501" s="1">
        <v>0</v>
      </c>
      <c r="S501" s="1" t="s">
        <v>9254</v>
      </c>
      <c r="T501" s="1">
        <v>1</v>
      </c>
      <c r="U501" s="19"/>
      <c r="V501" s="19"/>
      <c r="W501" s="218">
        <v>1</v>
      </c>
      <c r="X501" s="218">
        <v>1</v>
      </c>
      <c r="Y501" s="218">
        <v>1</v>
      </c>
    </row>
    <row r="502" spans="1:25" x14ac:dyDescent="0.3">
      <c r="A502" s="1" t="s">
        <v>1456</v>
      </c>
      <c r="B502" s="5">
        <v>46227</v>
      </c>
      <c r="C502" s="6">
        <v>0.54166666666666696</v>
      </c>
      <c r="D502" s="1" t="s">
        <v>18</v>
      </c>
      <c r="E502" s="1" t="s">
        <v>430</v>
      </c>
      <c r="F502" s="1" t="s">
        <v>1467</v>
      </c>
      <c r="G502" s="39" t="s">
        <v>445</v>
      </c>
      <c r="H502" s="1">
        <v>1</v>
      </c>
      <c r="I502" s="1">
        <v>2</v>
      </c>
      <c r="J502" s="39" t="s">
        <v>1457</v>
      </c>
      <c r="K502" s="1">
        <v>2</v>
      </c>
      <c r="L502" s="1">
        <v>1</v>
      </c>
      <c r="S502" s="1" t="s">
        <v>9255</v>
      </c>
      <c r="T502" s="1">
        <v>1</v>
      </c>
      <c r="U502" s="19"/>
      <c r="V502" s="19"/>
      <c r="W502" s="218">
        <v>1</v>
      </c>
      <c r="X502" s="218">
        <v>1</v>
      </c>
      <c r="Y502" s="218">
        <v>1</v>
      </c>
    </row>
    <row r="503" spans="1:25" ht="14.4" x14ac:dyDescent="0.3">
      <c r="A503" s="1" t="s">
        <v>1473</v>
      </c>
      <c r="B503" s="5">
        <v>46129</v>
      </c>
      <c r="C503" s="6">
        <v>0.54166666666666696</v>
      </c>
      <c r="D503" s="1" t="s">
        <v>18</v>
      </c>
      <c r="E503" s="1" t="s">
        <v>22</v>
      </c>
      <c r="F503" s="1" t="s">
        <v>1474</v>
      </c>
      <c r="G503" s="39" t="s">
        <v>295</v>
      </c>
      <c r="H503" s="1">
        <v>5</v>
      </c>
      <c r="I503" s="1">
        <v>1</v>
      </c>
      <c r="J503" s="39" t="s">
        <v>304</v>
      </c>
      <c r="K503" s="1">
        <v>1</v>
      </c>
      <c r="L503" s="1">
        <v>5</v>
      </c>
      <c r="S503" s="1" t="s">
        <v>9256</v>
      </c>
      <c r="T503">
        <v>1</v>
      </c>
      <c r="U503" s="19"/>
      <c r="V503" s="19"/>
      <c r="W503" s="218">
        <v>0</v>
      </c>
      <c r="X503" s="218">
        <v>1</v>
      </c>
      <c r="Y503" s="218">
        <v>1</v>
      </c>
    </row>
    <row r="504" spans="1:25" x14ac:dyDescent="0.3">
      <c r="A504" s="1" t="s">
        <v>1475</v>
      </c>
      <c r="B504" s="5">
        <v>46145</v>
      </c>
      <c r="C504" s="6">
        <v>0.52083333333333304</v>
      </c>
      <c r="D504" s="1" t="s">
        <v>18</v>
      </c>
      <c r="E504" s="1" t="s">
        <v>22</v>
      </c>
      <c r="F504" s="1" t="s">
        <v>3003</v>
      </c>
      <c r="G504" s="39" t="s">
        <v>295</v>
      </c>
      <c r="H504" s="1">
        <v>2</v>
      </c>
      <c r="I504" s="1">
        <v>1</v>
      </c>
      <c r="J504" s="39" t="s">
        <v>2987</v>
      </c>
      <c r="K504" s="1">
        <v>1</v>
      </c>
      <c r="L504" s="1">
        <v>2</v>
      </c>
      <c r="S504" s="1" t="s">
        <v>9257</v>
      </c>
      <c r="T504" s="1">
        <v>1</v>
      </c>
      <c r="U504" s="19"/>
      <c r="V504" s="19"/>
      <c r="W504" s="218">
        <v>1</v>
      </c>
      <c r="X504" s="218">
        <v>0</v>
      </c>
      <c r="Y504" s="218">
        <v>1</v>
      </c>
    </row>
    <row r="505" spans="1:25" x14ac:dyDescent="0.3">
      <c r="A505" s="1" t="s">
        <v>1476</v>
      </c>
      <c r="B505" s="5">
        <v>46160</v>
      </c>
      <c r="C505" s="6">
        <v>0.54166666666666696</v>
      </c>
      <c r="D505" s="1" t="s">
        <v>18</v>
      </c>
      <c r="E505" s="1" t="s">
        <v>22</v>
      </c>
      <c r="F505" s="1" t="s">
        <v>1477</v>
      </c>
      <c r="G505" s="39" t="s">
        <v>295</v>
      </c>
      <c r="H505" s="1">
        <v>3</v>
      </c>
      <c r="I505" s="1">
        <v>3</v>
      </c>
      <c r="J505" s="39" t="s">
        <v>302</v>
      </c>
      <c r="K505" s="1">
        <v>3</v>
      </c>
      <c r="L505" s="1">
        <v>3</v>
      </c>
      <c r="S505" s="1" t="s">
        <v>9258</v>
      </c>
      <c r="T505" s="1">
        <v>1</v>
      </c>
      <c r="U505" s="19"/>
      <c r="V505" s="19"/>
      <c r="W505" s="218">
        <v>1</v>
      </c>
      <c r="X505" s="218">
        <v>1</v>
      </c>
      <c r="Y505" s="218">
        <v>1</v>
      </c>
    </row>
    <row r="506" spans="1:25" x14ac:dyDescent="0.3">
      <c r="A506" s="1" t="s">
        <v>1478</v>
      </c>
      <c r="B506" s="5">
        <v>46164</v>
      </c>
      <c r="C506" s="6">
        <v>0.54166666666666696</v>
      </c>
      <c r="D506" s="1" t="s">
        <v>18</v>
      </c>
      <c r="E506" s="1" t="s">
        <v>22</v>
      </c>
      <c r="F506" s="1" t="s">
        <v>1479</v>
      </c>
      <c r="G506" s="39" t="s">
        <v>295</v>
      </c>
      <c r="H506" s="1">
        <v>0</v>
      </c>
      <c r="I506" s="1">
        <v>2</v>
      </c>
      <c r="J506" s="39" t="s">
        <v>306</v>
      </c>
      <c r="K506" s="1">
        <v>2</v>
      </c>
      <c r="L506" s="1">
        <v>0</v>
      </c>
      <c r="S506" s="1" t="s">
        <v>9259</v>
      </c>
      <c r="T506" s="1">
        <v>1</v>
      </c>
      <c r="U506" s="19"/>
      <c r="V506" s="19"/>
      <c r="W506" s="218">
        <v>1</v>
      </c>
      <c r="X506" s="218">
        <v>1</v>
      </c>
      <c r="Y506" s="218">
        <v>1</v>
      </c>
    </row>
    <row r="507" spans="1:25" x14ac:dyDescent="0.3">
      <c r="A507" s="1" t="s">
        <v>1480</v>
      </c>
      <c r="B507" s="5">
        <v>46186</v>
      </c>
      <c r="C507" s="6">
        <v>0.45833333333333298</v>
      </c>
      <c r="D507" s="1" t="s">
        <v>18</v>
      </c>
      <c r="E507" s="1" t="s">
        <v>22</v>
      </c>
      <c r="F507" s="1" t="s">
        <v>1481</v>
      </c>
      <c r="G507" s="39" t="s">
        <v>295</v>
      </c>
      <c r="H507" s="1">
        <v>2</v>
      </c>
      <c r="I507" s="1">
        <v>1</v>
      </c>
      <c r="J507" s="39" t="s">
        <v>300</v>
      </c>
      <c r="K507" s="1">
        <v>1</v>
      </c>
      <c r="L507" s="1">
        <v>2</v>
      </c>
      <c r="S507" s="1" t="s">
        <v>9260</v>
      </c>
      <c r="T507" s="1">
        <v>1</v>
      </c>
      <c r="U507" s="19"/>
      <c r="V507" s="19"/>
      <c r="W507" s="218">
        <v>1</v>
      </c>
      <c r="X507" s="218">
        <v>1</v>
      </c>
      <c r="Y507" s="218">
        <v>1</v>
      </c>
    </row>
    <row r="508" spans="1:25" x14ac:dyDescent="0.3">
      <c r="A508" s="1" t="s">
        <v>1482</v>
      </c>
      <c r="B508" s="5">
        <v>46207</v>
      </c>
      <c r="C508" s="6">
        <v>0.45833333333333298</v>
      </c>
      <c r="D508" s="1" t="s">
        <v>18</v>
      </c>
      <c r="E508" s="1" t="s">
        <v>22</v>
      </c>
      <c r="F508" s="1" t="s">
        <v>1483</v>
      </c>
      <c r="G508" s="39" t="s">
        <v>295</v>
      </c>
      <c r="H508" s="1">
        <v>4</v>
      </c>
      <c r="I508" s="1">
        <v>0</v>
      </c>
      <c r="J508" s="39" t="s">
        <v>298</v>
      </c>
      <c r="K508" s="1">
        <v>0</v>
      </c>
      <c r="L508" s="1">
        <v>4</v>
      </c>
      <c r="S508" s="1" t="s">
        <v>9261</v>
      </c>
      <c r="T508" s="1">
        <v>1</v>
      </c>
      <c r="U508" s="19"/>
      <c r="V508" s="19"/>
      <c r="W508" s="218">
        <v>1</v>
      </c>
      <c r="X508" s="218">
        <v>1</v>
      </c>
      <c r="Y508" s="218">
        <v>1</v>
      </c>
    </row>
    <row r="509" spans="1:25" ht="14.4" x14ac:dyDescent="0.3">
      <c r="A509" s="1" t="s">
        <v>1484</v>
      </c>
      <c r="B509" s="5">
        <v>46130</v>
      </c>
      <c r="C509" s="6">
        <v>0.45833333333333298</v>
      </c>
      <c r="D509" s="1" t="s">
        <v>18</v>
      </c>
      <c r="E509" s="1" t="s">
        <v>22</v>
      </c>
      <c r="F509" s="1" t="s">
        <v>1485</v>
      </c>
      <c r="G509" s="39" t="s">
        <v>306</v>
      </c>
      <c r="H509" s="1">
        <v>1</v>
      </c>
      <c r="I509" s="1">
        <v>3</v>
      </c>
      <c r="J509" s="39" t="s">
        <v>292</v>
      </c>
      <c r="K509" s="1">
        <v>3</v>
      </c>
      <c r="L509" s="1">
        <v>1</v>
      </c>
      <c r="S509" s="1" t="s">
        <v>9262</v>
      </c>
      <c r="T509">
        <v>1</v>
      </c>
      <c r="U509" s="19"/>
      <c r="V509" s="19"/>
      <c r="W509" s="218">
        <v>0</v>
      </c>
      <c r="X509" s="218">
        <v>0</v>
      </c>
      <c r="Y509" s="218">
        <v>0</v>
      </c>
    </row>
    <row r="510" spans="1:25" x14ac:dyDescent="0.3">
      <c r="A510" s="1" t="s">
        <v>1491</v>
      </c>
      <c r="B510" s="5">
        <v>46144</v>
      </c>
      <c r="C510" s="6">
        <v>0.41666666666666702</v>
      </c>
      <c r="D510" s="1" t="s">
        <v>18</v>
      </c>
      <c r="E510" s="1" t="s">
        <v>430</v>
      </c>
      <c r="F510" s="1" t="s">
        <v>1492</v>
      </c>
      <c r="G510" s="39" t="s">
        <v>436</v>
      </c>
      <c r="H510" s="1">
        <v>2</v>
      </c>
      <c r="I510" s="1">
        <v>1</v>
      </c>
      <c r="J510" s="39" t="s">
        <v>451</v>
      </c>
      <c r="K510" s="1">
        <v>1</v>
      </c>
      <c r="L510" s="1">
        <v>2</v>
      </c>
      <c r="S510" s="1" t="s">
        <v>9263</v>
      </c>
      <c r="T510" s="1">
        <v>1</v>
      </c>
      <c r="U510" s="19"/>
      <c r="V510" s="19"/>
      <c r="W510" s="218">
        <v>0</v>
      </c>
      <c r="X510" s="218">
        <v>1</v>
      </c>
      <c r="Y510" s="218">
        <v>1</v>
      </c>
    </row>
    <row r="511" spans="1:25" x14ac:dyDescent="0.3">
      <c r="A511" s="1" t="s">
        <v>1493</v>
      </c>
      <c r="B511" s="5">
        <v>46151</v>
      </c>
      <c r="C511" s="6">
        <v>0.41666666666666702</v>
      </c>
      <c r="D511" s="1" t="s">
        <v>18</v>
      </c>
      <c r="E511" s="1" t="s">
        <v>430</v>
      </c>
      <c r="F511" s="1" t="s">
        <v>1494</v>
      </c>
      <c r="G511" s="39" t="s">
        <v>436</v>
      </c>
      <c r="H511" s="1">
        <v>1</v>
      </c>
      <c r="I511" s="1">
        <v>0</v>
      </c>
      <c r="J511" s="39" t="s">
        <v>448</v>
      </c>
      <c r="K511" s="1">
        <v>0</v>
      </c>
      <c r="L511" s="1">
        <v>1</v>
      </c>
      <c r="S511" s="1" t="s">
        <v>9264</v>
      </c>
      <c r="T511" s="1">
        <v>1</v>
      </c>
      <c r="U511" s="19"/>
      <c r="V511" s="19"/>
      <c r="W511" s="218">
        <v>0</v>
      </c>
      <c r="X511" s="218">
        <v>1</v>
      </c>
      <c r="Y511" s="218">
        <v>1</v>
      </c>
    </row>
    <row r="512" spans="1:25" x14ac:dyDescent="0.3">
      <c r="A512" s="1" t="s">
        <v>1495</v>
      </c>
      <c r="B512" s="5">
        <v>46165</v>
      </c>
      <c r="C512" s="6">
        <v>0.41666666666666702</v>
      </c>
      <c r="D512" s="1" t="s">
        <v>18</v>
      </c>
      <c r="E512" s="1" t="s">
        <v>430</v>
      </c>
      <c r="F512" s="1" t="s">
        <v>1496</v>
      </c>
      <c r="G512" s="39" t="s">
        <v>436</v>
      </c>
      <c r="H512" s="1">
        <v>5</v>
      </c>
      <c r="I512" s="1">
        <v>0</v>
      </c>
      <c r="J512" s="39" t="s">
        <v>445</v>
      </c>
      <c r="K512" s="1">
        <v>0</v>
      </c>
      <c r="L512" s="1">
        <v>5</v>
      </c>
      <c r="S512" s="1" t="s">
        <v>9265</v>
      </c>
      <c r="T512" s="1">
        <v>1</v>
      </c>
      <c r="U512" s="19"/>
      <c r="V512" s="19"/>
      <c r="W512" s="218">
        <v>1</v>
      </c>
      <c r="X512" s="218">
        <v>1</v>
      </c>
      <c r="Y512" s="218">
        <v>1</v>
      </c>
    </row>
    <row r="513" spans="1:25" x14ac:dyDescent="0.3">
      <c r="A513" s="1" t="s">
        <v>1497</v>
      </c>
      <c r="B513" s="5">
        <v>46207</v>
      </c>
      <c r="C513" s="6">
        <v>0.41666666666666702</v>
      </c>
      <c r="D513" s="1" t="s">
        <v>18</v>
      </c>
      <c r="E513" s="1" t="s">
        <v>430</v>
      </c>
      <c r="F513" s="1" t="s">
        <v>1498</v>
      </c>
      <c r="G513" s="39" t="s">
        <v>436</v>
      </c>
      <c r="H513" s="1">
        <v>3</v>
      </c>
      <c r="I513" s="1">
        <v>0</v>
      </c>
      <c r="J513" s="39" t="s">
        <v>442</v>
      </c>
      <c r="K513" s="1">
        <v>0</v>
      </c>
      <c r="L513" s="1">
        <v>3</v>
      </c>
      <c r="S513" s="1" t="s">
        <v>9266</v>
      </c>
      <c r="T513" s="1">
        <v>1</v>
      </c>
      <c r="U513" s="19"/>
      <c r="V513" s="19"/>
      <c r="W513" s="218">
        <v>1</v>
      </c>
      <c r="X513" s="218">
        <v>1</v>
      </c>
      <c r="Y513" s="218">
        <v>1</v>
      </c>
    </row>
    <row r="514" spans="1:25" ht="14.4" x14ac:dyDescent="0.3">
      <c r="A514" s="1" t="s">
        <v>1499</v>
      </c>
      <c r="B514" s="5">
        <v>46136</v>
      </c>
      <c r="C514" s="6">
        <v>0.52083333333333304</v>
      </c>
      <c r="D514" s="1" t="s">
        <v>18</v>
      </c>
      <c r="E514" s="1" t="s">
        <v>430</v>
      </c>
      <c r="F514" s="1" t="s">
        <v>1500</v>
      </c>
      <c r="G514" s="39" t="s">
        <v>445</v>
      </c>
      <c r="H514" s="1">
        <v>0</v>
      </c>
      <c r="I514" s="1">
        <v>1</v>
      </c>
      <c r="J514" s="39" t="s">
        <v>455</v>
      </c>
      <c r="K514" s="1">
        <v>1</v>
      </c>
      <c r="L514" s="1">
        <v>0</v>
      </c>
      <c r="S514" s="1" t="s">
        <v>9267</v>
      </c>
      <c r="T514">
        <v>1</v>
      </c>
      <c r="U514" s="19"/>
      <c r="V514" s="19"/>
      <c r="W514" s="218">
        <v>1</v>
      </c>
      <c r="X514" s="218">
        <v>0</v>
      </c>
      <c r="Y514" s="218">
        <v>1</v>
      </c>
    </row>
    <row r="515" spans="1:25" x14ac:dyDescent="0.3">
      <c r="A515" s="1" t="s">
        <v>1501</v>
      </c>
      <c r="B515" s="5">
        <v>46151</v>
      </c>
      <c r="C515" s="6">
        <v>0.41666666666666702</v>
      </c>
      <c r="D515" s="1" t="s">
        <v>18</v>
      </c>
      <c r="E515" s="1" t="s">
        <v>430</v>
      </c>
      <c r="F515" s="1" t="s">
        <v>1506</v>
      </c>
      <c r="G515" s="39" t="s">
        <v>1457</v>
      </c>
      <c r="H515" s="1">
        <v>3</v>
      </c>
      <c r="I515" s="1">
        <v>1</v>
      </c>
      <c r="J515" s="39" t="s">
        <v>455</v>
      </c>
      <c r="K515" s="1">
        <v>1</v>
      </c>
      <c r="L515" s="1">
        <v>3</v>
      </c>
      <c r="S515" s="1" t="s">
        <v>9268</v>
      </c>
      <c r="T515" s="1">
        <v>1</v>
      </c>
      <c r="U515" s="19"/>
      <c r="V515" s="19"/>
      <c r="W515" s="218">
        <v>1</v>
      </c>
      <c r="X515" s="218">
        <v>1</v>
      </c>
      <c r="Y515" s="218">
        <v>1</v>
      </c>
    </row>
    <row r="516" spans="1:25" x14ac:dyDescent="0.3">
      <c r="A516" s="1" t="s">
        <v>1502</v>
      </c>
      <c r="B516" s="5">
        <v>46166</v>
      </c>
      <c r="C516" s="6">
        <v>0.52083333333333304</v>
      </c>
      <c r="D516" s="1" t="s">
        <v>18</v>
      </c>
      <c r="E516" s="1" t="s">
        <v>430</v>
      </c>
      <c r="F516" s="1" t="s">
        <v>1503</v>
      </c>
      <c r="G516" s="39" t="s">
        <v>448</v>
      </c>
      <c r="H516" s="1">
        <v>1</v>
      </c>
      <c r="I516" s="1">
        <v>0</v>
      </c>
      <c r="J516" s="39" t="s">
        <v>455</v>
      </c>
      <c r="K516" s="1">
        <v>0</v>
      </c>
      <c r="L516" s="1">
        <v>1</v>
      </c>
      <c r="S516" s="1" t="s">
        <v>9269</v>
      </c>
      <c r="T516" s="1">
        <v>1</v>
      </c>
      <c r="U516" s="19"/>
      <c r="V516" s="19"/>
      <c r="W516" s="218">
        <v>1</v>
      </c>
      <c r="X516" s="218">
        <v>1</v>
      </c>
      <c r="Y516" s="218">
        <v>1</v>
      </c>
    </row>
    <row r="517" spans="1:25" x14ac:dyDescent="0.3">
      <c r="A517" s="1" t="s">
        <v>1504</v>
      </c>
      <c r="B517" s="5">
        <v>46200</v>
      </c>
      <c r="C517" s="6">
        <v>0.45833333333333298</v>
      </c>
      <c r="D517" s="1" t="s">
        <v>18</v>
      </c>
      <c r="E517" s="1" t="s">
        <v>430</v>
      </c>
      <c r="F517" s="1" t="s">
        <v>1505</v>
      </c>
      <c r="G517" s="39" t="s">
        <v>451</v>
      </c>
      <c r="H517" s="1">
        <v>1</v>
      </c>
      <c r="I517" s="1">
        <v>3</v>
      </c>
      <c r="J517" s="39" t="s">
        <v>455</v>
      </c>
      <c r="K517" s="1">
        <v>3</v>
      </c>
      <c r="L517" s="1">
        <v>1</v>
      </c>
      <c r="S517" s="1" t="s">
        <v>9270</v>
      </c>
      <c r="T517" s="1">
        <v>1</v>
      </c>
      <c r="U517" s="19"/>
      <c r="V517" s="19"/>
      <c r="W517" s="218">
        <v>1</v>
      </c>
      <c r="X517" s="218">
        <v>1</v>
      </c>
      <c r="Y517" s="218">
        <v>1</v>
      </c>
    </row>
    <row r="518" spans="1:25" ht="14.4" x14ac:dyDescent="0.3">
      <c r="A518" s="1" t="s">
        <v>1517</v>
      </c>
      <c r="B518" s="5">
        <v>46145</v>
      </c>
      <c r="C518" s="6">
        <v>0.52083333333333304</v>
      </c>
      <c r="D518" s="1" t="s">
        <v>18</v>
      </c>
      <c r="E518" s="1" t="s">
        <v>23</v>
      </c>
      <c r="F518" s="1" t="s">
        <v>1518</v>
      </c>
      <c r="G518" s="39" t="s">
        <v>579</v>
      </c>
      <c r="H518" s="1">
        <v>2</v>
      </c>
      <c r="I518" s="1">
        <v>2</v>
      </c>
      <c r="J518" s="39" t="s">
        <v>582</v>
      </c>
      <c r="K518" s="1">
        <v>2</v>
      </c>
      <c r="L518" s="1">
        <v>2</v>
      </c>
      <c r="S518" s="1" t="s">
        <v>9271</v>
      </c>
      <c r="T518">
        <v>1</v>
      </c>
      <c r="U518" s="19"/>
      <c r="V518" s="19"/>
      <c r="W518" s="218">
        <v>0</v>
      </c>
      <c r="X518" s="218">
        <v>0</v>
      </c>
      <c r="Y518" s="218">
        <v>0</v>
      </c>
    </row>
    <row r="519" spans="1:25" x14ac:dyDescent="0.3">
      <c r="A519" s="1" t="s">
        <v>1519</v>
      </c>
      <c r="B519" s="5">
        <v>46158</v>
      </c>
      <c r="C519" s="6">
        <v>0.41666666666666702</v>
      </c>
      <c r="D519" s="1" t="s">
        <v>18</v>
      </c>
      <c r="E519" s="1" t="s">
        <v>23</v>
      </c>
      <c r="F519" s="1" t="s">
        <v>2976</v>
      </c>
      <c r="G519" s="39" t="s">
        <v>579</v>
      </c>
      <c r="H519" s="1">
        <v>3</v>
      </c>
      <c r="I519" s="1">
        <v>1</v>
      </c>
      <c r="J519" s="39" t="s">
        <v>2946</v>
      </c>
      <c r="K519" s="1">
        <v>1</v>
      </c>
      <c r="L519" s="1">
        <v>3</v>
      </c>
      <c r="S519" s="1" t="s">
        <v>9272</v>
      </c>
      <c r="T519" s="1">
        <v>1</v>
      </c>
      <c r="U519" s="19"/>
      <c r="V519" s="19"/>
      <c r="W519" s="218">
        <v>1</v>
      </c>
      <c r="X519" s="218">
        <v>1</v>
      </c>
      <c r="Y519" s="218">
        <v>1</v>
      </c>
    </row>
    <row r="520" spans="1:25" x14ac:dyDescent="0.3">
      <c r="A520" s="1" t="s">
        <v>1520</v>
      </c>
      <c r="B520" s="5">
        <v>46179</v>
      </c>
      <c r="C520" s="6">
        <v>0.41666666666666702</v>
      </c>
      <c r="D520" s="1" t="s">
        <v>18</v>
      </c>
      <c r="E520" s="1" t="s">
        <v>23</v>
      </c>
      <c r="F520" s="1" t="s">
        <v>1521</v>
      </c>
      <c r="G520" s="39" t="s">
        <v>579</v>
      </c>
      <c r="H520" s="1">
        <v>1</v>
      </c>
      <c r="I520" s="1">
        <v>1</v>
      </c>
      <c r="J520" s="39" t="s">
        <v>565</v>
      </c>
      <c r="K520" s="1">
        <v>1</v>
      </c>
      <c r="L520" s="1">
        <v>1</v>
      </c>
      <c r="S520" s="1" t="s">
        <v>9273</v>
      </c>
      <c r="T520" s="1">
        <v>1</v>
      </c>
      <c r="U520" s="19"/>
      <c r="V520" s="19"/>
      <c r="W520" s="218">
        <v>1</v>
      </c>
      <c r="X520" s="218">
        <v>1</v>
      </c>
      <c r="Y520" s="218">
        <v>1</v>
      </c>
    </row>
    <row r="521" spans="1:25" x14ac:dyDescent="0.3">
      <c r="A521" s="1" t="s">
        <v>1522</v>
      </c>
      <c r="B521" s="5">
        <v>46226</v>
      </c>
      <c r="C521" s="6">
        <v>0.52083333333333304</v>
      </c>
      <c r="D521" s="1" t="s">
        <v>18</v>
      </c>
      <c r="E521" s="1" t="s">
        <v>23</v>
      </c>
      <c r="F521" s="1" t="s">
        <v>1524</v>
      </c>
      <c r="G521" s="39" t="s">
        <v>579</v>
      </c>
      <c r="H521" s="1">
        <v>0</v>
      </c>
      <c r="I521" s="1">
        <v>1</v>
      </c>
      <c r="J521" s="39" t="s">
        <v>211</v>
      </c>
      <c r="K521" s="1">
        <v>1</v>
      </c>
      <c r="L521" s="1">
        <v>0</v>
      </c>
      <c r="S521" s="1" t="s">
        <v>9274</v>
      </c>
      <c r="T521" s="1">
        <v>1</v>
      </c>
      <c r="U521" s="19"/>
      <c r="V521" s="19"/>
      <c r="W521" s="218">
        <v>1</v>
      </c>
      <c r="X521" s="218">
        <v>1</v>
      </c>
      <c r="Y521" s="218">
        <v>1</v>
      </c>
    </row>
    <row r="522" spans="1:25" ht="14.4" x14ac:dyDescent="0.3">
      <c r="A522" s="1" t="s">
        <v>1523</v>
      </c>
      <c r="B522" s="5">
        <v>46129</v>
      </c>
      <c r="C522" s="6">
        <v>0.54166666666666696</v>
      </c>
      <c r="D522" s="1" t="s">
        <v>18</v>
      </c>
      <c r="E522" s="1" t="s">
        <v>23</v>
      </c>
      <c r="F522" s="1" t="s">
        <v>2977</v>
      </c>
      <c r="G522" s="39" t="s">
        <v>2946</v>
      </c>
      <c r="H522" s="1">
        <v>6</v>
      </c>
      <c r="I522" s="1">
        <v>5</v>
      </c>
      <c r="J522" s="39" t="s">
        <v>210</v>
      </c>
      <c r="K522" s="1">
        <v>5</v>
      </c>
      <c r="L522" s="1">
        <v>6</v>
      </c>
      <c r="S522" s="1" t="s">
        <v>9275</v>
      </c>
      <c r="T522">
        <v>1</v>
      </c>
      <c r="U522" s="19"/>
      <c r="V522" s="19"/>
      <c r="W522" s="218">
        <v>0</v>
      </c>
      <c r="X522" s="218">
        <v>0</v>
      </c>
      <c r="Y522" s="218">
        <v>0</v>
      </c>
    </row>
    <row r="523" spans="1:25" x14ac:dyDescent="0.3">
      <c r="A523" s="1" t="s">
        <v>1542</v>
      </c>
      <c r="B523" s="5">
        <v>46124</v>
      </c>
      <c r="C523" s="6">
        <v>0.77083333333333304</v>
      </c>
      <c r="D523" s="1" t="s">
        <v>10</v>
      </c>
      <c r="E523" s="1" t="s">
        <v>11</v>
      </c>
      <c r="F523" s="1" t="s">
        <v>1543</v>
      </c>
      <c r="G523" s="39" t="s">
        <v>181</v>
      </c>
      <c r="H523" s="1">
        <v>3</v>
      </c>
      <c r="I523" s="1">
        <v>2</v>
      </c>
      <c r="J523" s="39" t="s">
        <v>1092</v>
      </c>
      <c r="K523" s="1">
        <v>2</v>
      </c>
      <c r="L523" s="1">
        <v>3</v>
      </c>
      <c r="S523" s="1" t="s">
        <v>9276</v>
      </c>
      <c r="T523" s="1">
        <v>1</v>
      </c>
      <c r="U523" s="19"/>
      <c r="V523" s="19"/>
      <c r="W523" s="218">
        <v>0</v>
      </c>
      <c r="X523" s="218">
        <v>0</v>
      </c>
      <c r="Y523" s="218">
        <v>0</v>
      </c>
    </row>
    <row r="524" spans="1:25" x14ac:dyDescent="0.3">
      <c r="A524" s="1" t="s">
        <v>1544</v>
      </c>
      <c r="B524" s="5">
        <v>46145</v>
      </c>
      <c r="C524" s="6">
        <v>0.77083333333333304</v>
      </c>
      <c r="D524" s="1" t="s">
        <v>10</v>
      </c>
      <c r="E524" s="1" t="s">
        <v>11</v>
      </c>
      <c r="F524" s="1" t="s">
        <v>1559</v>
      </c>
      <c r="G524" s="39" t="s">
        <v>181</v>
      </c>
      <c r="H524" s="1">
        <v>3</v>
      </c>
      <c r="I524" s="1">
        <v>1</v>
      </c>
      <c r="J524" s="39" t="s">
        <v>190</v>
      </c>
      <c r="K524" s="1">
        <v>1</v>
      </c>
      <c r="L524" s="1">
        <v>3</v>
      </c>
      <c r="S524" s="1" t="s">
        <v>9277</v>
      </c>
      <c r="T524" s="1">
        <v>1</v>
      </c>
      <c r="U524" s="19"/>
      <c r="V524" s="19"/>
      <c r="W524" s="218">
        <v>1</v>
      </c>
      <c r="X524" s="218">
        <v>1</v>
      </c>
      <c r="Y524" s="218">
        <v>1</v>
      </c>
    </row>
    <row r="525" spans="1:25" x14ac:dyDescent="0.3">
      <c r="A525" s="1" t="s">
        <v>1545</v>
      </c>
      <c r="B525" s="5">
        <v>46152</v>
      </c>
      <c r="C525" s="6">
        <v>0.66666666666666696</v>
      </c>
      <c r="D525" s="1" t="s">
        <v>10</v>
      </c>
      <c r="E525" s="1" t="s">
        <v>11</v>
      </c>
      <c r="F525" s="1" t="s">
        <v>1560</v>
      </c>
      <c r="G525" s="39" t="s">
        <v>181</v>
      </c>
      <c r="H525" s="1">
        <v>0</v>
      </c>
      <c r="I525" s="1">
        <v>0</v>
      </c>
      <c r="J525" s="39" t="s">
        <v>1553</v>
      </c>
      <c r="K525" s="1">
        <v>0</v>
      </c>
      <c r="L525" s="1">
        <v>0</v>
      </c>
      <c r="S525" s="1" t="s">
        <v>9278</v>
      </c>
      <c r="T525" s="1">
        <v>1</v>
      </c>
      <c r="U525" s="19"/>
      <c r="V525" s="19"/>
      <c r="W525" s="218">
        <v>1</v>
      </c>
      <c r="X525" s="218">
        <v>1</v>
      </c>
      <c r="Y525" s="218">
        <v>1</v>
      </c>
    </row>
    <row r="526" spans="1:25" x14ac:dyDescent="0.3">
      <c r="A526" s="1" t="s">
        <v>1546</v>
      </c>
      <c r="B526" s="5">
        <v>46215</v>
      </c>
      <c r="C526" s="6">
        <v>0.77083333333333304</v>
      </c>
      <c r="D526" s="1" t="s">
        <v>10</v>
      </c>
      <c r="E526" s="1" t="s">
        <v>11</v>
      </c>
      <c r="F526" s="1" t="s">
        <v>1561</v>
      </c>
      <c r="G526" s="39" t="s">
        <v>181</v>
      </c>
      <c r="H526" s="1">
        <v>1</v>
      </c>
      <c r="I526" s="1">
        <v>1</v>
      </c>
      <c r="J526" s="39" t="s">
        <v>681</v>
      </c>
      <c r="K526" s="1">
        <v>1</v>
      </c>
      <c r="L526" s="1">
        <v>1</v>
      </c>
      <c r="S526" s="1" t="s">
        <v>9279</v>
      </c>
      <c r="T526" s="1">
        <v>1</v>
      </c>
      <c r="U526" s="19"/>
      <c r="V526" s="19"/>
      <c r="W526" s="218">
        <v>1</v>
      </c>
      <c r="X526" s="218">
        <v>1</v>
      </c>
      <c r="Y526" s="218">
        <v>1</v>
      </c>
    </row>
    <row r="527" spans="1:25" x14ac:dyDescent="0.3">
      <c r="A527" s="1" t="s">
        <v>1547</v>
      </c>
      <c r="B527" s="5">
        <v>46218</v>
      </c>
      <c r="C527" s="6">
        <v>0.875</v>
      </c>
      <c r="D527" s="1" t="s">
        <v>10</v>
      </c>
      <c r="E527" s="1" t="s">
        <v>11</v>
      </c>
      <c r="F527" s="1" t="s">
        <v>1548</v>
      </c>
      <c r="G527" s="39" t="s">
        <v>181</v>
      </c>
      <c r="H527" s="1">
        <v>2</v>
      </c>
      <c r="I527" s="1">
        <v>1</v>
      </c>
      <c r="J527" s="39" t="s">
        <v>662</v>
      </c>
      <c r="K527" s="1">
        <v>1</v>
      </c>
      <c r="L527" s="1">
        <v>2</v>
      </c>
      <c r="S527" s="1" t="s">
        <v>9280</v>
      </c>
      <c r="T527" s="1">
        <v>1</v>
      </c>
      <c r="U527" s="19"/>
      <c r="V527" s="19"/>
      <c r="W527" s="218">
        <v>1</v>
      </c>
      <c r="X527" s="218">
        <v>1</v>
      </c>
      <c r="Y527" s="218">
        <v>1</v>
      </c>
    </row>
    <row r="528" spans="1:25" ht="14.4" x14ac:dyDescent="0.3">
      <c r="A528" s="1" t="s">
        <v>1549</v>
      </c>
      <c r="B528" s="5">
        <v>46122</v>
      </c>
      <c r="C528" s="6">
        <v>0.875</v>
      </c>
      <c r="D528" s="1" t="s">
        <v>10</v>
      </c>
      <c r="E528" s="1" t="s">
        <v>11</v>
      </c>
      <c r="F528" s="1" t="s">
        <v>1562</v>
      </c>
      <c r="G528" s="39" t="s">
        <v>665</v>
      </c>
      <c r="H528" s="1">
        <v>2</v>
      </c>
      <c r="I528" s="1">
        <v>2</v>
      </c>
      <c r="J528" s="39" t="s">
        <v>226</v>
      </c>
      <c r="K528" s="1">
        <v>2</v>
      </c>
      <c r="L528" s="1">
        <v>2</v>
      </c>
      <c r="S528" s="1" t="s">
        <v>9281</v>
      </c>
      <c r="T528">
        <v>1</v>
      </c>
      <c r="U528" s="19"/>
      <c r="V528" s="19"/>
      <c r="W528" s="218">
        <v>0</v>
      </c>
      <c r="X528" s="218">
        <v>0</v>
      </c>
      <c r="Y528" s="218">
        <v>0</v>
      </c>
    </row>
    <row r="529" spans="1:25" x14ac:dyDescent="0.3">
      <c r="A529" s="1" t="s">
        <v>1550</v>
      </c>
      <c r="B529" s="5">
        <v>46133</v>
      </c>
      <c r="C529" s="6">
        <v>0.875</v>
      </c>
      <c r="D529" s="1" t="s">
        <v>10</v>
      </c>
      <c r="E529" s="1" t="s">
        <v>11</v>
      </c>
      <c r="F529" s="1" t="s">
        <v>1563</v>
      </c>
      <c r="G529" s="39" t="s">
        <v>681</v>
      </c>
      <c r="H529" s="1">
        <v>1</v>
      </c>
      <c r="I529" s="1">
        <v>2</v>
      </c>
      <c r="J529" s="39" t="s">
        <v>226</v>
      </c>
      <c r="K529" s="1">
        <v>2</v>
      </c>
      <c r="L529" s="1">
        <v>1</v>
      </c>
      <c r="S529" s="1" t="s">
        <v>9282</v>
      </c>
      <c r="T529" s="1">
        <v>1</v>
      </c>
      <c r="U529" s="19"/>
      <c r="V529" s="19"/>
      <c r="W529" s="218">
        <v>1</v>
      </c>
      <c r="X529" s="218">
        <v>1</v>
      </c>
      <c r="Y529" s="218">
        <v>1</v>
      </c>
    </row>
    <row r="530" spans="1:25" x14ac:dyDescent="0.3">
      <c r="A530" s="1" t="s">
        <v>1551</v>
      </c>
      <c r="B530" s="5">
        <v>46143</v>
      </c>
      <c r="C530" s="6">
        <v>0.875</v>
      </c>
      <c r="D530" s="1" t="s">
        <v>10</v>
      </c>
      <c r="E530" s="1" t="s">
        <v>11</v>
      </c>
      <c r="F530" s="1" t="s">
        <v>1605</v>
      </c>
      <c r="G530" s="39" t="s">
        <v>1092</v>
      </c>
      <c r="H530" s="1">
        <v>2</v>
      </c>
      <c r="I530" s="1">
        <v>2</v>
      </c>
      <c r="J530" s="39" t="s">
        <v>226</v>
      </c>
      <c r="K530" s="1">
        <v>2</v>
      </c>
      <c r="L530" s="1">
        <v>2</v>
      </c>
      <c r="S530" s="1" t="s">
        <v>9283</v>
      </c>
      <c r="T530" s="1">
        <v>1</v>
      </c>
      <c r="U530" s="19"/>
      <c r="V530" s="19"/>
      <c r="W530" s="218">
        <v>1</v>
      </c>
      <c r="X530" s="218">
        <v>1</v>
      </c>
      <c r="Y530" s="218">
        <v>1</v>
      </c>
    </row>
    <row r="531" spans="1:25" x14ac:dyDescent="0.3">
      <c r="A531" s="1" t="s">
        <v>1552</v>
      </c>
      <c r="B531" s="5">
        <v>46219</v>
      </c>
      <c r="C531" s="6">
        <v>0.875</v>
      </c>
      <c r="D531" s="1" t="s">
        <v>10</v>
      </c>
      <c r="E531" s="1" t="s">
        <v>11</v>
      </c>
      <c r="F531" s="1" t="s">
        <v>1564</v>
      </c>
      <c r="G531" s="39" t="s">
        <v>190</v>
      </c>
      <c r="H531" s="1">
        <v>3</v>
      </c>
      <c r="I531" s="1">
        <v>1</v>
      </c>
      <c r="J531" s="39" t="s">
        <v>226</v>
      </c>
      <c r="K531" s="1">
        <v>1</v>
      </c>
      <c r="L531" s="1">
        <v>3</v>
      </c>
      <c r="S531" s="1" t="s">
        <v>9284</v>
      </c>
      <c r="T531" s="1">
        <v>1</v>
      </c>
      <c r="U531" s="19"/>
      <c r="V531" s="19"/>
      <c r="W531" s="218">
        <v>1</v>
      </c>
      <c r="X531" s="218">
        <v>1</v>
      </c>
      <c r="Y531" s="218">
        <v>1</v>
      </c>
    </row>
    <row r="532" spans="1:25" ht="14.4" x14ac:dyDescent="0.3">
      <c r="A532" s="1" t="s">
        <v>1565</v>
      </c>
      <c r="B532" s="5">
        <v>46123</v>
      </c>
      <c r="C532" s="6">
        <v>0.66666666666666696</v>
      </c>
      <c r="D532" s="1" t="s">
        <v>10</v>
      </c>
      <c r="E532" s="1" t="s">
        <v>11</v>
      </c>
      <c r="F532" s="1" t="s">
        <v>1577</v>
      </c>
      <c r="G532" s="39" t="s">
        <v>182</v>
      </c>
      <c r="H532" s="1">
        <v>1</v>
      </c>
      <c r="I532" s="1">
        <v>1</v>
      </c>
      <c r="J532" s="39" t="s">
        <v>661</v>
      </c>
      <c r="K532" s="1">
        <v>1</v>
      </c>
      <c r="L532" s="1">
        <v>1</v>
      </c>
      <c r="S532" s="1" t="s">
        <v>9285</v>
      </c>
      <c r="T532">
        <v>1</v>
      </c>
      <c r="U532" s="19"/>
      <c r="V532" s="19"/>
      <c r="W532" s="218">
        <v>0</v>
      </c>
      <c r="X532" s="218">
        <v>0</v>
      </c>
      <c r="Y532" s="218">
        <v>0</v>
      </c>
    </row>
    <row r="533" spans="1:25" x14ac:dyDescent="0.3">
      <c r="A533" s="1" t="s">
        <v>1566</v>
      </c>
      <c r="B533" s="5">
        <v>46139</v>
      </c>
      <c r="C533" s="6">
        <v>0.875</v>
      </c>
      <c r="D533" s="1" t="s">
        <v>10</v>
      </c>
      <c r="E533" s="1" t="s">
        <v>11</v>
      </c>
      <c r="F533" s="1" t="s">
        <v>1606</v>
      </c>
      <c r="G533" s="39" t="s">
        <v>182</v>
      </c>
      <c r="H533" s="1">
        <v>3</v>
      </c>
      <c r="I533" s="1">
        <v>1</v>
      </c>
      <c r="J533" s="39" t="s">
        <v>1092</v>
      </c>
      <c r="K533" s="1">
        <v>1</v>
      </c>
      <c r="L533" s="1">
        <v>3</v>
      </c>
      <c r="S533" s="1" t="s">
        <v>9286</v>
      </c>
      <c r="T533" s="1">
        <v>1</v>
      </c>
      <c r="U533" s="19"/>
      <c r="V533" s="19"/>
      <c r="W533" s="218">
        <v>1</v>
      </c>
      <c r="X533" s="218">
        <v>1</v>
      </c>
      <c r="Y533" s="218">
        <v>1</v>
      </c>
    </row>
    <row r="534" spans="1:25" x14ac:dyDescent="0.3">
      <c r="A534" s="1" t="s">
        <v>1567</v>
      </c>
      <c r="B534" s="5">
        <v>46144</v>
      </c>
      <c r="C534" s="6">
        <v>0.77083333333333304</v>
      </c>
      <c r="D534" s="1" t="s">
        <v>10</v>
      </c>
      <c r="E534" s="1" t="s">
        <v>11</v>
      </c>
      <c r="F534" s="1" t="s">
        <v>1578</v>
      </c>
      <c r="G534" s="39" t="s">
        <v>182</v>
      </c>
      <c r="H534" s="1">
        <v>4</v>
      </c>
      <c r="I534" s="1">
        <v>2</v>
      </c>
      <c r="J534" s="39" t="s">
        <v>665</v>
      </c>
      <c r="K534" s="1">
        <v>2</v>
      </c>
      <c r="L534" s="1">
        <v>4</v>
      </c>
      <c r="S534" s="1" t="s">
        <v>9287</v>
      </c>
      <c r="T534" s="1">
        <v>1</v>
      </c>
      <c r="U534" s="19"/>
      <c r="V534" s="19"/>
      <c r="W534" s="218">
        <v>1</v>
      </c>
      <c r="X534" s="218">
        <v>1</v>
      </c>
      <c r="Y534" s="218">
        <v>1</v>
      </c>
    </row>
    <row r="535" spans="1:25" x14ac:dyDescent="0.3">
      <c r="A535" s="1" t="s">
        <v>1568</v>
      </c>
      <c r="B535" s="5">
        <v>46221</v>
      </c>
      <c r="C535" s="6">
        <v>0.66666666666666696</v>
      </c>
      <c r="D535" s="1" t="s">
        <v>10</v>
      </c>
      <c r="E535" s="1" t="s">
        <v>11</v>
      </c>
      <c r="F535" s="1" t="s">
        <v>1579</v>
      </c>
      <c r="G535" s="39" t="s">
        <v>182</v>
      </c>
      <c r="H535" s="1">
        <v>2</v>
      </c>
      <c r="I535" s="1">
        <v>2</v>
      </c>
      <c r="J535" s="39" t="s">
        <v>662</v>
      </c>
      <c r="K535" s="1">
        <v>2</v>
      </c>
      <c r="L535" s="1">
        <v>2</v>
      </c>
      <c r="S535" s="1" t="s">
        <v>9288</v>
      </c>
      <c r="T535" s="1">
        <v>1</v>
      </c>
      <c r="U535" s="19"/>
      <c r="V535" s="19"/>
      <c r="W535" s="218">
        <v>1</v>
      </c>
      <c r="X535" s="218">
        <v>1</v>
      </c>
      <c r="Y535" s="218">
        <v>1</v>
      </c>
    </row>
    <row r="536" spans="1:25" x14ac:dyDescent="0.3">
      <c r="A536" s="1" t="s">
        <v>1569</v>
      </c>
      <c r="B536" s="5">
        <v>46227</v>
      </c>
      <c r="C536" s="6">
        <v>0.875</v>
      </c>
      <c r="D536" s="1" t="s">
        <v>10</v>
      </c>
      <c r="E536" s="1" t="s">
        <v>11</v>
      </c>
      <c r="F536" s="1" t="s">
        <v>1580</v>
      </c>
      <c r="G536" s="39" t="s">
        <v>182</v>
      </c>
      <c r="H536" s="1">
        <v>3</v>
      </c>
      <c r="I536" s="1">
        <v>2</v>
      </c>
      <c r="J536" s="39" t="s">
        <v>190</v>
      </c>
      <c r="K536" s="1">
        <v>2</v>
      </c>
      <c r="L536" s="1">
        <v>3</v>
      </c>
      <c r="S536" s="1" t="s">
        <v>9289</v>
      </c>
      <c r="T536" s="1">
        <v>1</v>
      </c>
      <c r="U536" s="19"/>
      <c r="V536" s="19"/>
      <c r="W536" s="218">
        <v>1</v>
      </c>
      <c r="X536" s="218">
        <v>1</v>
      </c>
      <c r="Y536" s="218">
        <v>1</v>
      </c>
    </row>
    <row r="537" spans="1:25" ht="14.4" x14ac:dyDescent="0.3">
      <c r="A537" s="1" t="s">
        <v>1570</v>
      </c>
      <c r="B537" s="5">
        <v>46123</v>
      </c>
      <c r="C537" s="6">
        <v>0.66666666666666696</v>
      </c>
      <c r="D537" s="1" t="s">
        <v>10</v>
      </c>
      <c r="E537" s="1" t="s">
        <v>11</v>
      </c>
      <c r="F537" s="1" t="s">
        <v>1581</v>
      </c>
      <c r="G537" s="39" t="s">
        <v>190</v>
      </c>
      <c r="H537" s="1">
        <v>0</v>
      </c>
      <c r="I537" s="1">
        <v>2</v>
      </c>
      <c r="J537" s="39" t="s">
        <v>681</v>
      </c>
      <c r="K537" s="1">
        <v>2</v>
      </c>
      <c r="L537" s="1">
        <v>0</v>
      </c>
      <c r="S537" s="1" t="s">
        <v>9290</v>
      </c>
      <c r="T537">
        <v>1</v>
      </c>
      <c r="U537" s="19"/>
      <c r="V537" s="19"/>
      <c r="W537" s="218">
        <v>0</v>
      </c>
      <c r="X537" s="218">
        <v>0</v>
      </c>
      <c r="Y537" s="218">
        <v>0</v>
      </c>
    </row>
    <row r="538" spans="1:25" x14ac:dyDescent="0.3">
      <c r="A538" s="1" t="s">
        <v>1571</v>
      </c>
      <c r="B538" s="5">
        <v>46145</v>
      </c>
      <c r="C538" s="6">
        <v>0.66666666666666696</v>
      </c>
      <c r="D538" s="1" t="s">
        <v>10</v>
      </c>
      <c r="E538" s="1" t="s">
        <v>11</v>
      </c>
      <c r="F538" s="1" t="s">
        <v>1582</v>
      </c>
      <c r="G538" s="39" t="s">
        <v>1574</v>
      </c>
      <c r="H538" s="1">
        <v>1</v>
      </c>
      <c r="I538" s="1">
        <v>2</v>
      </c>
      <c r="J538" s="39" t="s">
        <v>681</v>
      </c>
      <c r="K538" s="1">
        <v>2</v>
      </c>
      <c r="L538" s="1">
        <v>1</v>
      </c>
      <c r="S538" s="1" t="s">
        <v>9291</v>
      </c>
      <c r="T538" s="1">
        <v>1</v>
      </c>
      <c r="U538" s="19"/>
      <c r="V538" s="19"/>
      <c r="W538" s="218">
        <v>1</v>
      </c>
      <c r="X538" s="218">
        <v>1</v>
      </c>
      <c r="Y538" s="218">
        <v>1</v>
      </c>
    </row>
    <row r="539" spans="1:25" x14ac:dyDescent="0.3">
      <c r="A539" s="1" t="s">
        <v>1572</v>
      </c>
      <c r="B539" s="5">
        <v>46152</v>
      </c>
      <c r="C539" s="6">
        <v>0.77083333333333304</v>
      </c>
      <c r="D539" s="1" t="s">
        <v>10</v>
      </c>
      <c r="E539" s="1" t="s">
        <v>11</v>
      </c>
      <c r="F539" s="1" t="s">
        <v>1583</v>
      </c>
      <c r="G539" s="39" t="s">
        <v>233</v>
      </c>
      <c r="H539" s="1">
        <v>0</v>
      </c>
      <c r="I539" s="1">
        <v>0</v>
      </c>
      <c r="J539" s="39" t="s">
        <v>681</v>
      </c>
      <c r="K539" s="1">
        <v>0</v>
      </c>
      <c r="L539" s="1">
        <v>0</v>
      </c>
      <c r="S539" s="1" t="s">
        <v>9292</v>
      </c>
      <c r="T539" s="1">
        <v>1</v>
      </c>
      <c r="U539" s="19"/>
      <c r="V539" s="19"/>
      <c r="W539" s="218">
        <v>1</v>
      </c>
      <c r="X539" s="218">
        <v>1</v>
      </c>
      <c r="Y539" s="218">
        <v>1</v>
      </c>
    </row>
    <row r="540" spans="1:25" ht="14.4" x14ac:dyDescent="0.3">
      <c r="A540" s="1" t="s">
        <v>1573</v>
      </c>
      <c r="B540" s="5">
        <v>46158</v>
      </c>
      <c r="C540" s="6">
        <v>0.875</v>
      </c>
      <c r="D540" s="1" t="s">
        <v>10</v>
      </c>
      <c r="E540" s="1" t="s">
        <v>11</v>
      </c>
      <c r="F540" s="1" t="s">
        <v>1584</v>
      </c>
      <c r="G540" s="39" t="s">
        <v>677</v>
      </c>
      <c r="H540" s="1">
        <v>3</v>
      </c>
      <c r="I540" s="1">
        <v>2</v>
      </c>
      <c r="J540" s="39" t="s">
        <v>681</v>
      </c>
      <c r="K540" s="1">
        <v>2</v>
      </c>
      <c r="L540" s="1">
        <v>3</v>
      </c>
      <c r="S540" s="1" t="s">
        <v>9293</v>
      </c>
      <c r="T540">
        <v>1</v>
      </c>
      <c r="U540" s="19"/>
      <c r="V540" s="19"/>
      <c r="W540" s="218">
        <v>1</v>
      </c>
      <c r="X540" s="218">
        <v>1</v>
      </c>
      <c r="Y540" s="218">
        <v>1</v>
      </c>
    </row>
    <row r="541" spans="1:25" x14ac:dyDescent="0.3">
      <c r="A541" s="1" t="s">
        <v>1585</v>
      </c>
      <c r="B541" s="5">
        <v>46116</v>
      </c>
      <c r="C541" s="6">
        <v>0.66666666666666696</v>
      </c>
      <c r="D541" s="1" t="s">
        <v>10</v>
      </c>
      <c r="E541" s="1" t="s">
        <v>11</v>
      </c>
      <c r="F541" s="1" t="s">
        <v>1586</v>
      </c>
      <c r="G541" s="39" t="s">
        <v>1092</v>
      </c>
      <c r="H541" s="1">
        <v>2</v>
      </c>
      <c r="I541" s="1">
        <v>0</v>
      </c>
      <c r="J541" s="39" t="s">
        <v>662</v>
      </c>
      <c r="K541" s="1">
        <v>0</v>
      </c>
      <c r="L541" s="1">
        <v>2</v>
      </c>
      <c r="S541" s="1" t="s">
        <v>9294</v>
      </c>
      <c r="T541" s="1">
        <v>1</v>
      </c>
      <c r="U541" s="19"/>
      <c r="V541" s="19"/>
      <c r="W541" s="218">
        <v>0</v>
      </c>
      <c r="X541" s="218">
        <v>0</v>
      </c>
      <c r="Y541" s="218">
        <v>0</v>
      </c>
    </row>
    <row r="542" spans="1:25" x14ac:dyDescent="0.3">
      <c r="A542" s="1" t="s">
        <v>1587</v>
      </c>
      <c r="B542" s="5">
        <v>46154</v>
      </c>
      <c r="C542" s="6">
        <v>0.875</v>
      </c>
      <c r="D542" s="1" t="s">
        <v>10</v>
      </c>
      <c r="E542" s="1" t="s">
        <v>11</v>
      </c>
      <c r="F542" s="1" t="s">
        <v>1588</v>
      </c>
      <c r="G542" s="39" t="s">
        <v>1092</v>
      </c>
      <c r="H542" s="1">
        <v>0</v>
      </c>
      <c r="I542" s="1">
        <v>2</v>
      </c>
      <c r="J542" s="39" t="s">
        <v>677</v>
      </c>
      <c r="K542" s="1">
        <v>2</v>
      </c>
      <c r="L542" s="1">
        <v>0</v>
      </c>
      <c r="S542" s="1" t="s">
        <v>9295</v>
      </c>
      <c r="T542" s="1">
        <v>1</v>
      </c>
      <c r="U542" s="19"/>
      <c r="V542" s="19"/>
      <c r="W542" s="218">
        <v>1</v>
      </c>
      <c r="X542" s="218">
        <v>1</v>
      </c>
      <c r="Y542" s="218">
        <v>1</v>
      </c>
    </row>
    <row r="543" spans="1:25" x14ac:dyDescent="0.3">
      <c r="A543" s="1" t="s">
        <v>1589</v>
      </c>
      <c r="B543" s="5">
        <v>46171</v>
      </c>
      <c r="C543" s="6">
        <v>0.875</v>
      </c>
      <c r="D543" s="1" t="s">
        <v>10</v>
      </c>
      <c r="E543" s="1" t="s">
        <v>11</v>
      </c>
      <c r="F543" s="1" t="s">
        <v>1607</v>
      </c>
      <c r="G543" s="39" t="s">
        <v>1092</v>
      </c>
      <c r="H543" s="1">
        <v>1</v>
      </c>
      <c r="I543" s="1">
        <v>2</v>
      </c>
      <c r="J543" s="39" t="s">
        <v>665</v>
      </c>
      <c r="K543" s="1">
        <v>2</v>
      </c>
      <c r="L543" s="1">
        <v>1</v>
      </c>
      <c r="S543" s="1" t="s">
        <v>9296</v>
      </c>
      <c r="T543" s="1">
        <v>1</v>
      </c>
      <c r="U543" s="19"/>
      <c r="V543" s="19"/>
      <c r="W543" s="218">
        <v>1</v>
      </c>
      <c r="X543" s="218">
        <v>1</v>
      </c>
      <c r="Y543" s="218">
        <v>1</v>
      </c>
    </row>
    <row r="544" spans="1:25" x14ac:dyDescent="0.3">
      <c r="A544" s="1" t="s">
        <v>1590</v>
      </c>
      <c r="B544" s="5">
        <v>46223</v>
      </c>
      <c r="C544" s="6">
        <v>0.83333333333333304</v>
      </c>
      <c r="D544" s="1" t="s">
        <v>10</v>
      </c>
      <c r="E544" s="1" t="s">
        <v>11</v>
      </c>
      <c r="F544" s="1" t="s">
        <v>1608</v>
      </c>
      <c r="G544" s="39" t="s">
        <v>1092</v>
      </c>
      <c r="H544" s="1">
        <v>2</v>
      </c>
      <c r="I544" s="1">
        <v>1</v>
      </c>
      <c r="J544" s="39" t="s">
        <v>190</v>
      </c>
      <c r="K544" s="1">
        <v>1</v>
      </c>
      <c r="L544" s="1">
        <v>2</v>
      </c>
      <c r="S544" s="1" t="s">
        <v>9297</v>
      </c>
      <c r="T544" s="1">
        <v>1</v>
      </c>
      <c r="U544" s="19"/>
      <c r="V544" s="19"/>
      <c r="W544" s="218">
        <v>1</v>
      </c>
      <c r="X544" s="218">
        <v>1</v>
      </c>
      <c r="Y544" s="218">
        <v>1</v>
      </c>
    </row>
    <row r="545" spans="1:25" ht="14.4" x14ac:dyDescent="0.3">
      <c r="A545" s="1" t="s">
        <v>1592</v>
      </c>
      <c r="B545" s="5">
        <v>46115</v>
      </c>
      <c r="C545" s="6">
        <v>0.875</v>
      </c>
      <c r="D545" s="1" t="s">
        <v>10</v>
      </c>
      <c r="E545" s="1" t="s">
        <v>11</v>
      </c>
      <c r="F545" s="1" t="s">
        <v>1598</v>
      </c>
      <c r="G545" s="39" t="s">
        <v>226</v>
      </c>
      <c r="H545" s="1">
        <v>0</v>
      </c>
      <c r="I545" s="1">
        <v>3</v>
      </c>
      <c r="J545" s="39" t="s">
        <v>668</v>
      </c>
      <c r="K545" s="1">
        <v>3</v>
      </c>
      <c r="L545" s="1">
        <v>0</v>
      </c>
      <c r="S545" s="1" t="s">
        <v>9298</v>
      </c>
      <c r="T545">
        <v>1</v>
      </c>
      <c r="U545" s="19"/>
      <c r="V545" s="19"/>
      <c r="W545" s="218">
        <v>0</v>
      </c>
      <c r="X545" s="218">
        <v>0</v>
      </c>
      <c r="Y545" s="218">
        <v>0</v>
      </c>
    </row>
    <row r="546" spans="1:25" x14ac:dyDescent="0.3">
      <c r="A546" s="1" t="s">
        <v>1593</v>
      </c>
      <c r="B546" s="5">
        <v>46134</v>
      </c>
      <c r="C546" s="6">
        <v>0.875</v>
      </c>
      <c r="D546" s="1" t="s">
        <v>10</v>
      </c>
      <c r="E546" s="1" t="s">
        <v>11</v>
      </c>
      <c r="F546" s="1" t="s">
        <v>1599</v>
      </c>
      <c r="G546" s="39" t="s">
        <v>233</v>
      </c>
      <c r="H546" s="1">
        <v>2</v>
      </c>
      <c r="I546" s="1">
        <v>1</v>
      </c>
      <c r="J546" s="39" t="s">
        <v>668</v>
      </c>
      <c r="K546" s="1">
        <v>1</v>
      </c>
      <c r="L546" s="1">
        <v>2</v>
      </c>
      <c r="S546" s="1" t="s">
        <v>9299</v>
      </c>
      <c r="T546" s="1">
        <v>1</v>
      </c>
      <c r="U546" s="19"/>
      <c r="V546" s="19"/>
      <c r="W546" s="218">
        <v>1</v>
      </c>
      <c r="X546" s="218">
        <v>1</v>
      </c>
      <c r="Y546" s="218">
        <v>1</v>
      </c>
    </row>
    <row r="547" spans="1:25" x14ac:dyDescent="0.3">
      <c r="A547" s="1" t="s">
        <v>1594</v>
      </c>
      <c r="B547" s="5">
        <v>46155</v>
      </c>
      <c r="C547" s="6">
        <v>0.875</v>
      </c>
      <c r="D547" s="1" t="s">
        <v>10</v>
      </c>
      <c r="E547" s="1" t="s">
        <v>11</v>
      </c>
      <c r="F547" s="1" t="s">
        <v>1600</v>
      </c>
      <c r="G547" s="39" t="s">
        <v>681</v>
      </c>
      <c r="H547" s="1">
        <v>1</v>
      </c>
      <c r="I547" s="1">
        <v>1</v>
      </c>
      <c r="J547" s="39" t="s">
        <v>668</v>
      </c>
      <c r="K547" s="1">
        <v>1</v>
      </c>
      <c r="L547" s="1">
        <v>1</v>
      </c>
      <c r="S547" s="1" t="s">
        <v>9300</v>
      </c>
      <c r="T547" s="1">
        <v>1</v>
      </c>
      <c r="U547" s="19"/>
      <c r="V547" s="19"/>
      <c r="W547" s="218">
        <v>1</v>
      </c>
      <c r="X547" s="218">
        <v>1</v>
      </c>
      <c r="Y547" s="218">
        <v>1</v>
      </c>
    </row>
    <row r="548" spans="1:25" x14ac:dyDescent="0.3">
      <c r="A548" s="1" t="s">
        <v>1595</v>
      </c>
      <c r="B548" s="5">
        <v>46159</v>
      </c>
      <c r="C548" s="6">
        <v>0.77083333333333304</v>
      </c>
      <c r="D548" s="1" t="s">
        <v>10</v>
      </c>
      <c r="E548" s="1" t="s">
        <v>11</v>
      </c>
      <c r="F548" s="1" t="s">
        <v>1601</v>
      </c>
      <c r="G548" s="39" t="s">
        <v>665</v>
      </c>
      <c r="H548" s="1">
        <v>2</v>
      </c>
      <c r="I548" s="1">
        <v>1</v>
      </c>
      <c r="J548" s="39" t="s">
        <v>668</v>
      </c>
      <c r="K548" s="1">
        <v>1</v>
      </c>
      <c r="L548" s="1">
        <v>2</v>
      </c>
      <c r="S548" s="1" t="s">
        <v>9301</v>
      </c>
      <c r="T548" s="1">
        <v>1</v>
      </c>
      <c r="U548" s="19"/>
      <c r="V548" s="19"/>
      <c r="W548" s="218">
        <v>1</v>
      </c>
      <c r="X548" s="218">
        <v>1</v>
      </c>
      <c r="Y548" s="218">
        <v>1</v>
      </c>
    </row>
    <row r="549" spans="1:25" x14ac:dyDescent="0.3">
      <c r="A549" s="1" t="s">
        <v>1596</v>
      </c>
      <c r="B549" s="5">
        <v>46215</v>
      </c>
      <c r="C549" s="6">
        <v>0.66666666666666696</v>
      </c>
      <c r="D549" s="1" t="s">
        <v>10</v>
      </c>
      <c r="E549" s="1" t="s">
        <v>11</v>
      </c>
      <c r="F549" s="1" t="s">
        <v>1602</v>
      </c>
      <c r="G549" s="39" t="s">
        <v>1553</v>
      </c>
      <c r="H549" s="1">
        <v>1</v>
      </c>
      <c r="I549" s="1">
        <v>1</v>
      </c>
      <c r="J549" s="39" t="s">
        <v>668</v>
      </c>
      <c r="K549" s="1">
        <v>1</v>
      </c>
      <c r="L549" s="1">
        <v>1</v>
      </c>
      <c r="S549" s="1" t="s">
        <v>9302</v>
      </c>
      <c r="T549" s="1">
        <v>1</v>
      </c>
      <c r="U549" s="19"/>
      <c r="V549" s="19"/>
      <c r="W549" s="218">
        <v>1</v>
      </c>
      <c r="X549" s="218">
        <v>1</v>
      </c>
      <c r="Y549" s="218">
        <v>1</v>
      </c>
    </row>
    <row r="550" spans="1:25" ht="14.4" x14ac:dyDescent="0.3">
      <c r="A550" s="1" t="s">
        <v>1597</v>
      </c>
      <c r="B550" s="5">
        <v>46236</v>
      </c>
      <c r="C550" s="6">
        <v>0.77083333333333304</v>
      </c>
      <c r="D550" s="1" t="s">
        <v>10</v>
      </c>
      <c r="E550" s="1" t="s">
        <v>11</v>
      </c>
      <c r="F550" s="1" t="s">
        <v>1603</v>
      </c>
      <c r="G550" s="39" t="s">
        <v>662</v>
      </c>
      <c r="H550" s="1">
        <v>1</v>
      </c>
      <c r="I550" s="1">
        <v>0</v>
      </c>
      <c r="J550" s="39" t="s">
        <v>668</v>
      </c>
      <c r="K550" s="1">
        <v>0</v>
      </c>
      <c r="L550" s="1">
        <v>1</v>
      </c>
      <c r="S550" s="1" t="s">
        <v>9303</v>
      </c>
      <c r="T550">
        <v>1</v>
      </c>
      <c r="U550" s="19"/>
      <c r="V550" s="19"/>
      <c r="W550" s="218">
        <v>1</v>
      </c>
      <c r="X550" s="218">
        <v>1</v>
      </c>
      <c r="Y550" s="218">
        <v>1</v>
      </c>
    </row>
    <row r="551" spans="1:25" ht="14.4" x14ac:dyDescent="0.3">
      <c r="A551" s="1" t="s">
        <v>1625</v>
      </c>
      <c r="B551" s="102">
        <v>46240</v>
      </c>
      <c r="C551" s="6">
        <v>0.6875</v>
      </c>
      <c r="D551" s="1" t="s">
        <v>10</v>
      </c>
      <c r="E551" s="1" t="s">
        <v>11</v>
      </c>
      <c r="F551" s="1" t="s">
        <v>1626</v>
      </c>
      <c r="G551" s="39" t="s">
        <v>233</v>
      </c>
      <c r="H551" s="1">
        <v>0</v>
      </c>
      <c r="I551" s="1">
        <v>0</v>
      </c>
      <c r="J551" s="39" t="s">
        <v>661</v>
      </c>
      <c r="K551" s="1">
        <v>0</v>
      </c>
      <c r="L551" s="1">
        <v>0</v>
      </c>
      <c r="S551" s="1" t="s">
        <v>9304</v>
      </c>
      <c r="T551">
        <v>1</v>
      </c>
      <c r="U551" s="19"/>
      <c r="V551" s="19"/>
      <c r="W551" s="218">
        <v>1</v>
      </c>
      <c r="X551" s="218">
        <v>1</v>
      </c>
      <c r="Y551" s="218">
        <v>1</v>
      </c>
    </row>
    <row r="552" spans="1:25" x14ac:dyDescent="0.3">
      <c r="A552" s="1" t="s">
        <v>1627</v>
      </c>
      <c r="B552" s="102">
        <v>46117</v>
      </c>
      <c r="C552" s="6">
        <v>0.76041666666666696</v>
      </c>
      <c r="D552" s="1" t="s">
        <v>10</v>
      </c>
      <c r="E552" s="1" t="s">
        <v>11</v>
      </c>
      <c r="F552" s="1" t="s">
        <v>1628</v>
      </c>
      <c r="G552" s="39" t="s">
        <v>677</v>
      </c>
      <c r="H552" s="1">
        <v>1</v>
      </c>
      <c r="I552" s="1">
        <v>2</v>
      </c>
      <c r="J552" s="39" t="s">
        <v>181</v>
      </c>
      <c r="K552" s="1">
        <v>2</v>
      </c>
      <c r="L552" s="1">
        <v>1</v>
      </c>
      <c r="S552" s="1" t="s">
        <v>9305</v>
      </c>
      <c r="T552" s="1">
        <v>1</v>
      </c>
      <c r="U552" s="19"/>
      <c r="V552" s="19"/>
      <c r="W552" s="218">
        <v>0</v>
      </c>
      <c r="X552" s="218">
        <v>0</v>
      </c>
      <c r="Y552" s="218">
        <v>0</v>
      </c>
    </row>
    <row r="553" spans="1:25" x14ac:dyDescent="0.3">
      <c r="A553" s="1" t="s">
        <v>1629</v>
      </c>
      <c r="B553" s="102">
        <v>46222</v>
      </c>
      <c r="C553" s="6">
        <v>0.5</v>
      </c>
      <c r="D553" s="1" t="s">
        <v>10</v>
      </c>
      <c r="E553" s="1" t="s">
        <v>11</v>
      </c>
      <c r="F553" s="1" t="s">
        <v>1630</v>
      </c>
      <c r="G553" s="39" t="s">
        <v>1574</v>
      </c>
      <c r="H553" s="1">
        <v>0</v>
      </c>
      <c r="I553" s="1">
        <v>0</v>
      </c>
      <c r="J553" s="39" t="s">
        <v>181</v>
      </c>
      <c r="K553" s="1">
        <v>0</v>
      </c>
      <c r="L553" s="1">
        <v>0</v>
      </c>
      <c r="S553" s="1" t="s">
        <v>9306</v>
      </c>
      <c r="T553" s="1">
        <v>1</v>
      </c>
      <c r="U553" s="19"/>
      <c r="V553" s="19"/>
      <c r="W553" s="218">
        <v>1</v>
      </c>
      <c r="X553" s="218">
        <v>1</v>
      </c>
      <c r="Y553" s="218">
        <v>1</v>
      </c>
    </row>
    <row r="554" spans="1:25" ht="14.4" x14ac:dyDescent="0.3">
      <c r="A554" s="1" t="s">
        <v>1631</v>
      </c>
      <c r="B554" s="102">
        <v>46229</v>
      </c>
      <c r="C554" s="6">
        <v>0.66666666666666696</v>
      </c>
      <c r="D554" s="1" t="s">
        <v>10</v>
      </c>
      <c r="E554" s="1" t="s">
        <v>11</v>
      </c>
      <c r="F554" s="1" t="s">
        <v>1632</v>
      </c>
      <c r="G554" s="39" t="s">
        <v>233</v>
      </c>
      <c r="H554" s="1">
        <v>1</v>
      </c>
      <c r="I554" s="1">
        <v>1</v>
      </c>
      <c r="J554" s="39" t="s">
        <v>181</v>
      </c>
      <c r="K554" s="1">
        <v>1</v>
      </c>
      <c r="L554" s="1">
        <v>1</v>
      </c>
      <c r="S554" s="1" t="s">
        <v>9307</v>
      </c>
      <c r="T554">
        <v>1</v>
      </c>
      <c r="U554" s="19"/>
      <c r="V554" s="19"/>
      <c r="W554" s="218">
        <v>1</v>
      </c>
      <c r="X554" s="218">
        <v>1</v>
      </c>
      <c r="Y554" s="218">
        <v>1</v>
      </c>
    </row>
    <row r="555" spans="1:25" x14ac:dyDescent="0.3">
      <c r="A555" s="1" t="s">
        <v>1633</v>
      </c>
      <c r="B555" s="102">
        <v>46221</v>
      </c>
      <c r="C555" s="6">
        <v>0.875</v>
      </c>
      <c r="D555" s="1" t="s">
        <v>10</v>
      </c>
      <c r="E555" s="1" t="s">
        <v>11</v>
      </c>
      <c r="F555" s="1" t="s">
        <v>1634</v>
      </c>
      <c r="G555" s="39" t="s">
        <v>681</v>
      </c>
      <c r="H555" s="1">
        <v>4</v>
      </c>
      <c r="I555" s="1">
        <v>0</v>
      </c>
      <c r="J555" s="39" t="s">
        <v>665</v>
      </c>
      <c r="K555" s="1">
        <v>0</v>
      </c>
      <c r="L555" s="1">
        <v>4</v>
      </c>
      <c r="S555" s="1" t="s">
        <v>9308</v>
      </c>
      <c r="T555" s="1">
        <v>1</v>
      </c>
      <c r="U555" s="19"/>
      <c r="V555" s="19"/>
      <c r="W555" s="218">
        <v>1</v>
      </c>
      <c r="X555" s="218">
        <v>1</v>
      </c>
      <c r="Y555" s="218">
        <v>1</v>
      </c>
    </row>
    <row r="556" spans="1:25" ht="14.4" x14ac:dyDescent="0.3">
      <c r="A556" s="1" t="s">
        <v>1635</v>
      </c>
      <c r="B556" s="102">
        <v>46230</v>
      </c>
      <c r="C556" s="6">
        <v>0.76041666666666696</v>
      </c>
      <c r="D556" s="1" t="s">
        <v>10</v>
      </c>
      <c r="E556" s="1" t="s">
        <v>11</v>
      </c>
      <c r="F556" s="1" t="s">
        <v>1636</v>
      </c>
      <c r="G556" s="39" t="s">
        <v>681</v>
      </c>
      <c r="H556" s="1">
        <v>2</v>
      </c>
      <c r="I556" s="1">
        <v>1</v>
      </c>
      <c r="J556" s="39" t="s">
        <v>1553</v>
      </c>
      <c r="K556" s="1">
        <v>1</v>
      </c>
      <c r="L556" s="1">
        <v>2</v>
      </c>
      <c r="S556" s="1" t="s">
        <v>9309</v>
      </c>
      <c r="T556">
        <v>1</v>
      </c>
      <c r="U556" s="19"/>
      <c r="V556" s="19"/>
      <c r="W556" s="218">
        <v>1</v>
      </c>
      <c r="X556" s="218">
        <v>1</v>
      </c>
      <c r="Y556" s="218">
        <v>1</v>
      </c>
    </row>
    <row r="557" spans="1:25" x14ac:dyDescent="0.3">
      <c r="A557" s="1" t="s">
        <v>1637</v>
      </c>
      <c r="B557" s="102">
        <v>46116</v>
      </c>
      <c r="C557" s="6">
        <v>0.76041666666666696</v>
      </c>
      <c r="D557" s="1" t="s">
        <v>10</v>
      </c>
      <c r="E557" s="1" t="s">
        <v>11</v>
      </c>
      <c r="F557" s="1" t="s">
        <v>1638</v>
      </c>
      <c r="G557" s="39" t="s">
        <v>1553</v>
      </c>
      <c r="H557" s="1">
        <v>0</v>
      </c>
      <c r="I557" s="1">
        <v>0</v>
      </c>
      <c r="J557" s="39" t="s">
        <v>182</v>
      </c>
      <c r="K557" s="1">
        <v>0</v>
      </c>
      <c r="L557" s="1">
        <v>0</v>
      </c>
      <c r="S557" s="1" t="s">
        <v>9310</v>
      </c>
      <c r="T557" s="1">
        <v>1</v>
      </c>
      <c r="U557" s="19"/>
      <c r="V557" s="19"/>
      <c r="W557" s="218">
        <v>0</v>
      </c>
      <c r="X557" s="218">
        <v>0</v>
      </c>
      <c r="Y557" s="218">
        <v>0</v>
      </c>
    </row>
    <row r="558" spans="1:25" x14ac:dyDescent="0.3">
      <c r="A558" s="1" t="s">
        <v>1639</v>
      </c>
      <c r="B558" s="102">
        <v>46133</v>
      </c>
      <c r="C558" s="6">
        <v>0.79166666666666696</v>
      </c>
      <c r="D558" s="1" t="s">
        <v>10</v>
      </c>
      <c r="E558" s="1" t="s">
        <v>11</v>
      </c>
      <c r="F558" s="1" t="s">
        <v>1640</v>
      </c>
      <c r="G558" s="39" t="s">
        <v>1574</v>
      </c>
      <c r="H558" s="1">
        <v>1</v>
      </c>
      <c r="I558" s="1">
        <v>1</v>
      </c>
      <c r="J558" s="39" t="s">
        <v>182</v>
      </c>
      <c r="K558" s="1">
        <v>1</v>
      </c>
      <c r="L558" s="1">
        <v>1</v>
      </c>
      <c r="S558" s="1" t="s">
        <v>9311</v>
      </c>
      <c r="T558" s="1">
        <v>1</v>
      </c>
      <c r="U558" s="19"/>
      <c r="V558" s="19"/>
      <c r="W558" s="218">
        <v>1</v>
      </c>
      <c r="X558" s="218">
        <v>1</v>
      </c>
      <c r="Y558" s="218">
        <v>1</v>
      </c>
    </row>
    <row r="559" spans="1:25" x14ac:dyDescent="0.3">
      <c r="A559" s="1" t="s">
        <v>1641</v>
      </c>
      <c r="B559" s="102">
        <v>46174</v>
      </c>
      <c r="C559" s="6">
        <v>0.875</v>
      </c>
      <c r="D559" s="1" t="s">
        <v>10</v>
      </c>
      <c r="E559" s="1" t="s">
        <v>11</v>
      </c>
      <c r="F559" s="1" t="s">
        <v>1642</v>
      </c>
      <c r="G559" s="39" t="s">
        <v>677</v>
      </c>
      <c r="H559" s="1">
        <v>1</v>
      </c>
      <c r="I559" s="1">
        <v>2</v>
      </c>
      <c r="J559" s="39" t="s">
        <v>182</v>
      </c>
      <c r="K559" s="1">
        <v>2</v>
      </c>
      <c r="L559" s="1">
        <v>1</v>
      </c>
      <c r="S559" s="1" t="s">
        <v>9312</v>
      </c>
      <c r="T559" s="1">
        <v>1</v>
      </c>
      <c r="U559" s="19"/>
      <c r="V559" s="19"/>
      <c r="W559" s="218">
        <v>1</v>
      </c>
      <c r="X559" s="218">
        <v>1</v>
      </c>
      <c r="Y559" s="218">
        <v>1</v>
      </c>
    </row>
    <row r="560" spans="1:25" x14ac:dyDescent="0.3">
      <c r="A560" s="1" t="s">
        <v>1643</v>
      </c>
      <c r="B560" s="102">
        <v>46212</v>
      </c>
      <c r="C560" s="6">
        <v>0.875</v>
      </c>
      <c r="D560" s="1" t="s">
        <v>10</v>
      </c>
      <c r="E560" s="1" t="s">
        <v>11</v>
      </c>
      <c r="F560" s="1" t="s">
        <v>1644</v>
      </c>
      <c r="G560" s="39" t="s">
        <v>668</v>
      </c>
      <c r="H560" s="1">
        <v>2</v>
      </c>
      <c r="I560" s="1">
        <v>0</v>
      </c>
      <c r="J560" s="39" t="s">
        <v>182</v>
      </c>
      <c r="K560" s="1">
        <v>0</v>
      </c>
      <c r="L560" s="1">
        <v>2</v>
      </c>
      <c r="S560" s="1" t="s">
        <v>9313</v>
      </c>
      <c r="T560" s="1">
        <v>1</v>
      </c>
      <c r="U560" s="19"/>
      <c r="V560" s="19"/>
      <c r="W560" s="218">
        <v>1</v>
      </c>
      <c r="X560" s="218">
        <v>1</v>
      </c>
      <c r="Y560" s="218">
        <v>1</v>
      </c>
    </row>
    <row r="561" spans="1:25" ht="14.4" x14ac:dyDescent="0.3">
      <c r="A561" s="1" t="s">
        <v>1645</v>
      </c>
      <c r="B561" s="102">
        <v>46238</v>
      </c>
      <c r="C561" s="6">
        <v>0.79166666666666696</v>
      </c>
      <c r="D561" s="1" t="s">
        <v>10</v>
      </c>
      <c r="E561" s="1" t="s">
        <v>11</v>
      </c>
      <c r="F561" s="1" t="s">
        <v>1646</v>
      </c>
      <c r="G561" s="39" t="s">
        <v>226</v>
      </c>
      <c r="H561" s="1">
        <v>1</v>
      </c>
      <c r="I561" s="1">
        <v>1</v>
      </c>
      <c r="J561" s="39" t="s">
        <v>182</v>
      </c>
      <c r="K561" s="1">
        <v>1</v>
      </c>
      <c r="L561" s="1">
        <v>1</v>
      </c>
      <c r="S561" s="1" t="s">
        <v>9314</v>
      </c>
      <c r="T561">
        <v>1</v>
      </c>
      <c r="U561" s="19"/>
      <c r="V561" s="19"/>
      <c r="W561" s="218">
        <v>1</v>
      </c>
      <c r="X561" s="218">
        <v>1</v>
      </c>
      <c r="Y561" s="218">
        <v>1</v>
      </c>
    </row>
    <row r="562" spans="1:25" x14ac:dyDescent="0.3">
      <c r="A562" s="1" t="s">
        <v>1647</v>
      </c>
      <c r="B562" s="102">
        <v>46115</v>
      </c>
      <c r="C562" s="6">
        <v>0.6875</v>
      </c>
      <c r="D562" s="1" t="s">
        <v>10</v>
      </c>
      <c r="E562" s="1" t="s">
        <v>11</v>
      </c>
      <c r="F562" s="1" t="s">
        <v>1648</v>
      </c>
      <c r="G562" s="39" t="s">
        <v>233</v>
      </c>
      <c r="H562" s="1">
        <v>5</v>
      </c>
      <c r="I562" s="1">
        <v>0</v>
      </c>
      <c r="J562" s="39" t="s">
        <v>665</v>
      </c>
      <c r="K562" s="1">
        <v>0</v>
      </c>
      <c r="L562" s="1">
        <v>5</v>
      </c>
      <c r="S562" s="1" t="s">
        <v>9315</v>
      </c>
      <c r="T562" s="1">
        <v>1</v>
      </c>
      <c r="U562" s="19"/>
      <c r="V562" s="19"/>
      <c r="W562" s="218">
        <v>0</v>
      </c>
      <c r="X562" s="218">
        <v>0</v>
      </c>
      <c r="Y562" s="218">
        <v>0</v>
      </c>
    </row>
    <row r="563" spans="1:25" x14ac:dyDescent="0.3">
      <c r="A563" s="1" t="s">
        <v>1649</v>
      </c>
      <c r="B563" s="102">
        <v>46134</v>
      </c>
      <c r="C563" s="6">
        <v>0.79166666666666696</v>
      </c>
      <c r="D563" s="1" t="s">
        <v>10</v>
      </c>
      <c r="E563" s="1" t="s">
        <v>11</v>
      </c>
      <c r="F563" s="1" t="s">
        <v>1650</v>
      </c>
      <c r="G563" s="39" t="s">
        <v>1553</v>
      </c>
      <c r="H563" s="1">
        <v>3</v>
      </c>
      <c r="I563" s="1">
        <v>0</v>
      </c>
      <c r="J563" s="39" t="s">
        <v>665</v>
      </c>
      <c r="K563" s="1">
        <v>0</v>
      </c>
      <c r="L563" s="1">
        <v>3</v>
      </c>
      <c r="S563" s="1" t="s">
        <v>9316</v>
      </c>
      <c r="T563" s="1">
        <v>1</v>
      </c>
      <c r="U563" s="19"/>
      <c r="V563" s="19"/>
      <c r="W563" s="218">
        <v>1</v>
      </c>
      <c r="X563" s="218">
        <v>1</v>
      </c>
      <c r="Y563" s="218">
        <v>1</v>
      </c>
    </row>
    <row r="564" spans="1:25" x14ac:dyDescent="0.3">
      <c r="A564" s="1" t="s">
        <v>1651</v>
      </c>
      <c r="B564" s="102">
        <v>46151</v>
      </c>
      <c r="C564" s="6">
        <v>0.76041666666666696</v>
      </c>
      <c r="D564" s="1" t="s">
        <v>10</v>
      </c>
      <c r="E564" s="1" t="s">
        <v>11</v>
      </c>
      <c r="F564" s="1" t="s">
        <v>1652</v>
      </c>
      <c r="G564" s="39" t="s">
        <v>665</v>
      </c>
      <c r="H564" s="1">
        <v>3</v>
      </c>
      <c r="I564" s="1">
        <v>0</v>
      </c>
      <c r="J564" s="39" t="s">
        <v>1574</v>
      </c>
      <c r="K564" s="1">
        <v>0</v>
      </c>
      <c r="L564" s="1">
        <v>3</v>
      </c>
      <c r="S564" s="1" t="s">
        <v>9317</v>
      </c>
      <c r="T564" s="1">
        <v>1</v>
      </c>
      <c r="U564" s="19"/>
      <c r="V564" s="19"/>
      <c r="W564" s="218">
        <v>1</v>
      </c>
      <c r="X564" s="218">
        <v>1</v>
      </c>
      <c r="Y564" s="218">
        <v>1</v>
      </c>
    </row>
    <row r="565" spans="1:25" x14ac:dyDescent="0.3">
      <c r="A565" s="1" t="s">
        <v>1653</v>
      </c>
      <c r="B565" s="102">
        <v>46156</v>
      </c>
      <c r="C565" s="6">
        <v>0.875</v>
      </c>
      <c r="D565" s="1" t="s">
        <v>10</v>
      </c>
      <c r="E565" s="1" t="s">
        <v>11</v>
      </c>
      <c r="F565" s="1" t="s">
        <v>1654</v>
      </c>
      <c r="G565" s="39" t="s">
        <v>662</v>
      </c>
      <c r="H565" s="1">
        <v>2</v>
      </c>
      <c r="I565" s="1">
        <v>2</v>
      </c>
      <c r="J565" s="39" t="s">
        <v>665</v>
      </c>
      <c r="K565" s="1">
        <v>2</v>
      </c>
      <c r="L565" s="1">
        <v>2</v>
      </c>
      <c r="S565" s="1" t="s">
        <v>9318</v>
      </c>
      <c r="T565" s="1">
        <v>1</v>
      </c>
      <c r="U565" s="19"/>
      <c r="V565" s="19"/>
      <c r="W565" s="218">
        <v>1</v>
      </c>
      <c r="X565" s="218">
        <v>1</v>
      </c>
      <c r="Y565" s="218">
        <v>1</v>
      </c>
    </row>
    <row r="566" spans="1:25" ht="14.4" x14ac:dyDescent="0.3">
      <c r="A566" s="1" t="s">
        <v>1655</v>
      </c>
      <c r="B566" s="102">
        <v>46234</v>
      </c>
      <c r="C566" s="6">
        <v>0.66666666666666696</v>
      </c>
      <c r="D566" s="1" t="s">
        <v>10</v>
      </c>
      <c r="E566" s="1" t="s">
        <v>11</v>
      </c>
      <c r="F566" s="1" t="s">
        <v>1656</v>
      </c>
      <c r="G566" s="39" t="s">
        <v>677</v>
      </c>
      <c r="H566" s="1">
        <v>1</v>
      </c>
      <c r="I566" s="1">
        <v>1</v>
      </c>
      <c r="J566" s="39" t="s">
        <v>665</v>
      </c>
      <c r="K566" s="1">
        <v>1</v>
      </c>
      <c r="L566" s="1">
        <v>1</v>
      </c>
      <c r="S566" s="1" t="s">
        <v>9319</v>
      </c>
      <c r="T566">
        <v>1</v>
      </c>
      <c r="U566" s="19"/>
      <c r="V566" s="19"/>
      <c r="W566" s="218">
        <v>1</v>
      </c>
      <c r="X566" s="218">
        <v>1</v>
      </c>
      <c r="Y566" s="218">
        <v>1</v>
      </c>
    </row>
    <row r="567" spans="1:25" ht="14.4" x14ac:dyDescent="0.3">
      <c r="A567" s="1" t="s">
        <v>1657</v>
      </c>
      <c r="B567" s="102">
        <v>46241</v>
      </c>
      <c r="C567" s="6">
        <v>0.6875</v>
      </c>
      <c r="D567" s="1" t="s">
        <v>10</v>
      </c>
      <c r="E567" s="1" t="s">
        <v>11</v>
      </c>
      <c r="F567" s="1" t="s">
        <v>1658</v>
      </c>
      <c r="G567" s="39" t="s">
        <v>189</v>
      </c>
      <c r="H567" s="1">
        <v>1</v>
      </c>
      <c r="I567" s="1">
        <v>2</v>
      </c>
      <c r="J567" s="39" t="s">
        <v>225</v>
      </c>
      <c r="K567" s="1">
        <v>2</v>
      </c>
      <c r="L567" s="1">
        <v>1</v>
      </c>
      <c r="S567" s="1" t="s">
        <v>9320</v>
      </c>
      <c r="T567">
        <v>1</v>
      </c>
      <c r="U567" s="19"/>
      <c r="V567" s="19"/>
      <c r="W567" s="218">
        <v>1</v>
      </c>
      <c r="X567" s="218">
        <v>1</v>
      </c>
      <c r="Y567" s="218">
        <v>1</v>
      </c>
    </row>
    <row r="568" spans="1:25" x14ac:dyDescent="0.3">
      <c r="A568" s="1" t="s">
        <v>1659</v>
      </c>
      <c r="B568" s="102">
        <v>46117</v>
      </c>
      <c r="C568" s="6">
        <v>0.66666666666666696</v>
      </c>
      <c r="D568" s="1" t="s">
        <v>10</v>
      </c>
      <c r="E568" s="1" t="s">
        <v>11</v>
      </c>
      <c r="F568" s="1" t="s">
        <v>1660</v>
      </c>
      <c r="G568" s="39" t="s">
        <v>1574</v>
      </c>
      <c r="H568" s="1">
        <v>1</v>
      </c>
      <c r="I568" s="1">
        <v>2</v>
      </c>
      <c r="J568" s="39" t="s">
        <v>190</v>
      </c>
      <c r="K568" s="1">
        <v>2</v>
      </c>
      <c r="L568" s="1">
        <v>1</v>
      </c>
      <c r="S568" s="1" t="s">
        <v>9321</v>
      </c>
      <c r="T568" s="1">
        <v>1</v>
      </c>
      <c r="U568" s="19"/>
      <c r="V568" s="19"/>
      <c r="W568" s="218">
        <v>0</v>
      </c>
      <c r="X568" s="218">
        <v>0</v>
      </c>
      <c r="Y568" s="218">
        <v>0</v>
      </c>
    </row>
    <row r="569" spans="1:25" x14ac:dyDescent="0.3">
      <c r="A569" s="1" t="s">
        <v>1661</v>
      </c>
      <c r="B569" s="102">
        <v>46133</v>
      </c>
      <c r="C569" s="6">
        <v>0.66666666666666696</v>
      </c>
      <c r="D569" s="1" t="s">
        <v>10</v>
      </c>
      <c r="E569" s="1" t="s">
        <v>11</v>
      </c>
      <c r="F569" s="1" t="s">
        <v>1662</v>
      </c>
      <c r="G569" s="39" t="s">
        <v>677</v>
      </c>
      <c r="H569" s="1">
        <v>5</v>
      </c>
      <c r="I569" s="1">
        <v>2</v>
      </c>
      <c r="J569" s="39" t="s">
        <v>190</v>
      </c>
      <c r="K569" s="1">
        <v>2</v>
      </c>
      <c r="L569" s="1">
        <v>5</v>
      </c>
      <c r="S569" s="1" t="s">
        <v>9322</v>
      </c>
      <c r="T569" s="1">
        <v>1</v>
      </c>
      <c r="U569" s="19"/>
      <c r="V569" s="19"/>
      <c r="W569" s="218">
        <v>1</v>
      </c>
      <c r="X569" s="218">
        <v>1</v>
      </c>
      <c r="Y569" s="218">
        <v>1</v>
      </c>
    </row>
    <row r="570" spans="1:25" x14ac:dyDescent="0.3">
      <c r="A570" s="1" t="s">
        <v>1663</v>
      </c>
      <c r="B570" s="102">
        <v>46137</v>
      </c>
      <c r="C570" s="6">
        <v>0.76041666666666696</v>
      </c>
      <c r="D570" s="1" t="s">
        <v>10</v>
      </c>
      <c r="E570" s="1" t="s">
        <v>11</v>
      </c>
      <c r="F570" s="1" t="s">
        <v>1664</v>
      </c>
      <c r="G570" s="39" t="s">
        <v>190</v>
      </c>
      <c r="H570" s="1">
        <v>3</v>
      </c>
      <c r="I570" s="1">
        <v>2</v>
      </c>
      <c r="J570" s="39" t="s">
        <v>233</v>
      </c>
      <c r="K570" s="1">
        <v>2</v>
      </c>
      <c r="L570" s="1">
        <v>3</v>
      </c>
      <c r="S570" s="1" t="s">
        <v>9323</v>
      </c>
      <c r="T570" s="1">
        <v>1</v>
      </c>
      <c r="U570" s="19"/>
      <c r="V570" s="19"/>
      <c r="W570" s="218">
        <v>1</v>
      </c>
      <c r="X570" s="218">
        <v>1</v>
      </c>
      <c r="Y570" s="218">
        <v>1</v>
      </c>
    </row>
    <row r="571" spans="1:25" x14ac:dyDescent="0.3">
      <c r="A571" s="1" t="s">
        <v>1665</v>
      </c>
      <c r="B571" s="102">
        <v>46153</v>
      </c>
      <c r="C571" s="6">
        <v>0.66666666666666696</v>
      </c>
      <c r="D571" s="1" t="s">
        <v>10</v>
      </c>
      <c r="E571" s="1" t="s">
        <v>11</v>
      </c>
      <c r="F571" s="1" t="s">
        <v>1666</v>
      </c>
      <c r="G571" s="39" t="s">
        <v>190</v>
      </c>
      <c r="H571" s="1">
        <v>3</v>
      </c>
      <c r="I571" s="1">
        <v>1</v>
      </c>
      <c r="J571" s="39" t="s">
        <v>662</v>
      </c>
      <c r="K571" s="1">
        <v>1</v>
      </c>
      <c r="L571" s="1">
        <v>3</v>
      </c>
      <c r="S571" s="1" t="s">
        <v>9324</v>
      </c>
      <c r="T571" s="1">
        <v>1</v>
      </c>
      <c r="U571" s="19"/>
      <c r="V571" s="19"/>
      <c r="W571" s="218">
        <v>1</v>
      </c>
      <c r="X571" s="218">
        <v>1</v>
      </c>
      <c r="Y571" s="218">
        <v>1</v>
      </c>
    </row>
    <row r="572" spans="1:25" x14ac:dyDescent="0.3">
      <c r="A572" s="1" t="s">
        <v>1667</v>
      </c>
      <c r="B572" s="102">
        <v>46211</v>
      </c>
      <c r="C572" s="6">
        <v>0.875</v>
      </c>
      <c r="D572" s="1" t="s">
        <v>10</v>
      </c>
      <c r="E572" s="1" t="s">
        <v>11</v>
      </c>
      <c r="F572" s="1" t="s">
        <v>1668</v>
      </c>
      <c r="G572" s="39" t="s">
        <v>1553</v>
      </c>
      <c r="H572" s="1">
        <v>3</v>
      </c>
      <c r="I572" s="1">
        <v>1</v>
      </c>
      <c r="J572" s="39" t="s">
        <v>190</v>
      </c>
      <c r="K572" s="1">
        <v>1</v>
      </c>
      <c r="L572" s="1">
        <v>3</v>
      </c>
      <c r="S572" s="1" t="s">
        <v>9325</v>
      </c>
      <c r="T572" s="1">
        <v>1</v>
      </c>
      <c r="U572" s="19"/>
      <c r="V572" s="19"/>
      <c r="W572" s="218">
        <v>1</v>
      </c>
      <c r="X572" s="218">
        <v>1</v>
      </c>
      <c r="Y572" s="218">
        <v>1</v>
      </c>
    </row>
    <row r="573" spans="1:25" ht="14.4" x14ac:dyDescent="0.3">
      <c r="A573" s="1" t="s">
        <v>1669</v>
      </c>
      <c r="B573" s="102">
        <v>46241</v>
      </c>
      <c r="C573" s="6">
        <v>0.76041666666666696</v>
      </c>
      <c r="D573" s="1" t="s">
        <v>10</v>
      </c>
      <c r="E573" s="1" t="s">
        <v>11</v>
      </c>
      <c r="F573" s="1" t="s">
        <v>1670</v>
      </c>
      <c r="G573" s="39" t="s">
        <v>190</v>
      </c>
      <c r="H573" s="1">
        <v>0</v>
      </c>
      <c r="I573" s="1">
        <v>1</v>
      </c>
      <c r="J573" s="39" t="s">
        <v>665</v>
      </c>
      <c r="K573" s="1">
        <v>1</v>
      </c>
      <c r="L573" s="1">
        <v>0</v>
      </c>
      <c r="S573" s="1" t="s">
        <v>9326</v>
      </c>
      <c r="T573">
        <v>1</v>
      </c>
      <c r="U573" s="19"/>
      <c r="V573" s="19"/>
      <c r="W573" s="218">
        <v>1</v>
      </c>
      <c r="X573" s="218">
        <v>1</v>
      </c>
      <c r="Y573" s="218">
        <v>1</v>
      </c>
    </row>
    <row r="574" spans="1:25" x14ac:dyDescent="0.3">
      <c r="A574" s="1" t="s">
        <v>1671</v>
      </c>
      <c r="B574" s="102">
        <v>46218</v>
      </c>
      <c r="C574" s="6">
        <v>0.79166666666666696</v>
      </c>
      <c r="D574" s="1" t="s">
        <v>10</v>
      </c>
      <c r="E574" s="1" t="s">
        <v>11</v>
      </c>
      <c r="F574" s="1" t="s">
        <v>1672</v>
      </c>
      <c r="G574" s="39" t="s">
        <v>1553</v>
      </c>
      <c r="H574" s="1">
        <v>5</v>
      </c>
      <c r="I574" s="1">
        <v>0</v>
      </c>
      <c r="J574" s="39" t="s">
        <v>1092</v>
      </c>
      <c r="K574" s="1">
        <v>0</v>
      </c>
      <c r="L574" s="1">
        <v>5</v>
      </c>
      <c r="S574" s="1" t="s">
        <v>9327</v>
      </c>
      <c r="T574" s="1">
        <v>1</v>
      </c>
      <c r="U574" s="19"/>
      <c r="V574" s="19"/>
      <c r="W574" s="218">
        <v>1</v>
      </c>
      <c r="X574" s="218">
        <v>1</v>
      </c>
      <c r="Y574" s="218">
        <v>1</v>
      </c>
    </row>
    <row r="575" spans="1:25" ht="14.4" x14ac:dyDescent="0.3">
      <c r="A575" s="1" t="s">
        <v>1673</v>
      </c>
      <c r="B575" s="102">
        <v>46239</v>
      </c>
      <c r="C575" s="6">
        <v>0.66666666666666696</v>
      </c>
      <c r="D575" s="1" t="s">
        <v>10</v>
      </c>
      <c r="E575" s="1" t="s">
        <v>11</v>
      </c>
      <c r="F575" s="1" t="s">
        <v>1674</v>
      </c>
      <c r="G575" s="39" t="s">
        <v>1574</v>
      </c>
      <c r="H575" s="1">
        <v>0</v>
      </c>
      <c r="I575" s="1">
        <v>0</v>
      </c>
      <c r="J575" s="39" t="s">
        <v>1092</v>
      </c>
      <c r="K575" s="1">
        <v>0</v>
      </c>
      <c r="L575" s="1">
        <v>0</v>
      </c>
      <c r="S575" s="1" t="s">
        <v>9328</v>
      </c>
      <c r="T575">
        <v>1</v>
      </c>
      <c r="U575" s="19"/>
      <c r="V575" s="19"/>
      <c r="W575" s="218">
        <v>1</v>
      </c>
      <c r="X575" s="218">
        <v>1</v>
      </c>
      <c r="Y575" s="218">
        <v>1</v>
      </c>
    </row>
    <row r="576" spans="1:25" x14ac:dyDescent="0.3">
      <c r="A576" s="1" t="s">
        <v>1675</v>
      </c>
      <c r="B576" s="102">
        <v>46136</v>
      </c>
      <c r="C576" s="6">
        <v>0.875</v>
      </c>
      <c r="D576" s="1" t="s">
        <v>10</v>
      </c>
      <c r="E576" s="1" t="s">
        <v>11</v>
      </c>
      <c r="F576" s="1" t="s">
        <v>1676</v>
      </c>
      <c r="G576" s="39" t="s">
        <v>226</v>
      </c>
      <c r="H576" s="1">
        <v>2</v>
      </c>
      <c r="I576" s="1">
        <v>1</v>
      </c>
      <c r="J576" s="39" t="s">
        <v>677</v>
      </c>
      <c r="K576" s="1">
        <v>1</v>
      </c>
      <c r="L576" s="1">
        <v>2</v>
      </c>
      <c r="S576" s="1" t="s">
        <v>9329</v>
      </c>
      <c r="T576" s="1">
        <v>1</v>
      </c>
      <c r="U576" s="19"/>
      <c r="V576" s="19"/>
      <c r="W576" s="218">
        <v>1</v>
      </c>
      <c r="X576" s="218">
        <v>1</v>
      </c>
      <c r="Y576" s="218">
        <v>1</v>
      </c>
    </row>
    <row r="577" spans="1:25" x14ac:dyDescent="0.3">
      <c r="A577" s="1" t="s">
        <v>1677</v>
      </c>
      <c r="B577" s="102">
        <v>46155</v>
      </c>
      <c r="C577" s="6">
        <v>0.79166666666666696</v>
      </c>
      <c r="D577" s="1" t="s">
        <v>10</v>
      </c>
      <c r="E577" s="1" t="s">
        <v>11</v>
      </c>
      <c r="F577" s="1" t="s">
        <v>1678</v>
      </c>
      <c r="G577" s="39" t="s">
        <v>226</v>
      </c>
      <c r="H577" s="1">
        <v>3</v>
      </c>
      <c r="I577" s="1">
        <v>1</v>
      </c>
      <c r="J577" s="39" t="s">
        <v>233</v>
      </c>
      <c r="K577" s="1">
        <v>1</v>
      </c>
      <c r="L577" s="1">
        <v>3</v>
      </c>
      <c r="S577" s="1" t="s">
        <v>9330</v>
      </c>
      <c r="T577" s="1">
        <v>1</v>
      </c>
      <c r="U577" s="19"/>
      <c r="V577" s="19"/>
      <c r="W577" s="218">
        <v>1</v>
      </c>
      <c r="X577" s="218">
        <v>1</v>
      </c>
      <c r="Y577" s="218">
        <v>1</v>
      </c>
    </row>
    <row r="578" spans="1:25" x14ac:dyDescent="0.3">
      <c r="A578" s="1" t="s">
        <v>1679</v>
      </c>
      <c r="B578" s="102">
        <v>46224</v>
      </c>
      <c r="C578" s="6">
        <v>0.83333333333333304</v>
      </c>
      <c r="D578" s="1" t="s">
        <v>10</v>
      </c>
      <c r="E578" s="1" t="s">
        <v>11</v>
      </c>
      <c r="F578" s="1" t="s">
        <v>1680</v>
      </c>
      <c r="G578" s="39" t="s">
        <v>226</v>
      </c>
      <c r="H578" s="1">
        <v>1</v>
      </c>
      <c r="I578" s="1">
        <v>2</v>
      </c>
      <c r="J578" s="39" t="s">
        <v>1553</v>
      </c>
      <c r="K578" s="1">
        <v>2</v>
      </c>
      <c r="L578" s="1">
        <v>1</v>
      </c>
      <c r="S578" s="1" t="s">
        <v>9331</v>
      </c>
      <c r="T578" s="1">
        <v>1</v>
      </c>
      <c r="U578" s="19"/>
      <c r="V578" s="19"/>
      <c r="W578" s="218">
        <v>1</v>
      </c>
      <c r="X578" s="218">
        <v>1</v>
      </c>
      <c r="Y578" s="218">
        <v>1</v>
      </c>
    </row>
    <row r="579" spans="1:25" ht="14.4" x14ac:dyDescent="0.3">
      <c r="A579" s="1" t="s">
        <v>1681</v>
      </c>
      <c r="B579" s="102">
        <v>46228</v>
      </c>
      <c r="C579" s="6">
        <v>0.85416666666666696</v>
      </c>
      <c r="D579" s="1" t="s">
        <v>10</v>
      </c>
      <c r="E579" s="1" t="s">
        <v>11</v>
      </c>
      <c r="F579" s="1" t="s">
        <v>1682</v>
      </c>
      <c r="G579" s="39" t="s">
        <v>226</v>
      </c>
      <c r="H579" s="1">
        <v>1</v>
      </c>
      <c r="I579" s="1">
        <v>2</v>
      </c>
      <c r="J579" s="39" t="s">
        <v>662</v>
      </c>
      <c r="K579" s="1">
        <v>2</v>
      </c>
      <c r="L579" s="1">
        <v>1</v>
      </c>
      <c r="S579" s="1" t="s">
        <v>9332</v>
      </c>
      <c r="T579">
        <v>1</v>
      </c>
      <c r="U579" s="19"/>
      <c r="V579" s="19"/>
      <c r="W579" s="218">
        <v>1</v>
      </c>
      <c r="X579" s="218">
        <v>1</v>
      </c>
      <c r="Y579" s="218">
        <v>1</v>
      </c>
    </row>
    <row r="580" spans="1:25" x14ac:dyDescent="0.3">
      <c r="A580" s="1" t="s">
        <v>1683</v>
      </c>
      <c r="B580" s="102">
        <v>46123</v>
      </c>
      <c r="C580" s="6">
        <v>0.76041666666666696</v>
      </c>
      <c r="D580" s="1" t="s">
        <v>10</v>
      </c>
      <c r="E580" s="1" t="s">
        <v>11</v>
      </c>
      <c r="F580" s="1" t="s">
        <v>1684</v>
      </c>
      <c r="G580" s="39" t="s">
        <v>668</v>
      </c>
      <c r="H580" s="1">
        <v>1</v>
      </c>
      <c r="I580" s="1">
        <v>0</v>
      </c>
      <c r="J580" s="39" t="s">
        <v>677</v>
      </c>
      <c r="K580" s="1">
        <v>0</v>
      </c>
      <c r="L580" s="1">
        <v>1</v>
      </c>
      <c r="S580" s="1" t="s">
        <v>9333</v>
      </c>
      <c r="T580" s="1">
        <v>1</v>
      </c>
      <c r="U580" s="19"/>
      <c r="V580" s="19"/>
      <c r="W580" s="218">
        <v>0</v>
      </c>
      <c r="X580" s="218">
        <v>1</v>
      </c>
      <c r="Y580" s="218">
        <v>1</v>
      </c>
    </row>
    <row r="581" spans="1:25" ht="14.4" x14ac:dyDescent="0.3">
      <c r="A581" s="1" t="s">
        <v>1685</v>
      </c>
      <c r="B581" s="102">
        <v>46137</v>
      </c>
      <c r="C581" s="6">
        <v>0.66666666666666696</v>
      </c>
      <c r="D581" s="1" t="s">
        <v>10</v>
      </c>
      <c r="E581" s="1" t="s">
        <v>11</v>
      </c>
      <c r="F581" s="1" t="s">
        <v>1686</v>
      </c>
      <c r="G581" s="39" t="s">
        <v>668</v>
      </c>
      <c r="H581" s="1">
        <v>1</v>
      </c>
      <c r="I581" s="1">
        <v>1</v>
      </c>
      <c r="J581" s="39" t="s">
        <v>1574</v>
      </c>
      <c r="K581" s="1">
        <v>1</v>
      </c>
      <c r="L581" s="1">
        <v>1</v>
      </c>
      <c r="S581" s="1" t="s">
        <v>9334</v>
      </c>
      <c r="T581">
        <v>1</v>
      </c>
      <c r="U581" s="19"/>
      <c r="V581" s="19"/>
      <c r="W581" s="218">
        <v>1</v>
      </c>
      <c r="X581" s="218">
        <v>1</v>
      </c>
      <c r="Y581" s="218">
        <v>1</v>
      </c>
    </row>
    <row r="582" spans="1:25" x14ac:dyDescent="0.3">
      <c r="A582" s="1" t="s">
        <v>1687</v>
      </c>
      <c r="B582" s="102">
        <v>46117</v>
      </c>
      <c r="C582" s="6">
        <v>0.83333333333333304</v>
      </c>
      <c r="D582" s="1" t="s">
        <v>12</v>
      </c>
      <c r="E582" s="1" t="s">
        <v>13</v>
      </c>
      <c r="F582" s="1" t="s">
        <v>1688</v>
      </c>
      <c r="G582" s="39" t="s">
        <v>161</v>
      </c>
      <c r="H582" s="1">
        <v>1</v>
      </c>
      <c r="I582" s="1">
        <v>2</v>
      </c>
      <c r="J582" s="39" t="s">
        <v>151</v>
      </c>
      <c r="K582" s="1">
        <v>2</v>
      </c>
      <c r="L582" s="1">
        <v>1</v>
      </c>
      <c r="S582" s="1" t="s">
        <v>9335</v>
      </c>
      <c r="T582" s="1">
        <v>1</v>
      </c>
      <c r="U582" s="19"/>
      <c r="V582" s="19"/>
      <c r="W582" s="218">
        <v>0</v>
      </c>
      <c r="X582" s="218">
        <v>1</v>
      </c>
      <c r="Y582" s="218">
        <v>1</v>
      </c>
    </row>
    <row r="583" spans="1:25" x14ac:dyDescent="0.3">
      <c r="A583" s="1" t="s">
        <v>1689</v>
      </c>
      <c r="B583" s="102">
        <v>46124</v>
      </c>
      <c r="C583" s="6">
        <v>0.77083333333333304</v>
      </c>
      <c r="D583" s="1" t="s">
        <v>12</v>
      </c>
      <c r="E583" s="1" t="s">
        <v>13</v>
      </c>
      <c r="F583" s="1" t="s">
        <v>1690</v>
      </c>
      <c r="G583" s="39" t="s">
        <v>174</v>
      </c>
      <c r="H583" s="1">
        <v>0</v>
      </c>
      <c r="I583" s="1">
        <v>0</v>
      </c>
      <c r="J583" s="39" t="s">
        <v>151</v>
      </c>
      <c r="K583" s="1">
        <v>0</v>
      </c>
      <c r="L583" s="1">
        <v>0</v>
      </c>
      <c r="S583" s="1" t="s">
        <v>9336</v>
      </c>
      <c r="T583" s="1">
        <v>1</v>
      </c>
      <c r="U583" s="19"/>
      <c r="V583" s="19"/>
      <c r="W583" s="218">
        <v>1</v>
      </c>
      <c r="X583" s="218">
        <v>1</v>
      </c>
      <c r="Y583" s="218">
        <v>1</v>
      </c>
    </row>
    <row r="584" spans="1:25" x14ac:dyDescent="0.3">
      <c r="A584" s="1" t="s">
        <v>1691</v>
      </c>
      <c r="B584" s="102">
        <v>46131</v>
      </c>
      <c r="C584" s="6">
        <v>0.77083333333333304</v>
      </c>
      <c r="D584" s="1" t="s">
        <v>12</v>
      </c>
      <c r="E584" s="1" t="s">
        <v>13</v>
      </c>
      <c r="F584" s="1" t="s">
        <v>1692</v>
      </c>
      <c r="G584" s="39" t="s">
        <v>151</v>
      </c>
      <c r="H584" s="1">
        <v>1</v>
      </c>
      <c r="I584" s="1">
        <v>0</v>
      </c>
      <c r="J584" s="39" t="s">
        <v>502</v>
      </c>
      <c r="K584" s="1">
        <v>0</v>
      </c>
      <c r="L584" s="1">
        <v>1</v>
      </c>
      <c r="S584" s="1" t="s">
        <v>9337</v>
      </c>
      <c r="T584" s="1">
        <v>1</v>
      </c>
      <c r="U584" s="19"/>
      <c r="V584" s="19"/>
      <c r="W584" s="218">
        <v>1</v>
      </c>
      <c r="X584" s="218">
        <v>1</v>
      </c>
      <c r="Y584" s="218">
        <v>1</v>
      </c>
    </row>
    <row r="585" spans="1:25" ht="14.4" x14ac:dyDescent="0.3">
      <c r="A585" s="1" t="s">
        <v>1693</v>
      </c>
      <c r="B585" s="102">
        <v>46138</v>
      </c>
      <c r="C585" s="6">
        <v>0.77083333333333304</v>
      </c>
      <c r="D585" s="1" t="s">
        <v>12</v>
      </c>
      <c r="E585" s="1" t="s">
        <v>13</v>
      </c>
      <c r="F585" s="1" t="s">
        <v>1694</v>
      </c>
      <c r="G585" s="39" t="s">
        <v>1695</v>
      </c>
      <c r="H585" s="1">
        <v>0</v>
      </c>
      <c r="I585" s="1">
        <v>1</v>
      </c>
      <c r="J585" s="39" t="s">
        <v>151</v>
      </c>
      <c r="K585" s="1">
        <v>1</v>
      </c>
      <c r="L585" s="1">
        <v>0</v>
      </c>
      <c r="S585" s="1" t="s">
        <v>9338</v>
      </c>
      <c r="T585">
        <v>1</v>
      </c>
      <c r="U585" s="19"/>
      <c r="V585" s="19"/>
      <c r="W585" s="218">
        <v>1</v>
      </c>
      <c r="X585" s="218">
        <v>1</v>
      </c>
      <c r="Y585" s="218">
        <v>1</v>
      </c>
    </row>
    <row r="586" spans="1:25" x14ac:dyDescent="0.3">
      <c r="A586" s="1" t="s">
        <v>1696</v>
      </c>
      <c r="B586" s="102">
        <v>46117</v>
      </c>
      <c r="C586" s="6">
        <v>0.72916666666666696</v>
      </c>
      <c r="D586" s="1" t="s">
        <v>12</v>
      </c>
      <c r="E586" s="1" t="s">
        <v>13</v>
      </c>
      <c r="F586" s="1" t="s">
        <v>1697</v>
      </c>
      <c r="G586" s="39" t="s">
        <v>144</v>
      </c>
      <c r="H586" s="1">
        <v>3</v>
      </c>
      <c r="I586" s="1">
        <v>1</v>
      </c>
      <c r="J586" s="39" t="s">
        <v>479</v>
      </c>
      <c r="K586" s="1">
        <v>1</v>
      </c>
      <c r="L586" s="1">
        <v>3</v>
      </c>
      <c r="S586" s="1" t="s">
        <v>9339</v>
      </c>
      <c r="T586" s="1">
        <v>1</v>
      </c>
      <c r="U586" s="19"/>
      <c r="V586" s="19"/>
      <c r="W586" s="218">
        <v>1</v>
      </c>
      <c r="X586" s="218">
        <v>1</v>
      </c>
      <c r="Y586" s="218">
        <v>1</v>
      </c>
    </row>
    <row r="587" spans="1:25" x14ac:dyDescent="0.3">
      <c r="A587" s="1" t="s">
        <v>1698</v>
      </c>
      <c r="B587" s="102">
        <v>46124</v>
      </c>
      <c r="C587" s="6">
        <v>0.75</v>
      </c>
      <c r="D587" s="1" t="s">
        <v>12</v>
      </c>
      <c r="E587" s="1" t="s">
        <v>13</v>
      </c>
      <c r="F587" s="1" t="s">
        <v>1699</v>
      </c>
      <c r="G587" s="39" t="s">
        <v>160</v>
      </c>
      <c r="H587" s="1">
        <v>1</v>
      </c>
      <c r="I587" s="1">
        <v>2</v>
      </c>
      <c r="J587" s="39" t="s">
        <v>144</v>
      </c>
      <c r="K587" s="1">
        <v>2</v>
      </c>
      <c r="L587" s="1">
        <v>1</v>
      </c>
      <c r="S587" s="1" t="s">
        <v>9340</v>
      </c>
      <c r="T587" s="1">
        <v>1</v>
      </c>
      <c r="U587" s="19"/>
      <c r="V587" s="19"/>
      <c r="W587" s="218">
        <v>1</v>
      </c>
      <c r="X587" s="218">
        <v>1</v>
      </c>
      <c r="Y587" s="218">
        <v>1</v>
      </c>
    </row>
    <row r="588" spans="1:25" ht="14.4" x14ac:dyDescent="0.3">
      <c r="A588" s="1" t="s">
        <v>1700</v>
      </c>
      <c r="B588" s="102">
        <v>46131</v>
      </c>
      <c r="C588" s="6">
        <v>0.8125</v>
      </c>
      <c r="D588" s="1" t="s">
        <v>12</v>
      </c>
      <c r="E588" s="1" t="s">
        <v>13</v>
      </c>
      <c r="F588" s="1" t="s">
        <v>1701</v>
      </c>
      <c r="G588" s="39" t="s">
        <v>144</v>
      </c>
      <c r="H588" s="1">
        <v>2</v>
      </c>
      <c r="I588" s="1">
        <v>0</v>
      </c>
      <c r="J588" s="39" t="s">
        <v>161</v>
      </c>
      <c r="K588" s="1">
        <v>0</v>
      </c>
      <c r="L588" s="1">
        <v>2</v>
      </c>
      <c r="S588" s="1" t="s">
        <v>9341</v>
      </c>
      <c r="T588">
        <v>1</v>
      </c>
      <c r="U588" s="19"/>
      <c r="V588" s="19"/>
      <c r="W588" s="218">
        <v>1</v>
      </c>
      <c r="X588" s="218">
        <v>1</v>
      </c>
      <c r="Y588" s="218">
        <v>1</v>
      </c>
    </row>
    <row r="589" spans="1:25" x14ac:dyDescent="0.3">
      <c r="A589" s="1" t="s">
        <v>1702</v>
      </c>
      <c r="B589" s="102">
        <v>46116</v>
      </c>
      <c r="C589" s="6">
        <v>0.875</v>
      </c>
      <c r="D589" s="1" t="s">
        <v>12</v>
      </c>
      <c r="E589" s="1" t="s">
        <v>13</v>
      </c>
      <c r="F589" s="1" t="s">
        <v>1703</v>
      </c>
      <c r="G589" s="39" t="s">
        <v>227</v>
      </c>
      <c r="H589" s="1">
        <v>1</v>
      </c>
      <c r="I589" s="1">
        <v>2</v>
      </c>
      <c r="J589" s="39" t="s">
        <v>522</v>
      </c>
      <c r="K589" s="1">
        <v>2</v>
      </c>
      <c r="L589" s="1">
        <v>1</v>
      </c>
      <c r="S589" s="1" t="s">
        <v>9342</v>
      </c>
      <c r="T589" s="1">
        <v>1</v>
      </c>
      <c r="U589" s="19"/>
      <c r="V589" s="19"/>
      <c r="W589" s="218">
        <v>1</v>
      </c>
      <c r="X589" s="218">
        <v>1</v>
      </c>
      <c r="Y589" s="218">
        <v>1</v>
      </c>
    </row>
    <row r="590" spans="1:25" ht="14.4" x14ac:dyDescent="0.3">
      <c r="A590" s="1" t="s">
        <v>1704</v>
      </c>
      <c r="B590" s="102">
        <v>46124</v>
      </c>
      <c r="C590" s="6">
        <v>0.66666666666666696</v>
      </c>
      <c r="D590" s="1" t="s">
        <v>12</v>
      </c>
      <c r="E590" s="1" t="s">
        <v>13</v>
      </c>
      <c r="F590" s="1" t="s">
        <v>1705</v>
      </c>
      <c r="G590" s="39" t="s">
        <v>522</v>
      </c>
      <c r="H590" s="1">
        <v>2</v>
      </c>
      <c r="I590" s="1">
        <v>2</v>
      </c>
      <c r="J590" s="39" t="s">
        <v>177</v>
      </c>
      <c r="K590" s="1">
        <v>2</v>
      </c>
      <c r="L590" s="1">
        <v>2</v>
      </c>
      <c r="S590" s="1" t="s">
        <v>9343</v>
      </c>
      <c r="T590">
        <v>1</v>
      </c>
      <c r="U590" s="19"/>
      <c r="V590" s="19"/>
      <c r="W590" s="218">
        <v>1</v>
      </c>
      <c r="X590" s="218">
        <v>1</v>
      </c>
      <c r="Y590" s="218">
        <v>1</v>
      </c>
    </row>
    <row r="591" spans="1:25" x14ac:dyDescent="0.3">
      <c r="A591" s="1" t="s">
        <v>1706</v>
      </c>
      <c r="B591" s="102">
        <v>46116</v>
      </c>
      <c r="C591" s="6">
        <v>0.85416666666666696</v>
      </c>
      <c r="D591" s="1" t="s">
        <v>12</v>
      </c>
      <c r="E591" s="1" t="s">
        <v>13</v>
      </c>
      <c r="F591" s="1" t="s">
        <v>1707</v>
      </c>
      <c r="G591" s="39" t="s">
        <v>177</v>
      </c>
      <c r="H591" s="1">
        <v>1</v>
      </c>
      <c r="I591" s="1">
        <v>1</v>
      </c>
      <c r="J591" s="39" t="s">
        <v>160</v>
      </c>
      <c r="K591" s="1">
        <v>1</v>
      </c>
      <c r="L591" s="1">
        <v>1</v>
      </c>
      <c r="S591" s="1" t="s">
        <v>9344</v>
      </c>
      <c r="T591" s="1">
        <v>1</v>
      </c>
      <c r="U591" s="19"/>
      <c r="V591" s="19"/>
      <c r="W591" s="218">
        <v>1</v>
      </c>
      <c r="X591" s="218">
        <v>1</v>
      </c>
      <c r="Y591" s="218">
        <v>1</v>
      </c>
    </row>
    <row r="592" spans="1:25" x14ac:dyDescent="0.3">
      <c r="A592" s="1" t="s">
        <v>1708</v>
      </c>
      <c r="B592" s="102">
        <v>46131</v>
      </c>
      <c r="C592" s="6">
        <v>0.8125</v>
      </c>
      <c r="D592" s="1" t="s">
        <v>12</v>
      </c>
      <c r="E592" s="1" t="s">
        <v>13</v>
      </c>
      <c r="F592" s="1" t="s">
        <v>1709</v>
      </c>
      <c r="G592" s="39" t="s">
        <v>479</v>
      </c>
      <c r="H592" s="1">
        <v>2</v>
      </c>
      <c r="I592" s="1">
        <v>3</v>
      </c>
      <c r="J592" s="39" t="s">
        <v>160</v>
      </c>
      <c r="K592" s="1">
        <v>3</v>
      </c>
      <c r="L592" s="1">
        <v>2</v>
      </c>
      <c r="S592" s="1" t="s">
        <v>9345</v>
      </c>
      <c r="T592" s="1">
        <v>1</v>
      </c>
      <c r="U592" s="19"/>
      <c r="V592" s="19"/>
      <c r="W592" s="218">
        <v>1</v>
      </c>
      <c r="X592" s="218">
        <v>1</v>
      </c>
      <c r="Y592" s="218">
        <v>1</v>
      </c>
    </row>
    <row r="593" spans="1:25" x14ac:dyDescent="0.3">
      <c r="A593" s="1" t="s">
        <v>1710</v>
      </c>
      <c r="B593" s="102">
        <v>46138</v>
      </c>
      <c r="C593" s="6">
        <v>0.85416666666666696</v>
      </c>
      <c r="D593" s="1" t="s">
        <v>12</v>
      </c>
      <c r="E593" s="1" t="s">
        <v>13</v>
      </c>
      <c r="F593" s="1" t="s">
        <v>1711</v>
      </c>
      <c r="G593" s="39" t="s">
        <v>160</v>
      </c>
      <c r="H593" s="1">
        <v>2</v>
      </c>
      <c r="I593" s="1">
        <v>1</v>
      </c>
      <c r="J593" s="39" t="s">
        <v>488</v>
      </c>
      <c r="K593" s="1">
        <v>1</v>
      </c>
      <c r="L593" s="1">
        <v>2</v>
      </c>
      <c r="S593" s="1" t="s">
        <v>9346</v>
      </c>
      <c r="T593" s="1">
        <v>1</v>
      </c>
      <c r="U593" s="19"/>
      <c r="V593" s="19"/>
      <c r="W593" s="218">
        <v>1</v>
      </c>
      <c r="X593" s="218">
        <v>1</v>
      </c>
      <c r="Y593" s="218">
        <v>1</v>
      </c>
    </row>
    <row r="594" spans="1:25" x14ac:dyDescent="0.3">
      <c r="A594" s="1" t="s">
        <v>1712</v>
      </c>
      <c r="B594" s="102">
        <v>46145</v>
      </c>
      <c r="C594" s="6">
        <v>0.77083333333333304</v>
      </c>
      <c r="D594" s="1" t="s">
        <v>12</v>
      </c>
      <c r="E594" s="1" t="s">
        <v>13</v>
      </c>
      <c r="F594" s="1" t="s">
        <v>1713</v>
      </c>
      <c r="G594" s="39" t="s">
        <v>143</v>
      </c>
      <c r="H594" s="1">
        <v>2</v>
      </c>
      <c r="I594" s="1">
        <v>0</v>
      </c>
      <c r="J594" s="39" t="s">
        <v>160</v>
      </c>
      <c r="K594" s="1">
        <v>0</v>
      </c>
      <c r="L594" s="1">
        <v>2</v>
      </c>
      <c r="S594" s="1" t="s">
        <v>9347</v>
      </c>
      <c r="T594" s="1">
        <v>1</v>
      </c>
      <c r="U594" s="19"/>
      <c r="V594" s="19"/>
      <c r="W594" s="218">
        <v>1</v>
      </c>
      <c r="X594" s="218">
        <v>1</v>
      </c>
      <c r="Y594" s="218">
        <v>1</v>
      </c>
    </row>
    <row r="595" spans="1:25" x14ac:dyDescent="0.3">
      <c r="A595" s="1" t="s">
        <v>1714</v>
      </c>
      <c r="B595" s="102">
        <v>46151</v>
      </c>
      <c r="C595" s="6">
        <v>0.75</v>
      </c>
      <c r="D595" s="1" t="s">
        <v>12</v>
      </c>
      <c r="E595" s="1" t="s">
        <v>13</v>
      </c>
      <c r="F595" s="1" t="s">
        <v>1715</v>
      </c>
      <c r="G595" s="39" t="s">
        <v>160</v>
      </c>
      <c r="H595" s="1">
        <v>2</v>
      </c>
      <c r="I595" s="1">
        <v>2</v>
      </c>
      <c r="J595" s="39" t="s">
        <v>150</v>
      </c>
      <c r="K595" s="1">
        <v>2</v>
      </c>
      <c r="L595" s="1">
        <v>2</v>
      </c>
      <c r="S595" s="1" t="s">
        <v>9348</v>
      </c>
      <c r="T595" s="1">
        <v>1</v>
      </c>
      <c r="U595" s="19"/>
      <c r="V595" s="19"/>
      <c r="W595" s="218">
        <v>1</v>
      </c>
      <c r="X595" s="218">
        <v>1</v>
      </c>
      <c r="Y595" s="218">
        <v>1</v>
      </c>
    </row>
    <row r="596" spans="1:25" x14ac:dyDescent="0.3">
      <c r="A596" s="1" t="s">
        <v>1716</v>
      </c>
      <c r="B596" s="102">
        <v>46158</v>
      </c>
      <c r="C596" s="6">
        <v>0.79166666666666696</v>
      </c>
      <c r="D596" s="1" t="s">
        <v>12</v>
      </c>
      <c r="E596" s="1" t="s">
        <v>13</v>
      </c>
      <c r="F596" s="1" t="s">
        <v>1717</v>
      </c>
      <c r="G596" s="39" t="s">
        <v>160</v>
      </c>
      <c r="H596" s="1">
        <v>2</v>
      </c>
      <c r="I596" s="1">
        <v>1</v>
      </c>
      <c r="J596" s="39" t="s">
        <v>509</v>
      </c>
      <c r="K596" s="1">
        <v>1</v>
      </c>
      <c r="L596" s="1">
        <v>2</v>
      </c>
      <c r="S596" s="1" t="s">
        <v>9349</v>
      </c>
      <c r="T596" s="1">
        <v>1</v>
      </c>
      <c r="U596" s="19"/>
      <c r="V596" s="19"/>
      <c r="W596" s="218">
        <v>1</v>
      </c>
      <c r="X596" s="218">
        <v>1</v>
      </c>
      <c r="Y596" s="218">
        <v>1</v>
      </c>
    </row>
    <row r="597" spans="1:25" x14ac:dyDescent="0.3">
      <c r="A597" s="1" t="s">
        <v>1718</v>
      </c>
      <c r="B597" s="102">
        <v>46165</v>
      </c>
      <c r="C597" s="6">
        <v>0.79166666666666696</v>
      </c>
      <c r="D597" s="1" t="s">
        <v>12</v>
      </c>
      <c r="E597" s="1" t="s">
        <v>13</v>
      </c>
      <c r="F597" s="1" t="s">
        <v>1719</v>
      </c>
      <c r="G597" s="39" t="s">
        <v>135</v>
      </c>
      <c r="H597" s="1">
        <v>1</v>
      </c>
      <c r="I597" s="1">
        <v>0</v>
      </c>
      <c r="J597" s="39" t="s">
        <v>160</v>
      </c>
      <c r="K597" s="1">
        <v>0</v>
      </c>
      <c r="L597" s="1">
        <v>1</v>
      </c>
      <c r="S597" s="1" t="s">
        <v>9350</v>
      </c>
      <c r="T597" s="1">
        <v>1</v>
      </c>
      <c r="U597" s="19"/>
      <c r="V597" s="19"/>
      <c r="W597" s="218">
        <v>1</v>
      </c>
      <c r="X597" s="218">
        <v>1</v>
      </c>
      <c r="Y597" s="218">
        <v>1</v>
      </c>
    </row>
    <row r="598" spans="1:25" x14ac:dyDescent="0.3">
      <c r="A598" s="1" t="s">
        <v>1720</v>
      </c>
      <c r="B598" s="102">
        <v>46173</v>
      </c>
      <c r="C598" s="6">
        <v>0.85416666666666696</v>
      </c>
      <c r="D598" s="1" t="s">
        <v>12</v>
      </c>
      <c r="E598" s="1" t="s">
        <v>13</v>
      </c>
      <c r="F598" s="1" t="s">
        <v>1721</v>
      </c>
      <c r="G598" s="39" t="s">
        <v>178</v>
      </c>
      <c r="H598" s="1">
        <v>1</v>
      </c>
      <c r="I598" s="1">
        <v>1</v>
      </c>
      <c r="J598" s="39" t="s">
        <v>160</v>
      </c>
      <c r="K598" s="1">
        <v>1</v>
      </c>
      <c r="L598" s="1">
        <v>1</v>
      </c>
      <c r="S598" s="1" t="s">
        <v>9351</v>
      </c>
      <c r="T598" s="1">
        <v>1</v>
      </c>
      <c r="U598" s="19"/>
      <c r="V598" s="19"/>
      <c r="W598" s="218">
        <v>1</v>
      </c>
      <c r="X598" s="218">
        <v>1</v>
      </c>
      <c r="Y598" s="218">
        <v>1</v>
      </c>
    </row>
    <row r="599" spans="1:25" x14ac:dyDescent="0.3">
      <c r="A599" s="1" t="s">
        <v>1722</v>
      </c>
      <c r="B599" s="102">
        <v>46220</v>
      </c>
      <c r="C599" s="6">
        <v>0.83333333333333304</v>
      </c>
      <c r="D599" s="1" t="s">
        <v>12</v>
      </c>
      <c r="E599" s="1" t="s">
        <v>13</v>
      </c>
      <c r="F599" s="1" t="s">
        <v>1723</v>
      </c>
      <c r="G599" s="39" t="s">
        <v>160</v>
      </c>
      <c r="H599" s="1">
        <v>1</v>
      </c>
      <c r="I599" s="1">
        <v>1</v>
      </c>
      <c r="J599" s="39" t="s">
        <v>1695</v>
      </c>
      <c r="K599" s="1">
        <v>1</v>
      </c>
      <c r="L599" s="1">
        <v>1</v>
      </c>
      <c r="S599" s="1" t="s">
        <v>9352</v>
      </c>
      <c r="T599" s="1">
        <v>1</v>
      </c>
      <c r="U599" s="19"/>
      <c r="V599" s="19"/>
      <c r="W599" s="218">
        <v>1</v>
      </c>
      <c r="X599" s="218">
        <v>1</v>
      </c>
      <c r="Y599" s="218">
        <v>1</v>
      </c>
    </row>
    <row r="600" spans="1:25" ht="14.4" x14ac:dyDescent="0.3">
      <c r="A600" s="1" t="s">
        <v>1724</v>
      </c>
      <c r="B600" s="102">
        <v>46229</v>
      </c>
      <c r="C600" s="6">
        <v>0.77083333333333304</v>
      </c>
      <c r="D600" s="1" t="s">
        <v>12</v>
      </c>
      <c r="E600" s="1" t="s">
        <v>13</v>
      </c>
      <c r="F600" s="1" t="s">
        <v>1725</v>
      </c>
      <c r="G600" s="39" t="s">
        <v>499</v>
      </c>
      <c r="H600" s="1">
        <v>1</v>
      </c>
      <c r="I600" s="1">
        <v>1</v>
      </c>
      <c r="J600" s="39" t="s">
        <v>160</v>
      </c>
      <c r="K600" s="1">
        <v>1</v>
      </c>
      <c r="L600" s="1">
        <v>1</v>
      </c>
      <c r="S600" s="1" t="s">
        <v>9353</v>
      </c>
      <c r="T600">
        <v>1</v>
      </c>
      <c r="U600" s="19"/>
      <c r="V600" s="19"/>
      <c r="W600" s="218">
        <v>1</v>
      </c>
      <c r="X600" s="218">
        <v>1</v>
      </c>
      <c r="Y600" s="218">
        <v>1</v>
      </c>
    </row>
    <row r="601" spans="1:25" x14ac:dyDescent="0.3">
      <c r="A601" s="1" t="s">
        <v>1726</v>
      </c>
      <c r="B601" s="102">
        <v>46115</v>
      </c>
      <c r="C601" s="6">
        <v>0.89583333333333304</v>
      </c>
      <c r="D601" s="1" t="s">
        <v>12</v>
      </c>
      <c r="E601" s="1" t="s">
        <v>13</v>
      </c>
      <c r="F601" s="1" t="s">
        <v>1727</v>
      </c>
      <c r="G601" s="39" t="s">
        <v>151</v>
      </c>
      <c r="H601" s="1">
        <v>2</v>
      </c>
      <c r="I601" s="1">
        <v>1</v>
      </c>
      <c r="J601" s="39" t="s">
        <v>499</v>
      </c>
      <c r="K601" s="1">
        <v>1</v>
      </c>
      <c r="L601" s="1">
        <v>2</v>
      </c>
      <c r="S601" s="1" t="s">
        <v>9354</v>
      </c>
      <c r="T601" s="1">
        <v>1</v>
      </c>
      <c r="U601" s="19"/>
      <c r="V601" s="19"/>
      <c r="W601" s="218">
        <v>0</v>
      </c>
      <c r="X601" s="218">
        <v>1</v>
      </c>
      <c r="Y601" s="218">
        <v>1</v>
      </c>
    </row>
    <row r="602" spans="1:25" x14ac:dyDescent="0.3">
      <c r="A602" s="1" t="s">
        <v>1728</v>
      </c>
      <c r="B602" s="102">
        <v>46117</v>
      </c>
      <c r="C602" s="6">
        <v>0.85416666666666696</v>
      </c>
      <c r="D602" s="1" t="s">
        <v>12</v>
      </c>
      <c r="E602" s="1" t="s">
        <v>13</v>
      </c>
      <c r="F602" s="1" t="s">
        <v>1729</v>
      </c>
      <c r="G602" s="39" t="s">
        <v>499</v>
      </c>
      <c r="H602" s="1">
        <v>0</v>
      </c>
      <c r="I602" s="1">
        <v>0</v>
      </c>
      <c r="J602" s="39" t="s">
        <v>136</v>
      </c>
      <c r="K602" s="1">
        <v>0</v>
      </c>
      <c r="L602" s="1">
        <v>0</v>
      </c>
      <c r="S602" s="1" t="s">
        <v>9355</v>
      </c>
      <c r="T602" s="1">
        <v>1</v>
      </c>
      <c r="U602" s="19"/>
      <c r="V602" s="19"/>
      <c r="W602" s="218">
        <v>1</v>
      </c>
      <c r="X602" s="218">
        <v>1</v>
      </c>
      <c r="Y602" s="218">
        <v>1</v>
      </c>
    </row>
    <row r="603" spans="1:25" x14ac:dyDescent="0.3">
      <c r="A603" s="1" t="s">
        <v>1730</v>
      </c>
      <c r="B603" s="102">
        <v>46123</v>
      </c>
      <c r="C603" s="6">
        <v>0.85416666666666696</v>
      </c>
      <c r="D603" s="1" t="s">
        <v>12</v>
      </c>
      <c r="E603" s="1" t="s">
        <v>13</v>
      </c>
      <c r="F603" s="1" t="s">
        <v>1731</v>
      </c>
      <c r="G603" s="39" t="s">
        <v>143</v>
      </c>
      <c r="H603" s="1">
        <v>0</v>
      </c>
      <c r="I603" s="1">
        <v>0</v>
      </c>
      <c r="J603" s="39" t="s">
        <v>499</v>
      </c>
      <c r="K603" s="1">
        <v>0</v>
      </c>
      <c r="L603" s="1">
        <v>0</v>
      </c>
      <c r="S603" s="1" t="s">
        <v>9356</v>
      </c>
      <c r="T603" s="1">
        <v>1</v>
      </c>
      <c r="U603" s="19"/>
      <c r="V603" s="19"/>
      <c r="W603" s="218">
        <v>1</v>
      </c>
      <c r="X603" s="218">
        <v>1</v>
      </c>
      <c r="Y603" s="218">
        <v>1</v>
      </c>
    </row>
    <row r="604" spans="1:25" x14ac:dyDescent="0.3">
      <c r="A604" s="1" t="s">
        <v>1732</v>
      </c>
      <c r="B604" s="102">
        <v>46130</v>
      </c>
      <c r="C604" s="6">
        <v>0.77083333333333304</v>
      </c>
      <c r="D604" s="1" t="s">
        <v>12</v>
      </c>
      <c r="E604" s="1" t="s">
        <v>13</v>
      </c>
      <c r="F604" s="1" t="s">
        <v>1733</v>
      </c>
      <c r="G604" s="39" t="s">
        <v>178</v>
      </c>
      <c r="H604" s="1">
        <v>2</v>
      </c>
      <c r="I604" s="1">
        <v>0</v>
      </c>
      <c r="J604" s="39" t="s">
        <v>499</v>
      </c>
      <c r="K604" s="1">
        <v>0</v>
      </c>
      <c r="L604" s="1">
        <v>2</v>
      </c>
      <c r="S604" s="1" t="s">
        <v>9357</v>
      </c>
      <c r="T604" s="1">
        <v>1</v>
      </c>
      <c r="U604" s="19"/>
      <c r="V604" s="19"/>
      <c r="W604" s="218">
        <v>1</v>
      </c>
      <c r="X604" s="218">
        <v>1</v>
      </c>
      <c r="Y604" s="218">
        <v>1</v>
      </c>
    </row>
    <row r="605" spans="1:25" x14ac:dyDescent="0.3">
      <c r="A605" s="1" t="s">
        <v>1734</v>
      </c>
      <c r="B605" s="102">
        <v>46138</v>
      </c>
      <c r="C605" s="6">
        <v>0.66666666666666696</v>
      </c>
      <c r="D605" s="1" t="s">
        <v>12</v>
      </c>
      <c r="E605" s="1" t="s">
        <v>13</v>
      </c>
      <c r="F605" s="1" t="s">
        <v>1735</v>
      </c>
      <c r="G605" s="39" t="s">
        <v>499</v>
      </c>
      <c r="H605" s="1">
        <v>1</v>
      </c>
      <c r="I605" s="1">
        <v>0</v>
      </c>
      <c r="J605" s="39" t="s">
        <v>177</v>
      </c>
      <c r="K605" s="1">
        <v>0</v>
      </c>
      <c r="L605" s="1">
        <v>1</v>
      </c>
      <c r="S605" s="1" t="s">
        <v>9358</v>
      </c>
      <c r="T605" s="1">
        <v>1</v>
      </c>
      <c r="U605" s="19"/>
      <c r="V605" s="19"/>
      <c r="W605" s="218">
        <v>1</v>
      </c>
      <c r="X605" s="218">
        <v>1</v>
      </c>
      <c r="Y605" s="218">
        <v>1</v>
      </c>
    </row>
    <row r="606" spans="1:25" x14ac:dyDescent="0.3">
      <c r="A606" s="1" t="s">
        <v>1736</v>
      </c>
      <c r="B606" s="102">
        <v>46144</v>
      </c>
      <c r="C606" s="6">
        <v>0.85416666666666696</v>
      </c>
      <c r="D606" s="1" t="s">
        <v>12</v>
      </c>
      <c r="E606" s="1" t="s">
        <v>13</v>
      </c>
      <c r="F606" s="1" t="s">
        <v>1737</v>
      </c>
      <c r="G606" s="39" t="s">
        <v>502</v>
      </c>
      <c r="H606" s="1">
        <v>0</v>
      </c>
      <c r="I606" s="1">
        <v>0</v>
      </c>
      <c r="J606" s="39" t="s">
        <v>499</v>
      </c>
      <c r="K606" s="1">
        <v>0</v>
      </c>
      <c r="L606" s="1">
        <v>0</v>
      </c>
      <c r="S606" s="1" t="s">
        <v>9359</v>
      </c>
      <c r="T606" s="1">
        <v>1</v>
      </c>
      <c r="U606" s="19"/>
      <c r="V606" s="19"/>
      <c r="W606" s="218">
        <v>1</v>
      </c>
      <c r="X606" s="218">
        <v>1</v>
      </c>
      <c r="Y606" s="218">
        <v>1</v>
      </c>
    </row>
    <row r="607" spans="1:25" x14ac:dyDescent="0.3">
      <c r="A607" s="1" t="s">
        <v>1738</v>
      </c>
      <c r="B607" s="102">
        <v>46159</v>
      </c>
      <c r="C607" s="6">
        <v>0.66666666666666696</v>
      </c>
      <c r="D607" s="1" t="s">
        <v>12</v>
      </c>
      <c r="E607" s="1" t="s">
        <v>13</v>
      </c>
      <c r="F607" s="1" t="s">
        <v>1739</v>
      </c>
      <c r="G607" s="39" t="s">
        <v>161</v>
      </c>
      <c r="H607" s="1">
        <v>1</v>
      </c>
      <c r="I607" s="1">
        <v>1</v>
      </c>
      <c r="J607" s="39" t="s">
        <v>499</v>
      </c>
      <c r="K607" s="1">
        <v>1</v>
      </c>
      <c r="L607" s="1">
        <v>1</v>
      </c>
      <c r="S607" s="1" t="s">
        <v>9360</v>
      </c>
      <c r="T607" s="1">
        <v>1</v>
      </c>
      <c r="U607" s="19"/>
      <c r="V607" s="19"/>
      <c r="W607" s="218">
        <v>1</v>
      </c>
      <c r="X607" s="218">
        <v>1</v>
      </c>
      <c r="Y607" s="218">
        <v>1</v>
      </c>
    </row>
    <row r="608" spans="1:25" x14ac:dyDescent="0.3">
      <c r="A608" s="1" t="s">
        <v>1740</v>
      </c>
      <c r="B608" s="102">
        <v>46165</v>
      </c>
      <c r="C608" s="6">
        <v>0.79166666666666696</v>
      </c>
      <c r="D608" s="1" t="s">
        <v>12</v>
      </c>
      <c r="E608" s="1" t="s">
        <v>13</v>
      </c>
      <c r="F608" s="1" t="s">
        <v>1741</v>
      </c>
      <c r="G608" s="39" t="s">
        <v>499</v>
      </c>
      <c r="H608" s="1">
        <v>3</v>
      </c>
      <c r="I608" s="1">
        <v>2</v>
      </c>
      <c r="J608" s="39" t="s">
        <v>479</v>
      </c>
      <c r="K608" s="1">
        <v>2</v>
      </c>
      <c r="L608" s="1">
        <v>3</v>
      </c>
      <c r="S608" s="1" t="s">
        <v>9361</v>
      </c>
      <c r="T608" s="1">
        <v>1</v>
      </c>
      <c r="U608" s="19"/>
      <c r="V608" s="19"/>
      <c r="W608" s="218">
        <v>1</v>
      </c>
      <c r="X608" s="218">
        <v>1</v>
      </c>
      <c r="Y608" s="218">
        <v>1</v>
      </c>
    </row>
    <row r="609" spans="1:25" x14ac:dyDescent="0.3">
      <c r="A609" s="1" t="s">
        <v>1742</v>
      </c>
      <c r="B609" s="102">
        <v>46172</v>
      </c>
      <c r="C609" s="6">
        <v>0.72916666666666696</v>
      </c>
      <c r="D609" s="1" t="s">
        <v>12</v>
      </c>
      <c r="E609" s="1" t="s">
        <v>13</v>
      </c>
      <c r="F609" s="1" t="s">
        <v>1743</v>
      </c>
      <c r="G609" s="39" t="s">
        <v>499</v>
      </c>
      <c r="H609" s="1">
        <v>1</v>
      </c>
      <c r="I609" s="1">
        <v>3</v>
      </c>
      <c r="J609" s="39" t="s">
        <v>174</v>
      </c>
      <c r="K609" s="1">
        <v>3</v>
      </c>
      <c r="L609" s="1">
        <v>1</v>
      </c>
      <c r="S609" s="1" t="s">
        <v>9362</v>
      </c>
      <c r="T609" s="1">
        <v>1</v>
      </c>
      <c r="U609" s="19"/>
      <c r="V609" s="19"/>
      <c r="W609" s="218">
        <v>1</v>
      </c>
      <c r="X609" s="218">
        <v>1</v>
      </c>
      <c r="Y609" s="218">
        <v>1</v>
      </c>
    </row>
    <row r="610" spans="1:25" ht="14.4" x14ac:dyDescent="0.3">
      <c r="A610" s="1" t="s">
        <v>1744</v>
      </c>
      <c r="B610" s="102">
        <v>46220</v>
      </c>
      <c r="C610" s="6">
        <v>0.83333333333333304</v>
      </c>
      <c r="D610" s="1" t="s">
        <v>12</v>
      </c>
      <c r="E610" s="1" t="s">
        <v>13</v>
      </c>
      <c r="F610" s="1" t="s">
        <v>1745</v>
      </c>
      <c r="G610" s="39" t="s">
        <v>135</v>
      </c>
      <c r="H610" s="1">
        <v>2</v>
      </c>
      <c r="I610" s="1">
        <v>1</v>
      </c>
      <c r="J610" s="39" t="s">
        <v>499</v>
      </c>
      <c r="K610" s="1">
        <v>1</v>
      </c>
      <c r="L610" s="1">
        <v>2</v>
      </c>
      <c r="S610" s="1" t="s">
        <v>9363</v>
      </c>
      <c r="T610">
        <v>1</v>
      </c>
      <c r="U610" s="19"/>
      <c r="V610" s="19"/>
      <c r="W610" s="218">
        <v>1</v>
      </c>
      <c r="X610" s="218">
        <v>1</v>
      </c>
      <c r="Y610" s="218">
        <v>1</v>
      </c>
    </row>
    <row r="611" spans="1:25" x14ac:dyDescent="0.3">
      <c r="A611" s="1" t="s">
        <v>1746</v>
      </c>
      <c r="B611" s="102">
        <v>46113</v>
      </c>
      <c r="C611" s="6">
        <v>0.8125</v>
      </c>
      <c r="D611" s="1" t="s">
        <v>12</v>
      </c>
      <c r="E611" s="1" t="s">
        <v>13</v>
      </c>
      <c r="F611" s="1" t="s">
        <v>1747</v>
      </c>
      <c r="G611" s="39" t="s">
        <v>143</v>
      </c>
      <c r="H611" s="1">
        <v>1</v>
      </c>
      <c r="I611" s="1">
        <v>1</v>
      </c>
      <c r="J611" s="39" t="s">
        <v>509</v>
      </c>
      <c r="K611" s="1">
        <v>1</v>
      </c>
      <c r="L611" s="1">
        <v>1</v>
      </c>
      <c r="S611" s="1" t="s">
        <v>9364</v>
      </c>
      <c r="T611" s="1">
        <v>1</v>
      </c>
      <c r="U611" s="19"/>
      <c r="V611" s="19"/>
      <c r="W611" s="218">
        <v>0</v>
      </c>
      <c r="X611" s="218">
        <v>1</v>
      </c>
      <c r="Y611" s="218">
        <v>1</v>
      </c>
    </row>
    <row r="612" spans="1:25" x14ac:dyDescent="0.3">
      <c r="A612" s="1" t="s">
        <v>1748</v>
      </c>
      <c r="B612" s="102">
        <v>46116</v>
      </c>
      <c r="C612" s="6">
        <v>0.77083333333333304</v>
      </c>
      <c r="D612" s="1" t="s">
        <v>12</v>
      </c>
      <c r="E612" s="1" t="s">
        <v>13</v>
      </c>
      <c r="F612" s="1" t="s">
        <v>1749</v>
      </c>
      <c r="G612" s="39" t="s">
        <v>509</v>
      </c>
      <c r="H612" s="1">
        <v>4</v>
      </c>
      <c r="I612" s="1">
        <v>1</v>
      </c>
      <c r="J612" s="39" t="s">
        <v>178</v>
      </c>
      <c r="K612" s="1">
        <v>1</v>
      </c>
      <c r="L612" s="1">
        <v>4</v>
      </c>
      <c r="S612" s="1" t="s">
        <v>9365</v>
      </c>
      <c r="T612" s="1">
        <v>1</v>
      </c>
      <c r="U612" s="19"/>
      <c r="V612" s="19"/>
      <c r="W612" s="218">
        <v>1</v>
      </c>
      <c r="X612" s="218">
        <v>1</v>
      </c>
      <c r="Y612" s="218">
        <v>1</v>
      </c>
    </row>
    <row r="613" spans="1:25" x14ac:dyDescent="0.3">
      <c r="A613" s="1" t="s">
        <v>1750</v>
      </c>
      <c r="B613" s="102">
        <v>46123</v>
      </c>
      <c r="C613" s="6">
        <v>0.6875</v>
      </c>
      <c r="D613" s="1" t="s">
        <v>12</v>
      </c>
      <c r="E613" s="1" t="s">
        <v>13</v>
      </c>
      <c r="F613" s="1" t="s">
        <v>1751</v>
      </c>
      <c r="G613" s="39" t="s">
        <v>150</v>
      </c>
      <c r="H613" s="1">
        <v>2</v>
      </c>
      <c r="I613" s="1">
        <v>0</v>
      </c>
      <c r="J613" s="39" t="s">
        <v>509</v>
      </c>
      <c r="K613" s="1">
        <v>0</v>
      </c>
      <c r="L613" s="1">
        <v>2</v>
      </c>
      <c r="S613" s="1" t="s">
        <v>9366</v>
      </c>
      <c r="T613" s="1">
        <v>1</v>
      </c>
      <c r="U613" s="19"/>
      <c r="V613" s="19"/>
      <c r="W613" s="218">
        <v>1</v>
      </c>
      <c r="X613" s="218">
        <v>1</v>
      </c>
      <c r="Y613" s="218">
        <v>1</v>
      </c>
    </row>
    <row r="614" spans="1:25" x14ac:dyDescent="0.3">
      <c r="A614" s="1" t="s">
        <v>1752</v>
      </c>
      <c r="B614" s="102">
        <v>46130</v>
      </c>
      <c r="C614" s="6">
        <v>0.77083333333333304</v>
      </c>
      <c r="D614" s="1" t="s">
        <v>12</v>
      </c>
      <c r="E614" s="1" t="s">
        <v>13</v>
      </c>
      <c r="F614" s="1" t="s">
        <v>1753</v>
      </c>
      <c r="G614" s="39" t="s">
        <v>227</v>
      </c>
      <c r="H614" s="1">
        <v>2</v>
      </c>
      <c r="I614" s="1">
        <v>1</v>
      </c>
      <c r="J614" s="39" t="s">
        <v>509</v>
      </c>
      <c r="K614" s="1">
        <v>1</v>
      </c>
      <c r="L614" s="1">
        <v>2</v>
      </c>
      <c r="S614" s="1" t="s">
        <v>9367</v>
      </c>
      <c r="T614" s="1">
        <v>1</v>
      </c>
      <c r="U614" s="19"/>
      <c r="V614" s="19"/>
      <c r="W614" s="218">
        <v>1</v>
      </c>
      <c r="X614" s="218">
        <v>1</v>
      </c>
      <c r="Y614" s="218">
        <v>1</v>
      </c>
    </row>
    <row r="615" spans="1:25" x14ac:dyDescent="0.3">
      <c r="A615" s="1" t="s">
        <v>1754</v>
      </c>
      <c r="B615" s="102">
        <v>46137</v>
      </c>
      <c r="C615" s="6">
        <v>0.77083333333333304</v>
      </c>
      <c r="D615" s="1" t="s">
        <v>12</v>
      </c>
      <c r="E615" s="1" t="s">
        <v>13</v>
      </c>
      <c r="F615" s="1" t="s">
        <v>1755</v>
      </c>
      <c r="G615" s="39" t="s">
        <v>509</v>
      </c>
      <c r="H615" s="1">
        <v>1</v>
      </c>
      <c r="I615" s="1">
        <v>0</v>
      </c>
      <c r="J615" s="39" t="s">
        <v>135</v>
      </c>
      <c r="K615" s="1">
        <v>0</v>
      </c>
      <c r="L615" s="1">
        <v>1</v>
      </c>
      <c r="S615" s="1" t="s">
        <v>9368</v>
      </c>
      <c r="T615" s="1">
        <v>1</v>
      </c>
      <c r="U615" s="19"/>
      <c r="V615" s="19"/>
      <c r="W615" s="218">
        <v>1</v>
      </c>
      <c r="X615" s="218">
        <v>1</v>
      </c>
      <c r="Y615" s="218">
        <v>1</v>
      </c>
    </row>
    <row r="616" spans="1:25" x14ac:dyDescent="0.3">
      <c r="A616" s="1" t="s">
        <v>1756</v>
      </c>
      <c r="B616" s="102">
        <v>46145</v>
      </c>
      <c r="C616" s="6">
        <v>0.70833333333333304</v>
      </c>
      <c r="D616" s="1" t="s">
        <v>12</v>
      </c>
      <c r="E616" s="1" t="s">
        <v>13</v>
      </c>
      <c r="F616" s="1" t="s">
        <v>1757</v>
      </c>
      <c r="G616" s="39" t="s">
        <v>509</v>
      </c>
      <c r="H616" s="1">
        <v>2</v>
      </c>
      <c r="I616" s="1">
        <v>2</v>
      </c>
      <c r="J616" s="39" t="s">
        <v>161</v>
      </c>
      <c r="K616" s="1">
        <v>2</v>
      </c>
      <c r="L616" s="1">
        <v>2</v>
      </c>
      <c r="S616" s="1" t="s">
        <v>9369</v>
      </c>
      <c r="T616" s="1">
        <v>1</v>
      </c>
      <c r="U616" s="19"/>
      <c r="V616" s="19"/>
      <c r="W616" s="218">
        <v>1</v>
      </c>
      <c r="X616" s="218">
        <v>1</v>
      </c>
      <c r="Y616" s="218">
        <v>1</v>
      </c>
    </row>
    <row r="617" spans="1:25" x14ac:dyDescent="0.3">
      <c r="A617" s="1" t="s">
        <v>1758</v>
      </c>
      <c r="B617" s="102">
        <v>46152</v>
      </c>
      <c r="C617" s="6">
        <v>0.77083333333333304</v>
      </c>
      <c r="D617" s="1" t="s">
        <v>12</v>
      </c>
      <c r="E617" s="1" t="s">
        <v>13</v>
      </c>
      <c r="F617" s="1" t="s">
        <v>1759</v>
      </c>
      <c r="G617" s="39" t="s">
        <v>174</v>
      </c>
      <c r="H617" s="1">
        <v>3</v>
      </c>
      <c r="I617" s="1">
        <v>2</v>
      </c>
      <c r="J617" s="39" t="s">
        <v>509</v>
      </c>
      <c r="K617" s="1">
        <v>2</v>
      </c>
      <c r="L617" s="1">
        <v>3</v>
      </c>
      <c r="S617" s="1" t="s">
        <v>9370</v>
      </c>
      <c r="T617" s="1">
        <v>1</v>
      </c>
      <c r="U617" s="19"/>
      <c r="V617" s="19"/>
      <c r="W617" s="218">
        <v>1</v>
      </c>
      <c r="X617" s="218">
        <v>1</v>
      </c>
      <c r="Y617" s="218">
        <v>1</v>
      </c>
    </row>
    <row r="618" spans="1:25" x14ac:dyDescent="0.3">
      <c r="A618" s="1" t="s">
        <v>1760</v>
      </c>
      <c r="B618" s="102">
        <v>46173</v>
      </c>
      <c r="C618" s="6">
        <v>0.85416666666666696</v>
      </c>
      <c r="D618" s="1" t="s">
        <v>12</v>
      </c>
      <c r="E618" s="1" t="s">
        <v>13</v>
      </c>
      <c r="F618" s="1" t="s">
        <v>1761</v>
      </c>
      <c r="G618" s="39" t="s">
        <v>136</v>
      </c>
      <c r="H618" s="1">
        <v>1</v>
      </c>
      <c r="I618" s="1">
        <v>0</v>
      </c>
      <c r="J618" s="39" t="s">
        <v>509</v>
      </c>
      <c r="K618" s="1">
        <v>0</v>
      </c>
      <c r="L618" s="1">
        <v>1</v>
      </c>
      <c r="S618" s="1" t="s">
        <v>9371</v>
      </c>
      <c r="T618" s="1">
        <v>1</v>
      </c>
      <c r="U618" s="19"/>
      <c r="V618" s="19"/>
      <c r="W618" s="218">
        <v>1</v>
      </c>
      <c r="X618" s="218">
        <v>1</v>
      </c>
      <c r="Y618" s="218">
        <v>1</v>
      </c>
    </row>
    <row r="619" spans="1:25" ht="14.4" x14ac:dyDescent="0.3">
      <c r="A619" s="1" t="s">
        <v>1762</v>
      </c>
      <c r="B619" s="102">
        <v>46225</v>
      </c>
      <c r="C619" s="6">
        <v>0.89583333333333304</v>
      </c>
      <c r="D619" s="1" t="s">
        <v>12</v>
      </c>
      <c r="E619" s="1" t="s">
        <v>13</v>
      </c>
      <c r="F619" s="1" t="s">
        <v>1763</v>
      </c>
      <c r="G619" s="39" t="s">
        <v>509</v>
      </c>
      <c r="H619" s="1">
        <v>1</v>
      </c>
      <c r="I619" s="1">
        <v>2</v>
      </c>
      <c r="J619" s="39" t="s">
        <v>502</v>
      </c>
      <c r="K619" s="1">
        <v>2</v>
      </c>
      <c r="L619" s="1">
        <v>1</v>
      </c>
      <c r="S619" s="1" t="s">
        <v>9372</v>
      </c>
      <c r="T619">
        <v>1</v>
      </c>
      <c r="U619" s="19"/>
      <c r="V619" s="19"/>
      <c r="W619" s="218">
        <v>1</v>
      </c>
      <c r="X619" s="218">
        <v>1</v>
      </c>
      <c r="Y619" s="218">
        <v>1</v>
      </c>
    </row>
    <row r="620" spans="1:25" x14ac:dyDescent="0.3">
      <c r="A620" s="1" t="s">
        <v>1764</v>
      </c>
      <c r="B620" s="102">
        <v>46131</v>
      </c>
      <c r="C620" s="6">
        <v>0.66666666666666696</v>
      </c>
      <c r="D620" s="1" t="s">
        <v>12</v>
      </c>
      <c r="E620" s="1" t="s">
        <v>13</v>
      </c>
      <c r="F620" s="1" t="s">
        <v>1765</v>
      </c>
      <c r="G620" s="39" t="s">
        <v>177</v>
      </c>
      <c r="H620" s="1">
        <v>2</v>
      </c>
      <c r="I620" s="1">
        <v>0</v>
      </c>
      <c r="J620" s="39" t="s">
        <v>493</v>
      </c>
      <c r="K620" s="1">
        <v>0</v>
      </c>
      <c r="L620" s="1">
        <v>2</v>
      </c>
      <c r="S620" s="1" t="s">
        <v>9373</v>
      </c>
      <c r="T620" s="1">
        <v>1</v>
      </c>
      <c r="U620" s="19"/>
      <c r="V620" s="19"/>
      <c r="W620" s="218">
        <v>1</v>
      </c>
      <c r="X620" s="218">
        <v>1</v>
      </c>
      <c r="Y620" s="218">
        <v>1</v>
      </c>
    </row>
    <row r="621" spans="1:25" x14ac:dyDescent="0.3">
      <c r="A621" s="1" t="s">
        <v>1766</v>
      </c>
      <c r="B621" s="102">
        <v>46144</v>
      </c>
      <c r="C621" s="6">
        <v>0.83333333333333304</v>
      </c>
      <c r="D621" s="1" t="s">
        <v>12</v>
      </c>
      <c r="E621" s="1" t="s">
        <v>13</v>
      </c>
      <c r="F621" s="1" t="s">
        <v>1767</v>
      </c>
      <c r="G621" s="39" t="s">
        <v>150</v>
      </c>
      <c r="H621" s="1">
        <v>4</v>
      </c>
      <c r="I621" s="1">
        <v>1</v>
      </c>
      <c r="J621" s="39" t="s">
        <v>177</v>
      </c>
      <c r="K621" s="1">
        <v>1</v>
      </c>
      <c r="L621" s="1">
        <v>4</v>
      </c>
      <c r="S621" s="1" t="s">
        <v>9374</v>
      </c>
      <c r="T621" s="1">
        <v>1</v>
      </c>
      <c r="U621" s="19"/>
      <c r="V621" s="19"/>
      <c r="W621" s="218">
        <v>1</v>
      </c>
      <c r="X621" s="218">
        <v>1</v>
      </c>
      <c r="Y621" s="218">
        <v>1</v>
      </c>
    </row>
    <row r="622" spans="1:25" x14ac:dyDescent="0.3">
      <c r="A622" s="1" t="s">
        <v>1768</v>
      </c>
      <c r="B622" s="102">
        <v>46151</v>
      </c>
      <c r="C622" s="6">
        <v>0.66666666666666696</v>
      </c>
      <c r="D622" s="1" t="s">
        <v>12</v>
      </c>
      <c r="E622" s="1" t="s">
        <v>13</v>
      </c>
      <c r="F622" s="1" t="s">
        <v>1769</v>
      </c>
      <c r="G622" s="39" t="s">
        <v>177</v>
      </c>
      <c r="H622" s="1">
        <v>2</v>
      </c>
      <c r="I622" s="1">
        <v>2</v>
      </c>
      <c r="J622" s="39" t="s">
        <v>143</v>
      </c>
      <c r="K622" s="1">
        <v>2</v>
      </c>
      <c r="L622" s="1">
        <v>2</v>
      </c>
      <c r="S622" s="1" t="s">
        <v>9375</v>
      </c>
      <c r="T622" s="1">
        <v>1</v>
      </c>
      <c r="U622" s="19"/>
      <c r="V622" s="19"/>
      <c r="W622" s="218">
        <v>1</v>
      </c>
      <c r="X622" s="218">
        <v>1</v>
      </c>
      <c r="Y622" s="218">
        <v>1</v>
      </c>
    </row>
    <row r="623" spans="1:25" x14ac:dyDescent="0.3">
      <c r="A623" s="1" t="s">
        <v>1770</v>
      </c>
      <c r="B623" s="102">
        <v>46159</v>
      </c>
      <c r="C623" s="6">
        <v>0.77083333333333304</v>
      </c>
      <c r="D623" s="1" t="s">
        <v>12</v>
      </c>
      <c r="E623" s="1" t="s">
        <v>13</v>
      </c>
      <c r="F623" s="1" t="s">
        <v>1771</v>
      </c>
      <c r="G623" s="39" t="s">
        <v>479</v>
      </c>
      <c r="H623" s="1">
        <v>0</v>
      </c>
      <c r="I623" s="1">
        <v>3</v>
      </c>
      <c r="J623" s="39" t="s">
        <v>177</v>
      </c>
      <c r="K623" s="1">
        <v>3</v>
      </c>
      <c r="L623" s="1">
        <v>0</v>
      </c>
      <c r="S623" s="1" t="s">
        <v>9376</v>
      </c>
      <c r="T623" s="1">
        <v>1</v>
      </c>
      <c r="U623" s="19"/>
      <c r="V623" s="19"/>
      <c r="W623" s="218">
        <v>1</v>
      </c>
      <c r="X623" s="218">
        <v>1</v>
      </c>
      <c r="Y623" s="218">
        <v>1</v>
      </c>
    </row>
    <row r="624" spans="1:25" x14ac:dyDescent="0.3">
      <c r="A624" s="1" t="s">
        <v>1772</v>
      </c>
      <c r="B624" s="102">
        <v>46167</v>
      </c>
      <c r="C624" s="6">
        <v>0.83333333333333304</v>
      </c>
      <c r="D624" s="1" t="s">
        <v>12</v>
      </c>
      <c r="E624" s="1" t="s">
        <v>13</v>
      </c>
      <c r="F624" s="1" t="s">
        <v>1773</v>
      </c>
      <c r="G624" s="39" t="s">
        <v>177</v>
      </c>
      <c r="H624" s="1">
        <v>3</v>
      </c>
      <c r="I624" s="1">
        <v>2</v>
      </c>
      <c r="J624" s="39" t="s">
        <v>161</v>
      </c>
      <c r="K624" s="1">
        <v>2</v>
      </c>
      <c r="L624" s="1">
        <v>3</v>
      </c>
      <c r="S624" s="1" t="s">
        <v>9377</v>
      </c>
      <c r="T624" s="1">
        <v>1</v>
      </c>
      <c r="U624" s="19"/>
      <c r="V624" s="19"/>
      <c r="W624" s="218">
        <v>1</v>
      </c>
      <c r="X624" s="218">
        <v>1</v>
      </c>
      <c r="Y624" s="218">
        <v>1</v>
      </c>
    </row>
    <row r="625" spans="1:25" ht="14.4" x14ac:dyDescent="0.3">
      <c r="A625" s="1" t="s">
        <v>1774</v>
      </c>
      <c r="B625" s="102">
        <v>46229</v>
      </c>
      <c r="C625" s="6">
        <v>0.77083333333333304</v>
      </c>
      <c r="D625" s="1" t="s">
        <v>12</v>
      </c>
      <c r="E625" s="1" t="s">
        <v>13</v>
      </c>
      <c r="F625" s="1" t="s">
        <v>1775</v>
      </c>
      <c r="G625" s="39" t="s">
        <v>1695</v>
      </c>
      <c r="H625" s="1">
        <v>0</v>
      </c>
      <c r="I625" s="1">
        <v>0</v>
      </c>
      <c r="J625" s="39" t="s">
        <v>177</v>
      </c>
      <c r="K625" s="1">
        <v>0</v>
      </c>
      <c r="L625" s="1">
        <v>0</v>
      </c>
      <c r="S625" s="1" t="s">
        <v>9378</v>
      </c>
      <c r="T625">
        <v>1</v>
      </c>
      <c r="U625" s="19"/>
      <c r="V625" s="19"/>
      <c r="W625" s="218">
        <v>1</v>
      </c>
      <c r="X625" s="218">
        <v>1</v>
      </c>
      <c r="Y625" s="218">
        <v>1</v>
      </c>
    </row>
    <row r="626" spans="1:25" x14ac:dyDescent="0.3">
      <c r="A626" s="1" t="s">
        <v>1776</v>
      </c>
      <c r="B626" s="102">
        <v>46124</v>
      </c>
      <c r="C626" s="6">
        <v>0.45833333333333298</v>
      </c>
      <c r="D626" s="1" t="s">
        <v>12</v>
      </c>
      <c r="E626" s="1" t="s">
        <v>13</v>
      </c>
      <c r="F626" s="1" t="s">
        <v>1777</v>
      </c>
      <c r="G626" s="39" t="s">
        <v>502</v>
      </c>
      <c r="H626" s="1">
        <v>2</v>
      </c>
      <c r="I626" s="1">
        <v>0</v>
      </c>
      <c r="J626" s="39" t="s">
        <v>488</v>
      </c>
      <c r="K626" s="1">
        <v>0</v>
      </c>
      <c r="L626" s="1">
        <v>2</v>
      </c>
      <c r="S626" s="1" t="s">
        <v>9379</v>
      </c>
      <c r="T626" s="1">
        <v>1</v>
      </c>
      <c r="U626" s="19"/>
      <c r="V626" s="19"/>
      <c r="W626" s="218">
        <v>1</v>
      </c>
      <c r="X626" s="218">
        <v>1</v>
      </c>
      <c r="Y626" s="218">
        <v>1</v>
      </c>
    </row>
    <row r="627" spans="1:25" x14ac:dyDescent="0.3">
      <c r="A627" s="1" t="s">
        <v>1778</v>
      </c>
      <c r="B627" s="102">
        <v>46145</v>
      </c>
      <c r="C627" s="6">
        <v>0.77083333333333304</v>
      </c>
      <c r="D627" s="1" t="s">
        <v>12</v>
      </c>
      <c r="E627" s="1" t="s">
        <v>13</v>
      </c>
      <c r="F627" s="1" t="s">
        <v>1779</v>
      </c>
      <c r="G627" s="39" t="s">
        <v>488</v>
      </c>
      <c r="H627" s="1">
        <v>1</v>
      </c>
      <c r="I627" s="1">
        <v>2</v>
      </c>
      <c r="J627" s="39" t="s">
        <v>1695</v>
      </c>
      <c r="K627" s="1">
        <v>2</v>
      </c>
      <c r="L627" s="1">
        <v>1</v>
      </c>
      <c r="S627" s="1" t="s">
        <v>9380</v>
      </c>
      <c r="T627" s="1">
        <v>1</v>
      </c>
      <c r="U627" s="19"/>
      <c r="V627" s="19"/>
      <c r="W627" s="218">
        <v>1</v>
      </c>
      <c r="X627" s="218">
        <v>1</v>
      </c>
      <c r="Y627" s="218">
        <v>1</v>
      </c>
    </row>
    <row r="628" spans="1:25" x14ac:dyDescent="0.3">
      <c r="A628" s="1" t="s">
        <v>1780</v>
      </c>
      <c r="B628" s="102">
        <v>46152</v>
      </c>
      <c r="C628" s="6">
        <v>0.77083333333333304</v>
      </c>
      <c r="D628" s="1" t="s">
        <v>12</v>
      </c>
      <c r="E628" s="1" t="s">
        <v>13</v>
      </c>
      <c r="F628" s="1" t="s">
        <v>1781</v>
      </c>
      <c r="G628" s="39" t="s">
        <v>135</v>
      </c>
      <c r="H628" s="1">
        <v>1</v>
      </c>
      <c r="I628" s="1">
        <v>1</v>
      </c>
      <c r="J628" s="39" t="s">
        <v>488</v>
      </c>
      <c r="K628" s="1">
        <v>1</v>
      </c>
      <c r="L628" s="1">
        <v>1</v>
      </c>
      <c r="S628" s="1" t="s">
        <v>9381</v>
      </c>
      <c r="T628" s="1">
        <v>1</v>
      </c>
      <c r="U628" s="19"/>
      <c r="V628" s="19"/>
      <c r="W628" s="218">
        <v>1</v>
      </c>
      <c r="X628" s="218">
        <v>1</v>
      </c>
      <c r="Y628" s="218">
        <v>1</v>
      </c>
    </row>
    <row r="629" spans="1:25" x14ac:dyDescent="0.3">
      <c r="A629" s="1" t="s">
        <v>1782</v>
      </c>
      <c r="B629" s="102">
        <v>46159</v>
      </c>
      <c r="C629" s="6">
        <v>0.77083333333333304</v>
      </c>
      <c r="D629" s="1" t="s">
        <v>12</v>
      </c>
      <c r="E629" s="1" t="s">
        <v>13</v>
      </c>
      <c r="F629" s="1" t="s">
        <v>1783</v>
      </c>
      <c r="G629" s="39" t="s">
        <v>488</v>
      </c>
      <c r="H629" s="1">
        <v>2</v>
      </c>
      <c r="I629" s="1">
        <v>3</v>
      </c>
      <c r="J629" s="39" t="s">
        <v>136</v>
      </c>
      <c r="K629" s="1">
        <v>3</v>
      </c>
      <c r="L629" s="1">
        <v>2</v>
      </c>
      <c r="S629" s="1" t="s">
        <v>9382</v>
      </c>
      <c r="T629" s="1">
        <v>1</v>
      </c>
      <c r="U629" s="19"/>
      <c r="V629" s="19"/>
      <c r="W629" s="218">
        <v>1</v>
      </c>
      <c r="X629" s="218">
        <v>1</v>
      </c>
      <c r="Y629" s="218">
        <v>1</v>
      </c>
    </row>
    <row r="630" spans="1:25" x14ac:dyDescent="0.3">
      <c r="A630" s="1" t="s">
        <v>1784</v>
      </c>
      <c r="B630" s="102">
        <v>46166</v>
      </c>
      <c r="C630" s="6">
        <v>0.66666666666666696</v>
      </c>
      <c r="D630" s="1" t="s">
        <v>12</v>
      </c>
      <c r="E630" s="1" t="s">
        <v>13</v>
      </c>
      <c r="F630" s="1" t="s">
        <v>1785</v>
      </c>
      <c r="G630" s="39" t="s">
        <v>178</v>
      </c>
      <c r="H630" s="1">
        <v>2</v>
      </c>
      <c r="I630" s="1">
        <v>1</v>
      </c>
      <c r="J630" s="39" t="s">
        <v>488</v>
      </c>
      <c r="K630" s="1">
        <v>1</v>
      </c>
      <c r="L630" s="1">
        <v>2</v>
      </c>
      <c r="S630" s="1" t="s">
        <v>9383</v>
      </c>
      <c r="T630" s="1">
        <v>1</v>
      </c>
      <c r="U630" s="19"/>
      <c r="V630" s="19"/>
      <c r="W630" s="218">
        <v>1</v>
      </c>
      <c r="X630" s="218">
        <v>1</v>
      </c>
      <c r="Y630" s="218">
        <v>1</v>
      </c>
    </row>
    <row r="631" spans="1:25" x14ac:dyDescent="0.3">
      <c r="A631" s="1" t="s">
        <v>1786</v>
      </c>
      <c r="B631" s="102">
        <v>46220</v>
      </c>
      <c r="C631" s="6">
        <v>0.8125</v>
      </c>
      <c r="D631" s="1" t="s">
        <v>12</v>
      </c>
      <c r="E631" s="1" t="s">
        <v>13</v>
      </c>
      <c r="F631" s="1" t="s">
        <v>1787</v>
      </c>
      <c r="G631" s="39" t="s">
        <v>161</v>
      </c>
      <c r="H631" s="1">
        <v>2</v>
      </c>
      <c r="I631" s="1">
        <v>0</v>
      </c>
      <c r="J631" s="39" t="s">
        <v>488</v>
      </c>
      <c r="K631" s="1">
        <v>0</v>
      </c>
      <c r="L631" s="1">
        <v>2</v>
      </c>
      <c r="S631" s="1" t="s">
        <v>9384</v>
      </c>
      <c r="T631" s="1">
        <v>1</v>
      </c>
      <c r="U631" s="19"/>
      <c r="V631" s="19"/>
      <c r="W631" s="218">
        <v>1</v>
      </c>
      <c r="X631" s="218">
        <v>1</v>
      </c>
      <c r="Y631" s="218">
        <v>1</v>
      </c>
    </row>
    <row r="632" spans="1:25" ht="14.4" x14ac:dyDescent="0.3">
      <c r="A632" s="1" t="s">
        <v>1788</v>
      </c>
      <c r="B632" s="102">
        <v>46228</v>
      </c>
      <c r="C632" s="6">
        <v>0.77083333333333304</v>
      </c>
      <c r="D632" s="1" t="s">
        <v>12</v>
      </c>
      <c r="E632" s="1" t="s">
        <v>13</v>
      </c>
      <c r="F632" s="1" t="s">
        <v>1789</v>
      </c>
      <c r="G632" s="39" t="s">
        <v>479</v>
      </c>
      <c r="H632" s="1">
        <v>2</v>
      </c>
      <c r="I632" s="1">
        <v>2</v>
      </c>
      <c r="J632" s="39" t="s">
        <v>488</v>
      </c>
      <c r="K632" s="1">
        <v>2</v>
      </c>
      <c r="L632" s="1">
        <v>2</v>
      </c>
      <c r="S632" s="1" t="s">
        <v>9385</v>
      </c>
      <c r="T632">
        <v>1</v>
      </c>
      <c r="U632" s="19"/>
      <c r="V632" s="19"/>
      <c r="W632" s="218">
        <v>1</v>
      </c>
      <c r="X632" s="218">
        <v>1</v>
      </c>
      <c r="Y632" s="218">
        <v>1</v>
      </c>
    </row>
    <row r="633" spans="1:25" ht="14.4" x14ac:dyDescent="0.3">
      <c r="A633" s="1" t="s">
        <v>1790</v>
      </c>
      <c r="B633" s="102">
        <v>46117</v>
      </c>
      <c r="C633" s="6">
        <v>0.66666666666666696</v>
      </c>
      <c r="D633" s="1" t="s">
        <v>12</v>
      </c>
      <c r="E633" s="1" t="s">
        <v>13</v>
      </c>
      <c r="F633" s="1" t="s">
        <v>1791</v>
      </c>
      <c r="G633" s="39" t="s">
        <v>488</v>
      </c>
      <c r="H633" s="1">
        <v>1</v>
      </c>
      <c r="I633" s="1">
        <v>1</v>
      </c>
      <c r="J633" s="39" t="s">
        <v>150</v>
      </c>
      <c r="K633" s="1">
        <v>1</v>
      </c>
      <c r="L633" s="1">
        <v>1</v>
      </c>
      <c r="S633" s="1" t="s">
        <v>9386</v>
      </c>
      <c r="T633">
        <v>1</v>
      </c>
      <c r="U633" s="19"/>
      <c r="V633" s="19"/>
      <c r="W633" s="218">
        <v>1</v>
      </c>
      <c r="X633" s="218">
        <v>0</v>
      </c>
      <c r="Y633" s="218">
        <v>1</v>
      </c>
    </row>
    <row r="634" spans="1:25" x14ac:dyDescent="0.3">
      <c r="A634" s="1" t="s">
        <v>1792</v>
      </c>
      <c r="B634" s="102">
        <v>46123</v>
      </c>
      <c r="C634" s="6">
        <v>0.6875</v>
      </c>
      <c r="D634" s="1" t="s">
        <v>12</v>
      </c>
      <c r="E634" s="1" t="s">
        <v>13</v>
      </c>
      <c r="F634" s="1" t="s">
        <v>1793</v>
      </c>
      <c r="G634" s="39" t="s">
        <v>136</v>
      </c>
      <c r="H634" s="1">
        <v>1</v>
      </c>
      <c r="I634" s="1">
        <v>1</v>
      </c>
      <c r="J634" s="39" t="s">
        <v>227</v>
      </c>
      <c r="K634" s="1">
        <v>1</v>
      </c>
      <c r="L634" s="1">
        <v>1</v>
      </c>
      <c r="S634" s="1" t="s">
        <v>9387</v>
      </c>
      <c r="T634" s="1">
        <v>1</v>
      </c>
      <c r="U634" s="19"/>
      <c r="V634" s="19"/>
      <c r="W634" s="218">
        <v>1</v>
      </c>
      <c r="X634" s="218">
        <v>1</v>
      </c>
      <c r="Y634" s="218">
        <v>1</v>
      </c>
    </row>
    <row r="635" spans="1:25" x14ac:dyDescent="0.3">
      <c r="A635" s="1" t="s">
        <v>1794</v>
      </c>
      <c r="B635" s="102">
        <v>46131</v>
      </c>
      <c r="C635" s="6">
        <v>0.77083333333333304</v>
      </c>
      <c r="D635" s="1" t="s">
        <v>12</v>
      </c>
      <c r="E635" s="1" t="s">
        <v>13</v>
      </c>
      <c r="F635" s="1" t="s">
        <v>1795</v>
      </c>
      <c r="G635" s="39" t="s">
        <v>1695</v>
      </c>
      <c r="H635" s="1">
        <v>4</v>
      </c>
      <c r="I635" s="1">
        <v>2</v>
      </c>
      <c r="J635" s="39" t="s">
        <v>136</v>
      </c>
      <c r="K635" s="1">
        <v>2</v>
      </c>
      <c r="L635" s="1">
        <v>4</v>
      </c>
      <c r="S635" s="1" t="s">
        <v>9388</v>
      </c>
      <c r="T635" s="1">
        <v>1</v>
      </c>
      <c r="U635" s="19"/>
      <c r="V635" s="19"/>
      <c r="W635" s="218">
        <v>1</v>
      </c>
      <c r="X635" s="218">
        <v>1</v>
      </c>
      <c r="Y635" s="218">
        <v>1</v>
      </c>
    </row>
    <row r="636" spans="1:25" x14ac:dyDescent="0.3">
      <c r="A636" s="1" t="s">
        <v>1796</v>
      </c>
      <c r="B636" s="102">
        <v>46137</v>
      </c>
      <c r="C636" s="6">
        <v>0.77083333333333304</v>
      </c>
      <c r="D636" s="1" t="s">
        <v>12</v>
      </c>
      <c r="E636" s="1" t="s">
        <v>13</v>
      </c>
      <c r="F636" s="1" t="s">
        <v>1797</v>
      </c>
      <c r="G636" s="39" t="s">
        <v>136</v>
      </c>
      <c r="H636" s="1">
        <v>0</v>
      </c>
      <c r="I636" s="1">
        <v>1</v>
      </c>
      <c r="J636" s="39" t="s">
        <v>178</v>
      </c>
      <c r="K636" s="1">
        <v>1</v>
      </c>
      <c r="L636" s="1">
        <v>0</v>
      </c>
      <c r="S636" s="1" t="s">
        <v>9389</v>
      </c>
      <c r="T636" s="1">
        <v>1</v>
      </c>
      <c r="U636" s="19"/>
      <c r="V636" s="19"/>
      <c r="W636" s="218">
        <v>1</v>
      </c>
      <c r="X636" s="218">
        <v>1</v>
      </c>
      <c r="Y636" s="218">
        <v>1</v>
      </c>
    </row>
    <row r="637" spans="1:25" x14ac:dyDescent="0.3">
      <c r="A637" s="1" t="s">
        <v>1798</v>
      </c>
      <c r="B637" s="102">
        <v>46166</v>
      </c>
      <c r="C637" s="6">
        <v>0.66666666666666696</v>
      </c>
      <c r="D637" s="1" t="s">
        <v>12</v>
      </c>
      <c r="E637" s="1" t="s">
        <v>13</v>
      </c>
      <c r="F637" s="1" t="s">
        <v>1799</v>
      </c>
      <c r="G637" s="39" t="s">
        <v>136</v>
      </c>
      <c r="H637" s="1">
        <v>1</v>
      </c>
      <c r="I637" s="1">
        <v>2</v>
      </c>
      <c r="J637" s="39" t="s">
        <v>502</v>
      </c>
      <c r="K637" s="1">
        <v>2</v>
      </c>
      <c r="L637" s="1">
        <v>1</v>
      </c>
      <c r="S637" s="1" t="s">
        <v>9390</v>
      </c>
      <c r="T637" s="1">
        <v>1</v>
      </c>
      <c r="U637" s="19"/>
      <c r="V637" s="19"/>
      <c r="W637" s="218">
        <v>1</v>
      </c>
      <c r="X637" s="218">
        <v>1</v>
      </c>
      <c r="Y637" s="218">
        <v>1</v>
      </c>
    </row>
    <row r="638" spans="1:25" x14ac:dyDescent="0.3">
      <c r="A638" s="1" t="s">
        <v>1800</v>
      </c>
      <c r="B638" s="102">
        <v>46226</v>
      </c>
      <c r="C638" s="6">
        <v>0.8125</v>
      </c>
      <c r="D638" s="1" t="s">
        <v>12</v>
      </c>
      <c r="E638" s="1" t="s">
        <v>13</v>
      </c>
      <c r="F638" s="1" t="s">
        <v>1801</v>
      </c>
      <c r="G638" s="39" t="s">
        <v>174</v>
      </c>
      <c r="H638" s="1">
        <v>3</v>
      </c>
      <c r="I638" s="1">
        <v>0</v>
      </c>
      <c r="J638" s="39" t="s">
        <v>136</v>
      </c>
      <c r="K638" s="1">
        <v>0</v>
      </c>
      <c r="L638" s="1">
        <v>3</v>
      </c>
      <c r="S638" s="1" t="s">
        <v>9391</v>
      </c>
      <c r="T638" s="1">
        <v>1</v>
      </c>
      <c r="U638" s="19"/>
      <c r="V638" s="19"/>
      <c r="W638" s="218">
        <v>1</v>
      </c>
      <c r="X638" s="218">
        <v>1</v>
      </c>
      <c r="Y638" s="218">
        <v>1</v>
      </c>
    </row>
    <row r="639" spans="1:25" ht="14.4" x14ac:dyDescent="0.3">
      <c r="A639" s="1" t="s">
        <v>1802</v>
      </c>
      <c r="B639" s="102">
        <v>46229</v>
      </c>
      <c r="C639" s="6">
        <v>0.8125</v>
      </c>
      <c r="D639" s="1" t="s">
        <v>12</v>
      </c>
      <c r="E639" s="1" t="s">
        <v>13</v>
      </c>
      <c r="F639" s="1" t="s">
        <v>1803</v>
      </c>
      <c r="G639" s="39" t="s">
        <v>136</v>
      </c>
      <c r="H639" s="1">
        <v>2</v>
      </c>
      <c r="I639" s="1">
        <v>0</v>
      </c>
      <c r="J639" s="39" t="s">
        <v>150</v>
      </c>
      <c r="K639" s="1">
        <v>0</v>
      </c>
      <c r="L639" s="1">
        <v>2</v>
      </c>
      <c r="S639" s="1" t="s">
        <v>9392</v>
      </c>
      <c r="T639">
        <v>1</v>
      </c>
      <c r="U639" s="19"/>
      <c r="V639" s="19"/>
      <c r="W639" s="218">
        <v>1</v>
      </c>
      <c r="X639" s="218">
        <v>1</v>
      </c>
      <c r="Y639" s="218">
        <v>1</v>
      </c>
    </row>
    <row r="640" spans="1:25" x14ac:dyDescent="0.3">
      <c r="A640" s="1" t="s">
        <v>1804</v>
      </c>
      <c r="B640" s="102">
        <v>46114</v>
      </c>
      <c r="C640" s="6">
        <v>0.79166666666666696</v>
      </c>
      <c r="D640" s="1" t="s">
        <v>12</v>
      </c>
      <c r="E640" s="1" t="s">
        <v>13</v>
      </c>
      <c r="F640" s="1" t="s">
        <v>1805</v>
      </c>
      <c r="G640" s="39" t="s">
        <v>488</v>
      </c>
      <c r="H640" s="1">
        <v>0</v>
      </c>
      <c r="I640" s="1">
        <v>4</v>
      </c>
      <c r="J640" s="39" t="s">
        <v>493</v>
      </c>
      <c r="K640" s="1">
        <v>4</v>
      </c>
      <c r="L640" s="1">
        <v>0</v>
      </c>
      <c r="S640" s="1" t="s">
        <v>9393</v>
      </c>
      <c r="T640" s="1">
        <v>1</v>
      </c>
      <c r="U640" s="19"/>
      <c r="V640" s="19"/>
      <c r="W640" s="218">
        <v>0</v>
      </c>
      <c r="X640" s="218">
        <v>1</v>
      </c>
      <c r="Y640" s="218">
        <v>1</v>
      </c>
    </row>
    <row r="641" spans="1:25" x14ac:dyDescent="0.3">
      <c r="A641" s="1" t="s">
        <v>1806</v>
      </c>
      <c r="B641" s="102">
        <v>46117</v>
      </c>
      <c r="C641" s="6">
        <v>0.72916666666666696</v>
      </c>
      <c r="D641" s="1" t="s">
        <v>12</v>
      </c>
      <c r="E641" s="1" t="s">
        <v>13</v>
      </c>
      <c r="F641" s="1" t="s">
        <v>1807</v>
      </c>
      <c r="G641" s="39" t="s">
        <v>493</v>
      </c>
      <c r="H641" s="1">
        <v>2</v>
      </c>
      <c r="I641" s="1">
        <v>1</v>
      </c>
      <c r="J641" s="39" t="s">
        <v>502</v>
      </c>
      <c r="K641" s="1">
        <v>1</v>
      </c>
      <c r="L641" s="1">
        <v>2</v>
      </c>
      <c r="S641" s="1" t="s">
        <v>9394</v>
      </c>
      <c r="T641" s="1">
        <v>1</v>
      </c>
      <c r="U641" s="19"/>
      <c r="V641" s="19"/>
      <c r="W641" s="218">
        <v>1</v>
      </c>
      <c r="X641" s="218">
        <v>1</v>
      </c>
      <c r="Y641" s="218">
        <v>1</v>
      </c>
    </row>
    <row r="642" spans="1:25" x14ac:dyDescent="0.3">
      <c r="A642" s="1" t="s">
        <v>1808</v>
      </c>
      <c r="B642" s="102">
        <v>46123</v>
      </c>
      <c r="C642" s="6">
        <v>0.83333333333333304</v>
      </c>
      <c r="D642" s="1" t="s">
        <v>12</v>
      </c>
      <c r="E642" s="1" t="s">
        <v>13</v>
      </c>
      <c r="F642" s="1" t="s">
        <v>1809</v>
      </c>
      <c r="G642" s="39" t="s">
        <v>479</v>
      </c>
      <c r="H642" s="1">
        <v>1</v>
      </c>
      <c r="I642" s="1">
        <v>0</v>
      </c>
      <c r="J642" s="39" t="s">
        <v>493</v>
      </c>
      <c r="K642" s="1">
        <v>0</v>
      </c>
      <c r="L642" s="1">
        <v>1</v>
      </c>
      <c r="S642" s="1" t="s">
        <v>9395</v>
      </c>
      <c r="T642" s="1">
        <v>1</v>
      </c>
      <c r="U642" s="19"/>
      <c r="V642" s="19"/>
      <c r="W642" s="218">
        <v>1</v>
      </c>
      <c r="X642" s="218">
        <v>1</v>
      </c>
      <c r="Y642" s="218">
        <v>1</v>
      </c>
    </row>
    <row r="643" spans="1:25" x14ac:dyDescent="0.3">
      <c r="A643" s="1" t="s">
        <v>1810</v>
      </c>
      <c r="B643" s="102">
        <v>46144</v>
      </c>
      <c r="C643" s="6">
        <v>0.875</v>
      </c>
      <c r="D643" s="1" t="s">
        <v>12</v>
      </c>
      <c r="E643" s="1" t="s">
        <v>13</v>
      </c>
      <c r="F643" s="1" t="s">
        <v>1811</v>
      </c>
      <c r="G643" s="39" t="s">
        <v>178</v>
      </c>
      <c r="H643" s="1">
        <v>1</v>
      </c>
      <c r="I643" s="1">
        <v>3</v>
      </c>
      <c r="J643" s="39" t="s">
        <v>493</v>
      </c>
      <c r="K643" s="1">
        <v>3</v>
      </c>
      <c r="L643" s="1">
        <v>1</v>
      </c>
      <c r="S643" s="1" t="s">
        <v>9396</v>
      </c>
      <c r="T643" s="1">
        <v>1</v>
      </c>
      <c r="U643" s="19"/>
      <c r="V643" s="19"/>
      <c r="W643" s="218">
        <v>1</v>
      </c>
      <c r="X643" s="218">
        <v>1</v>
      </c>
      <c r="Y643" s="218">
        <v>1</v>
      </c>
    </row>
    <row r="644" spans="1:25" x14ac:dyDescent="0.3">
      <c r="A644" s="1" t="s">
        <v>1812</v>
      </c>
      <c r="B644" s="102">
        <v>46158</v>
      </c>
      <c r="C644" s="6">
        <v>0.77083333333333304</v>
      </c>
      <c r="D644" s="1" t="s">
        <v>12</v>
      </c>
      <c r="E644" s="1" t="s">
        <v>13</v>
      </c>
      <c r="F644" s="1" t="s">
        <v>1813</v>
      </c>
      <c r="G644" s="39" t="s">
        <v>493</v>
      </c>
      <c r="H644" s="1">
        <v>3</v>
      </c>
      <c r="I644" s="1">
        <v>1</v>
      </c>
      <c r="J644" s="39" t="s">
        <v>135</v>
      </c>
      <c r="K644" s="1">
        <v>1</v>
      </c>
      <c r="L644" s="1">
        <v>3</v>
      </c>
      <c r="S644" s="1" t="s">
        <v>9397</v>
      </c>
      <c r="T644" s="1">
        <v>1</v>
      </c>
      <c r="U644" s="19"/>
      <c r="V644" s="19"/>
      <c r="W644" s="218">
        <v>1</v>
      </c>
      <c r="X644" s="218">
        <v>1</v>
      </c>
      <c r="Y644" s="218">
        <v>1</v>
      </c>
    </row>
    <row r="645" spans="1:25" x14ac:dyDescent="0.3">
      <c r="A645" s="1" t="s">
        <v>1814</v>
      </c>
      <c r="B645" s="102">
        <v>46166</v>
      </c>
      <c r="C645" s="6">
        <v>0.77083333333333304</v>
      </c>
      <c r="D645" s="1" t="s">
        <v>12</v>
      </c>
      <c r="E645" s="1" t="s">
        <v>13</v>
      </c>
      <c r="F645" s="1" t="s">
        <v>1815</v>
      </c>
      <c r="G645" s="39" t="s">
        <v>174</v>
      </c>
      <c r="H645" s="1">
        <v>1</v>
      </c>
      <c r="I645" s="1">
        <v>0</v>
      </c>
      <c r="J645" s="39" t="s">
        <v>493</v>
      </c>
      <c r="K645" s="1">
        <v>0</v>
      </c>
      <c r="L645" s="1">
        <v>1</v>
      </c>
      <c r="S645" s="1" t="s">
        <v>9398</v>
      </c>
      <c r="T645" s="1">
        <v>1</v>
      </c>
      <c r="U645" s="19"/>
      <c r="V645" s="19"/>
      <c r="W645" s="218">
        <v>1</v>
      </c>
      <c r="X645" s="218">
        <v>1</v>
      </c>
      <c r="Y645" s="218">
        <v>1</v>
      </c>
    </row>
    <row r="646" spans="1:25" x14ac:dyDescent="0.3">
      <c r="A646" s="1" t="s">
        <v>1816</v>
      </c>
      <c r="B646" s="102">
        <v>46173</v>
      </c>
      <c r="C646" s="6">
        <v>0.66666666666666696</v>
      </c>
      <c r="D646" s="1" t="s">
        <v>12</v>
      </c>
      <c r="E646" s="1" t="s">
        <v>13</v>
      </c>
      <c r="F646" s="1" t="s">
        <v>1817</v>
      </c>
      <c r="G646" s="39" t="s">
        <v>227</v>
      </c>
      <c r="H646" s="1">
        <v>0</v>
      </c>
      <c r="I646" s="1">
        <v>1</v>
      </c>
      <c r="J646" s="39" t="s">
        <v>493</v>
      </c>
      <c r="K646" s="1">
        <v>1</v>
      </c>
      <c r="L646" s="1">
        <v>0</v>
      </c>
      <c r="S646" s="1" t="s">
        <v>9399</v>
      </c>
      <c r="T646" s="1">
        <v>1</v>
      </c>
      <c r="U646" s="19"/>
      <c r="V646" s="19"/>
      <c r="W646" s="218">
        <v>1</v>
      </c>
      <c r="X646" s="218">
        <v>1</v>
      </c>
      <c r="Y646" s="218">
        <v>1</v>
      </c>
    </row>
    <row r="647" spans="1:25" ht="14.4" x14ac:dyDescent="0.3">
      <c r="A647" s="1" t="s">
        <v>1818</v>
      </c>
      <c r="B647" s="102">
        <v>46224</v>
      </c>
      <c r="C647" s="6">
        <v>0.8125</v>
      </c>
      <c r="D647" s="1" t="s">
        <v>12</v>
      </c>
      <c r="E647" s="1" t="s">
        <v>13</v>
      </c>
      <c r="F647" s="1" t="s">
        <v>1819</v>
      </c>
      <c r="G647" s="39" t="s">
        <v>493</v>
      </c>
      <c r="H647" s="1">
        <v>1</v>
      </c>
      <c r="I647" s="1">
        <v>1</v>
      </c>
      <c r="J647" s="39" t="s">
        <v>161</v>
      </c>
      <c r="K647" s="1">
        <v>1</v>
      </c>
      <c r="L647" s="1">
        <v>1</v>
      </c>
      <c r="S647" s="1" t="s">
        <v>9400</v>
      </c>
      <c r="T647">
        <v>1</v>
      </c>
      <c r="U647" s="19"/>
      <c r="V647" s="19"/>
      <c r="W647" s="218">
        <v>1</v>
      </c>
      <c r="X647" s="218">
        <v>1</v>
      </c>
      <c r="Y647" s="218">
        <v>1</v>
      </c>
    </row>
    <row r="648" spans="1:25" x14ac:dyDescent="0.3">
      <c r="A648" s="1" t="s">
        <v>1839</v>
      </c>
      <c r="B648" s="102">
        <v>46159</v>
      </c>
      <c r="C648" s="6">
        <v>0.75</v>
      </c>
      <c r="D648" s="1" t="s">
        <v>12</v>
      </c>
      <c r="E648" s="1" t="s">
        <v>14</v>
      </c>
      <c r="F648" s="1" t="s">
        <v>1840</v>
      </c>
      <c r="G648" s="39" t="s">
        <v>84</v>
      </c>
      <c r="H648" s="1">
        <v>2</v>
      </c>
      <c r="I648" s="1">
        <v>0</v>
      </c>
      <c r="J648" s="39" t="s">
        <v>107</v>
      </c>
      <c r="K648" s="1">
        <v>0</v>
      </c>
      <c r="L648" s="1">
        <v>2</v>
      </c>
      <c r="S648" s="1" t="s">
        <v>9401</v>
      </c>
      <c r="T648" s="1">
        <v>1</v>
      </c>
      <c r="U648" s="19"/>
      <c r="V648" s="19"/>
      <c r="W648" s="218">
        <v>0</v>
      </c>
      <c r="X648" s="218">
        <v>0</v>
      </c>
      <c r="Y648" s="218">
        <v>0</v>
      </c>
    </row>
    <row r="649" spans="1:25" x14ac:dyDescent="0.3">
      <c r="A649" s="1" t="s">
        <v>1841</v>
      </c>
      <c r="B649" s="102">
        <v>46166</v>
      </c>
      <c r="C649" s="6">
        <v>0.77083333333333304</v>
      </c>
      <c r="D649" s="1" t="s">
        <v>12</v>
      </c>
      <c r="E649" s="1" t="s">
        <v>14</v>
      </c>
      <c r="F649" s="1" t="s">
        <v>1842</v>
      </c>
      <c r="G649" s="39" t="s">
        <v>1843</v>
      </c>
      <c r="H649" s="1">
        <v>1</v>
      </c>
      <c r="I649" s="1">
        <v>2</v>
      </c>
      <c r="J649" s="39" t="s">
        <v>84</v>
      </c>
      <c r="K649" s="1">
        <v>2</v>
      </c>
      <c r="L649" s="1">
        <v>1</v>
      </c>
      <c r="S649" s="1" t="s">
        <v>9402</v>
      </c>
      <c r="T649" s="1">
        <v>1</v>
      </c>
      <c r="U649" s="19"/>
      <c r="V649" s="19"/>
      <c r="W649" s="218">
        <v>1</v>
      </c>
      <c r="X649" s="218">
        <v>1</v>
      </c>
      <c r="Y649" s="218">
        <v>1</v>
      </c>
    </row>
    <row r="650" spans="1:25" x14ac:dyDescent="0.3">
      <c r="A650" s="1" t="s">
        <v>1844</v>
      </c>
      <c r="B650" s="102">
        <v>46173</v>
      </c>
      <c r="C650" s="6">
        <v>0.45833333333333298</v>
      </c>
      <c r="D650" s="1" t="s">
        <v>12</v>
      </c>
      <c r="E650" s="1" t="s">
        <v>14</v>
      </c>
      <c r="F650" s="1" t="s">
        <v>1845</v>
      </c>
      <c r="G650" s="39" t="s">
        <v>1846</v>
      </c>
      <c r="H650" s="1">
        <v>0</v>
      </c>
      <c r="I650" s="1">
        <v>1</v>
      </c>
      <c r="J650" s="39" t="s">
        <v>84</v>
      </c>
      <c r="K650" s="1">
        <v>1</v>
      </c>
      <c r="L650" s="1">
        <v>0</v>
      </c>
      <c r="S650" s="1" t="s">
        <v>9403</v>
      </c>
      <c r="T650" s="1">
        <v>1</v>
      </c>
      <c r="U650" s="19"/>
      <c r="V650" s="19"/>
      <c r="W650" s="218">
        <v>1</v>
      </c>
      <c r="X650" s="218">
        <v>1</v>
      </c>
      <c r="Y650" s="218">
        <v>1</v>
      </c>
    </row>
    <row r="651" spans="1:25" x14ac:dyDescent="0.3">
      <c r="A651" s="1" t="s">
        <v>1847</v>
      </c>
      <c r="B651" s="102">
        <v>46181</v>
      </c>
      <c r="C651" s="6">
        <v>0.83333333333333304</v>
      </c>
      <c r="D651" s="1" t="s">
        <v>12</v>
      </c>
      <c r="E651" s="1" t="s">
        <v>14</v>
      </c>
      <c r="F651" s="1" t="s">
        <v>2065</v>
      </c>
      <c r="G651" s="39" t="s">
        <v>84</v>
      </c>
      <c r="H651" s="1">
        <v>1</v>
      </c>
      <c r="I651" s="1">
        <v>0</v>
      </c>
      <c r="J651" s="39" t="s">
        <v>124</v>
      </c>
      <c r="K651" s="1">
        <v>0</v>
      </c>
      <c r="L651" s="1">
        <v>1</v>
      </c>
      <c r="S651" s="1" t="s">
        <v>9404</v>
      </c>
      <c r="T651" s="1">
        <v>1</v>
      </c>
      <c r="U651" s="19"/>
      <c r="V651" s="19"/>
      <c r="W651" s="218">
        <v>1</v>
      </c>
      <c r="X651" s="218">
        <v>1</v>
      </c>
      <c r="Y651" s="218">
        <v>1</v>
      </c>
    </row>
    <row r="652" spans="1:25" x14ac:dyDescent="0.3">
      <c r="A652" s="1" t="s">
        <v>1848</v>
      </c>
      <c r="B652" s="102">
        <v>46187</v>
      </c>
      <c r="C652" s="6">
        <v>0.77083333333333304</v>
      </c>
      <c r="D652" s="1" t="s">
        <v>12</v>
      </c>
      <c r="E652" s="1" t="s">
        <v>14</v>
      </c>
      <c r="F652" s="1" t="s">
        <v>1849</v>
      </c>
      <c r="G652" s="39" t="s">
        <v>93</v>
      </c>
      <c r="H652" s="1">
        <v>1</v>
      </c>
      <c r="I652" s="1">
        <v>0</v>
      </c>
      <c r="J652" s="39" t="s">
        <v>84</v>
      </c>
      <c r="K652" s="1">
        <v>0</v>
      </c>
      <c r="L652" s="1">
        <v>1</v>
      </c>
      <c r="S652" s="1" t="s">
        <v>9405</v>
      </c>
      <c r="T652" s="1">
        <v>1</v>
      </c>
      <c r="U652" s="19"/>
      <c r="V652" s="19"/>
      <c r="W652" s="218">
        <v>1</v>
      </c>
      <c r="X652" s="218">
        <v>1</v>
      </c>
      <c r="Y652" s="218">
        <v>1</v>
      </c>
    </row>
    <row r="653" spans="1:25" x14ac:dyDescent="0.3">
      <c r="A653" s="1" t="s">
        <v>1850</v>
      </c>
      <c r="B653" s="102">
        <v>46193</v>
      </c>
      <c r="C653" s="6">
        <v>0.79166666666666696</v>
      </c>
      <c r="D653" s="1" t="s">
        <v>12</v>
      </c>
      <c r="E653" s="1" t="s">
        <v>14</v>
      </c>
      <c r="F653" s="1" t="s">
        <v>1851</v>
      </c>
      <c r="G653" s="39" t="s">
        <v>84</v>
      </c>
      <c r="H653" s="1">
        <v>4</v>
      </c>
      <c r="I653" s="1">
        <v>3</v>
      </c>
      <c r="J653" s="39" t="s">
        <v>1852</v>
      </c>
      <c r="K653" s="1">
        <v>3</v>
      </c>
      <c r="L653" s="1">
        <v>4</v>
      </c>
      <c r="S653" s="1" t="s">
        <v>9406</v>
      </c>
      <c r="T653" s="1">
        <v>1</v>
      </c>
      <c r="U653" s="19"/>
      <c r="V653" s="19"/>
      <c r="W653" s="218">
        <v>1</v>
      </c>
      <c r="X653" s="218">
        <v>1</v>
      </c>
      <c r="Y653" s="218">
        <v>1</v>
      </c>
    </row>
    <row r="654" spans="1:25" x14ac:dyDescent="0.3">
      <c r="A654" s="1" t="s">
        <v>1853</v>
      </c>
      <c r="B654" s="102">
        <v>46199</v>
      </c>
      <c r="C654" s="6">
        <v>0.79166666666666696</v>
      </c>
      <c r="D654" s="1" t="s">
        <v>12</v>
      </c>
      <c r="E654" s="1" t="s">
        <v>14</v>
      </c>
      <c r="F654" s="1" t="s">
        <v>1854</v>
      </c>
      <c r="G654" s="39" t="s">
        <v>1855</v>
      </c>
      <c r="H654" s="1">
        <v>2</v>
      </c>
      <c r="I654" s="1">
        <v>1</v>
      </c>
      <c r="J654" s="39" t="s">
        <v>84</v>
      </c>
      <c r="K654" s="1">
        <v>1</v>
      </c>
      <c r="L654" s="1">
        <v>2</v>
      </c>
      <c r="S654" s="1" t="s">
        <v>9407</v>
      </c>
      <c r="T654" s="1">
        <v>1</v>
      </c>
      <c r="U654" s="19"/>
      <c r="V654" s="19"/>
      <c r="W654" s="218">
        <v>1</v>
      </c>
      <c r="X654" s="218">
        <v>1</v>
      </c>
      <c r="Y654" s="218">
        <v>1</v>
      </c>
    </row>
    <row r="655" spans="1:25" x14ac:dyDescent="0.3">
      <c r="A655" s="1" t="s">
        <v>1856</v>
      </c>
      <c r="B655" s="102">
        <v>46209</v>
      </c>
      <c r="C655" s="6">
        <v>0.79166666666666696</v>
      </c>
      <c r="D655" s="1" t="s">
        <v>12</v>
      </c>
      <c r="E655" s="1" t="s">
        <v>14</v>
      </c>
      <c r="F655" s="1" t="s">
        <v>1857</v>
      </c>
      <c r="G655" s="39" t="s">
        <v>84</v>
      </c>
      <c r="H655" s="1">
        <v>2</v>
      </c>
      <c r="I655" s="1">
        <v>1</v>
      </c>
      <c r="J655" s="39" t="s">
        <v>1858</v>
      </c>
      <c r="K655" s="1">
        <v>1</v>
      </c>
      <c r="L655" s="1">
        <v>2</v>
      </c>
      <c r="S655" s="1" t="s">
        <v>9408</v>
      </c>
      <c r="T655" s="1">
        <v>1</v>
      </c>
      <c r="U655" s="19"/>
      <c r="V655" s="19"/>
      <c r="W655" s="218">
        <v>1</v>
      </c>
      <c r="X655" s="218">
        <v>1</v>
      </c>
      <c r="Y655" s="218">
        <v>1</v>
      </c>
    </row>
    <row r="656" spans="1:25" x14ac:dyDescent="0.3">
      <c r="A656" s="1" t="s">
        <v>1859</v>
      </c>
      <c r="B656" s="102">
        <v>46213</v>
      </c>
      <c r="C656" s="6">
        <v>0.79166666666666696</v>
      </c>
      <c r="D656" s="1" t="s">
        <v>12</v>
      </c>
      <c r="E656" s="1" t="s">
        <v>14</v>
      </c>
      <c r="F656" s="1" t="s">
        <v>1860</v>
      </c>
      <c r="G656" s="39" t="s">
        <v>106</v>
      </c>
      <c r="H656" s="1">
        <v>1</v>
      </c>
      <c r="I656" s="1">
        <v>0</v>
      </c>
      <c r="J656" s="39" t="s">
        <v>84</v>
      </c>
      <c r="K656" s="1">
        <v>0</v>
      </c>
      <c r="L656" s="1">
        <v>1</v>
      </c>
      <c r="S656" s="1" t="s">
        <v>9409</v>
      </c>
      <c r="T656" s="1">
        <v>1</v>
      </c>
      <c r="U656" s="19"/>
      <c r="V656" s="19"/>
      <c r="W656" s="218">
        <v>1</v>
      </c>
      <c r="X656" s="218">
        <v>1</v>
      </c>
      <c r="Y656" s="218">
        <v>1</v>
      </c>
    </row>
    <row r="657" spans="1:25" x14ac:dyDescent="0.3">
      <c r="A657" s="1" t="s">
        <v>1861</v>
      </c>
      <c r="B657" s="102">
        <v>46221</v>
      </c>
      <c r="C657" s="6">
        <v>0.66666666666666696</v>
      </c>
      <c r="D657" s="1" t="s">
        <v>12</v>
      </c>
      <c r="E657" s="1" t="s">
        <v>14</v>
      </c>
      <c r="F657" s="1" t="s">
        <v>1862</v>
      </c>
      <c r="G657" s="39" t="s">
        <v>1863</v>
      </c>
      <c r="H657" s="1">
        <v>2</v>
      </c>
      <c r="I657" s="1">
        <v>0</v>
      </c>
      <c r="J657" s="39" t="s">
        <v>84</v>
      </c>
      <c r="K657" s="1">
        <v>0</v>
      </c>
      <c r="L657" s="1">
        <v>2</v>
      </c>
      <c r="S657" s="1" t="s">
        <v>9410</v>
      </c>
      <c r="T657" s="1">
        <v>1</v>
      </c>
      <c r="U657" s="19"/>
      <c r="V657" s="19"/>
      <c r="W657" s="218">
        <v>1</v>
      </c>
      <c r="X657" s="218">
        <v>1</v>
      </c>
      <c r="Y657" s="218">
        <v>1</v>
      </c>
    </row>
    <row r="658" spans="1:25" ht="14.4" x14ac:dyDescent="0.3">
      <c r="A658" s="1" t="s">
        <v>1864</v>
      </c>
      <c r="B658" s="102">
        <v>46224</v>
      </c>
      <c r="C658" s="6">
        <v>0.89930555555555602</v>
      </c>
      <c r="D658" s="1" t="s">
        <v>12</v>
      </c>
      <c r="E658" s="1" t="s">
        <v>14</v>
      </c>
      <c r="F658" s="1" t="s">
        <v>1865</v>
      </c>
      <c r="G658" s="39" t="s">
        <v>84</v>
      </c>
      <c r="H658" s="1">
        <v>2</v>
      </c>
      <c r="I658" s="1">
        <v>1</v>
      </c>
      <c r="J658" s="39" t="s">
        <v>123</v>
      </c>
      <c r="K658" s="1">
        <v>1</v>
      </c>
      <c r="L658" s="1">
        <v>2</v>
      </c>
      <c r="S658" s="1" t="s">
        <v>9411</v>
      </c>
      <c r="T658">
        <v>1</v>
      </c>
      <c r="U658" s="19"/>
      <c r="V658" s="19"/>
      <c r="W658" s="218">
        <v>1</v>
      </c>
      <c r="X658" s="218">
        <v>1</v>
      </c>
      <c r="Y658" s="218">
        <v>1</v>
      </c>
    </row>
    <row r="659" spans="1:25" x14ac:dyDescent="0.3">
      <c r="A659" s="1" t="s">
        <v>1866</v>
      </c>
      <c r="B659" s="102">
        <v>46159</v>
      </c>
      <c r="C659" s="6">
        <v>0.85416666666666696</v>
      </c>
      <c r="D659" s="1" t="s">
        <v>12</v>
      </c>
      <c r="E659" s="1" t="s">
        <v>14</v>
      </c>
      <c r="F659" s="1" t="s">
        <v>1867</v>
      </c>
      <c r="G659" s="39" t="s">
        <v>92</v>
      </c>
      <c r="H659" s="1">
        <v>1</v>
      </c>
      <c r="I659" s="1">
        <v>2</v>
      </c>
      <c r="J659" s="39" t="s">
        <v>83</v>
      </c>
      <c r="K659" s="1">
        <v>2</v>
      </c>
      <c r="L659" s="1">
        <v>1</v>
      </c>
      <c r="S659" s="1" t="s">
        <v>9412</v>
      </c>
      <c r="T659" s="1">
        <v>1</v>
      </c>
      <c r="U659" s="19"/>
      <c r="V659" s="19"/>
      <c r="W659" s="218">
        <v>0</v>
      </c>
      <c r="X659" s="218">
        <v>0</v>
      </c>
      <c r="Y659" s="218">
        <v>0</v>
      </c>
    </row>
    <row r="660" spans="1:25" x14ac:dyDescent="0.3">
      <c r="A660" s="1" t="s">
        <v>1868</v>
      </c>
      <c r="B660" s="102">
        <v>46165</v>
      </c>
      <c r="C660" s="6">
        <v>0.85416666666666696</v>
      </c>
      <c r="D660" s="1" t="s">
        <v>12</v>
      </c>
      <c r="E660" s="1" t="s">
        <v>14</v>
      </c>
      <c r="F660" s="1" t="s">
        <v>1869</v>
      </c>
      <c r="G660" s="39" t="s">
        <v>106</v>
      </c>
      <c r="H660" s="1">
        <v>0</v>
      </c>
      <c r="I660" s="1">
        <v>1</v>
      </c>
      <c r="J660" s="39" t="s">
        <v>92</v>
      </c>
      <c r="K660" s="1">
        <v>1</v>
      </c>
      <c r="L660" s="1">
        <v>0</v>
      </c>
      <c r="S660" s="1" t="s">
        <v>9413</v>
      </c>
      <c r="T660" s="1">
        <v>1</v>
      </c>
      <c r="U660" s="19"/>
      <c r="V660" s="19"/>
      <c r="W660" s="218">
        <v>1</v>
      </c>
      <c r="X660" s="218">
        <v>1</v>
      </c>
      <c r="Y660" s="218">
        <v>1</v>
      </c>
    </row>
    <row r="661" spans="1:25" x14ac:dyDescent="0.3">
      <c r="A661" s="1" t="s">
        <v>1870</v>
      </c>
      <c r="B661" s="102">
        <v>46172</v>
      </c>
      <c r="C661" s="6">
        <v>0.85416666666666696</v>
      </c>
      <c r="D661" s="1" t="s">
        <v>12</v>
      </c>
      <c r="E661" s="1" t="s">
        <v>14</v>
      </c>
      <c r="F661" s="1" t="s">
        <v>1871</v>
      </c>
      <c r="G661" s="39" t="s">
        <v>92</v>
      </c>
      <c r="H661" s="1">
        <v>2</v>
      </c>
      <c r="I661" s="1">
        <v>0</v>
      </c>
      <c r="J661" s="39" t="s">
        <v>1852</v>
      </c>
      <c r="K661" s="1">
        <v>0</v>
      </c>
      <c r="L661" s="1">
        <v>2</v>
      </c>
      <c r="S661" s="1" t="s">
        <v>9414</v>
      </c>
      <c r="T661" s="1">
        <v>1</v>
      </c>
      <c r="U661" s="19"/>
      <c r="V661" s="19"/>
      <c r="W661" s="218">
        <v>1</v>
      </c>
      <c r="X661" s="218">
        <v>1</v>
      </c>
      <c r="Y661" s="218">
        <v>1</v>
      </c>
    </row>
    <row r="662" spans="1:25" x14ac:dyDescent="0.3">
      <c r="A662" s="1" t="s">
        <v>1872</v>
      </c>
      <c r="B662" s="102">
        <v>46183</v>
      </c>
      <c r="C662" s="6">
        <v>0.875</v>
      </c>
      <c r="D662" s="1" t="s">
        <v>12</v>
      </c>
      <c r="E662" s="1" t="s">
        <v>14</v>
      </c>
      <c r="F662" s="1" t="s">
        <v>2036</v>
      </c>
      <c r="G662" s="39" t="s">
        <v>92</v>
      </c>
      <c r="H662" s="1">
        <v>1</v>
      </c>
      <c r="I662" s="1">
        <v>1</v>
      </c>
      <c r="J662" s="39" t="s">
        <v>102</v>
      </c>
      <c r="K662" s="1">
        <v>1</v>
      </c>
      <c r="L662" s="1">
        <v>1</v>
      </c>
      <c r="S662" s="1" t="s">
        <v>9415</v>
      </c>
      <c r="T662" s="1">
        <v>1</v>
      </c>
      <c r="U662" s="19"/>
      <c r="V662" s="19"/>
      <c r="W662" s="218">
        <v>1</v>
      </c>
      <c r="X662" s="218">
        <v>1</v>
      </c>
      <c r="Y662" s="218">
        <v>1</v>
      </c>
    </row>
    <row r="663" spans="1:25" x14ac:dyDescent="0.3">
      <c r="A663" s="1" t="s">
        <v>1873</v>
      </c>
      <c r="B663" s="102">
        <v>46187</v>
      </c>
      <c r="C663" s="6">
        <v>0.45833333333333298</v>
      </c>
      <c r="D663" s="1" t="s">
        <v>12</v>
      </c>
      <c r="E663" s="1" t="s">
        <v>14</v>
      </c>
      <c r="F663" s="1" t="s">
        <v>1874</v>
      </c>
      <c r="G663" s="39" t="s">
        <v>1858</v>
      </c>
      <c r="H663" s="1">
        <v>0</v>
      </c>
      <c r="I663" s="1">
        <v>0</v>
      </c>
      <c r="J663" s="39" t="s">
        <v>92</v>
      </c>
      <c r="K663" s="1">
        <v>0</v>
      </c>
      <c r="L663" s="1">
        <v>0</v>
      </c>
      <c r="S663" s="1" t="s">
        <v>9416</v>
      </c>
      <c r="T663" s="1">
        <v>1</v>
      </c>
      <c r="U663" s="19"/>
      <c r="V663" s="19"/>
      <c r="W663" s="218">
        <v>1</v>
      </c>
      <c r="X663" s="218">
        <v>1</v>
      </c>
      <c r="Y663" s="218">
        <v>1</v>
      </c>
    </row>
    <row r="664" spans="1:25" x14ac:dyDescent="0.3">
      <c r="A664" s="1" t="s">
        <v>1875</v>
      </c>
      <c r="B664" s="102">
        <v>46191</v>
      </c>
      <c r="C664" s="6">
        <v>0.875</v>
      </c>
      <c r="D664" s="1" t="s">
        <v>12</v>
      </c>
      <c r="E664" s="1" t="s">
        <v>14</v>
      </c>
      <c r="F664" s="1" t="s">
        <v>1876</v>
      </c>
      <c r="G664" s="39" t="s">
        <v>92</v>
      </c>
      <c r="H664" s="1">
        <v>1</v>
      </c>
      <c r="I664" s="1">
        <v>1</v>
      </c>
      <c r="J664" s="39" t="s">
        <v>88</v>
      </c>
      <c r="K664" s="1">
        <v>1</v>
      </c>
      <c r="L664" s="1">
        <v>1</v>
      </c>
      <c r="S664" s="1" t="s">
        <v>9417</v>
      </c>
      <c r="T664" s="1">
        <v>1</v>
      </c>
      <c r="U664" s="19"/>
      <c r="V664" s="19"/>
      <c r="W664" s="218">
        <v>1</v>
      </c>
      <c r="X664" s="218">
        <v>1</v>
      </c>
      <c r="Y664" s="218">
        <v>1</v>
      </c>
    </row>
    <row r="665" spans="1:25" x14ac:dyDescent="0.3">
      <c r="A665" s="1" t="s">
        <v>1877</v>
      </c>
      <c r="B665" s="102">
        <v>46201</v>
      </c>
      <c r="C665" s="6">
        <v>0.77083333333333304</v>
      </c>
      <c r="D665" s="1" t="s">
        <v>12</v>
      </c>
      <c r="E665" s="1" t="s">
        <v>14</v>
      </c>
      <c r="F665" s="1" t="s">
        <v>1878</v>
      </c>
      <c r="G665" s="39" t="s">
        <v>123</v>
      </c>
      <c r="H665" s="1">
        <v>2</v>
      </c>
      <c r="I665" s="1">
        <v>1</v>
      </c>
      <c r="J665" s="39" t="s">
        <v>92</v>
      </c>
      <c r="K665" s="1">
        <v>1</v>
      </c>
      <c r="L665" s="1">
        <v>2</v>
      </c>
      <c r="S665" s="1" t="s">
        <v>9418</v>
      </c>
      <c r="T665" s="1">
        <v>1</v>
      </c>
      <c r="U665" s="19"/>
      <c r="V665" s="19"/>
      <c r="W665" s="218">
        <v>1</v>
      </c>
      <c r="X665" s="218">
        <v>1</v>
      </c>
      <c r="Y665" s="218">
        <v>1</v>
      </c>
    </row>
    <row r="666" spans="1:25" x14ac:dyDescent="0.3">
      <c r="A666" s="1" t="s">
        <v>1879</v>
      </c>
      <c r="B666" s="102">
        <v>46207</v>
      </c>
      <c r="C666" s="6">
        <v>0.66666666666666696</v>
      </c>
      <c r="D666" s="1" t="s">
        <v>12</v>
      </c>
      <c r="E666" s="1" t="s">
        <v>14</v>
      </c>
      <c r="F666" s="1" t="s">
        <v>1880</v>
      </c>
      <c r="G666" s="39" t="s">
        <v>1863</v>
      </c>
      <c r="H666" s="1">
        <v>1</v>
      </c>
      <c r="I666" s="1">
        <v>0</v>
      </c>
      <c r="J666" s="39" t="s">
        <v>92</v>
      </c>
      <c r="K666" s="1">
        <v>0</v>
      </c>
      <c r="L666" s="1">
        <v>1</v>
      </c>
      <c r="S666" s="1" t="s">
        <v>9419</v>
      </c>
      <c r="T666" s="1">
        <v>1</v>
      </c>
      <c r="U666" s="19"/>
      <c r="V666" s="19"/>
      <c r="W666" s="218">
        <v>1</v>
      </c>
      <c r="X666" s="218">
        <v>1</v>
      </c>
      <c r="Y666" s="218">
        <v>1</v>
      </c>
    </row>
    <row r="667" spans="1:25" x14ac:dyDescent="0.3">
      <c r="A667" s="1" t="s">
        <v>1881</v>
      </c>
      <c r="B667" s="102">
        <v>46213</v>
      </c>
      <c r="C667" s="6">
        <v>0.83333333333333304</v>
      </c>
      <c r="D667" s="1" t="s">
        <v>12</v>
      </c>
      <c r="E667" s="1" t="s">
        <v>14</v>
      </c>
      <c r="F667" s="1" t="s">
        <v>2066</v>
      </c>
      <c r="G667" s="39" t="s">
        <v>92</v>
      </c>
      <c r="H667" s="1">
        <v>3</v>
      </c>
      <c r="I667" s="1">
        <v>3</v>
      </c>
      <c r="J667" s="39" t="s">
        <v>124</v>
      </c>
      <c r="K667" s="1">
        <v>3</v>
      </c>
      <c r="L667" s="1">
        <v>3</v>
      </c>
      <c r="S667" s="1" t="s">
        <v>9420</v>
      </c>
      <c r="T667" s="1">
        <v>1</v>
      </c>
      <c r="U667" s="19"/>
      <c r="V667" s="19"/>
      <c r="W667" s="218">
        <v>1</v>
      </c>
      <c r="X667" s="218">
        <v>1</v>
      </c>
      <c r="Y667" s="218">
        <v>1</v>
      </c>
    </row>
    <row r="668" spans="1:25" x14ac:dyDescent="0.3">
      <c r="A668" s="1" t="s">
        <v>1882</v>
      </c>
      <c r="B668" s="102">
        <v>46221</v>
      </c>
      <c r="C668" s="6">
        <v>0.66666666666666696</v>
      </c>
      <c r="D668" s="1" t="s">
        <v>12</v>
      </c>
      <c r="E668" s="1" t="s">
        <v>14</v>
      </c>
      <c r="F668" s="1" t="s">
        <v>1939</v>
      </c>
      <c r="G668" s="39" t="s">
        <v>92</v>
      </c>
      <c r="H668" s="1">
        <v>2</v>
      </c>
      <c r="I668" s="1">
        <v>2</v>
      </c>
      <c r="J668" s="39" t="s">
        <v>89</v>
      </c>
      <c r="K668" s="1">
        <v>2</v>
      </c>
      <c r="L668" s="1">
        <v>2</v>
      </c>
      <c r="S668" s="1" t="s">
        <v>9421</v>
      </c>
      <c r="T668" s="1">
        <v>1</v>
      </c>
      <c r="U668" s="19"/>
      <c r="V668" s="19"/>
      <c r="W668" s="218">
        <v>1</v>
      </c>
      <c r="X668" s="218">
        <v>1</v>
      </c>
      <c r="Y668" s="218">
        <v>1</v>
      </c>
    </row>
    <row r="669" spans="1:25" ht="14.4" x14ac:dyDescent="0.3">
      <c r="A669" s="1" t="s">
        <v>1883</v>
      </c>
      <c r="B669" s="102">
        <v>46225</v>
      </c>
      <c r="C669" s="6">
        <v>0.85416666666666696</v>
      </c>
      <c r="D669" s="1" t="s">
        <v>12</v>
      </c>
      <c r="E669" s="1" t="s">
        <v>14</v>
      </c>
      <c r="F669" s="1" t="s">
        <v>1884</v>
      </c>
      <c r="G669" s="39" t="s">
        <v>1885</v>
      </c>
      <c r="H669" s="1">
        <v>1</v>
      </c>
      <c r="I669" s="1">
        <v>1</v>
      </c>
      <c r="J669" s="39" t="s">
        <v>92</v>
      </c>
      <c r="K669" s="1">
        <v>1</v>
      </c>
      <c r="L669" s="1">
        <v>1</v>
      </c>
      <c r="S669" s="1" t="s">
        <v>9422</v>
      </c>
      <c r="T669">
        <v>1</v>
      </c>
      <c r="U669" s="19"/>
      <c r="V669" s="19"/>
      <c r="W669" s="218">
        <v>1</v>
      </c>
      <c r="X669" s="218">
        <v>1</v>
      </c>
      <c r="Y669" s="218">
        <v>1</v>
      </c>
    </row>
    <row r="670" spans="1:25" x14ac:dyDescent="0.3">
      <c r="A670" s="1" t="s">
        <v>1895</v>
      </c>
      <c r="B670" s="5">
        <v>46229</v>
      </c>
      <c r="C670" s="6">
        <v>0.66666666666666696</v>
      </c>
      <c r="D670" s="1" t="s">
        <v>12</v>
      </c>
      <c r="E670" s="1" t="s">
        <v>14</v>
      </c>
      <c r="F670" s="1" t="s">
        <v>1896</v>
      </c>
      <c r="G670" s="39" t="s">
        <v>1863</v>
      </c>
      <c r="H670" s="1">
        <v>0</v>
      </c>
      <c r="I670" s="1">
        <v>0</v>
      </c>
      <c r="J670" s="39" t="s">
        <v>1852</v>
      </c>
      <c r="K670" s="1">
        <v>0</v>
      </c>
      <c r="L670" s="1">
        <v>0</v>
      </c>
      <c r="S670" s="1" t="s">
        <v>9423</v>
      </c>
      <c r="T670" s="1">
        <v>1</v>
      </c>
      <c r="U670" s="19"/>
      <c r="V670" s="19"/>
      <c r="W670" s="218">
        <v>1</v>
      </c>
      <c r="X670" s="218">
        <v>1</v>
      </c>
      <c r="Y670" s="218">
        <v>1</v>
      </c>
    </row>
    <row r="671" spans="1:25" x14ac:dyDescent="0.3">
      <c r="A671" s="1" t="s">
        <v>1897</v>
      </c>
      <c r="B671" s="5">
        <v>46224</v>
      </c>
      <c r="C671" s="6">
        <v>0.8125</v>
      </c>
      <c r="D671" s="1" t="s">
        <v>12</v>
      </c>
      <c r="E671" s="1" t="s">
        <v>14</v>
      </c>
      <c r="F671" s="1" t="s">
        <v>1898</v>
      </c>
      <c r="G671" s="39" t="s">
        <v>1855</v>
      </c>
      <c r="H671" s="1">
        <v>0</v>
      </c>
      <c r="I671" s="1">
        <v>1</v>
      </c>
      <c r="J671" s="39" t="s">
        <v>1863</v>
      </c>
      <c r="K671" s="1">
        <v>1</v>
      </c>
      <c r="L671" s="1">
        <v>0</v>
      </c>
      <c r="S671" s="1" t="s">
        <v>9424</v>
      </c>
      <c r="T671" s="1">
        <v>1</v>
      </c>
      <c r="U671" s="19"/>
      <c r="V671" s="19"/>
      <c r="W671" s="218">
        <v>1</v>
      </c>
      <c r="X671" s="218">
        <v>1</v>
      </c>
      <c r="Y671" s="218">
        <v>1</v>
      </c>
    </row>
    <row r="672" spans="1:25" x14ac:dyDescent="0.3">
      <c r="A672" s="1" t="s">
        <v>1899</v>
      </c>
      <c r="B672" s="5">
        <v>46211</v>
      </c>
      <c r="C672" s="6">
        <v>0.83333333333333304</v>
      </c>
      <c r="D672" s="1" t="s">
        <v>12</v>
      </c>
      <c r="E672" s="1" t="s">
        <v>14</v>
      </c>
      <c r="F672" s="1" t="s">
        <v>1900</v>
      </c>
      <c r="G672" s="39" t="s">
        <v>101</v>
      </c>
      <c r="H672" s="1">
        <v>1</v>
      </c>
      <c r="I672" s="1">
        <v>2</v>
      </c>
      <c r="J672" s="39" t="s">
        <v>1863</v>
      </c>
      <c r="K672" s="1">
        <v>2</v>
      </c>
      <c r="L672" s="1">
        <v>1</v>
      </c>
      <c r="S672" s="1" t="s">
        <v>9425</v>
      </c>
      <c r="T672" s="1">
        <v>1</v>
      </c>
      <c r="U672" s="19"/>
      <c r="V672" s="19"/>
      <c r="W672" s="218">
        <v>1</v>
      </c>
      <c r="X672" s="218">
        <v>1</v>
      </c>
      <c r="Y672" s="218">
        <v>1</v>
      </c>
    </row>
    <row r="673" spans="1:25" x14ac:dyDescent="0.3">
      <c r="A673" s="1" t="s">
        <v>1901</v>
      </c>
      <c r="B673" s="5">
        <v>46200</v>
      </c>
      <c r="C673" s="6">
        <v>0.66666666666666696</v>
      </c>
      <c r="D673" s="1" t="s">
        <v>12</v>
      </c>
      <c r="E673" s="1" t="s">
        <v>14</v>
      </c>
      <c r="F673" s="1" t="s">
        <v>1902</v>
      </c>
      <c r="G673" s="39" t="s">
        <v>1863</v>
      </c>
      <c r="H673" s="1">
        <v>1</v>
      </c>
      <c r="I673" s="1">
        <v>0</v>
      </c>
      <c r="J673" s="39" t="s">
        <v>1858</v>
      </c>
      <c r="K673" s="1">
        <v>0</v>
      </c>
      <c r="L673" s="1">
        <v>1</v>
      </c>
      <c r="S673" s="1" t="s">
        <v>9426</v>
      </c>
      <c r="T673" s="1">
        <v>1</v>
      </c>
      <c r="U673" s="19"/>
      <c r="V673" s="19"/>
      <c r="W673" s="218">
        <v>1</v>
      </c>
      <c r="X673" s="218">
        <v>1</v>
      </c>
      <c r="Y673" s="218">
        <v>1</v>
      </c>
    </row>
    <row r="674" spans="1:25" x14ac:dyDescent="0.3">
      <c r="A674" s="1" t="s">
        <v>1903</v>
      </c>
      <c r="B674" s="5">
        <v>46196</v>
      </c>
      <c r="C674" s="6">
        <v>0.83333333333333304</v>
      </c>
      <c r="D674" s="1" t="s">
        <v>12</v>
      </c>
      <c r="E674" s="1" t="s">
        <v>14</v>
      </c>
      <c r="F674" s="1" t="s">
        <v>1904</v>
      </c>
      <c r="G674" s="39" t="s">
        <v>1843</v>
      </c>
      <c r="H674" s="1">
        <v>0</v>
      </c>
      <c r="I674" s="1">
        <v>1</v>
      </c>
      <c r="J674" s="39" t="s">
        <v>1863</v>
      </c>
      <c r="K674" s="1">
        <v>1</v>
      </c>
      <c r="L674" s="1">
        <v>0</v>
      </c>
      <c r="S674" s="1" t="s">
        <v>9427</v>
      </c>
      <c r="T674" s="1">
        <v>1</v>
      </c>
      <c r="U674" s="19"/>
      <c r="V674" s="19"/>
      <c r="W674" s="218">
        <v>1</v>
      </c>
      <c r="X674" s="218">
        <v>1</v>
      </c>
      <c r="Y674" s="218">
        <v>1</v>
      </c>
    </row>
    <row r="675" spans="1:25" x14ac:dyDescent="0.3">
      <c r="A675" s="1" t="s">
        <v>1905</v>
      </c>
      <c r="B675" s="5">
        <v>46188</v>
      </c>
      <c r="C675" s="6">
        <v>0.875</v>
      </c>
      <c r="D675" s="1" t="s">
        <v>12</v>
      </c>
      <c r="E675" s="1" t="s">
        <v>14</v>
      </c>
      <c r="F675" s="1" t="s">
        <v>1906</v>
      </c>
      <c r="G675" s="39" t="s">
        <v>1863</v>
      </c>
      <c r="H675" s="1">
        <v>1</v>
      </c>
      <c r="I675" s="1">
        <v>1</v>
      </c>
      <c r="J675" s="39" t="s">
        <v>1894</v>
      </c>
      <c r="K675" s="1">
        <v>1</v>
      </c>
      <c r="L675" s="1">
        <v>1</v>
      </c>
      <c r="S675" s="1" t="s">
        <v>9428</v>
      </c>
      <c r="T675" s="1">
        <v>1</v>
      </c>
      <c r="U675" s="19"/>
      <c r="V675" s="19"/>
      <c r="W675" s="218">
        <v>1</v>
      </c>
      <c r="X675" s="218">
        <v>1</v>
      </c>
      <c r="Y675" s="218">
        <v>1</v>
      </c>
    </row>
    <row r="676" spans="1:25" x14ac:dyDescent="0.3">
      <c r="A676" s="1" t="s">
        <v>1907</v>
      </c>
      <c r="B676" s="5">
        <v>46179</v>
      </c>
      <c r="C676" s="6">
        <v>0.45833333333333298</v>
      </c>
      <c r="D676" s="1" t="s">
        <v>12</v>
      </c>
      <c r="E676" s="1" t="s">
        <v>14</v>
      </c>
      <c r="F676" s="1" t="s">
        <v>1908</v>
      </c>
      <c r="G676" s="39" t="s">
        <v>1863</v>
      </c>
      <c r="H676" s="1">
        <v>1</v>
      </c>
      <c r="I676" s="1">
        <v>0</v>
      </c>
      <c r="J676" s="39" t="s">
        <v>1846</v>
      </c>
      <c r="K676" s="1">
        <v>0</v>
      </c>
      <c r="L676" s="1">
        <v>1</v>
      </c>
      <c r="S676" s="1" t="s">
        <v>9429</v>
      </c>
      <c r="T676" s="1">
        <v>1</v>
      </c>
      <c r="U676" s="19"/>
      <c r="V676" s="19"/>
      <c r="W676" s="218">
        <v>1</v>
      </c>
      <c r="X676" s="218">
        <v>1</v>
      </c>
      <c r="Y676" s="218">
        <v>1</v>
      </c>
    </row>
    <row r="677" spans="1:25" x14ac:dyDescent="0.3">
      <c r="A677" s="1" t="s">
        <v>1909</v>
      </c>
      <c r="B677" s="5">
        <v>46172</v>
      </c>
      <c r="C677" s="6">
        <v>0.66666666666666696</v>
      </c>
      <c r="D677" s="1" t="s">
        <v>12</v>
      </c>
      <c r="E677" s="1" t="s">
        <v>14</v>
      </c>
      <c r="F677" s="1" t="s">
        <v>1910</v>
      </c>
      <c r="G677" s="39" t="s">
        <v>107</v>
      </c>
      <c r="H677" s="1">
        <v>1</v>
      </c>
      <c r="I677" s="1">
        <v>2</v>
      </c>
      <c r="J677" s="39" t="s">
        <v>1863</v>
      </c>
      <c r="K677" s="1">
        <v>2</v>
      </c>
      <c r="L677" s="1">
        <v>1</v>
      </c>
      <c r="S677" s="1" t="s">
        <v>9430</v>
      </c>
      <c r="T677" s="1">
        <v>1</v>
      </c>
      <c r="U677" s="19"/>
      <c r="V677" s="19"/>
      <c r="W677" s="218">
        <v>1</v>
      </c>
      <c r="X677" s="218">
        <v>1</v>
      </c>
      <c r="Y677" s="218">
        <v>1</v>
      </c>
    </row>
    <row r="678" spans="1:25" x14ac:dyDescent="0.3">
      <c r="A678" s="1" t="s">
        <v>1911</v>
      </c>
      <c r="B678" s="5">
        <v>46166</v>
      </c>
      <c r="C678" s="6">
        <v>0.85416666666666696</v>
      </c>
      <c r="D678" s="1" t="s">
        <v>12</v>
      </c>
      <c r="E678" s="1" t="s">
        <v>14</v>
      </c>
      <c r="F678" s="1" t="s">
        <v>1912</v>
      </c>
      <c r="G678" s="39" t="s">
        <v>89</v>
      </c>
      <c r="H678" s="1">
        <v>1</v>
      </c>
      <c r="I678" s="1">
        <v>1</v>
      </c>
      <c r="J678" s="39" t="s">
        <v>1863</v>
      </c>
      <c r="K678" s="1">
        <v>1</v>
      </c>
      <c r="L678" s="1">
        <v>1</v>
      </c>
      <c r="S678" s="1" t="s">
        <v>9431</v>
      </c>
      <c r="T678" s="1">
        <v>1</v>
      </c>
      <c r="U678" s="19"/>
      <c r="V678" s="19"/>
      <c r="W678" s="218">
        <v>1</v>
      </c>
      <c r="X678" s="218">
        <v>1</v>
      </c>
      <c r="Y678" s="218">
        <v>1</v>
      </c>
    </row>
    <row r="679" spans="1:25" x14ac:dyDescent="0.3">
      <c r="A679" s="1" t="s">
        <v>1913</v>
      </c>
      <c r="B679" s="5">
        <v>46159</v>
      </c>
      <c r="C679" s="6">
        <v>0.77083333333333304</v>
      </c>
      <c r="D679" s="1" t="s">
        <v>12</v>
      </c>
      <c r="E679" s="1" t="s">
        <v>14</v>
      </c>
      <c r="F679" s="1" t="s">
        <v>1914</v>
      </c>
      <c r="G679" s="39" t="s">
        <v>1863</v>
      </c>
      <c r="H679" s="1">
        <v>1</v>
      </c>
      <c r="I679" s="1">
        <v>1</v>
      </c>
      <c r="J679" s="39" t="s">
        <v>88</v>
      </c>
      <c r="K679" s="1">
        <v>1</v>
      </c>
      <c r="L679" s="1">
        <v>1</v>
      </c>
      <c r="S679" s="1" t="s">
        <v>9432</v>
      </c>
      <c r="T679" s="1">
        <v>1</v>
      </c>
      <c r="U679" s="19"/>
      <c r="V679" s="19"/>
      <c r="W679" s="218">
        <v>0</v>
      </c>
      <c r="X679" s="218">
        <v>0</v>
      </c>
      <c r="Y679" s="218">
        <v>0</v>
      </c>
    </row>
    <row r="680" spans="1:25" x14ac:dyDescent="0.3">
      <c r="A680" s="1" t="s">
        <v>1915</v>
      </c>
      <c r="B680" s="5">
        <v>46151</v>
      </c>
      <c r="C680" s="6">
        <v>0.88541666666666696</v>
      </c>
      <c r="D680" s="1" t="s">
        <v>12</v>
      </c>
      <c r="E680" s="1" t="s">
        <v>14</v>
      </c>
      <c r="F680" s="1" t="s">
        <v>1916</v>
      </c>
      <c r="G680" s="39" t="s">
        <v>106</v>
      </c>
      <c r="H680" s="1">
        <v>0</v>
      </c>
      <c r="I680" s="1">
        <v>0</v>
      </c>
      <c r="J680" s="39" t="s">
        <v>1863</v>
      </c>
      <c r="K680" s="1">
        <v>0</v>
      </c>
      <c r="L680" s="1">
        <v>0</v>
      </c>
      <c r="S680" s="1" t="s">
        <v>9433</v>
      </c>
      <c r="T680" s="1">
        <v>1</v>
      </c>
      <c r="U680" s="19"/>
      <c r="V680" s="19"/>
      <c r="W680" s="218">
        <v>0</v>
      </c>
      <c r="X680" s="218">
        <v>0</v>
      </c>
      <c r="Y680" s="218">
        <v>0</v>
      </c>
    </row>
    <row r="681" spans="1:25" x14ac:dyDescent="0.3">
      <c r="A681" s="1" t="s">
        <v>1917</v>
      </c>
      <c r="B681" s="5">
        <v>46144</v>
      </c>
      <c r="C681" s="6">
        <v>0.77083333333333304</v>
      </c>
      <c r="D681" s="1" t="s">
        <v>12</v>
      </c>
      <c r="E681" s="1" t="s">
        <v>14</v>
      </c>
      <c r="F681" s="1" t="s">
        <v>1918</v>
      </c>
      <c r="G681" s="39" t="s">
        <v>93</v>
      </c>
      <c r="H681" s="1">
        <v>1</v>
      </c>
      <c r="I681" s="1">
        <v>1</v>
      </c>
      <c r="J681" s="39" t="s">
        <v>1863</v>
      </c>
      <c r="K681" s="1">
        <v>1</v>
      </c>
      <c r="L681" s="1">
        <v>1</v>
      </c>
      <c r="S681" s="1" t="s">
        <v>9434</v>
      </c>
      <c r="T681" s="1">
        <v>1</v>
      </c>
      <c r="U681" s="19"/>
      <c r="V681" s="19"/>
      <c r="W681" s="218">
        <v>0</v>
      </c>
      <c r="X681" s="218">
        <v>0</v>
      </c>
      <c r="Y681" s="218">
        <v>0</v>
      </c>
    </row>
    <row r="682" spans="1:25" x14ac:dyDescent="0.3">
      <c r="A682" s="1" t="s">
        <v>1919</v>
      </c>
      <c r="B682" s="5">
        <v>46226</v>
      </c>
      <c r="C682" s="6">
        <v>0.89583333333333304</v>
      </c>
      <c r="D682" s="1" t="s">
        <v>12</v>
      </c>
      <c r="E682" s="1" t="s">
        <v>14</v>
      </c>
      <c r="F682" s="1" t="s">
        <v>1920</v>
      </c>
      <c r="G682" s="39" t="s">
        <v>124</v>
      </c>
      <c r="H682" s="1">
        <v>4</v>
      </c>
      <c r="I682" s="1">
        <v>2</v>
      </c>
      <c r="J682" s="39" t="s">
        <v>106</v>
      </c>
      <c r="K682" s="1">
        <v>2</v>
      </c>
      <c r="L682" s="1">
        <v>4</v>
      </c>
      <c r="S682" s="1" t="s">
        <v>9435</v>
      </c>
      <c r="T682" s="1">
        <v>1</v>
      </c>
      <c r="U682" s="19"/>
      <c r="V682" s="19"/>
      <c r="W682" s="218">
        <v>1</v>
      </c>
      <c r="X682" s="218">
        <v>1</v>
      </c>
      <c r="Y682" s="218">
        <v>1</v>
      </c>
    </row>
    <row r="683" spans="1:25" x14ac:dyDescent="0.3">
      <c r="A683" s="1" t="s">
        <v>1921</v>
      </c>
      <c r="B683" s="5">
        <v>46220</v>
      </c>
      <c r="C683" s="6">
        <v>0.79166666666666696</v>
      </c>
      <c r="D683" s="1" t="s">
        <v>12</v>
      </c>
      <c r="E683" s="1" t="s">
        <v>14</v>
      </c>
      <c r="F683" s="1" t="s">
        <v>1922</v>
      </c>
      <c r="G683" s="39" t="s">
        <v>106</v>
      </c>
      <c r="H683" s="1">
        <v>2</v>
      </c>
      <c r="I683" s="1">
        <v>0</v>
      </c>
      <c r="J683" s="39" t="s">
        <v>93</v>
      </c>
      <c r="K683" s="1">
        <v>0</v>
      </c>
      <c r="L683" s="1">
        <v>2</v>
      </c>
      <c r="S683" s="1" t="s">
        <v>9436</v>
      </c>
      <c r="T683" s="1">
        <v>1</v>
      </c>
      <c r="U683" s="19"/>
      <c r="V683" s="19"/>
      <c r="W683" s="218">
        <v>1</v>
      </c>
      <c r="X683" s="218">
        <v>1</v>
      </c>
      <c r="Y683" s="218">
        <v>1</v>
      </c>
    </row>
    <row r="684" spans="1:25" x14ac:dyDescent="0.3">
      <c r="A684" s="1" t="s">
        <v>1923</v>
      </c>
      <c r="B684" s="5">
        <v>46208</v>
      </c>
      <c r="C684" s="6">
        <v>0.85416666666666696</v>
      </c>
      <c r="D684" s="1" t="s">
        <v>12</v>
      </c>
      <c r="E684" s="1" t="s">
        <v>14</v>
      </c>
      <c r="F684" s="1" t="s">
        <v>1924</v>
      </c>
      <c r="G684" s="39" t="s">
        <v>1852</v>
      </c>
      <c r="H684" s="1">
        <v>0</v>
      </c>
      <c r="I684" s="1">
        <v>0</v>
      </c>
      <c r="J684" s="39" t="s">
        <v>106</v>
      </c>
      <c r="K684" s="1">
        <v>0</v>
      </c>
      <c r="L684" s="1">
        <v>0</v>
      </c>
      <c r="S684" s="1" t="s">
        <v>9437</v>
      </c>
      <c r="T684" s="1">
        <v>1</v>
      </c>
      <c r="U684" s="19"/>
      <c r="V684" s="19"/>
      <c r="W684" s="218">
        <v>1</v>
      </c>
      <c r="X684" s="218">
        <v>1</v>
      </c>
      <c r="Y684" s="218">
        <v>1</v>
      </c>
    </row>
    <row r="685" spans="1:25" x14ac:dyDescent="0.3">
      <c r="A685" s="1" t="s">
        <v>1925</v>
      </c>
      <c r="B685" s="5">
        <v>46201</v>
      </c>
      <c r="C685" s="6">
        <v>0.66666666666666696</v>
      </c>
      <c r="D685" s="1" t="s">
        <v>12</v>
      </c>
      <c r="E685" s="1" t="s">
        <v>14</v>
      </c>
      <c r="F685" s="1" t="s">
        <v>1926</v>
      </c>
      <c r="G685" s="39" t="s">
        <v>106</v>
      </c>
      <c r="H685" s="1">
        <v>2</v>
      </c>
      <c r="I685" s="1">
        <v>0</v>
      </c>
      <c r="J685" s="39" t="s">
        <v>1894</v>
      </c>
      <c r="K685" s="1">
        <v>0</v>
      </c>
      <c r="L685" s="1">
        <v>2</v>
      </c>
      <c r="S685" s="1" t="s">
        <v>9438</v>
      </c>
      <c r="T685" s="1">
        <v>1</v>
      </c>
      <c r="U685" s="19"/>
      <c r="V685" s="19"/>
      <c r="W685" s="218">
        <v>1</v>
      </c>
      <c r="X685" s="218">
        <v>1</v>
      </c>
      <c r="Y685" s="218">
        <v>1</v>
      </c>
    </row>
    <row r="686" spans="1:25" x14ac:dyDescent="0.3">
      <c r="A686" s="1" t="s">
        <v>1927</v>
      </c>
      <c r="B686" s="5">
        <v>46194</v>
      </c>
      <c r="C686" s="6">
        <v>0.70833333333333304</v>
      </c>
      <c r="D686" s="1" t="s">
        <v>12</v>
      </c>
      <c r="E686" s="1" t="s">
        <v>14</v>
      </c>
      <c r="F686" s="1" t="s">
        <v>1928</v>
      </c>
      <c r="G686" s="39" t="s">
        <v>1858</v>
      </c>
      <c r="H686" s="1">
        <v>0</v>
      </c>
      <c r="I686" s="1">
        <v>1</v>
      </c>
      <c r="J686" s="39" t="s">
        <v>106</v>
      </c>
      <c r="K686" s="1">
        <v>1</v>
      </c>
      <c r="L686" s="1">
        <v>0</v>
      </c>
      <c r="S686" s="1" t="s">
        <v>9439</v>
      </c>
      <c r="T686" s="1">
        <v>1</v>
      </c>
      <c r="U686" s="19"/>
      <c r="V686" s="19"/>
      <c r="W686" s="218">
        <v>1</v>
      </c>
      <c r="X686" s="218">
        <v>1</v>
      </c>
      <c r="Y686" s="218">
        <v>1</v>
      </c>
    </row>
    <row r="687" spans="1:25" x14ac:dyDescent="0.3">
      <c r="A687" s="1" t="s">
        <v>1929</v>
      </c>
      <c r="B687" s="5">
        <v>46187</v>
      </c>
      <c r="C687" s="6">
        <v>0.45833333333333298</v>
      </c>
      <c r="D687" s="1" t="s">
        <v>12</v>
      </c>
      <c r="E687" s="1" t="s">
        <v>14</v>
      </c>
      <c r="F687" s="1" t="s">
        <v>1930</v>
      </c>
      <c r="G687" s="39" t="s">
        <v>106</v>
      </c>
      <c r="H687" s="1">
        <v>3</v>
      </c>
      <c r="I687" s="1">
        <v>0</v>
      </c>
      <c r="J687" s="39" t="s">
        <v>101</v>
      </c>
      <c r="K687" s="1">
        <v>0</v>
      </c>
      <c r="L687" s="1">
        <v>3</v>
      </c>
      <c r="S687" s="1" t="s">
        <v>9440</v>
      </c>
      <c r="T687" s="1">
        <v>1</v>
      </c>
      <c r="U687" s="19"/>
      <c r="V687" s="19"/>
      <c r="W687" s="218">
        <v>1</v>
      </c>
      <c r="X687" s="218">
        <v>1</v>
      </c>
      <c r="Y687" s="218">
        <v>1</v>
      </c>
    </row>
    <row r="688" spans="1:25" x14ac:dyDescent="0.3">
      <c r="A688" s="1" t="s">
        <v>1931</v>
      </c>
      <c r="B688" s="5">
        <v>46178</v>
      </c>
      <c r="C688" s="6">
        <v>0.83333333333333304</v>
      </c>
      <c r="D688" s="1" t="s">
        <v>12</v>
      </c>
      <c r="E688" s="1" t="s">
        <v>14</v>
      </c>
      <c r="F688" s="1" t="s">
        <v>1932</v>
      </c>
      <c r="G688" s="39" t="s">
        <v>89</v>
      </c>
      <c r="H688" s="1">
        <v>2</v>
      </c>
      <c r="I688" s="1">
        <v>1</v>
      </c>
      <c r="J688" s="39" t="s">
        <v>106</v>
      </c>
      <c r="K688" s="1">
        <v>1</v>
      </c>
      <c r="L688" s="1">
        <v>2</v>
      </c>
      <c r="S688" s="1" t="s">
        <v>9441</v>
      </c>
      <c r="T688" s="1">
        <v>1</v>
      </c>
      <c r="U688" s="19"/>
      <c r="V688" s="19"/>
      <c r="W688" s="218">
        <v>1</v>
      </c>
      <c r="X688" s="218">
        <v>1</v>
      </c>
      <c r="Y688" s="218">
        <v>1</v>
      </c>
    </row>
    <row r="689" spans="1:25" x14ac:dyDescent="0.3">
      <c r="A689" s="1" t="s">
        <v>1933</v>
      </c>
      <c r="B689" s="5">
        <v>46171</v>
      </c>
      <c r="C689" s="6">
        <v>0.875</v>
      </c>
      <c r="D689" s="1" t="s">
        <v>12</v>
      </c>
      <c r="E689" s="1" t="s">
        <v>14</v>
      </c>
      <c r="F689" s="1" t="s">
        <v>1934</v>
      </c>
      <c r="G689" s="39" t="s">
        <v>106</v>
      </c>
      <c r="H689" s="1">
        <v>3</v>
      </c>
      <c r="I689" s="1">
        <v>0</v>
      </c>
      <c r="J689" s="39" t="s">
        <v>1843</v>
      </c>
      <c r="K689" s="1">
        <v>0</v>
      </c>
      <c r="L689" s="1">
        <v>3</v>
      </c>
      <c r="S689" s="1" t="s">
        <v>9442</v>
      </c>
      <c r="T689" s="1">
        <v>1</v>
      </c>
      <c r="U689" s="19"/>
      <c r="V689" s="19"/>
      <c r="W689" s="218">
        <v>1</v>
      </c>
      <c r="X689" s="218">
        <v>1</v>
      </c>
      <c r="Y689" s="218">
        <v>1</v>
      </c>
    </row>
    <row r="690" spans="1:25" x14ac:dyDescent="0.3">
      <c r="A690" s="1" t="s">
        <v>1935</v>
      </c>
      <c r="B690" s="5">
        <v>46159</v>
      </c>
      <c r="C690" s="6">
        <v>0.66666666666666696</v>
      </c>
      <c r="D690" s="1" t="s">
        <v>12</v>
      </c>
      <c r="E690" s="1" t="s">
        <v>14</v>
      </c>
      <c r="F690" s="1" t="s">
        <v>1936</v>
      </c>
      <c r="G690" s="39" t="s">
        <v>102</v>
      </c>
      <c r="H690" s="1">
        <v>1</v>
      </c>
      <c r="I690" s="1">
        <v>1</v>
      </c>
      <c r="J690" s="39" t="s">
        <v>106</v>
      </c>
      <c r="K690" s="1">
        <v>1</v>
      </c>
      <c r="L690" s="1">
        <v>1</v>
      </c>
      <c r="S690" s="1" t="s">
        <v>9443</v>
      </c>
      <c r="T690" s="1">
        <v>1</v>
      </c>
      <c r="U690" s="19"/>
      <c r="V690" s="19"/>
      <c r="W690" s="218">
        <v>0</v>
      </c>
      <c r="X690" s="218">
        <v>0</v>
      </c>
      <c r="Y690" s="218">
        <v>0</v>
      </c>
    </row>
    <row r="691" spans="1:25" ht="14.4" x14ac:dyDescent="0.3">
      <c r="A691" s="1" t="s">
        <v>1937</v>
      </c>
      <c r="B691" s="5">
        <v>46145</v>
      </c>
      <c r="C691" s="6">
        <v>0.77083333333333304</v>
      </c>
      <c r="D691" s="1" t="s">
        <v>12</v>
      </c>
      <c r="E691" s="1" t="s">
        <v>14</v>
      </c>
      <c r="F691" s="1" t="s">
        <v>1938</v>
      </c>
      <c r="G691" s="39" t="s">
        <v>88</v>
      </c>
      <c r="H691" s="1">
        <v>0</v>
      </c>
      <c r="I691" s="1">
        <v>0</v>
      </c>
      <c r="J691" s="39" t="s">
        <v>106</v>
      </c>
      <c r="K691" s="1">
        <v>0</v>
      </c>
      <c r="L691" s="1">
        <v>0</v>
      </c>
      <c r="S691" s="1" t="s">
        <v>9444</v>
      </c>
      <c r="T691">
        <v>1</v>
      </c>
      <c r="U691" s="19"/>
      <c r="V691" s="19"/>
      <c r="W691" s="218">
        <v>0</v>
      </c>
      <c r="X691" s="218">
        <v>0</v>
      </c>
      <c r="Y691" s="218">
        <v>0</v>
      </c>
    </row>
    <row r="692" spans="1:25" x14ac:dyDescent="0.3">
      <c r="A692" s="1" t="s">
        <v>1940</v>
      </c>
      <c r="B692" s="5">
        <v>46241</v>
      </c>
      <c r="C692" s="6">
        <v>0.8125</v>
      </c>
      <c r="D692" s="1" t="s">
        <v>12</v>
      </c>
      <c r="E692" s="1" t="s">
        <v>14</v>
      </c>
      <c r="F692" s="1" t="s">
        <v>1941</v>
      </c>
      <c r="G692" s="39" t="s">
        <v>89</v>
      </c>
      <c r="H692" s="1">
        <v>1</v>
      </c>
      <c r="I692" s="1">
        <v>3</v>
      </c>
      <c r="J692" s="39" t="s">
        <v>1858</v>
      </c>
      <c r="K692" s="1">
        <v>3</v>
      </c>
      <c r="L692" s="1">
        <v>1</v>
      </c>
      <c r="S692" s="1" t="s">
        <v>9445</v>
      </c>
      <c r="T692" s="1">
        <v>1</v>
      </c>
      <c r="U692" s="19"/>
      <c r="V692" s="19"/>
      <c r="W692" s="218">
        <v>1</v>
      </c>
      <c r="X692" s="218">
        <v>1</v>
      </c>
      <c r="Y692" s="218">
        <v>1</v>
      </c>
    </row>
    <row r="693" spans="1:25" x14ac:dyDescent="0.3">
      <c r="A693" s="1" t="s">
        <v>1942</v>
      </c>
      <c r="B693" s="5">
        <v>46225</v>
      </c>
      <c r="C693" s="6">
        <v>0.8125</v>
      </c>
      <c r="D693" s="1" t="s">
        <v>12</v>
      </c>
      <c r="E693" s="1" t="s">
        <v>14</v>
      </c>
      <c r="F693" s="1" t="s">
        <v>1943</v>
      </c>
      <c r="G693" s="39" t="s">
        <v>89</v>
      </c>
      <c r="H693" s="1">
        <v>3</v>
      </c>
      <c r="I693" s="1">
        <v>2</v>
      </c>
      <c r="J693" s="39" t="s">
        <v>101</v>
      </c>
      <c r="K693" s="1">
        <v>2</v>
      </c>
      <c r="L693" s="1">
        <v>3</v>
      </c>
      <c r="S693" s="1" t="s">
        <v>9446</v>
      </c>
      <c r="T693" s="1">
        <v>1</v>
      </c>
      <c r="U693" s="19"/>
      <c r="V693" s="19"/>
      <c r="W693" s="218">
        <v>1</v>
      </c>
      <c r="X693" s="218">
        <v>1</v>
      </c>
      <c r="Y693" s="218">
        <v>1</v>
      </c>
    </row>
    <row r="694" spans="1:25" x14ac:dyDescent="0.3">
      <c r="A694" s="1" t="s">
        <v>1944</v>
      </c>
      <c r="B694" s="5">
        <v>46215</v>
      </c>
      <c r="C694" s="6">
        <v>0.45833333333333298</v>
      </c>
      <c r="D694" s="1" t="s">
        <v>12</v>
      </c>
      <c r="E694" s="1" t="s">
        <v>14</v>
      </c>
      <c r="F694" s="1" t="s">
        <v>1945</v>
      </c>
      <c r="G694" s="39" t="s">
        <v>89</v>
      </c>
      <c r="H694" s="1">
        <v>2</v>
      </c>
      <c r="I694" s="1">
        <v>1</v>
      </c>
      <c r="J694" s="39" t="s">
        <v>1855</v>
      </c>
      <c r="K694" s="1">
        <v>1</v>
      </c>
      <c r="L694" s="1">
        <v>2</v>
      </c>
      <c r="S694" s="1" t="s">
        <v>9447</v>
      </c>
      <c r="T694" s="1">
        <v>1</v>
      </c>
      <c r="U694" s="19"/>
      <c r="V694" s="19"/>
      <c r="W694" s="218">
        <v>1</v>
      </c>
      <c r="X694" s="218">
        <v>1</v>
      </c>
      <c r="Y694" s="218">
        <v>1</v>
      </c>
    </row>
    <row r="695" spans="1:25" x14ac:dyDescent="0.3">
      <c r="A695" s="1" t="s">
        <v>1946</v>
      </c>
      <c r="B695" s="5">
        <v>46210</v>
      </c>
      <c r="C695" s="6">
        <v>0.83333333333333304</v>
      </c>
      <c r="D695" s="1" t="s">
        <v>12</v>
      </c>
      <c r="E695" s="1" t="s">
        <v>14</v>
      </c>
      <c r="F695" s="1" t="s">
        <v>1947</v>
      </c>
      <c r="G695" s="39" t="s">
        <v>102</v>
      </c>
      <c r="H695" s="1">
        <v>0</v>
      </c>
      <c r="I695" s="1">
        <v>1</v>
      </c>
      <c r="J695" s="39" t="s">
        <v>89</v>
      </c>
      <c r="K695" s="1">
        <v>1</v>
      </c>
      <c r="L695" s="1">
        <v>0</v>
      </c>
      <c r="S695" s="1" t="s">
        <v>9448</v>
      </c>
      <c r="T695" s="1">
        <v>1</v>
      </c>
      <c r="U695" s="19"/>
      <c r="V695" s="19"/>
      <c r="W695" s="218">
        <v>1</v>
      </c>
      <c r="X695" s="218">
        <v>1</v>
      </c>
      <c r="Y695" s="218">
        <v>1</v>
      </c>
    </row>
    <row r="696" spans="1:25" x14ac:dyDescent="0.3">
      <c r="A696" s="1" t="s">
        <v>1948</v>
      </c>
      <c r="B696" s="5">
        <v>46200</v>
      </c>
      <c r="C696" s="6">
        <v>0.45833333333333298</v>
      </c>
      <c r="D696" s="1" t="s">
        <v>12</v>
      </c>
      <c r="E696" s="1" t="s">
        <v>14</v>
      </c>
      <c r="F696" s="1" t="s">
        <v>1949</v>
      </c>
      <c r="G696" s="39" t="s">
        <v>89</v>
      </c>
      <c r="H696" s="1">
        <v>1</v>
      </c>
      <c r="I696" s="1">
        <v>0</v>
      </c>
      <c r="J696" s="39" t="s">
        <v>1843</v>
      </c>
      <c r="K696" s="1">
        <v>0</v>
      </c>
      <c r="L696" s="1">
        <v>1</v>
      </c>
      <c r="S696" s="1" t="s">
        <v>9449</v>
      </c>
      <c r="T696" s="1">
        <v>1</v>
      </c>
      <c r="U696" s="19"/>
      <c r="V696" s="19"/>
      <c r="W696" s="218">
        <v>1</v>
      </c>
      <c r="X696" s="218">
        <v>1</v>
      </c>
      <c r="Y696" s="218">
        <v>1</v>
      </c>
    </row>
    <row r="697" spans="1:25" x14ac:dyDescent="0.3">
      <c r="A697" s="1" t="s">
        <v>1950</v>
      </c>
      <c r="B697" s="5">
        <v>46194</v>
      </c>
      <c r="C697" s="6">
        <v>0.77083333333333304</v>
      </c>
      <c r="D697" s="1" t="s">
        <v>12</v>
      </c>
      <c r="E697" s="1" t="s">
        <v>14</v>
      </c>
      <c r="F697" s="1" t="s">
        <v>1951</v>
      </c>
      <c r="G697" s="39" t="s">
        <v>1885</v>
      </c>
      <c r="H697" s="1">
        <v>0</v>
      </c>
      <c r="I697" s="1">
        <v>3</v>
      </c>
      <c r="J697" s="39" t="s">
        <v>89</v>
      </c>
      <c r="K697" s="1">
        <v>3</v>
      </c>
      <c r="L697" s="1">
        <v>0</v>
      </c>
      <c r="S697" s="1" t="s">
        <v>9450</v>
      </c>
      <c r="T697" s="1">
        <v>1</v>
      </c>
      <c r="U697" s="19"/>
      <c r="V697" s="19"/>
      <c r="W697" s="218">
        <v>1</v>
      </c>
      <c r="X697" s="218">
        <v>1</v>
      </c>
      <c r="Y697" s="218">
        <v>1</v>
      </c>
    </row>
    <row r="698" spans="1:25" x14ac:dyDescent="0.3">
      <c r="A698" s="1" t="s">
        <v>1952</v>
      </c>
      <c r="B698" s="5">
        <v>46187</v>
      </c>
      <c r="C698" s="6">
        <v>0.79166666666666696</v>
      </c>
      <c r="D698" s="1" t="s">
        <v>12</v>
      </c>
      <c r="E698" s="1" t="s">
        <v>14</v>
      </c>
      <c r="F698" s="1" t="s">
        <v>1953</v>
      </c>
      <c r="G698" s="39" t="s">
        <v>124</v>
      </c>
      <c r="H698" s="1">
        <v>2</v>
      </c>
      <c r="I698" s="1">
        <v>1</v>
      </c>
      <c r="J698" s="39" t="s">
        <v>89</v>
      </c>
      <c r="K698" s="1">
        <v>1</v>
      </c>
      <c r="L698" s="1">
        <v>2</v>
      </c>
      <c r="S698" s="1" t="s">
        <v>9451</v>
      </c>
      <c r="T698" s="1">
        <v>1</v>
      </c>
      <c r="U698" s="19"/>
      <c r="V698" s="19"/>
      <c r="W698" s="218">
        <v>1</v>
      </c>
      <c r="X698" s="218">
        <v>1</v>
      </c>
      <c r="Y698" s="218">
        <v>1</v>
      </c>
    </row>
    <row r="699" spans="1:25" x14ac:dyDescent="0.3">
      <c r="A699" s="1" t="s">
        <v>1954</v>
      </c>
      <c r="B699" s="5">
        <v>46173</v>
      </c>
      <c r="C699" s="6">
        <v>0.66666666666666696</v>
      </c>
      <c r="D699" s="1" t="s">
        <v>12</v>
      </c>
      <c r="E699" s="1" t="s">
        <v>14</v>
      </c>
      <c r="F699" s="1" t="s">
        <v>1955</v>
      </c>
      <c r="G699" s="39" t="s">
        <v>1894</v>
      </c>
      <c r="H699" s="1">
        <v>1</v>
      </c>
      <c r="I699" s="1">
        <v>2</v>
      </c>
      <c r="J699" s="39" t="s">
        <v>89</v>
      </c>
      <c r="K699" s="1">
        <v>2</v>
      </c>
      <c r="L699" s="1">
        <v>1</v>
      </c>
      <c r="S699" s="1" t="s">
        <v>9452</v>
      </c>
      <c r="T699" s="1">
        <v>1</v>
      </c>
      <c r="U699" s="19"/>
      <c r="V699" s="19"/>
      <c r="W699" s="218">
        <v>1</v>
      </c>
      <c r="X699" s="218">
        <v>1</v>
      </c>
      <c r="Y699" s="218">
        <v>1</v>
      </c>
    </row>
    <row r="700" spans="1:25" x14ac:dyDescent="0.3">
      <c r="A700" s="1" t="s">
        <v>1956</v>
      </c>
      <c r="B700" s="5">
        <v>46158</v>
      </c>
      <c r="C700" s="6">
        <v>0.66666666666666696</v>
      </c>
      <c r="D700" s="1" t="s">
        <v>12</v>
      </c>
      <c r="E700" s="1" t="s">
        <v>14</v>
      </c>
      <c r="F700" s="1" t="s">
        <v>1957</v>
      </c>
      <c r="G700" s="39" t="s">
        <v>89</v>
      </c>
      <c r="H700" s="1">
        <v>2</v>
      </c>
      <c r="I700" s="1">
        <v>6</v>
      </c>
      <c r="J700" s="39" t="s">
        <v>1852</v>
      </c>
      <c r="K700" s="1">
        <v>6</v>
      </c>
      <c r="L700" s="1">
        <v>2</v>
      </c>
      <c r="S700" s="1" t="s">
        <v>9453</v>
      </c>
      <c r="T700" s="1">
        <v>1</v>
      </c>
      <c r="U700" s="19"/>
      <c r="V700" s="19"/>
      <c r="W700" s="218">
        <v>0</v>
      </c>
      <c r="X700" s="218">
        <v>0</v>
      </c>
      <c r="Y700" s="218">
        <v>0</v>
      </c>
    </row>
    <row r="701" spans="1:25" ht="14.4" x14ac:dyDescent="0.3">
      <c r="A701" s="1" t="s">
        <v>1958</v>
      </c>
      <c r="B701" s="5">
        <v>46151</v>
      </c>
      <c r="C701" s="6">
        <v>0.85416666666666696</v>
      </c>
      <c r="D701" s="1" t="s">
        <v>12</v>
      </c>
      <c r="E701" s="1" t="s">
        <v>14</v>
      </c>
      <c r="F701" s="1" t="s">
        <v>1959</v>
      </c>
      <c r="G701" s="39" t="s">
        <v>83</v>
      </c>
      <c r="H701" s="1">
        <v>3</v>
      </c>
      <c r="I701" s="1">
        <v>0</v>
      </c>
      <c r="J701" s="39" t="s">
        <v>89</v>
      </c>
      <c r="K701" s="1">
        <v>0</v>
      </c>
      <c r="L701" s="1">
        <v>3</v>
      </c>
      <c r="S701" s="1" t="s">
        <v>9454</v>
      </c>
      <c r="T701">
        <v>1</v>
      </c>
      <c r="U701" s="19"/>
      <c r="V701" s="19"/>
      <c r="W701" s="218">
        <v>0</v>
      </c>
      <c r="X701" s="218">
        <v>0</v>
      </c>
      <c r="Y701" s="218">
        <v>0</v>
      </c>
    </row>
    <row r="702" spans="1:25" x14ac:dyDescent="0.3">
      <c r="A702" s="1" t="s">
        <v>1960</v>
      </c>
      <c r="B702" s="5">
        <v>46220</v>
      </c>
      <c r="C702" s="6">
        <v>0.875</v>
      </c>
      <c r="D702" s="1" t="s">
        <v>12</v>
      </c>
      <c r="E702" s="1" t="s">
        <v>14</v>
      </c>
      <c r="F702" s="1" t="s">
        <v>1961</v>
      </c>
      <c r="G702" s="39" t="s">
        <v>123</v>
      </c>
      <c r="H702" s="1">
        <v>1</v>
      </c>
      <c r="I702" s="1">
        <v>0</v>
      </c>
      <c r="J702" s="39" t="s">
        <v>1855</v>
      </c>
      <c r="K702" s="1">
        <v>0</v>
      </c>
      <c r="L702" s="1">
        <v>1</v>
      </c>
      <c r="S702" s="1" t="s">
        <v>9455</v>
      </c>
      <c r="T702" s="1">
        <v>1</v>
      </c>
      <c r="U702" s="19"/>
      <c r="V702" s="19"/>
      <c r="W702" s="218">
        <v>1</v>
      </c>
      <c r="X702" s="218">
        <v>1</v>
      </c>
      <c r="Y702" s="218">
        <v>1</v>
      </c>
    </row>
    <row r="703" spans="1:25" x14ac:dyDescent="0.3">
      <c r="A703" s="1" t="s">
        <v>1962</v>
      </c>
      <c r="B703" s="5">
        <v>46215</v>
      </c>
      <c r="C703" s="6">
        <v>0.75</v>
      </c>
      <c r="D703" s="1" t="s">
        <v>12</v>
      </c>
      <c r="E703" s="1" t="s">
        <v>14</v>
      </c>
      <c r="F703" s="1" t="s">
        <v>1963</v>
      </c>
      <c r="G703" s="39" t="s">
        <v>88</v>
      </c>
      <c r="H703" s="1">
        <v>1</v>
      </c>
      <c r="I703" s="1">
        <v>0</v>
      </c>
      <c r="J703" s="39" t="s">
        <v>123</v>
      </c>
      <c r="K703" s="1">
        <v>0</v>
      </c>
      <c r="L703" s="1">
        <v>1</v>
      </c>
      <c r="S703" s="1" t="s">
        <v>9456</v>
      </c>
      <c r="T703" s="1">
        <v>1</v>
      </c>
      <c r="U703" s="19"/>
      <c r="V703" s="19"/>
      <c r="W703" s="218">
        <v>1</v>
      </c>
      <c r="X703" s="218">
        <v>1</v>
      </c>
      <c r="Y703" s="218">
        <v>1</v>
      </c>
    </row>
    <row r="704" spans="1:25" x14ac:dyDescent="0.3">
      <c r="A704" s="1" t="s">
        <v>1964</v>
      </c>
      <c r="B704" s="5">
        <v>46205</v>
      </c>
      <c r="C704" s="6">
        <v>0.875</v>
      </c>
      <c r="D704" s="1" t="s">
        <v>12</v>
      </c>
      <c r="E704" s="1" t="s">
        <v>14</v>
      </c>
      <c r="F704" s="1" t="s">
        <v>1965</v>
      </c>
      <c r="G704" s="39" t="s">
        <v>123</v>
      </c>
      <c r="H704" s="1">
        <v>2</v>
      </c>
      <c r="I704" s="1">
        <v>0</v>
      </c>
      <c r="J704" s="39" t="s">
        <v>101</v>
      </c>
      <c r="K704" s="1">
        <v>0</v>
      </c>
      <c r="L704" s="1">
        <v>2</v>
      </c>
      <c r="S704" s="1" t="s">
        <v>9457</v>
      </c>
      <c r="T704" s="1">
        <v>1</v>
      </c>
      <c r="U704" s="19"/>
      <c r="V704" s="19"/>
      <c r="W704" s="218">
        <v>1</v>
      </c>
      <c r="X704" s="218">
        <v>1</v>
      </c>
      <c r="Y704" s="218">
        <v>1</v>
      </c>
    </row>
    <row r="705" spans="1:25" x14ac:dyDescent="0.3">
      <c r="A705" s="1" t="s">
        <v>1966</v>
      </c>
      <c r="B705" s="5">
        <v>46194</v>
      </c>
      <c r="C705" s="6">
        <v>0.66666666666666696</v>
      </c>
      <c r="D705" s="1" t="s">
        <v>12</v>
      </c>
      <c r="E705" s="1" t="s">
        <v>14</v>
      </c>
      <c r="F705" s="1" t="s">
        <v>1967</v>
      </c>
      <c r="G705" s="39" t="s">
        <v>83</v>
      </c>
      <c r="H705" s="1">
        <v>1</v>
      </c>
      <c r="I705" s="1">
        <v>1</v>
      </c>
      <c r="J705" s="39" t="s">
        <v>123</v>
      </c>
      <c r="K705" s="1">
        <v>1</v>
      </c>
      <c r="L705" s="1">
        <v>1</v>
      </c>
      <c r="S705" s="1" t="s">
        <v>9458</v>
      </c>
      <c r="T705" s="1">
        <v>1</v>
      </c>
      <c r="U705" s="19"/>
      <c r="V705" s="19"/>
      <c r="W705" s="218">
        <v>1</v>
      </c>
      <c r="X705" s="218">
        <v>1</v>
      </c>
      <c r="Y705" s="218">
        <v>1</v>
      </c>
    </row>
    <row r="706" spans="1:25" x14ac:dyDescent="0.3">
      <c r="A706" s="1" t="s">
        <v>1968</v>
      </c>
      <c r="B706" s="5">
        <v>46189</v>
      </c>
      <c r="C706" s="6">
        <v>0.83333333333333304</v>
      </c>
      <c r="D706" s="1" t="s">
        <v>12</v>
      </c>
      <c r="E706" s="1" t="s">
        <v>14</v>
      </c>
      <c r="F706" s="1" t="s">
        <v>1969</v>
      </c>
      <c r="G706" s="39" t="s">
        <v>123</v>
      </c>
      <c r="H706" s="1">
        <v>0</v>
      </c>
      <c r="I706" s="1">
        <v>3</v>
      </c>
      <c r="J706" s="39" t="s">
        <v>1843</v>
      </c>
      <c r="K706" s="1">
        <v>3</v>
      </c>
      <c r="L706" s="1">
        <v>0</v>
      </c>
      <c r="S706" s="1" t="s">
        <v>9459</v>
      </c>
      <c r="T706" s="1">
        <v>1</v>
      </c>
      <c r="U706" s="19"/>
      <c r="V706" s="19"/>
      <c r="W706" s="218">
        <v>1</v>
      </c>
      <c r="X706" s="218">
        <v>1</v>
      </c>
      <c r="Y706" s="218">
        <v>1</v>
      </c>
    </row>
    <row r="707" spans="1:25" x14ac:dyDescent="0.3">
      <c r="A707" s="1" t="s">
        <v>1970</v>
      </c>
      <c r="B707" s="5">
        <v>46182</v>
      </c>
      <c r="C707" s="6">
        <v>0.79166666666666696</v>
      </c>
      <c r="D707" s="1" t="s">
        <v>12</v>
      </c>
      <c r="E707" s="1" t="s">
        <v>14</v>
      </c>
      <c r="F707" s="1" t="s">
        <v>1971</v>
      </c>
      <c r="G707" s="39" t="s">
        <v>1852</v>
      </c>
      <c r="H707" s="1">
        <v>0</v>
      </c>
      <c r="I707" s="1">
        <v>1</v>
      </c>
      <c r="J707" s="39" t="s">
        <v>123</v>
      </c>
      <c r="K707" s="1">
        <v>1</v>
      </c>
      <c r="L707" s="1">
        <v>0</v>
      </c>
      <c r="S707" s="1" t="s">
        <v>9460</v>
      </c>
      <c r="T707" s="1">
        <v>1</v>
      </c>
      <c r="U707" s="19"/>
      <c r="V707" s="19"/>
      <c r="W707" s="218">
        <v>1</v>
      </c>
      <c r="X707" s="218">
        <v>1</v>
      </c>
      <c r="Y707" s="218">
        <v>1</v>
      </c>
    </row>
    <row r="708" spans="1:25" x14ac:dyDescent="0.3">
      <c r="A708" s="1" t="s">
        <v>1972</v>
      </c>
      <c r="B708" s="5">
        <v>46172</v>
      </c>
      <c r="C708" s="6">
        <v>0.75</v>
      </c>
      <c r="D708" s="1" t="s">
        <v>12</v>
      </c>
      <c r="E708" s="1" t="s">
        <v>14</v>
      </c>
      <c r="F708" s="1" t="s">
        <v>1973</v>
      </c>
      <c r="G708" s="39" t="s">
        <v>102</v>
      </c>
      <c r="H708" s="1">
        <v>1</v>
      </c>
      <c r="I708" s="1">
        <v>0</v>
      </c>
      <c r="J708" s="39" t="s">
        <v>123</v>
      </c>
      <c r="K708" s="1">
        <v>0</v>
      </c>
      <c r="L708" s="1">
        <v>1</v>
      </c>
      <c r="S708" s="1" t="s">
        <v>9461</v>
      </c>
      <c r="T708" s="1">
        <v>1</v>
      </c>
      <c r="U708" s="19"/>
      <c r="V708" s="19"/>
      <c r="W708" s="218">
        <v>1</v>
      </c>
      <c r="X708" s="218">
        <v>1</v>
      </c>
      <c r="Y708" s="218">
        <v>1</v>
      </c>
    </row>
    <row r="709" spans="1:25" x14ac:dyDescent="0.3">
      <c r="A709" s="1" t="s">
        <v>1974</v>
      </c>
      <c r="B709" s="5">
        <v>46165</v>
      </c>
      <c r="C709" s="6">
        <v>0.77083333333333304</v>
      </c>
      <c r="D709" s="1" t="s">
        <v>12</v>
      </c>
      <c r="E709" s="1" t="s">
        <v>14</v>
      </c>
      <c r="F709" s="1" t="s">
        <v>1975</v>
      </c>
      <c r="G709" s="39" t="s">
        <v>123</v>
      </c>
      <c r="H709" s="1">
        <v>3</v>
      </c>
      <c r="I709" s="1">
        <v>0</v>
      </c>
      <c r="J709" s="39" t="s">
        <v>1846</v>
      </c>
      <c r="K709" s="1">
        <v>0</v>
      </c>
      <c r="L709" s="1">
        <v>3</v>
      </c>
      <c r="S709" s="1" t="s">
        <v>9462</v>
      </c>
      <c r="T709" s="1">
        <v>1</v>
      </c>
      <c r="U709" s="19"/>
      <c r="V709" s="19"/>
      <c r="W709" s="218">
        <v>1</v>
      </c>
      <c r="X709" s="218">
        <v>1</v>
      </c>
      <c r="Y709" s="218">
        <v>1</v>
      </c>
    </row>
    <row r="710" spans="1:25" x14ac:dyDescent="0.3">
      <c r="A710" s="1" t="s">
        <v>1976</v>
      </c>
      <c r="B710" s="5">
        <v>46159</v>
      </c>
      <c r="C710" s="6">
        <v>0.77083333333333304</v>
      </c>
      <c r="D710" s="1" t="s">
        <v>12</v>
      </c>
      <c r="E710" s="1" t="s">
        <v>14</v>
      </c>
      <c r="F710" s="1" t="s">
        <v>1977</v>
      </c>
      <c r="G710" s="39" t="s">
        <v>1894</v>
      </c>
      <c r="H710" s="1">
        <v>2</v>
      </c>
      <c r="I710" s="1">
        <v>1</v>
      </c>
      <c r="J710" s="39" t="s">
        <v>123</v>
      </c>
      <c r="K710" s="1">
        <v>1</v>
      </c>
      <c r="L710" s="1">
        <v>2</v>
      </c>
      <c r="S710" s="1" t="s">
        <v>9463</v>
      </c>
      <c r="T710" s="1">
        <v>1</v>
      </c>
      <c r="U710" s="19"/>
      <c r="V710" s="19"/>
      <c r="W710" s="218">
        <v>0</v>
      </c>
      <c r="X710" s="218">
        <v>0</v>
      </c>
      <c r="Y710" s="218">
        <v>0</v>
      </c>
    </row>
    <row r="711" spans="1:25" x14ac:dyDescent="0.3">
      <c r="A711" s="1" t="s">
        <v>1978</v>
      </c>
      <c r="B711" s="5">
        <v>46152</v>
      </c>
      <c r="C711" s="6">
        <v>0.77083333333333304</v>
      </c>
      <c r="D711" s="1" t="s">
        <v>12</v>
      </c>
      <c r="E711" s="1" t="s">
        <v>14</v>
      </c>
      <c r="F711" s="1" t="s">
        <v>1979</v>
      </c>
      <c r="G711" s="39" t="s">
        <v>107</v>
      </c>
      <c r="H711" s="1">
        <v>0</v>
      </c>
      <c r="I711" s="1">
        <v>0</v>
      </c>
      <c r="J711" s="39" t="s">
        <v>123</v>
      </c>
      <c r="K711" s="1">
        <v>0</v>
      </c>
      <c r="L711" s="1">
        <v>0</v>
      </c>
      <c r="S711" s="1" t="s">
        <v>9464</v>
      </c>
      <c r="T711" s="1">
        <v>1</v>
      </c>
      <c r="U711" s="19"/>
      <c r="V711" s="19"/>
      <c r="W711" s="218">
        <v>0</v>
      </c>
      <c r="X711" s="218">
        <v>0</v>
      </c>
      <c r="Y711" s="218">
        <v>0</v>
      </c>
    </row>
    <row r="712" spans="1:25" ht="14.4" x14ac:dyDescent="0.3">
      <c r="A712" s="1" t="s">
        <v>1980</v>
      </c>
      <c r="B712" s="5">
        <v>46144</v>
      </c>
      <c r="C712" s="6">
        <v>0.85416666666666696</v>
      </c>
      <c r="D712" s="1" t="s">
        <v>12</v>
      </c>
      <c r="E712" s="1" t="s">
        <v>14</v>
      </c>
      <c r="F712" s="1" t="s">
        <v>1981</v>
      </c>
      <c r="G712" s="39" t="s">
        <v>123</v>
      </c>
      <c r="H712" s="1">
        <v>4</v>
      </c>
      <c r="I712" s="1">
        <v>1</v>
      </c>
      <c r="J712" s="39" t="s">
        <v>1885</v>
      </c>
      <c r="K712" s="1">
        <v>1</v>
      </c>
      <c r="L712" s="1">
        <v>4</v>
      </c>
      <c r="S712" s="1" t="s">
        <v>9465</v>
      </c>
      <c r="T712">
        <v>1</v>
      </c>
      <c r="U712" s="19"/>
      <c r="V712" s="19"/>
      <c r="W712" s="218">
        <v>0</v>
      </c>
      <c r="X712" s="218">
        <v>0</v>
      </c>
      <c r="Y712" s="218">
        <v>0</v>
      </c>
    </row>
    <row r="713" spans="1:25" x14ac:dyDescent="0.3">
      <c r="A713" s="1" t="s">
        <v>1982</v>
      </c>
      <c r="B713" s="5">
        <v>46229</v>
      </c>
      <c r="C713" s="6">
        <v>0.77083333333333304</v>
      </c>
      <c r="D713" s="1" t="s">
        <v>12</v>
      </c>
      <c r="E713" s="1" t="s">
        <v>14</v>
      </c>
      <c r="F713" s="1" t="s">
        <v>1983</v>
      </c>
      <c r="G713" s="39" t="s">
        <v>1846</v>
      </c>
      <c r="H713" s="1">
        <v>1</v>
      </c>
      <c r="I713" s="1">
        <v>4</v>
      </c>
      <c r="J713" s="39" t="s">
        <v>1855</v>
      </c>
      <c r="K713" s="1">
        <v>4</v>
      </c>
      <c r="L713" s="1">
        <v>1</v>
      </c>
      <c r="S713" s="1" t="s">
        <v>9466</v>
      </c>
      <c r="T713" s="1">
        <v>1</v>
      </c>
      <c r="U713" s="19"/>
      <c r="V713" s="19"/>
      <c r="W713" s="218">
        <v>1</v>
      </c>
      <c r="X713" s="218">
        <v>1</v>
      </c>
      <c r="Y713" s="218">
        <v>1</v>
      </c>
    </row>
    <row r="714" spans="1:25" x14ac:dyDescent="0.3">
      <c r="A714" s="1" t="s">
        <v>1984</v>
      </c>
      <c r="B714" s="5">
        <v>46207</v>
      </c>
      <c r="C714" s="6">
        <v>0.66666666666666696</v>
      </c>
      <c r="D714" s="1" t="s">
        <v>12</v>
      </c>
      <c r="E714" s="1" t="s">
        <v>14</v>
      </c>
      <c r="F714" s="1" t="s">
        <v>1985</v>
      </c>
      <c r="G714" s="39" t="s">
        <v>1855</v>
      </c>
      <c r="H714" s="1">
        <v>3</v>
      </c>
      <c r="I714" s="1">
        <v>0</v>
      </c>
      <c r="J714" s="39" t="s">
        <v>88</v>
      </c>
      <c r="K714" s="1">
        <v>0</v>
      </c>
      <c r="L714" s="1">
        <v>3</v>
      </c>
      <c r="S714" s="1" t="s">
        <v>9467</v>
      </c>
      <c r="T714" s="1">
        <v>1</v>
      </c>
      <c r="U714" s="19"/>
      <c r="V714" s="19"/>
      <c r="W714" s="218">
        <v>1</v>
      </c>
      <c r="X714" s="218">
        <v>1</v>
      </c>
      <c r="Y714" s="218">
        <v>1</v>
      </c>
    </row>
    <row r="715" spans="1:25" x14ac:dyDescent="0.3">
      <c r="A715" s="1" t="s">
        <v>1986</v>
      </c>
      <c r="B715" s="5">
        <v>46195</v>
      </c>
      <c r="C715" s="6">
        <v>0.83333333333333304</v>
      </c>
      <c r="D715" s="1" t="s">
        <v>12</v>
      </c>
      <c r="E715" s="1" t="s">
        <v>14</v>
      </c>
      <c r="F715" s="1" t="s">
        <v>1987</v>
      </c>
      <c r="G715" s="39" t="s">
        <v>101</v>
      </c>
      <c r="H715" s="1">
        <v>0</v>
      </c>
      <c r="I715" s="1">
        <v>2</v>
      </c>
      <c r="J715" s="39" t="s">
        <v>1855</v>
      </c>
      <c r="K715" s="1">
        <v>2</v>
      </c>
      <c r="L715" s="1">
        <v>0</v>
      </c>
      <c r="S715" s="1" t="s">
        <v>9468</v>
      </c>
      <c r="T715" s="1">
        <v>1</v>
      </c>
      <c r="U715" s="19"/>
      <c r="V715" s="19"/>
      <c r="W715" s="218">
        <v>1</v>
      </c>
      <c r="X715" s="218">
        <v>1</v>
      </c>
      <c r="Y715" s="218">
        <v>1</v>
      </c>
    </row>
    <row r="716" spans="1:25" x14ac:dyDescent="0.3">
      <c r="A716" s="1" t="s">
        <v>1988</v>
      </c>
      <c r="B716" s="5">
        <v>46187</v>
      </c>
      <c r="C716" s="6">
        <v>0.79166666666666696</v>
      </c>
      <c r="D716" s="1" t="s">
        <v>12</v>
      </c>
      <c r="E716" s="1" t="s">
        <v>14</v>
      </c>
      <c r="F716" s="1" t="s">
        <v>1989</v>
      </c>
      <c r="G716" s="39" t="s">
        <v>1855</v>
      </c>
      <c r="H716" s="1">
        <v>2</v>
      </c>
      <c r="I716" s="1">
        <v>2</v>
      </c>
      <c r="J716" s="39" t="s">
        <v>1852</v>
      </c>
      <c r="K716" s="1">
        <v>2</v>
      </c>
      <c r="L716" s="1">
        <v>2</v>
      </c>
      <c r="S716" s="1" t="s">
        <v>9469</v>
      </c>
      <c r="T716" s="1">
        <v>1</v>
      </c>
      <c r="U716" s="19"/>
      <c r="V716" s="19"/>
      <c r="W716" s="218">
        <v>1</v>
      </c>
      <c r="X716" s="218">
        <v>1</v>
      </c>
      <c r="Y716" s="218">
        <v>1</v>
      </c>
    </row>
    <row r="717" spans="1:25" x14ac:dyDescent="0.3">
      <c r="A717" s="1" t="s">
        <v>1990</v>
      </c>
      <c r="B717" s="5">
        <v>46183</v>
      </c>
      <c r="C717" s="6">
        <v>0.83333333333333304</v>
      </c>
      <c r="D717" s="1" t="s">
        <v>12</v>
      </c>
      <c r="E717" s="1" t="s">
        <v>14</v>
      </c>
      <c r="F717" s="1" t="s">
        <v>1991</v>
      </c>
      <c r="G717" s="39" t="s">
        <v>1885</v>
      </c>
      <c r="H717" s="1">
        <v>0</v>
      </c>
      <c r="I717" s="1">
        <v>4</v>
      </c>
      <c r="J717" s="39" t="s">
        <v>1855</v>
      </c>
      <c r="K717" s="1">
        <v>4</v>
      </c>
      <c r="L717" s="1">
        <v>0</v>
      </c>
      <c r="S717" s="1" t="s">
        <v>9470</v>
      </c>
      <c r="T717" s="1">
        <v>1</v>
      </c>
      <c r="U717" s="19"/>
      <c r="V717" s="19"/>
      <c r="W717" s="218">
        <v>1</v>
      </c>
      <c r="X717" s="218">
        <v>1</v>
      </c>
      <c r="Y717" s="218">
        <v>1</v>
      </c>
    </row>
    <row r="718" spans="1:25" x14ac:dyDescent="0.3">
      <c r="A718" s="1" t="s">
        <v>1992</v>
      </c>
      <c r="B718" s="5">
        <v>46173</v>
      </c>
      <c r="C718" s="6">
        <v>0.45833333333333298</v>
      </c>
      <c r="D718" s="1" t="s">
        <v>12</v>
      </c>
      <c r="E718" s="1" t="s">
        <v>14</v>
      </c>
      <c r="F718" s="1" t="s">
        <v>1993</v>
      </c>
      <c r="G718" s="39" t="s">
        <v>1858</v>
      </c>
      <c r="H718" s="1">
        <v>1</v>
      </c>
      <c r="I718" s="1">
        <v>1</v>
      </c>
      <c r="J718" s="39" t="s">
        <v>1855</v>
      </c>
      <c r="K718" s="1">
        <v>1</v>
      </c>
      <c r="L718" s="1">
        <v>1</v>
      </c>
      <c r="S718" s="1" t="s">
        <v>9471</v>
      </c>
      <c r="T718" s="1">
        <v>1</v>
      </c>
      <c r="U718" s="19"/>
      <c r="V718" s="19"/>
      <c r="W718" s="218">
        <v>1</v>
      </c>
      <c r="X718" s="218">
        <v>1</v>
      </c>
      <c r="Y718" s="218">
        <v>1</v>
      </c>
    </row>
    <row r="719" spans="1:25" x14ac:dyDescent="0.3">
      <c r="A719" s="1" t="s">
        <v>1994</v>
      </c>
      <c r="B719" s="5">
        <v>46165</v>
      </c>
      <c r="C719" s="6">
        <v>0.66666666666666696</v>
      </c>
      <c r="D719" s="1" t="s">
        <v>12</v>
      </c>
      <c r="E719" s="1" t="s">
        <v>14</v>
      </c>
      <c r="F719" s="1" t="s">
        <v>1995</v>
      </c>
      <c r="G719" s="39" t="s">
        <v>1855</v>
      </c>
      <c r="H719" s="1">
        <v>2</v>
      </c>
      <c r="I719" s="1">
        <v>1</v>
      </c>
      <c r="J719" s="39" t="s">
        <v>1894</v>
      </c>
      <c r="K719" s="1">
        <v>1</v>
      </c>
      <c r="L719" s="1">
        <v>2</v>
      </c>
      <c r="S719" s="1" t="s">
        <v>9472</v>
      </c>
      <c r="T719" s="1">
        <v>1</v>
      </c>
      <c r="U719" s="19"/>
      <c r="V719" s="19"/>
      <c r="W719" s="218">
        <v>1</v>
      </c>
      <c r="X719" s="218">
        <v>1</v>
      </c>
      <c r="Y719" s="218">
        <v>1</v>
      </c>
    </row>
    <row r="720" spans="1:25" x14ac:dyDescent="0.3">
      <c r="A720" s="1" t="s">
        <v>1996</v>
      </c>
      <c r="B720" s="5">
        <v>46158</v>
      </c>
      <c r="C720" s="6">
        <v>0.85416666666666696</v>
      </c>
      <c r="D720" s="1" t="s">
        <v>12</v>
      </c>
      <c r="E720" s="1" t="s">
        <v>14</v>
      </c>
      <c r="F720" s="1" t="s">
        <v>1997</v>
      </c>
      <c r="G720" s="39" t="s">
        <v>93</v>
      </c>
      <c r="H720" s="1">
        <v>0</v>
      </c>
      <c r="I720" s="1">
        <v>0</v>
      </c>
      <c r="J720" s="39" t="s">
        <v>1855</v>
      </c>
      <c r="K720" s="1">
        <v>0</v>
      </c>
      <c r="L720" s="1">
        <v>0</v>
      </c>
      <c r="S720" s="1" t="s">
        <v>9473</v>
      </c>
      <c r="T720" s="1">
        <v>1</v>
      </c>
      <c r="U720" s="19"/>
      <c r="V720" s="19"/>
      <c r="W720" s="218">
        <v>0</v>
      </c>
      <c r="X720" s="218">
        <v>0</v>
      </c>
      <c r="Y720" s="218">
        <v>0</v>
      </c>
    </row>
    <row r="721" spans="1:25" x14ac:dyDescent="0.3">
      <c r="A721" s="1" t="s">
        <v>1998</v>
      </c>
      <c r="B721" s="5">
        <v>46152</v>
      </c>
      <c r="C721" s="6">
        <v>0.8125</v>
      </c>
      <c r="D721" s="1" t="s">
        <v>12</v>
      </c>
      <c r="E721" s="1" t="s">
        <v>14</v>
      </c>
      <c r="F721" s="1" t="s">
        <v>1999</v>
      </c>
      <c r="G721" s="39" t="s">
        <v>1855</v>
      </c>
      <c r="H721" s="1">
        <v>1</v>
      </c>
      <c r="I721" s="1">
        <v>0</v>
      </c>
      <c r="J721" s="39" t="s">
        <v>124</v>
      </c>
      <c r="K721" s="1">
        <v>0</v>
      </c>
      <c r="L721" s="1">
        <v>1</v>
      </c>
      <c r="S721" s="1" t="s">
        <v>9474</v>
      </c>
      <c r="T721" s="1">
        <v>1</v>
      </c>
      <c r="U721" s="19"/>
      <c r="V721" s="19"/>
      <c r="W721" s="218">
        <v>0</v>
      </c>
      <c r="X721" s="218">
        <v>0</v>
      </c>
      <c r="Y721" s="218">
        <v>0</v>
      </c>
    </row>
    <row r="722" spans="1:25" ht="14.4" x14ac:dyDescent="0.3">
      <c r="A722" s="1" t="s">
        <v>2000</v>
      </c>
      <c r="B722" s="5">
        <v>46145</v>
      </c>
      <c r="C722" s="6">
        <v>0.85416666666666696</v>
      </c>
      <c r="D722" s="1" t="s">
        <v>12</v>
      </c>
      <c r="E722" s="1" t="s">
        <v>14</v>
      </c>
      <c r="F722" s="1" t="s">
        <v>2001</v>
      </c>
      <c r="G722" s="39" t="s">
        <v>107</v>
      </c>
      <c r="H722" s="1">
        <v>3</v>
      </c>
      <c r="I722" s="1">
        <v>3</v>
      </c>
      <c r="J722" s="39" t="s">
        <v>1855</v>
      </c>
      <c r="K722" s="1">
        <v>3</v>
      </c>
      <c r="L722" s="1">
        <v>3</v>
      </c>
      <c r="S722" s="1" t="s">
        <v>9475</v>
      </c>
      <c r="T722">
        <v>1</v>
      </c>
      <c r="U722" s="19"/>
      <c r="V722" s="19"/>
      <c r="W722" s="218">
        <v>0</v>
      </c>
      <c r="X722" s="218">
        <v>0</v>
      </c>
      <c r="Y722" s="218">
        <v>0</v>
      </c>
    </row>
    <row r="723" spans="1:25" x14ac:dyDescent="0.3">
      <c r="A723" s="1" t="s">
        <v>2002</v>
      </c>
      <c r="B723" s="5">
        <v>46226</v>
      </c>
      <c r="C723" s="6">
        <v>0.85416666666666696</v>
      </c>
      <c r="D723" s="1" t="s">
        <v>12</v>
      </c>
      <c r="E723" s="1" t="s">
        <v>14</v>
      </c>
      <c r="F723" s="1" t="s">
        <v>2003</v>
      </c>
      <c r="G723" s="39" t="s">
        <v>93</v>
      </c>
      <c r="H723" s="1">
        <v>0</v>
      </c>
      <c r="I723" s="1">
        <v>1</v>
      </c>
      <c r="J723" s="39" t="s">
        <v>88</v>
      </c>
      <c r="K723" s="1">
        <v>1</v>
      </c>
      <c r="L723" s="1">
        <v>0</v>
      </c>
      <c r="S723" s="1" t="s">
        <v>9476</v>
      </c>
      <c r="T723" s="1">
        <v>1</v>
      </c>
      <c r="U723" s="19"/>
      <c r="V723" s="19"/>
      <c r="W723" s="218">
        <v>1</v>
      </c>
      <c r="X723" s="218">
        <v>1</v>
      </c>
      <c r="Y723" s="218">
        <v>1</v>
      </c>
    </row>
    <row r="724" spans="1:25" x14ac:dyDescent="0.3">
      <c r="A724" s="1" t="s">
        <v>2004</v>
      </c>
      <c r="B724" s="5">
        <v>46221</v>
      </c>
      <c r="C724" s="6">
        <v>0.75</v>
      </c>
      <c r="D724" s="1" t="s">
        <v>12</v>
      </c>
      <c r="E724" s="1" t="s">
        <v>14</v>
      </c>
      <c r="F724" s="1" t="s">
        <v>2005</v>
      </c>
      <c r="G724" s="39" t="s">
        <v>88</v>
      </c>
      <c r="H724" s="1">
        <v>0</v>
      </c>
      <c r="I724" s="1">
        <v>0</v>
      </c>
      <c r="J724" s="39" t="s">
        <v>102</v>
      </c>
      <c r="K724" s="1">
        <v>0</v>
      </c>
      <c r="L724" s="1">
        <v>0</v>
      </c>
      <c r="S724" s="1" t="s">
        <v>9477</v>
      </c>
      <c r="T724" s="1">
        <v>1</v>
      </c>
      <c r="U724" s="19"/>
      <c r="V724" s="19"/>
      <c r="W724" s="218">
        <v>1</v>
      </c>
      <c r="X724" s="218">
        <v>1</v>
      </c>
      <c r="Y724" s="218">
        <v>1</v>
      </c>
    </row>
    <row r="725" spans="1:25" x14ac:dyDescent="0.3">
      <c r="A725" s="1" t="s">
        <v>2006</v>
      </c>
      <c r="B725" s="5">
        <v>46201</v>
      </c>
      <c r="C725" s="6">
        <v>0.66666666666666696</v>
      </c>
      <c r="D725" s="1" t="s">
        <v>12</v>
      </c>
      <c r="E725" s="1" t="s">
        <v>14</v>
      </c>
      <c r="F725" s="1" t="s">
        <v>2007</v>
      </c>
      <c r="G725" s="39" t="s">
        <v>88</v>
      </c>
      <c r="H725" s="1">
        <v>2</v>
      </c>
      <c r="I725" s="1">
        <v>0</v>
      </c>
      <c r="J725" s="39" t="s">
        <v>101</v>
      </c>
      <c r="K725" s="1">
        <v>0</v>
      </c>
      <c r="L725" s="1">
        <v>2</v>
      </c>
      <c r="S725" s="1" t="s">
        <v>9478</v>
      </c>
      <c r="T725" s="1">
        <v>1</v>
      </c>
      <c r="U725" s="19"/>
      <c r="V725" s="19"/>
      <c r="W725" s="218">
        <v>1</v>
      </c>
      <c r="X725" s="218">
        <v>1</v>
      </c>
      <c r="Y725" s="218">
        <v>1</v>
      </c>
    </row>
    <row r="726" spans="1:25" x14ac:dyDescent="0.3">
      <c r="A726" s="1" t="s">
        <v>2008</v>
      </c>
      <c r="B726" s="5">
        <v>46185</v>
      </c>
      <c r="C726" s="6">
        <v>0.79166666666666696</v>
      </c>
      <c r="D726" s="1" t="s">
        <v>12</v>
      </c>
      <c r="E726" s="1" t="s">
        <v>14</v>
      </c>
      <c r="F726" s="1" t="s">
        <v>2009</v>
      </c>
      <c r="G726" s="39" t="s">
        <v>88</v>
      </c>
      <c r="H726" s="1">
        <v>3</v>
      </c>
      <c r="I726" s="1">
        <v>3</v>
      </c>
      <c r="J726" s="39" t="s">
        <v>83</v>
      </c>
      <c r="K726" s="1">
        <v>3</v>
      </c>
      <c r="L726" s="1">
        <v>3</v>
      </c>
      <c r="S726" s="1" t="s">
        <v>9479</v>
      </c>
      <c r="T726" s="1">
        <v>1</v>
      </c>
      <c r="U726" s="19"/>
      <c r="V726" s="19"/>
      <c r="W726" s="218">
        <v>1</v>
      </c>
      <c r="X726" s="218">
        <v>1</v>
      </c>
      <c r="Y726" s="218">
        <v>1</v>
      </c>
    </row>
    <row r="727" spans="1:25" x14ac:dyDescent="0.3">
      <c r="A727" s="1" t="s">
        <v>2010</v>
      </c>
      <c r="B727" s="5">
        <v>46181</v>
      </c>
      <c r="C727" s="6">
        <v>0.83333333333333304</v>
      </c>
      <c r="D727" s="1" t="s">
        <v>12</v>
      </c>
      <c r="E727" s="1" t="s">
        <v>14</v>
      </c>
      <c r="F727" s="1" t="s">
        <v>2011</v>
      </c>
      <c r="G727" s="39" t="s">
        <v>1843</v>
      </c>
      <c r="H727" s="1">
        <v>1</v>
      </c>
      <c r="I727" s="1">
        <v>2</v>
      </c>
      <c r="J727" s="39" t="s">
        <v>88</v>
      </c>
      <c r="K727" s="1">
        <v>2</v>
      </c>
      <c r="L727" s="1">
        <v>1</v>
      </c>
      <c r="S727" s="1" t="s">
        <v>9480</v>
      </c>
      <c r="T727" s="1">
        <v>1</v>
      </c>
      <c r="U727" s="19"/>
      <c r="V727" s="19"/>
      <c r="W727" s="218">
        <v>1</v>
      </c>
      <c r="X727" s="218">
        <v>1</v>
      </c>
      <c r="Y727" s="218">
        <v>1</v>
      </c>
    </row>
    <row r="728" spans="1:25" x14ac:dyDescent="0.3">
      <c r="A728" s="1" t="s">
        <v>2012</v>
      </c>
      <c r="B728" s="5">
        <v>46172</v>
      </c>
      <c r="C728" s="6">
        <v>0.66666666666666696</v>
      </c>
      <c r="D728" s="1" t="s">
        <v>12</v>
      </c>
      <c r="E728" s="1" t="s">
        <v>14</v>
      </c>
      <c r="F728" s="1" t="s">
        <v>2013</v>
      </c>
      <c r="G728" s="39" t="s">
        <v>88</v>
      </c>
      <c r="H728" s="1">
        <v>1</v>
      </c>
      <c r="I728" s="1">
        <v>1</v>
      </c>
      <c r="J728" s="39" t="s">
        <v>1885</v>
      </c>
      <c r="K728" s="1">
        <v>1</v>
      </c>
      <c r="L728" s="1">
        <v>1</v>
      </c>
      <c r="S728" s="1" t="s">
        <v>9481</v>
      </c>
      <c r="T728" s="1">
        <v>1</v>
      </c>
      <c r="U728" s="19"/>
      <c r="V728" s="19"/>
      <c r="W728" s="218">
        <v>1</v>
      </c>
      <c r="X728" s="218">
        <v>1</v>
      </c>
      <c r="Y728" s="218">
        <v>1</v>
      </c>
    </row>
    <row r="729" spans="1:25" x14ac:dyDescent="0.3">
      <c r="A729" s="1" t="s">
        <v>2014</v>
      </c>
      <c r="B729" s="5">
        <v>46166</v>
      </c>
      <c r="C729" s="6">
        <v>0.66666666666666696</v>
      </c>
      <c r="D729" s="1" t="s">
        <v>12</v>
      </c>
      <c r="E729" s="1" t="s">
        <v>14</v>
      </c>
      <c r="F729" s="1" t="s">
        <v>2015</v>
      </c>
      <c r="G729" s="39" t="s">
        <v>88</v>
      </c>
      <c r="H729" s="1">
        <v>0</v>
      </c>
      <c r="I729" s="1">
        <v>1</v>
      </c>
      <c r="J729" s="39" t="s">
        <v>1858</v>
      </c>
      <c r="K729" s="1">
        <v>1</v>
      </c>
      <c r="L729" s="1">
        <v>0</v>
      </c>
      <c r="S729" s="1" t="s">
        <v>9482</v>
      </c>
      <c r="T729" s="1">
        <v>1</v>
      </c>
      <c r="U729" s="19"/>
      <c r="V729" s="19"/>
      <c r="W729" s="218">
        <v>1</v>
      </c>
      <c r="X729" s="218">
        <v>1</v>
      </c>
      <c r="Y729" s="218">
        <v>1</v>
      </c>
    </row>
    <row r="730" spans="1:25" ht="14.4" x14ac:dyDescent="0.3">
      <c r="A730" s="1" t="s">
        <v>2016</v>
      </c>
      <c r="B730" s="5">
        <v>46151</v>
      </c>
      <c r="C730" s="6">
        <v>0.79166666666666696</v>
      </c>
      <c r="D730" s="1" t="s">
        <v>12</v>
      </c>
      <c r="E730" s="1" t="s">
        <v>14</v>
      </c>
      <c r="F730" s="1" t="s">
        <v>2017</v>
      </c>
      <c r="G730" s="39" t="s">
        <v>1894</v>
      </c>
      <c r="H730" s="1">
        <v>0</v>
      </c>
      <c r="I730" s="1">
        <v>1</v>
      </c>
      <c r="J730" s="39" t="s">
        <v>88</v>
      </c>
      <c r="K730" s="1">
        <v>1</v>
      </c>
      <c r="L730" s="1">
        <v>0</v>
      </c>
      <c r="S730" s="1" t="s">
        <v>9483</v>
      </c>
      <c r="T730">
        <v>1</v>
      </c>
      <c r="U730" s="19"/>
      <c r="V730" s="19"/>
      <c r="W730" s="218">
        <v>0</v>
      </c>
      <c r="X730" s="218">
        <v>0</v>
      </c>
      <c r="Y730" s="218">
        <v>0</v>
      </c>
    </row>
    <row r="731" spans="1:25" x14ac:dyDescent="0.3">
      <c r="A731" s="1" t="s">
        <v>2018</v>
      </c>
      <c r="B731" s="5">
        <v>46225</v>
      </c>
      <c r="C731" s="6">
        <v>0.8125</v>
      </c>
      <c r="D731" s="1" t="s">
        <v>12</v>
      </c>
      <c r="E731" s="1" t="s">
        <v>14</v>
      </c>
      <c r="F731" s="1" t="s">
        <v>2019</v>
      </c>
      <c r="G731" s="39" t="s">
        <v>1894</v>
      </c>
      <c r="H731" s="1">
        <v>0</v>
      </c>
      <c r="I731" s="1">
        <v>1</v>
      </c>
      <c r="J731" s="39" t="s">
        <v>83</v>
      </c>
      <c r="K731" s="1">
        <v>1</v>
      </c>
      <c r="L731" s="1">
        <v>0</v>
      </c>
      <c r="S731" s="1" t="s">
        <v>9484</v>
      </c>
      <c r="T731" s="1">
        <v>1</v>
      </c>
      <c r="U731" s="19"/>
      <c r="V731" s="19"/>
      <c r="W731" s="218">
        <v>1</v>
      </c>
      <c r="X731" s="218">
        <v>1</v>
      </c>
      <c r="Y731" s="218">
        <v>1</v>
      </c>
    </row>
    <row r="732" spans="1:25" x14ac:dyDescent="0.3">
      <c r="A732" s="1" t="s">
        <v>2020</v>
      </c>
      <c r="B732" s="5">
        <v>46219</v>
      </c>
      <c r="C732" s="6">
        <v>0.83333333333333304</v>
      </c>
      <c r="D732" s="1" t="s">
        <v>12</v>
      </c>
      <c r="E732" s="1" t="s">
        <v>14</v>
      </c>
      <c r="F732" s="1" t="s">
        <v>2021</v>
      </c>
      <c r="G732" s="39" t="s">
        <v>83</v>
      </c>
      <c r="H732" s="1">
        <v>2</v>
      </c>
      <c r="I732" s="1">
        <v>1</v>
      </c>
      <c r="J732" s="39" t="s">
        <v>1852</v>
      </c>
      <c r="K732" s="1">
        <v>1</v>
      </c>
      <c r="L732" s="1">
        <v>2</v>
      </c>
      <c r="S732" s="1" t="s">
        <v>9485</v>
      </c>
      <c r="T732" s="1">
        <v>1</v>
      </c>
      <c r="U732" s="19"/>
      <c r="V732" s="19"/>
      <c r="W732" s="218">
        <v>1</v>
      </c>
      <c r="X732" s="218">
        <v>1</v>
      </c>
      <c r="Y732" s="218">
        <v>1</v>
      </c>
    </row>
    <row r="733" spans="1:25" x14ac:dyDescent="0.3">
      <c r="A733" s="1" t="s">
        <v>2022</v>
      </c>
      <c r="B733" s="5">
        <v>46215</v>
      </c>
      <c r="C733" s="6">
        <v>0.79166666666666696</v>
      </c>
      <c r="D733" s="1" t="s">
        <v>12</v>
      </c>
      <c r="E733" s="1" t="s">
        <v>14</v>
      </c>
      <c r="F733" s="1" t="s">
        <v>2023</v>
      </c>
      <c r="G733" s="39" t="s">
        <v>83</v>
      </c>
      <c r="H733" s="1">
        <v>2</v>
      </c>
      <c r="I733" s="1">
        <v>2</v>
      </c>
      <c r="J733" s="39" t="s">
        <v>1885</v>
      </c>
      <c r="K733" s="1">
        <v>2</v>
      </c>
      <c r="L733" s="1">
        <v>2</v>
      </c>
      <c r="S733" s="1" t="s">
        <v>9486</v>
      </c>
      <c r="T733" s="1">
        <v>1</v>
      </c>
      <c r="U733" s="19"/>
      <c r="V733" s="19"/>
      <c r="W733" s="218">
        <v>1</v>
      </c>
      <c r="X733" s="218">
        <v>1</v>
      </c>
      <c r="Y733" s="218">
        <v>1</v>
      </c>
    </row>
    <row r="734" spans="1:25" x14ac:dyDescent="0.3">
      <c r="A734" s="1" t="s">
        <v>2024</v>
      </c>
      <c r="B734" s="5">
        <v>46207</v>
      </c>
      <c r="C734" s="6">
        <v>0.66666666666666696</v>
      </c>
      <c r="D734" s="1" t="s">
        <v>12</v>
      </c>
      <c r="E734" s="1" t="s">
        <v>14</v>
      </c>
      <c r="F734" s="1" t="s">
        <v>2025</v>
      </c>
      <c r="G734" s="39" t="s">
        <v>1846</v>
      </c>
      <c r="H734" s="1">
        <v>5</v>
      </c>
      <c r="I734" s="1">
        <v>0</v>
      </c>
      <c r="J734" s="39" t="s">
        <v>83</v>
      </c>
      <c r="K734" s="1">
        <v>0</v>
      </c>
      <c r="L734" s="1">
        <v>5</v>
      </c>
      <c r="S734" s="1" t="s">
        <v>9487</v>
      </c>
      <c r="T734" s="1">
        <v>1</v>
      </c>
      <c r="U734" s="19"/>
      <c r="V734" s="19"/>
      <c r="W734" s="218">
        <v>1</v>
      </c>
      <c r="X734" s="218">
        <v>1</v>
      </c>
      <c r="Y734" s="218">
        <v>1</v>
      </c>
    </row>
    <row r="735" spans="1:25" x14ac:dyDescent="0.3">
      <c r="A735" s="1" t="s">
        <v>2026</v>
      </c>
      <c r="B735" s="5">
        <v>46203</v>
      </c>
      <c r="C735" s="6">
        <v>0.79166666666666696</v>
      </c>
      <c r="D735" s="1" t="s">
        <v>12</v>
      </c>
      <c r="E735" s="1" t="s">
        <v>14</v>
      </c>
      <c r="F735" s="1" t="s">
        <v>2027</v>
      </c>
      <c r="G735" s="39" t="s">
        <v>124</v>
      </c>
      <c r="H735" s="1">
        <v>0</v>
      </c>
      <c r="I735" s="1">
        <v>1</v>
      </c>
      <c r="J735" s="39" t="s">
        <v>83</v>
      </c>
      <c r="K735" s="1">
        <v>1</v>
      </c>
      <c r="L735" s="1">
        <v>0</v>
      </c>
      <c r="S735" s="1" t="s">
        <v>9488</v>
      </c>
      <c r="T735" s="1">
        <v>1</v>
      </c>
      <c r="U735" s="19"/>
      <c r="V735" s="19"/>
      <c r="W735" s="218">
        <v>1</v>
      </c>
      <c r="X735" s="218">
        <v>1</v>
      </c>
      <c r="Y735" s="218">
        <v>1</v>
      </c>
    </row>
    <row r="736" spans="1:25" x14ac:dyDescent="0.3">
      <c r="A736" s="1" t="s">
        <v>2028</v>
      </c>
      <c r="B736" s="5">
        <v>46180</v>
      </c>
      <c r="C736" s="6">
        <v>0.77083333333333304</v>
      </c>
      <c r="D736" s="1" t="s">
        <v>12</v>
      </c>
      <c r="E736" s="1" t="s">
        <v>14</v>
      </c>
      <c r="F736" s="1" t="s">
        <v>2029</v>
      </c>
      <c r="G736" s="39" t="s">
        <v>83</v>
      </c>
      <c r="H736" s="1">
        <v>2</v>
      </c>
      <c r="I736" s="1">
        <v>3</v>
      </c>
      <c r="J736" s="39" t="s">
        <v>1858</v>
      </c>
      <c r="K736" s="1">
        <v>3</v>
      </c>
      <c r="L736" s="1">
        <v>2</v>
      </c>
      <c r="S736" s="1" t="s">
        <v>9489</v>
      </c>
      <c r="T736" s="1">
        <v>1</v>
      </c>
      <c r="U736" s="19"/>
      <c r="V736" s="19"/>
      <c r="W736" s="218">
        <v>1</v>
      </c>
      <c r="X736" s="218">
        <v>1</v>
      </c>
      <c r="Y736" s="218">
        <v>1</v>
      </c>
    </row>
    <row r="737" spans="1:25" x14ac:dyDescent="0.3">
      <c r="A737" s="1" t="s">
        <v>2030</v>
      </c>
      <c r="B737" s="5">
        <v>46173</v>
      </c>
      <c r="C737" s="6">
        <v>0.77083333333333304</v>
      </c>
      <c r="D737" s="1" t="s">
        <v>12</v>
      </c>
      <c r="E737" s="1" t="s">
        <v>14</v>
      </c>
      <c r="F737" s="1" t="s">
        <v>2031</v>
      </c>
      <c r="G737" s="39" t="s">
        <v>93</v>
      </c>
      <c r="H737" s="1">
        <v>2</v>
      </c>
      <c r="I737" s="1">
        <v>0</v>
      </c>
      <c r="J737" s="39" t="s">
        <v>83</v>
      </c>
      <c r="K737" s="1">
        <v>0</v>
      </c>
      <c r="L737" s="1">
        <v>2</v>
      </c>
      <c r="S737" s="1" t="s">
        <v>9490</v>
      </c>
      <c r="T737" s="1">
        <v>1</v>
      </c>
      <c r="U737" s="19"/>
      <c r="V737" s="19"/>
      <c r="W737" s="218">
        <v>1</v>
      </c>
      <c r="X737" s="218">
        <v>1</v>
      </c>
      <c r="Y737" s="218">
        <v>1</v>
      </c>
    </row>
    <row r="738" spans="1:25" x14ac:dyDescent="0.3">
      <c r="A738" s="1" t="s">
        <v>2032</v>
      </c>
      <c r="B738" s="5">
        <v>46166</v>
      </c>
      <c r="C738" s="6">
        <v>0.75</v>
      </c>
      <c r="D738" s="1" t="s">
        <v>12</v>
      </c>
      <c r="E738" s="1" t="s">
        <v>14</v>
      </c>
      <c r="F738" s="1" t="s">
        <v>2033</v>
      </c>
      <c r="G738" s="39" t="s">
        <v>83</v>
      </c>
      <c r="H738" s="1">
        <v>4</v>
      </c>
      <c r="I738" s="1">
        <v>2</v>
      </c>
      <c r="J738" s="39" t="s">
        <v>101</v>
      </c>
      <c r="K738" s="1">
        <v>2</v>
      </c>
      <c r="L738" s="1">
        <v>4</v>
      </c>
      <c r="S738" s="1" t="s">
        <v>9491</v>
      </c>
      <c r="T738" s="1">
        <v>1</v>
      </c>
      <c r="U738" s="19"/>
      <c r="V738" s="19"/>
      <c r="W738" s="218">
        <v>1</v>
      </c>
      <c r="X738" s="218">
        <v>1</v>
      </c>
      <c r="Y738" s="218">
        <v>1</v>
      </c>
    </row>
    <row r="739" spans="1:25" ht="14.4" x14ac:dyDescent="0.3">
      <c r="A739" s="1" t="s">
        <v>2034</v>
      </c>
      <c r="B739" s="5">
        <v>46145</v>
      </c>
      <c r="C739" s="6">
        <v>0.85416666666666696</v>
      </c>
      <c r="D739" s="1" t="s">
        <v>12</v>
      </c>
      <c r="E739" s="1" t="s">
        <v>14</v>
      </c>
      <c r="F739" s="1" t="s">
        <v>2035</v>
      </c>
      <c r="G739" s="39" t="s">
        <v>1843</v>
      </c>
      <c r="H739" s="1">
        <v>1</v>
      </c>
      <c r="I739" s="1">
        <v>2</v>
      </c>
      <c r="J739" s="39" t="s">
        <v>83</v>
      </c>
      <c r="K739" s="1">
        <v>2</v>
      </c>
      <c r="L739" s="1">
        <v>1</v>
      </c>
      <c r="S739" s="1" t="s">
        <v>9492</v>
      </c>
      <c r="T739">
        <v>1</v>
      </c>
      <c r="U739" s="19"/>
      <c r="V739" s="19"/>
      <c r="W739" s="218">
        <v>0</v>
      </c>
      <c r="X739" s="218">
        <v>0</v>
      </c>
      <c r="Y739" s="218">
        <v>0</v>
      </c>
    </row>
    <row r="740" spans="1:25" x14ac:dyDescent="0.3">
      <c r="A740" s="1" t="s">
        <v>2037</v>
      </c>
      <c r="B740" s="5">
        <v>46226</v>
      </c>
      <c r="C740" s="6">
        <v>0.8125</v>
      </c>
      <c r="D740" s="1" t="s">
        <v>12</v>
      </c>
      <c r="E740" s="1" t="s">
        <v>14</v>
      </c>
      <c r="F740" s="1" t="s">
        <v>2038</v>
      </c>
      <c r="G740" s="39" t="s">
        <v>102</v>
      </c>
      <c r="H740" s="1">
        <v>2</v>
      </c>
      <c r="I740" s="1">
        <v>1</v>
      </c>
      <c r="J740" s="39" t="s">
        <v>1858</v>
      </c>
      <c r="K740" s="1">
        <v>1</v>
      </c>
      <c r="L740" s="1">
        <v>2</v>
      </c>
      <c r="S740" s="1" t="s">
        <v>9493</v>
      </c>
      <c r="T740" s="1">
        <v>1</v>
      </c>
      <c r="U740" s="19"/>
      <c r="V740" s="19"/>
      <c r="W740" s="218">
        <v>1</v>
      </c>
      <c r="X740" s="218">
        <v>1</v>
      </c>
      <c r="Y740" s="218">
        <v>1</v>
      </c>
    </row>
    <row r="741" spans="1:25" x14ac:dyDescent="0.3">
      <c r="A741" s="1" t="s">
        <v>2039</v>
      </c>
      <c r="B741" s="5">
        <v>46216</v>
      </c>
      <c r="C741" s="6">
        <v>0.85416666666666696</v>
      </c>
      <c r="D741" s="1" t="s">
        <v>12</v>
      </c>
      <c r="E741" s="1" t="s">
        <v>14</v>
      </c>
      <c r="F741" s="1" t="s">
        <v>2040</v>
      </c>
      <c r="G741" s="39" t="s">
        <v>1894</v>
      </c>
      <c r="H741" s="1">
        <v>0</v>
      </c>
      <c r="I741" s="1">
        <v>0</v>
      </c>
      <c r="J741" s="39" t="s">
        <v>102</v>
      </c>
      <c r="K741" s="1">
        <v>0</v>
      </c>
      <c r="L741" s="1">
        <v>0</v>
      </c>
      <c r="S741" s="1" t="s">
        <v>9494</v>
      </c>
      <c r="T741" s="1">
        <v>1</v>
      </c>
      <c r="U741" s="19"/>
      <c r="V741" s="19"/>
      <c r="W741" s="218">
        <v>1</v>
      </c>
      <c r="X741" s="218">
        <v>1</v>
      </c>
      <c r="Y741" s="218">
        <v>1</v>
      </c>
    </row>
    <row r="742" spans="1:25" x14ac:dyDescent="0.3">
      <c r="A742" s="1" t="s">
        <v>2041</v>
      </c>
      <c r="B742" s="5">
        <v>46201</v>
      </c>
      <c r="C742" s="6">
        <v>0.66666666666666696</v>
      </c>
      <c r="D742" s="1" t="s">
        <v>12</v>
      </c>
      <c r="E742" s="1" t="s">
        <v>14</v>
      </c>
      <c r="F742" s="1" t="s">
        <v>2042</v>
      </c>
      <c r="G742" s="39" t="s">
        <v>102</v>
      </c>
      <c r="H742" s="1">
        <v>1</v>
      </c>
      <c r="I742" s="1">
        <v>0</v>
      </c>
      <c r="J742" s="39" t="s">
        <v>107</v>
      </c>
      <c r="K742" s="1">
        <v>0</v>
      </c>
      <c r="L742" s="1">
        <v>1</v>
      </c>
      <c r="S742" s="1" t="s">
        <v>9495</v>
      </c>
      <c r="T742" s="1">
        <v>1</v>
      </c>
      <c r="U742" s="19"/>
      <c r="V742" s="19"/>
      <c r="W742" s="218">
        <v>1</v>
      </c>
      <c r="X742" s="218">
        <v>1</v>
      </c>
      <c r="Y742" s="218">
        <v>1</v>
      </c>
    </row>
    <row r="743" spans="1:25" x14ac:dyDescent="0.3">
      <c r="A743" s="1" t="s">
        <v>2043</v>
      </c>
      <c r="B743" s="5">
        <v>46193</v>
      </c>
      <c r="C743" s="6">
        <v>0.45833333333333298</v>
      </c>
      <c r="D743" s="1" t="s">
        <v>12</v>
      </c>
      <c r="E743" s="1" t="s">
        <v>14</v>
      </c>
      <c r="F743" s="1" t="s">
        <v>2044</v>
      </c>
      <c r="G743" s="39" t="s">
        <v>1846</v>
      </c>
      <c r="H743" s="1">
        <v>2</v>
      </c>
      <c r="I743" s="1">
        <v>0</v>
      </c>
      <c r="J743" s="39" t="s">
        <v>102</v>
      </c>
      <c r="K743" s="1">
        <v>0</v>
      </c>
      <c r="L743" s="1">
        <v>2</v>
      </c>
      <c r="S743" s="1" t="s">
        <v>9496</v>
      </c>
      <c r="T743" s="1">
        <v>1</v>
      </c>
      <c r="U743" s="19"/>
      <c r="V743" s="19"/>
      <c r="W743" s="218">
        <v>1</v>
      </c>
      <c r="X743" s="218">
        <v>1</v>
      </c>
      <c r="Y743" s="218">
        <v>1</v>
      </c>
    </row>
    <row r="744" spans="1:25" x14ac:dyDescent="0.3">
      <c r="A744" s="1" t="s">
        <v>2045</v>
      </c>
      <c r="B744" s="5">
        <v>46187</v>
      </c>
      <c r="C744" s="6">
        <v>0.66666666666666696</v>
      </c>
      <c r="D744" s="1" t="s">
        <v>12</v>
      </c>
      <c r="E744" s="1" t="s">
        <v>14</v>
      </c>
      <c r="F744" s="1" t="s">
        <v>2046</v>
      </c>
      <c r="G744" s="39" t="s">
        <v>102</v>
      </c>
      <c r="H744" s="1">
        <v>1</v>
      </c>
      <c r="I744" s="1">
        <v>1</v>
      </c>
      <c r="J744" s="39" t="s">
        <v>1885</v>
      </c>
      <c r="K744" s="1">
        <v>1</v>
      </c>
      <c r="L744" s="1">
        <v>1</v>
      </c>
      <c r="S744" s="1" t="s">
        <v>9497</v>
      </c>
      <c r="T744" s="1">
        <v>1</v>
      </c>
      <c r="U744" s="19"/>
      <c r="V744" s="19"/>
      <c r="W744" s="218">
        <v>1</v>
      </c>
      <c r="X744" s="218">
        <v>1</v>
      </c>
      <c r="Y744" s="218">
        <v>1</v>
      </c>
    </row>
    <row r="745" spans="1:25" x14ac:dyDescent="0.3">
      <c r="A745" s="1" t="s">
        <v>2047</v>
      </c>
      <c r="B745" s="5">
        <v>46167</v>
      </c>
      <c r="C745" s="6">
        <v>0.79166666666666696</v>
      </c>
      <c r="D745" s="1" t="s">
        <v>12</v>
      </c>
      <c r="E745" s="1" t="s">
        <v>14</v>
      </c>
      <c r="F745" s="1" t="s">
        <v>2048</v>
      </c>
      <c r="G745" s="39" t="s">
        <v>124</v>
      </c>
      <c r="H745" s="1">
        <v>1</v>
      </c>
      <c r="I745" s="1">
        <v>2</v>
      </c>
      <c r="J745" s="39" t="s">
        <v>102</v>
      </c>
      <c r="K745" s="1">
        <v>2</v>
      </c>
      <c r="L745" s="1">
        <v>1</v>
      </c>
      <c r="S745" s="1" t="s">
        <v>9498</v>
      </c>
      <c r="T745" s="1">
        <v>1</v>
      </c>
      <c r="U745" s="19"/>
      <c r="V745" s="19"/>
      <c r="W745" s="218">
        <v>1</v>
      </c>
      <c r="X745" s="218">
        <v>1</v>
      </c>
      <c r="Y745" s="218">
        <v>1</v>
      </c>
    </row>
    <row r="746" spans="1:25" x14ac:dyDescent="0.3">
      <c r="A746" s="1" t="s">
        <v>2049</v>
      </c>
      <c r="B746" s="5">
        <v>46151</v>
      </c>
      <c r="C746" s="6">
        <v>0.79166666666666696</v>
      </c>
      <c r="D746" s="1" t="s">
        <v>12</v>
      </c>
      <c r="E746" s="1" t="s">
        <v>14</v>
      </c>
      <c r="F746" s="1" t="s">
        <v>2050</v>
      </c>
      <c r="G746" s="39" t="s">
        <v>102</v>
      </c>
      <c r="H746" s="1">
        <v>0</v>
      </c>
      <c r="I746" s="1">
        <v>0</v>
      </c>
      <c r="J746" s="39" t="s">
        <v>93</v>
      </c>
      <c r="K746" s="1">
        <v>0</v>
      </c>
      <c r="L746" s="1">
        <v>0</v>
      </c>
      <c r="S746" s="1" t="s">
        <v>9499</v>
      </c>
      <c r="T746" s="1">
        <v>1</v>
      </c>
      <c r="U746" s="19"/>
      <c r="V746" s="19"/>
      <c r="W746" s="218">
        <v>0</v>
      </c>
      <c r="X746" s="218">
        <v>0</v>
      </c>
      <c r="Y746" s="218">
        <v>0</v>
      </c>
    </row>
    <row r="747" spans="1:25" ht="14.4" x14ac:dyDescent="0.3">
      <c r="A747" s="1" t="s">
        <v>2051</v>
      </c>
      <c r="B747" s="5">
        <v>46146</v>
      </c>
      <c r="C747" s="6">
        <v>0.79166666666666696</v>
      </c>
      <c r="D747" s="1" t="s">
        <v>12</v>
      </c>
      <c r="E747" s="1" t="s">
        <v>14</v>
      </c>
      <c r="F747" s="1" t="s">
        <v>2052</v>
      </c>
      <c r="G747" s="39" t="s">
        <v>84</v>
      </c>
      <c r="H747" s="1">
        <v>1</v>
      </c>
      <c r="I747" s="1">
        <v>1</v>
      </c>
      <c r="J747" s="39" t="s">
        <v>102</v>
      </c>
      <c r="K747" s="1">
        <v>1</v>
      </c>
      <c r="L747" s="1">
        <v>1</v>
      </c>
      <c r="S747" s="1" t="s">
        <v>9500</v>
      </c>
      <c r="T747">
        <v>1</v>
      </c>
      <c r="U747" s="19"/>
      <c r="V747" s="19"/>
      <c r="W747" s="218">
        <v>0</v>
      </c>
      <c r="X747" s="218">
        <v>0</v>
      </c>
      <c r="Y747" s="218">
        <v>0</v>
      </c>
    </row>
    <row r="748" spans="1:25" x14ac:dyDescent="0.3">
      <c r="A748" s="1" t="s">
        <v>2053</v>
      </c>
      <c r="B748" s="5">
        <v>46225</v>
      </c>
      <c r="C748" s="6">
        <v>0.89583333333333304</v>
      </c>
      <c r="D748" s="1" t="s">
        <v>12</v>
      </c>
      <c r="E748" s="1" t="s">
        <v>14</v>
      </c>
      <c r="F748" s="1" t="s">
        <v>2054</v>
      </c>
      <c r="G748" s="39" t="s">
        <v>1852</v>
      </c>
      <c r="H748" s="1">
        <v>2</v>
      </c>
      <c r="I748" s="1">
        <v>1</v>
      </c>
      <c r="J748" s="39" t="s">
        <v>1846</v>
      </c>
      <c r="K748" s="1">
        <v>1</v>
      </c>
      <c r="L748" s="1">
        <v>2</v>
      </c>
      <c r="S748" s="1" t="s">
        <v>9501</v>
      </c>
      <c r="T748" s="1">
        <v>1</v>
      </c>
      <c r="U748" s="19"/>
      <c r="V748" s="19"/>
      <c r="W748" s="218">
        <v>1</v>
      </c>
      <c r="X748" s="218">
        <v>1</v>
      </c>
      <c r="Y748" s="218">
        <v>1</v>
      </c>
    </row>
    <row r="749" spans="1:25" x14ac:dyDescent="0.3">
      <c r="A749" s="1" t="s">
        <v>2055</v>
      </c>
      <c r="B749" s="5">
        <v>46215</v>
      </c>
      <c r="C749" s="6">
        <v>0.66666666666666696</v>
      </c>
      <c r="D749" s="1" t="s">
        <v>12</v>
      </c>
      <c r="E749" s="1" t="s">
        <v>14</v>
      </c>
      <c r="F749" s="1" t="s">
        <v>2056</v>
      </c>
      <c r="G749" s="39" t="s">
        <v>107</v>
      </c>
      <c r="H749" s="1">
        <v>2</v>
      </c>
      <c r="I749" s="1">
        <v>0</v>
      </c>
      <c r="J749" s="39" t="s">
        <v>1852</v>
      </c>
      <c r="K749" s="1">
        <v>0</v>
      </c>
      <c r="L749" s="1">
        <v>2</v>
      </c>
      <c r="S749" s="1" t="s">
        <v>9502</v>
      </c>
      <c r="T749" s="1">
        <v>1</v>
      </c>
      <c r="U749" s="19"/>
      <c r="V749" s="19"/>
      <c r="W749" s="218">
        <v>1</v>
      </c>
      <c r="X749" s="218">
        <v>1</v>
      </c>
      <c r="Y749" s="218">
        <v>1</v>
      </c>
    </row>
    <row r="750" spans="1:25" x14ac:dyDescent="0.3">
      <c r="A750" s="1" t="s">
        <v>2057</v>
      </c>
      <c r="B750" s="5">
        <v>46201</v>
      </c>
      <c r="C750" s="6">
        <v>0.77083333333333304</v>
      </c>
      <c r="D750" s="1" t="s">
        <v>12</v>
      </c>
      <c r="E750" s="1" t="s">
        <v>14</v>
      </c>
      <c r="F750" s="1" t="s">
        <v>2058</v>
      </c>
      <c r="G750" s="39" t="s">
        <v>1852</v>
      </c>
      <c r="H750" s="1">
        <v>0</v>
      </c>
      <c r="I750" s="1">
        <v>1</v>
      </c>
      <c r="J750" s="39" t="s">
        <v>1885</v>
      </c>
      <c r="K750" s="1">
        <v>1</v>
      </c>
      <c r="L750" s="1">
        <v>0</v>
      </c>
      <c r="S750" s="1" t="s">
        <v>9503</v>
      </c>
      <c r="T750" s="1">
        <v>1</v>
      </c>
      <c r="U750" s="19"/>
      <c r="V750" s="19"/>
      <c r="W750" s="218">
        <v>1</v>
      </c>
      <c r="X750" s="218">
        <v>1</v>
      </c>
      <c r="Y750" s="218">
        <v>1</v>
      </c>
    </row>
    <row r="751" spans="1:25" x14ac:dyDescent="0.3">
      <c r="A751" s="1" t="s">
        <v>2059</v>
      </c>
      <c r="B751" s="5">
        <v>46164</v>
      </c>
      <c r="C751" s="6">
        <v>0.79166666666666696</v>
      </c>
      <c r="D751" s="1" t="s">
        <v>12</v>
      </c>
      <c r="E751" s="1" t="s">
        <v>14</v>
      </c>
      <c r="F751" s="1" t="s">
        <v>2060</v>
      </c>
      <c r="G751" s="39" t="s">
        <v>1852</v>
      </c>
      <c r="H751" s="1">
        <v>1</v>
      </c>
      <c r="I751" s="1">
        <v>0</v>
      </c>
      <c r="J751" s="39" t="s">
        <v>93</v>
      </c>
      <c r="K751" s="1">
        <v>0</v>
      </c>
      <c r="L751" s="1">
        <v>1</v>
      </c>
      <c r="S751" s="1" t="s">
        <v>9504</v>
      </c>
      <c r="T751" s="1">
        <v>1</v>
      </c>
      <c r="U751" s="19"/>
      <c r="V751" s="19"/>
      <c r="W751" s="218">
        <v>1</v>
      </c>
      <c r="X751" s="218">
        <v>1</v>
      </c>
      <c r="Y751" s="218">
        <v>1</v>
      </c>
    </row>
    <row r="752" spans="1:25" x14ac:dyDescent="0.3">
      <c r="A752" s="1" t="s">
        <v>2061</v>
      </c>
      <c r="B752" s="5">
        <v>46152</v>
      </c>
      <c r="C752" s="6">
        <v>0.66666666666666696</v>
      </c>
      <c r="D752" s="1" t="s">
        <v>12</v>
      </c>
      <c r="E752" s="1" t="s">
        <v>14</v>
      </c>
      <c r="F752" s="1" t="s">
        <v>2062</v>
      </c>
      <c r="G752" s="39" t="s">
        <v>1852</v>
      </c>
      <c r="H752" s="1">
        <v>4</v>
      </c>
      <c r="I752" s="1">
        <v>0</v>
      </c>
      <c r="J752" s="39" t="s">
        <v>1843</v>
      </c>
      <c r="K752" s="1">
        <v>0</v>
      </c>
      <c r="L752" s="1">
        <v>4</v>
      </c>
      <c r="S752" s="1" t="s">
        <v>9505</v>
      </c>
      <c r="T752" s="1">
        <v>1</v>
      </c>
      <c r="U752" s="19"/>
      <c r="V752" s="19"/>
      <c r="W752" s="218">
        <v>0</v>
      </c>
      <c r="X752" s="218">
        <v>0</v>
      </c>
      <c r="Y752" s="218">
        <v>0</v>
      </c>
    </row>
    <row r="753" spans="1:25" ht="14.4" x14ac:dyDescent="0.3">
      <c r="A753" s="1" t="s">
        <v>2063</v>
      </c>
      <c r="B753" s="5">
        <v>46144</v>
      </c>
      <c r="C753" s="6">
        <v>0.66666666666666696</v>
      </c>
      <c r="D753" s="1" t="s">
        <v>12</v>
      </c>
      <c r="E753" s="1" t="s">
        <v>14</v>
      </c>
      <c r="F753" s="1" t="s">
        <v>2064</v>
      </c>
      <c r="G753" s="39" t="s">
        <v>124</v>
      </c>
      <c r="H753" s="1">
        <v>1</v>
      </c>
      <c r="I753" s="1">
        <v>1</v>
      </c>
      <c r="J753" s="39" t="s">
        <v>1852</v>
      </c>
      <c r="K753" s="1">
        <v>1</v>
      </c>
      <c r="L753" s="1">
        <v>1</v>
      </c>
      <c r="S753" s="1" t="s">
        <v>9506</v>
      </c>
      <c r="T753">
        <v>1</v>
      </c>
      <c r="U753" s="19"/>
      <c r="V753" s="19"/>
      <c r="W753" s="218">
        <v>0</v>
      </c>
      <c r="X753" s="218">
        <v>0</v>
      </c>
      <c r="Y753" s="218">
        <v>0</v>
      </c>
    </row>
    <row r="754" spans="1:25" x14ac:dyDescent="0.3">
      <c r="A754" s="1" t="s">
        <v>2067</v>
      </c>
      <c r="B754" s="5">
        <v>46220</v>
      </c>
      <c r="C754" s="6">
        <v>0.875</v>
      </c>
      <c r="D754" s="1" t="s">
        <v>12</v>
      </c>
      <c r="E754" s="1" t="s">
        <v>14</v>
      </c>
      <c r="F754" s="1" t="s">
        <v>2068</v>
      </c>
      <c r="G754" s="39" t="s">
        <v>1846</v>
      </c>
      <c r="H754" s="1">
        <v>0</v>
      </c>
      <c r="I754" s="1">
        <v>0</v>
      </c>
      <c r="J754" s="39" t="s">
        <v>124</v>
      </c>
      <c r="K754" s="1">
        <v>0</v>
      </c>
      <c r="L754" s="1">
        <v>0</v>
      </c>
      <c r="S754" s="1" t="s">
        <v>9507</v>
      </c>
      <c r="T754" s="1">
        <v>1</v>
      </c>
      <c r="U754" s="19"/>
      <c r="V754" s="19"/>
      <c r="W754" s="218">
        <v>1</v>
      </c>
      <c r="X754" s="218">
        <v>1</v>
      </c>
      <c r="Y754" s="218">
        <v>1</v>
      </c>
    </row>
    <row r="755" spans="1:25" x14ac:dyDescent="0.3">
      <c r="A755" s="1" t="s">
        <v>2069</v>
      </c>
      <c r="B755" s="5">
        <v>46209</v>
      </c>
      <c r="C755" s="6">
        <v>0.79166666666666696</v>
      </c>
      <c r="D755" s="1" t="s">
        <v>12</v>
      </c>
      <c r="E755" s="1" t="s">
        <v>14</v>
      </c>
      <c r="F755" s="1" t="s">
        <v>2070</v>
      </c>
      <c r="G755" s="39" t="s">
        <v>124</v>
      </c>
      <c r="H755" s="1">
        <v>3</v>
      </c>
      <c r="I755" s="1">
        <v>1</v>
      </c>
      <c r="J755" s="39" t="s">
        <v>107</v>
      </c>
      <c r="K755" s="1">
        <v>1</v>
      </c>
      <c r="L755" s="1">
        <v>3</v>
      </c>
      <c r="S755" s="1" t="s">
        <v>9508</v>
      </c>
      <c r="T755" s="1">
        <v>1</v>
      </c>
      <c r="U755" s="19"/>
      <c r="V755" s="19"/>
      <c r="W755" s="218">
        <v>1</v>
      </c>
      <c r="X755" s="218">
        <v>1</v>
      </c>
      <c r="Y755" s="218">
        <v>1</v>
      </c>
    </row>
    <row r="756" spans="1:25" x14ac:dyDescent="0.3">
      <c r="A756" s="1" t="s">
        <v>2071</v>
      </c>
      <c r="B756" s="5">
        <v>46193</v>
      </c>
      <c r="C756" s="6">
        <v>0.79166666666666696</v>
      </c>
      <c r="D756" s="1" t="s">
        <v>12</v>
      </c>
      <c r="E756" s="1" t="s">
        <v>14</v>
      </c>
      <c r="F756" s="1" t="s">
        <v>2072</v>
      </c>
      <c r="G756" s="39" t="s">
        <v>1894</v>
      </c>
      <c r="H756" s="1">
        <v>0</v>
      </c>
      <c r="I756" s="1">
        <v>1</v>
      </c>
      <c r="J756" s="39" t="s">
        <v>124</v>
      </c>
      <c r="K756" s="1">
        <v>1</v>
      </c>
      <c r="L756" s="1">
        <v>0</v>
      </c>
      <c r="S756" s="1" t="s">
        <v>9509</v>
      </c>
      <c r="T756" s="1">
        <v>1</v>
      </c>
      <c r="U756" s="19"/>
      <c r="V756" s="19"/>
      <c r="W756" s="218">
        <v>1</v>
      </c>
      <c r="X756" s="218">
        <v>1</v>
      </c>
      <c r="Y756" s="218">
        <v>1</v>
      </c>
    </row>
    <row r="757" spans="1:25" x14ac:dyDescent="0.3">
      <c r="A757" s="1" t="s">
        <v>2073</v>
      </c>
      <c r="B757" s="5">
        <v>46174</v>
      </c>
      <c r="C757" s="6">
        <v>0.79166666666666696</v>
      </c>
      <c r="D757" s="1" t="s">
        <v>12</v>
      </c>
      <c r="E757" s="1" t="s">
        <v>14</v>
      </c>
      <c r="F757" s="1" t="s">
        <v>2074</v>
      </c>
      <c r="G757" s="39" t="s">
        <v>101</v>
      </c>
      <c r="H757" s="1">
        <v>0</v>
      </c>
      <c r="I757" s="1">
        <v>0</v>
      </c>
      <c r="J757" s="39" t="s">
        <v>124</v>
      </c>
      <c r="K757" s="1">
        <v>0</v>
      </c>
      <c r="L757" s="1">
        <v>0</v>
      </c>
      <c r="S757" s="1" t="s">
        <v>9510</v>
      </c>
      <c r="T757" s="1">
        <v>1</v>
      </c>
      <c r="U757" s="19"/>
      <c r="V757" s="19"/>
      <c r="W757" s="218">
        <v>1</v>
      </c>
      <c r="X757" s="218">
        <v>1</v>
      </c>
      <c r="Y757" s="218">
        <v>1</v>
      </c>
    </row>
    <row r="758" spans="1:25" ht="14.4" x14ac:dyDescent="0.3">
      <c r="A758" s="1" t="s">
        <v>2075</v>
      </c>
      <c r="B758" s="5">
        <v>46158</v>
      </c>
      <c r="C758" s="6">
        <v>0.77083333333333304</v>
      </c>
      <c r="D758" s="1" t="s">
        <v>12</v>
      </c>
      <c r="E758" s="1" t="s">
        <v>14</v>
      </c>
      <c r="F758" s="1" t="s">
        <v>2076</v>
      </c>
      <c r="G758" s="39" t="s">
        <v>1885</v>
      </c>
      <c r="H758" s="1">
        <v>1</v>
      </c>
      <c r="I758" s="1">
        <v>0</v>
      </c>
      <c r="J758" s="39" t="s">
        <v>124</v>
      </c>
      <c r="K758" s="1">
        <v>0</v>
      </c>
      <c r="L758" s="1">
        <v>1</v>
      </c>
      <c r="S758" s="1" t="s">
        <v>9511</v>
      </c>
      <c r="T758">
        <v>1</v>
      </c>
      <c r="U758" s="19"/>
      <c r="V758" s="19"/>
      <c r="W758" s="218">
        <v>0</v>
      </c>
      <c r="X758" s="218">
        <v>0</v>
      </c>
      <c r="Y758" s="218">
        <v>0</v>
      </c>
    </row>
    <row r="759" spans="1:25" x14ac:dyDescent="0.3">
      <c r="A759" s="1" t="s">
        <v>2077</v>
      </c>
      <c r="B759" s="5">
        <v>46241</v>
      </c>
      <c r="C759" s="6">
        <v>0.85416666666666696</v>
      </c>
      <c r="D759" s="1" t="s">
        <v>12</v>
      </c>
      <c r="E759" s="1" t="s">
        <v>14</v>
      </c>
      <c r="F759" s="1" t="s">
        <v>2078</v>
      </c>
      <c r="G759" s="39" t="s">
        <v>1894</v>
      </c>
      <c r="H759" s="1">
        <v>2</v>
      </c>
      <c r="I759" s="1">
        <v>0</v>
      </c>
      <c r="J759" s="39" t="s">
        <v>101</v>
      </c>
      <c r="K759" s="1">
        <v>0</v>
      </c>
      <c r="L759" s="1">
        <v>2</v>
      </c>
      <c r="S759" s="1" t="s">
        <v>9512</v>
      </c>
      <c r="T759" s="1">
        <v>1</v>
      </c>
      <c r="U759" s="19"/>
      <c r="V759" s="19"/>
      <c r="W759" s="218">
        <v>1</v>
      </c>
      <c r="X759" s="218">
        <v>1</v>
      </c>
      <c r="Y759" s="218">
        <v>1</v>
      </c>
    </row>
    <row r="760" spans="1:25" x14ac:dyDescent="0.3">
      <c r="A760" s="1" t="s">
        <v>2079</v>
      </c>
      <c r="B760" s="5">
        <v>46229</v>
      </c>
      <c r="C760" s="6">
        <v>0.66666666666666696</v>
      </c>
      <c r="D760" s="1" t="s">
        <v>12</v>
      </c>
      <c r="E760" s="1" t="s">
        <v>14</v>
      </c>
      <c r="F760" s="1" t="s">
        <v>2080</v>
      </c>
      <c r="G760" s="39" t="s">
        <v>1858</v>
      </c>
      <c r="H760" s="1">
        <v>3</v>
      </c>
      <c r="I760" s="1">
        <v>4</v>
      </c>
      <c r="J760" s="39" t="s">
        <v>1894</v>
      </c>
      <c r="K760" s="1">
        <v>4</v>
      </c>
      <c r="L760" s="1">
        <v>3</v>
      </c>
      <c r="S760" s="1" t="s">
        <v>9513</v>
      </c>
      <c r="T760" s="1">
        <v>1</v>
      </c>
      <c r="U760" s="19"/>
      <c r="V760" s="19"/>
      <c r="W760" s="218">
        <v>1</v>
      </c>
      <c r="X760" s="218">
        <v>1</v>
      </c>
      <c r="Y760" s="218">
        <v>1</v>
      </c>
    </row>
    <row r="761" spans="1:25" x14ac:dyDescent="0.3">
      <c r="A761" s="1" t="s">
        <v>2081</v>
      </c>
      <c r="B761" s="5">
        <v>46220</v>
      </c>
      <c r="C761" s="6">
        <v>0.79166666666666696</v>
      </c>
      <c r="D761" s="1" t="s">
        <v>12</v>
      </c>
      <c r="E761" s="1" t="s">
        <v>14</v>
      </c>
      <c r="F761" s="1" t="s">
        <v>2082</v>
      </c>
      <c r="G761" s="39" t="s">
        <v>1843</v>
      </c>
      <c r="H761" s="1">
        <v>1</v>
      </c>
      <c r="I761" s="1">
        <v>1</v>
      </c>
      <c r="J761" s="39" t="s">
        <v>1894</v>
      </c>
      <c r="K761" s="1">
        <v>1</v>
      </c>
      <c r="L761" s="1">
        <v>1</v>
      </c>
      <c r="S761" s="1" t="s">
        <v>9514</v>
      </c>
      <c r="T761" s="1">
        <v>1</v>
      </c>
      <c r="U761" s="19"/>
      <c r="V761" s="19"/>
      <c r="W761" s="218">
        <v>1</v>
      </c>
      <c r="X761" s="218">
        <v>1</v>
      </c>
      <c r="Y761" s="218">
        <v>1</v>
      </c>
    </row>
    <row r="762" spans="1:25" x14ac:dyDescent="0.3">
      <c r="A762" s="1" t="s">
        <v>2083</v>
      </c>
      <c r="B762" s="5">
        <v>46207</v>
      </c>
      <c r="C762" s="6">
        <v>0.83333333333333304</v>
      </c>
      <c r="D762" s="1" t="s">
        <v>12</v>
      </c>
      <c r="E762" s="1" t="s">
        <v>14</v>
      </c>
      <c r="F762" s="1" t="s">
        <v>2084</v>
      </c>
      <c r="G762" s="39" t="s">
        <v>1885</v>
      </c>
      <c r="H762" s="1">
        <v>2</v>
      </c>
      <c r="I762" s="1">
        <v>0</v>
      </c>
      <c r="J762" s="39" t="s">
        <v>1894</v>
      </c>
      <c r="K762" s="1">
        <v>0</v>
      </c>
      <c r="L762" s="1">
        <v>2</v>
      </c>
      <c r="S762" s="1" t="s">
        <v>9515</v>
      </c>
      <c r="T762" s="1">
        <v>1</v>
      </c>
      <c r="U762" s="19"/>
      <c r="V762" s="19"/>
      <c r="W762" s="218">
        <v>1</v>
      </c>
      <c r="X762" s="218">
        <v>1</v>
      </c>
      <c r="Y762" s="218">
        <v>1</v>
      </c>
    </row>
    <row r="763" spans="1:25" ht="14.4" x14ac:dyDescent="0.3">
      <c r="A763" s="1" t="s">
        <v>2085</v>
      </c>
      <c r="B763" s="5">
        <v>46183</v>
      </c>
      <c r="C763" s="6">
        <v>0.83333333333333304</v>
      </c>
      <c r="D763" s="1" t="s">
        <v>12</v>
      </c>
      <c r="E763" s="1" t="s">
        <v>14</v>
      </c>
      <c r="F763" s="1" t="s">
        <v>2086</v>
      </c>
      <c r="G763" s="39" t="s">
        <v>1894</v>
      </c>
      <c r="H763" s="1">
        <v>2</v>
      </c>
      <c r="I763" s="1">
        <v>1</v>
      </c>
      <c r="J763" s="39" t="s">
        <v>107</v>
      </c>
      <c r="K763" s="1">
        <v>1</v>
      </c>
      <c r="L763" s="1">
        <v>2</v>
      </c>
      <c r="S763" s="1" t="s">
        <v>9516</v>
      </c>
      <c r="T763">
        <v>1</v>
      </c>
      <c r="U763" s="19"/>
      <c r="V763" s="19"/>
      <c r="W763" s="218">
        <v>1</v>
      </c>
      <c r="X763" s="218">
        <v>1</v>
      </c>
      <c r="Y763" s="218">
        <v>1</v>
      </c>
    </row>
    <row r="764" spans="1:25" x14ac:dyDescent="0.3">
      <c r="A764" s="1" t="s">
        <v>2087</v>
      </c>
      <c r="B764" s="5">
        <v>46215</v>
      </c>
      <c r="C764" s="6">
        <v>0.66666666666666696</v>
      </c>
      <c r="D764" s="1" t="s">
        <v>12</v>
      </c>
      <c r="E764" s="1" t="s">
        <v>14</v>
      </c>
      <c r="F764" s="1" t="s">
        <v>2088</v>
      </c>
      <c r="G764" s="39" t="s">
        <v>1858</v>
      </c>
      <c r="H764" s="1">
        <v>2</v>
      </c>
      <c r="I764" s="1">
        <v>2</v>
      </c>
      <c r="J764" s="39" t="s">
        <v>93</v>
      </c>
      <c r="K764" s="1">
        <v>2</v>
      </c>
      <c r="L764" s="1">
        <v>2</v>
      </c>
      <c r="S764" s="1" t="s">
        <v>9517</v>
      </c>
      <c r="T764" s="1">
        <v>1</v>
      </c>
      <c r="U764" s="19"/>
      <c r="V764" s="19"/>
      <c r="W764" s="218">
        <v>1</v>
      </c>
      <c r="X764" s="218">
        <v>1</v>
      </c>
      <c r="Y764" s="218">
        <v>1</v>
      </c>
    </row>
    <row r="765" spans="1:25" x14ac:dyDescent="0.3">
      <c r="A765" s="1" t="s">
        <v>2089</v>
      </c>
      <c r="B765" s="5">
        <v>46205</v>
      </c>
      <c r="C765" s="6">
        <v>0.83333333333333304</v>
      </c>
      <c r="D765" s="1" t="s">
        <v>12</v>
      </c>
      <c r="E765" s="1" t="s">
        <v>14</v>
      </c>
      <c r="F765" s="1" t="s">
        <v>2090</v>
      </c>
      <c r="G765" s="39" t="s">
        <v>93</v>
      </c>
      <c r="H765" s="1">
        <v>1</v>
      </c>
      <c r="I765" s="1">
        <v>0</v>
      </c>
      <c r="J765" s="39" t="s">
        <v>1843</v>
      </c>
      <c r="K765" s="1">
        <v>0</v>
      </c>
      <c r="L765" s="1">
        <v>1</v>
      </c>
      <c r="S765" s="1" t="s">
        <v>9518</v>
      </c>
      <c r="T765" s="1">
        <v>1</v>
      </c>
      <c r="U765" s="19"/>
      <c r="V765" s="19"/>
      <c r="W765" s="218">
        <v>1</v>
      </c>
      <c r="X765" s="218">
        <v>1</v>
      </c>
      <c r="Y765" s="218">
        <v>1</v>
      </c>
    </row>
    <row r="766" spans="1:25" x14ac:dyDescent="0.3">
      <c r="A766" s="1" t="s">
        <v>2091</v>
      </c>
      <c r="B766" s="5">
        <v>46198</v>
      </c>
      <c r="C766" s="6">
        <v>0.85416666666666696</v>
      </c>
      <c r="D766" s="1" t="s">
        <v>12</v>
      </c>
      <c r="E766" s="1" t="s">
        <v>14</v>
      </c>
      <c r="F766" s="1" t="s">
        <v>2092</v>
      </c>
      <c r="G766" s="39" t="s">
        <v>93</v>
      </c>
      <c r="H766" s="1">
        <v>2</v>
      </c>
      <c r="I766" s="1">
        <v>2</v>
      </c>
      <c r="J766" s="39" t="s">
        <v>1846</v>
      </c>
      <c r="K766" s="1">
        <v>2</v>
      </c>
      <c r="L766" s="1">
        <v>2</v>
      </c>
      <c r="S766" s="1" t="s">
        <v>9519</v>
      </c>
      <c r="T766" s="1">
        <v>1</v>
      </c>
      <c r="U766" s="19"/>
      <c r="V766" s="19"/>
      <c r="W766" s="218">
        <v>1</v>
      </c>
      <c r="X766" s="218">
        <v>1</v>
      </c>
      <c r="Y766" s="218">
        <v>1</v>
      </c>
    </row>
    <row r="767" spans="1:25" x14ac:dyDescent="0.3">
      <c r="A767" s="1" t="s">
        <v>2093</v>
      </c>
      <c r="B767" s="5">
        <v>46194</v>
      </c>
      <c r="C767" s="6">
        <v>0.45833333333333298</v>
      </c>
      <c r="D767" s="1" t="s">
        <v>12</v>
      </c>
      <c r="E767" s="1" t="s">
        <v>14</v>
      </c>
      <c r="F767" s="1" t="s">
        <v>2094</v>
      </c>
      <c r="G767" s="39" t="s">
        <v>107</v>
      </c>
      <c r="H767" s="1">
        <v>1</v>
      </c>
      <c r="I767" s="1">
        <v>0</v>
      </c>
      <c r="J767" s="39" t="s">
        <v>93</v>
      </c>
      <c r="K767" s="1">
        <v>0</v>
      </c>
      <c r="L767" s="1">
        <v>1</v>
      </c>
      <c r="S767" s="1" t="s">
        <v>9520</v>
      </c>
      <c r="T767" s="1">
        <v>1</v>
      </c>
      <c r="U767" s="19"/>
      <c r="V767" s="19"/>
      <c r="W767" s="218">
        <v>1</v>
      </c>
      <c r="X767" s="218">
        <v>1</v>
      </c>
      <c r="Y767" s="218">
        <v>1</v>
      </c>
    </row>
    <row r="768" spans="1:25" ht="14.4" x14ac:dyDescent="0.3">
      <c r="A768" s="1" t="s">
        <v>2095</v>
      </c>
      <c r="B768" s="5">
        <v>46182</v>
      </c>
      <c r="C768" s="6">
        <v>0.79166666666666696</v>
      </c>
      <c r="D768" s="1" t="s">
        <v>12</v>
      </c>
      <c r="E768" s="1" t="s">
        <v>14</v>
      </c>
      <c r="F768" s="1" t="s">
        <v>2096</v>
      </c>
      <c r="G768" s="39" t="s">
        <v>101</v>
      </c>
      <c r="H768" s="1">
        <v>1</v>
      </c>
      <c r="I768" s="1">
        <v>2</v>
      </c>
      <c r="J768" s="39" t="s">
        <v>93</v>
      </c>
      <c r="K768" s="1">
        <v>2</v>
      </c>
      <c r="L768" s="1">
        <v>1</v>
      </c>
      <c r="S768" s="1" t="s">
        <v>9521</v>
      </c>
      <c r="T768">
        <v>1</v>
      </c>
      <c r="U768" s="19"/>
      <c r="V768" s="19"/>
      <c r="W768" s="218">
        <v>1</v>
      </c>
      <c r="X768" s="218">
        <v>1</v>
      </c>
      <c r="Y768" s="218">
        <v>1</v>
      </c>
    </row>
    <row r="769" spans="1:25" x14ac:dyDescent="0.3">
      <c r="A769" s="1" t="s">
        <v>2097</v>
      </c>
      <c r="B769" s="5">
        <v>46216</v>
      </c>
      <c r="C769" s="6">
        <v>0.79166666666666696</v>
      </c>
      <c r="D769" s="1" t="s">
        <v>12</v>
      </c>
      <c r="E769" s="1" t="s">
        <v>14</v>
      </c>
      <c r="F769" s="1" t="s">
        <v>2098</v>
      </c>
      <c r="G769" s="39" t="s">
        <v>1843</v>
      </c>
      <c r="H769" s="1">
        <v>1</v>
      </c>
      <c r="I769" s="1">
        <v>1</v>
      </c>
      <c r="J769" s="39" t="s">
        <v>1846</v>
      </c>
      <c r="K769" s="1">
        <v>1</v>
      </c>
      <c r="L769" s="1">
        <v>1</v>
      </c>
      <c r="S769" s="1" t="s">
        <v>9522</v>
      </c>
      <c r="T769" s="1">
        <v>1</v>
      </c>
      <c r="U769" s="19"/>
      <c r="V769" s="19"/>
      <c r="W769" s="218">
        <v>1</v>
      </c>
      <c r="X769" s="218">
        <v>1</v>
      </c>
      <c r="Y769" s="218">
        <v>1</v>
      </c>
    </row>
    <row r="770" spans="1:25" x14ac:dyDescent="0.3">
      <c r="A770" s="1" t="s">
        <v>2099</v>
      </c>
      <c r="B770" s="5">
        <v>46188</v>
      </c>
      <c r="C770" s="6">
        <v>0.875</v>
      </c>
      <c r="D770" s="1" t="s">
        <v>12</v>
      </c>
      <c r="E770" s="1" t="s">
        <v>14</v>
      </c>
      <c r="F770" s="1" t="s">
        <v>2100</v>
      </c>
      <c r="G770" s="39" t="s">
        <v>1846</v>
      </c>
      <c r="H770" s="1">
        <v>3</v>
      </c>
      <c r="I770" s="1">
        <v>2</v>
      </c>
      <c r="J770" s="39" t="s">
        <v>107</v>
      </c>
      <c r="K770" s="1">
        <v>2</v>
      </c>
      <c r="L770" s="1">
        <v>3</v>
      </c>
      <c r="S770" s="1" t="s">
        <v>9523</v>
      </c>
      <c r="T770" s="1">
        <v>1</v>
      </c>
      <c r="U770" s="19"/>
      <c r="V770" s="19"/>
      <c r="W770" s="218">
        <v>1</v>
      </c>
      <c r="X770" s="218">
        <v>1</v>
      </c>
      <c r="Y770" s="218">
        <v>1</v>
      </c>
    </row>
    <row r="771" spans="1:25" x14ac:dyDescent="0.3">
      <c r="A771" s="1" t="s">
        <v>2101</v>
      </c>
      <c r="B771" s="5">
        <v>46160</v>
      </c>
      <c r="C771" s="6">
        <v>0.79166666666666696</v>
      </c>
      <c r="D771" s="1" t="s">
        <v>12</v>
      </c>
      <c r="E771" s="1" t="s">
        <v>14</v>
      </c>
      <c r="F771" s="1" t="s">
        <v>2102</v>
      </c>
      <c r="G771" s="39" t="s">
        <v>101</v>
      </c>
      <c r="H771" s="1">
        <v>1</v>
      </c>
      <c r="I771" s="1">
        <v>4</v>
      </c>
      <c r="J771" s="39" t="s">
        <v>1846</v>
      </c>
      <c r="K771" s="1">
        <v>4</v>
      </c>
      <c r="L771" s="1">
        <v>1</v>
      </c>
      <c r="S771" s="1" t="s">
        <v>9524</v>
      </c>
      <c r="T771" s="1">
        <v>1</v>
      </c>
      <c r="U771" s="19"/>
      <c r="V771" s="19"/>
      <c r="W771" s="218">
        <v>0</v>
      </c>
      <c r="X771" s="218">
        <v>0</v>
      </c>
      <c r="Y771" s="218">
        <v>0</v>
      </c>
    </row>
    <row r="772" spans="1:25" x14ac:dyDescent="0.3">
      <c r="A772" s="1" t="s">
        <v>2103</v>
      </c>
      <c r="B772" s="5">
        <v>46154</v>
      </c>
      <c r="C772" s="6">
        <v>0.8125</v>
      </c>
      <c r="D772" s="1" t="s">
        <v>12</v>
      </c>
      <c r="E772" s="1" t="s">
        <v>14</v>
      </c>
      <c r="F772" s="1" t="s">
        <v>2104</v>
      </c>
      <c r="G772" s="39" t="s">
        <v>1846</v>
      </c>
      <c r="H772" s="1">
        <v>1</v>
      </c>
      <c r="I772" s="1">
        <v>3</v>
      </c>
      <c r="J772" s="39" t="s">
        <v>1858</v>
      </c>
      <c r="K772" s="1">
        <v>3</v>
      </c>
      <c r="L772" s="1">
        <v>1</v>
      </c>
      <c r="S772" s="1" t="s">
        <v>9525</v>
      </c>
      <c r="T772" s="1">
        <v>1</v>
      </c>
      <c r="U772" s="19"/>
      <c r="V772" s="19"/>
      <c r="W772" s="218">
        <v>0</v>
      </c>
      <c r="X772" s="218">
        <v>0</v>
      </c>
      <c r="Y772" s="218">
        <v>0</v>
      </c>
    </row>
    <row r="773" spans="1:25" ht="14.4" x14ac:dyDescent="0.3">
      <c r="A773" s="1" t="s">
        <v>2105</v>
      </c>
      <c r="B773" s="5">
        <v>46145</v>
      </c>
      <c r="C773" s="6">
        <v>0.66666666666666696</v>
      </c>
      <c r="D773" s="1" t="s">
        <v>12</v>
      </c>
      <c r="E773" s="1" t="s">
        <v>14</v>
      </c>
      <c r="F773" s="1" t="s">
        <v>2106</v>
      </c>
      <c r="G773" s="39" t="s">
        <v>89</v>
      </c>
      <c r="H773" s="1">
        <v>3</v>
      </c>
      <c r="I773" s="1">
        <v>0</v>
      </c>
      <c r="J773" s="39" t="s">
        <v>1846</v>
      </c>
      <c r="K773" s="1">
        <v>0</v>
      </c>
      <c r="L773" s="1">
        <v>3</v>
      </c>
      <c r="S773" s="1" t="s">
        <v>9526</v>
      </c>
      <c r="T773">
        <v>1</v>
      </c>
      <c r="U773" s="19"/>
      <c r="V773" s="19"/>
      <c r="W773" s="218">
        <v>0</v>
      </c>
      <c r="X773" s="218">
        <v>0</v>
      </c>
      <c r="Y773" s="218">
        <v>0</v>
      </c>
    </row>
    <row r="774" spans="1:25" x14ac:dyDescent="0.3">
      <c r="A774" s="1" t="s">
        <v>2107</v>
      </c>
      <c r="B774" s="5">
        <v>46224</v>
      </c>
      <c r="C774" s="6">
        <v>0.8125</v>
      </c>
      <c r="D774" s="1" t="s">
        <v>12</v>
      </c>
      <c r="E774" s="1" t="s">
        <v>14</v>
      </c>
      <c r="F774" s="1" t="s">
        <v>2108</v>
      </c>
      <c r="G774" s="39" t="s">
        <v>107</v>
      </c>
      <c r="H774" s="1">
        <v>2</v>
      </c>
      <c r="I774" s="1">
        <v>1</v>
      </c>
      <c r="J774" s="39" t="s">
        <v>1843</v>
      </c>
      <c r="K774" s="1">
        <v>1</v>
      </c>
      <c r="L774" s="1">
        <v>2</v>
      </c>
      <c r="S774" s="1" t="s">
        <v>9527</v>
      </c>
      <c r="T774" s="1">
        <v>1</v>
      </c>
      <c r="U774" s="19"/>
      <c r="V774" s="19"/>
      <c r="W774" s="218">
        <v>1</v>
      </c>
      <c r="X774" s="218">
        <v>1</v>
      </c>
      <c r="Y774" s="218">
        <v>1</v>
      </c>
    </row>
    <row r="775" spans="1:25" x14ac:dyDescent="0.3">
      <c r="A775" s="1" t="s">
        <v>2109</v>
      </c>
      <c r="B775" s="5">
        <v>46220</v>
      </c>
      <c r="C775" s="6">
        <v>0.79166666666666696</v>
      </c>
      <c r="D775" s="1" t="s">
        <v>12</v>
      </c>
      <c r="E775" s="1" t="s">
        <v>14</v>
      </c>
      <c r="F775" s="1" t="s">
        <v>2110</v>
      </c>
      <c r="G775" s="39" t="s">
        <v>1858</v>
      </c>
      <c r="H775" s="1">
        <v>1</v>
      </c>
      <c r="I775" s="1">
        <v>1</v>
      </c>
      <c r="J775" s="39" t="s">
        <v>107</v>
      </c>
      <c r="K775" s="1">
        <v>1</v>
      </c>
      <c r="L775" s="1">
        <v>1</v>
      </c>
      <c r="S775" s="1" t="s">
        <v>9528</v>
      </c>
      <c r="T775" s="1">
        <v>1</v>
      </c>
      <c r="U775" s="19"/>
      <c r="V775" s="19"/>
      <c r="W775" s="218">
        <v>1</v>
      </c>
      <c r="X775" s="218">
        <v>1</v>
      </c>
      <c r="Y775" s="218">
        <v>1</v>
      </c>
    </row>
    <row r="776" spans="1:25" ht="14.4" x14ac:dyDescent="0.3">
      <c r="A776" s="1" t="s">
        <v>2111</v>
      </c>
      <c r="B776" s="5">
        <v>46166</v>
      </c>
      <c r="C776" s="6">
        <v>0.79166666666666696</v>
      </c>
      <c r="D776" s="1" t="s">
        <v>12</v>
      </c>
      <c r="E776" s="1" t="s">
        <v>14</v>
      </c>
      <c r="F776" s="1" t="s">
        <v>2112</v>
      </c>
      <c r="G776" s="39" t="s">
        <v>107</v>
      </c>
      <c r="H776" s="1">
        <v>0</v>
      </c>
      <c r="I776" s="1">
        <v>2</v>
      </c>
      <c r="J776" s="39" t="s">
        <v>1885</v>
      </c>
      <c r="K776" s="1">
        <v>2</v>
      </c>
      <c r="L776" s="1">
        <v>0</v>
      </c>
      <c r="S776" s="1" t="s">
        <v>9529</v>
      </c>
      <c r="T776">
        <v>1</v>
      </c>
      <c r="U776" s="19"/>
      <c r="V776" s="19"/>
      <c r="W776" s="218">
        <v>1</v>
      </c>
      <c r="X776" s="218">
        <v>1</v>
      </c>
      <c r="Y776" s="218">
        <v>1</v>
      </c>
    </row>
    <row r="777" spans="1:25" x14ac:dyDescent="0.3">
      <c r="A777" s="1" t="s">
        <v>2113</v>
      </c>
      <c r="B777" s="5">
        <v>46229</v>
      </c>
      <c r="C777" s="6">
        <v>0.77083333333333304</v>
      </c>
      <c r="D777" s="1" t="s">
        <v>12</v>
      </c>
      <c r="E777" s="1" t="s">
        <v>14</v>
      </c>
      <c r="F777" s="1" t="s">
        <v>2114</v>
      </c>
      <c r="G777" s="39" t="s">
        <v>1843</v>
      </c>
      <c r="H777" s="1">
        <v>1</v>
      </c>
      <c r="I777" s="1">
        <v>0</v>
      </c>
      <c r="J777" s="39" t="s">
        <v>1885</v>
      </c>
      <c r="K777" s="1">
        <v>0</v>
      </c>
      <c r="L777" s="1">
        <v>1</v>
      </c>
      <c r="S777" s="1" t="s">
        <v>9530</v>
      </c>
      <c r="T777" s="1">
        <v>1</v>
      </c>
      <c r="U777" s="19"/>
      <c r="V777" s="19"/>
      <c r="W777" s="218">
        <v>1</v>
      </c>
      <c r="X777" s="218">
        <v>1</v>
      </c>
      <c r="Y777" s="218">
        <v>1</v>
      </c>
    </row>
    <row r="778" spans="1:25" ht="14.4" x14ac:dyDescent="0.3">
      <c r="A778" s="1" t="s">
        <v>2115</v>
      </c>
      <c r="B778" s="5">
        <v>46158</v>
      </c>
      <c r="C778" s="6">
        <v>0.66666666666666696</v>
      </c>
      <c r="D778" s="1" t="s">
        <v>12</v>
      </c>
      <c r="E778" s="1" t="s">
        <v>14</v>
      </c>
      <c r="F778" s="1" t="s">
        <v>2116</v>
      </c>
      <c r="G778" s="39" t="s">
        <v>1858</v>
      </c>
      <c r="H778" s="1">
        <v>1</v>
      </c>
      <c r="I778" s="1">
        <v>1</v>
      </c>
      <c r="J778" s="39" t="s">
        <v>1843</v>
      </c>
      <c r="K778" s="1">
        <v>1</v>
      </c>
      <c r="L778" s="1">
        <v>1</v>
      </c>
      <c r="S778" s="1" t="s">
        <v>9531</v>
      </c>
      <c r="T778">
        <v>1</v>
      </c>
      <c r="U778" s="19"/>
      <c r="V778" s="19"/>
      <c r="W778" s="218">
        <v>0</v>
      </c>
      <c r="X778" s="218">
        <v>0</v>
      </c>
      <c r="Y778" s="218">
        <v>0</v>
      </c>
    </row>
    <row r="779" spans="1:25" x14ac:dyDescent="0.3">
      <c r="A779" s="1" t="s">
        <v>2117</v>
      </c>
      <c r="B779" s="5">
        <v>46221</v>
      </c>
      <c r="C779" s="6">
        <v>0.66666666666666696</v>
      </c>
      <c r="D779" s="1" t="s">
        <v>12</v>
      </c>
      <c r="E779" s="1" t="s">
        <v>14</v>
      </c>
      <c r="F779" s="1" t="s">
        <v>2118</v>
      </c>
      <c r="G779" s="39" t="s">
        <v>101</v>
      </c>
      <c r="H779" s="1">
        <v>1</v>
      </c>
      <c r="I779" s="1">
        <v>2</v>
      </c>
      <c r="J779" s="39" t="s">
        <v>1885</v>
      </c>
      <c r="K779" s="1">
        <v>2</v>
      </c>
      <c r="L779" s="1">
        <v>1</v>
      </c>
      <c r="S779" s="1" t="s">
        <v>9532</v>
      </c>
      <c r="T779" s="1">
        <v>1</v>
      </c>
      <c r="U779" s="19"/>
      <c r="V779" s="19"/>
      <c r="W779" s="218">
        <v>1</v>
      </c>
      <c r="X779" s="218">
        <v>1</v>
      </c>
      <c r="Y779" s="218">
        <v>1</v>
      </c>
    </row>
    <row r="780" spans="1:25" ht="14.4" x14ac:dyDescent="0.3">
      <c r="A780" s="1" t="s">
        <v>2119</v>
      </c>
      <c r="B780" s="5">
        <v>46151</v>
      </c>
      <c r="C780" s="6">
        <v>0.77083333333333304</v>
      </c>
      <c r="D780" s="1" t="s">
        <v>12</v>
      </c>
      <c r="E780" s="1" t="s">
        <v>14</v>
      </c>
      <c r="F780" s="1" t="s">
        <v>2120</v>
      </c>
      <c r="G780" s="39" t="s">
        <v>101</v>
      </c>
      <c r="H780" s="1">
        <v>1</v>
      </c>
      <c r="I780" s="1">
        <v>3</v>
      </c>
      <c r="J780" s="39" t="s">
        <v>92</v>
      </c>
      <c r="K780" s="1">
        <v>3</v>
      </c>
      <c r="L780" s="1">
        <v>1</v>
      </c>
      <c r="S780" s="1" t="s">
        <v>9533</v>
      </c>
      <c r="T780">
        <v>1</v>
      </c>
      <c r="U780" s="19"/>
      <c r="V780" s="19"/>
      <c r="W780" s="218">
        <v>0</v>
      </c>
      <c r="X780" s="218">
        <v>0</v>
      </c>
      <c r="Y780" s="218">
        <v>0</v>
      </c>
    </row>
    <row r="781" spans="1:25" x14ac:dyDescent="0.3">
      <c r="A781" s="1" t="s">
        <v>2121</v>
      </c>
      <c r="B781" s="5">
        <v>46229</v>
      </c>
      <c r="C781" s="6">
        <v>0.66666666666666696</v>
      </c>
      <c r="D781" s="1" t="s">
        <v>12</v>
      </c>
      <c r="E781" s="1" t="s">
        <v>13</v>
      </c>
      <c r="F781" s="1" t="s">
        <v>2122</v>
      </c>
      <c r="G781" s="39" t="s">
        <v>161</v>
      </c>
      <c r="H781" s="1">
        <v>1</v>
      </c>
      <c r="I781" s="1">
        <v>1</v>
      </c>
      <c r="J781" s="39" t="s">
        <v>174</v>
      </c>
      <c r="K781" s="1">
        <v>1</v>
      </c>
      <c r="L781" s="1">
        <v>1</v>
      </c>
      <c r="S781" s="1" t="s">
        <v>9534</v>
      </c>
      <c r="T781" s="1">
        <v>1</v>
      </c>
      <c r="U781" s="19"/>
      <c r="V781" s="19"/>
      <c r="W781" s="218">
        <v>1</v>
      </c>
      <c r="X781" s="218">
        <v>1</v>
      </c>
      <c r="Y781" s="218">
        <v>1</v>
      </c>
    </row>
    <row r="782" spans="1:25" x14ac:dyDescent="0.3">
      <c r="A782" s="1" t="s">
        <v>2123</v>
      </c>
      <c r="B782" s="5">
        <v>46151</v>
      </c>
      <c r="C782" s="6">
        <v>0.875</v>
      </c>
      <c r="D782" s="1" t="s">
        <v>12</v>
      </c>
      <c r="E782" s="1" t="s">
        <v>13</v>
      </c>
      <c r="F782" s="1" t="s">
        <v>2124</v>
      </c>
      <c r="G782" s="39" t="s">
        <v>161</v>
      </c>
      <c r="H782" s="1">
        <v>1</v>
      </c>
      <c r="I782" s="1">
        <v>2</v>
      </c>
      <c r="J782" s="39" t="s">
        <v>178</v>
      </c>
      <c r="K782" s="1">
        <v>2</v>
      </c>
      <c r="L782" s="1">
        <v>1</v>
      </c>
      <c r="S782" s="1" t="s">
        <v>9535</v>
      </c>
      <c r="T782" s="1">
        <v>1</v>
      </c>
      <c r="U782" s="19"/>
      <c r="V782" s="19"/>
      <c r="W782" s="218">
        <v>1</v>
      </c>
      <c r="X782" s="218">
        <v>1</v>
      </c>
      <c r="Y782" s="218">
        <v>1</v>
      </c>
    </row>
    <row r="783" spans="1:25" ht="14.4" x14ac:dyDescent="0.3">
      <c r="A783" s="1" t="s">
        <v>2125</v>
      </c>
      <c r="B783" s="5">
        <v>46137</v>
      </c>
      <c r="C783" s="6">
        <v>0.77083333333333304</v>
      </c>
      <c r="D783" s="1" t="s">
        <v>12</v>
      </c>
      <c r="E783" s="1" t="s">
        <v>13</v>
      </c>
      <c r="F783" s="1" t="s">
        <v>2126</v>
      </c>
      <c r="G783" s="39" t="s">
        <v>161</v>
      </c>
      <c r="H783" s="1">
        <v>2</v>
      </c>
      <c r="I783" s="1">
        <v>2</v>
      </c>
      <c r="J783" s="39" t="s">
        <v>479</v>
      </c>
      <c r="K783" s="1">
        <v>2</v>
      </c>
      <c r="L783" s="1">
        <v>2</v>
      </c>
      <c r="S783" s="1" t="s">
        <v>9536</v>
      </c>
      <c r="T783">
        <v>1</v>
      </c>
      <c r="U783" s="19"/>
      <c r="V783" s="19"/>
      <c r="W783" s="218">
        <v>1</v>
      </c>
      <c r="X783" s="218">
        <v>1</v>
      </c>
      <c r="Y783" s="218">
        <v>1</v>
      </c>
    </row>
    <row r="784" spans="1:25" x14ac:dyDescent="0.3">
      <c r="A784" s="1" t="s">
        <v>2127</v>
      </c>
      <c r="B784" s="5">
        <v>46225</v>
      </c>
      <c r="C784" s="6">
        <v>0.89583333333333304</v>
      </c>
      <c r="D784" s="1" t="s">
        <v>12</v>
      </c>
      <c r="E784" s="1" t="s">
        <v>13</v>
      </c>
      <c r="F784" s="1" t="s">
        <v>2128</v>
      </c>
      <c r="G784" s="39" t="s">
        <v>143</v>
      </c>
      <c r="H784" s="1">
        <v>1</v>
      </c>
      <c r="I784" s="1">
        <v>2</v>
      </c>
      <c r="J784" s="39" t="s">
        <v>178</v>
      </c>
      <c r="K784" s="1">
        <v>2</v>
      </c>
      <c r="L784" s="1">
        <v>1</v>
      </c>
      <c r="S784" s="1" t="s">
        <v>9537</v>
      </c>
      <c r="T784" s="1">
        <v>1</v>
      </c>
      <c r="U784" s="19"/>
      <c r="V784" s="19"/>
      <c r="W784" s="218">
        <v>1</v>
      </c>
      <c r="X784" s="218">
        <v>1</v>
      </c>
      <c r="Y784" s="218">
        <v>1</v>
      </c>
    </row>
    <row r="785" spans="1:25" ht="14.4" x14ac:dyDescent="0.3">
      <c r="A785" s="1" t="s">
        <v>2129</v>
      </c>
      <c r="B785" s="5">
        <v>46124</v>
      </c>
      <c r="C785" s="6">
        <v>0.77083333333333304</v>
      </c>
      <c r="D785" s="1" t="s">
        <v>12</v>
      </c>
      <c r="E785" s="1" t="s">
        <v>13</v>
      </c>
      <c r="F785" s="1" t="s">
        <v>2130</v>
      </c>
      <c r="G785" s="39" t="s">
        <v>178</v>
      </c>
      <c r="H785" s="1">
        <v>2</v>
      </c>
      <c r="I785" s="1">
        <v>1</v>
      </c>
      <c r="J785" s="39" t="s">
        <v>1695</v>
      </c>
      <c r="K785" s="1">
        <v>1</v>
      </c>
      <c r="L785" s="1">
        <v>2</v>
      </c>
      <c r="S785" s="1" t="s">
        <v>9538</v>
      </c>
      <c r="T785">
        <v>1</v>
      </c>
      <c r="U785" s="19"/>
      <c r="V785" s="19"/>
      <c r="W785" s="218">
        <v>1</v>
      </c>
      <c r="X785" s="218">
        <v>1</v>
      </c>
      <c r="Y785" s="218">
        <v>1</v>
      </c>
    </row>
    <row r="786" spans="1:25" x14ac:dyDescent="0.3">
      <c r="A786" s="1" t="s">
        <v>2131</v>
      </c>
      <c r="B786" s="5">
        <v>46228</v>
      </c>
      <c r="C786" s="6">
        <v>0.77083333333333304</v>
      </c>
      <c r="D786" s="1" t="s">
        <v>12</v>
      </c>
      <c r="E786" s="1" t="s">
        <v>13</v>
      </c>
      <c r="F786" s="1" t="s">
        <v>2132</v>
      </c>
      <c r="G786" s="39" t="s">
        <v>502</v>
      </c>
      <c r="H786" s="1">
        <v>2</v>
      </c>
      <c r="I786" s="1">
        <v>0</v>
      </c>
      <c r="J786" s="39" t="s">
        <v>143</v>
      </c>
      <c r="K786" s="1">
        <v>0</v>
      </c>
      <c r="L786" s="1">
        <v>2</v>
      </c>
      <c r="S786" s="1" t="s">
        <v>9539</v>
      </c>
      <c r="T786" s="1">
        <v>1</v>
      </c>
      <c r="U786" s="19"/>
      <c r="V786" s="19"/>
      <c r="W786" s="218">
        <v>1</v>
      </c>
      <c r="X786" s="218">
        <v>1</v>
      </c>
      <c r="Y786" s="218">
        <v>1</v>
      </c>
    </row>
    <row r="787" spans="1:25" x14ac:dyDescent="0.3">
      <c r="A787" s="1" t="s">
        <v>2133</v>
      </c>
      <c r="B787" s="5">
        <v>46172</v>
      </c>
      <c r="C787" s="6">
        <v>0.66666666666666696</v>
      </c>
      <c r="D787" s="1" t="s">
        <v>12</v>
      </c>
      <c r="E787" s="1" t="s">
        <v>13</v>
      </c>
      <c r="F787" s="1" t="s">
        <v>2134</v>
      </c>
      <c r="G787" s="39" t="s">
        <v>502</v>
      </c>
      <c r="H787" s="1">
        <v>1</v>
      </c>
      <c r="I787" s="1">
        <v>0</v>
      </c>
      <c r="J787" s="39" t="s">
        <v>135</v>
      </c>
      <c r="K787" s="1">
        <v>0</v>
      </c>
      <c r="L787" s="1">
        <v>1</v>
      </c>
      <c r="S787" s="1" t="s">
        <v>9540</v>
      </c>
      <c r="T787" s="1">
        <v>1</v>
      </c>
      <c r="U787" s="19"/>
      <c r="V787" s="19"/>
      <c r="W787" s="218">
        <v>1</v>
      </c>
      <c r="X787" s="218">
        <v>1</v>
      </c>
      <c r="Y787" s="218">
        <v>1</v>
      </c>
    </row>
    <row r="788" spans="1:25" x14ac:dyDescent="0.3">
      <c r="A788" s="1" t="s">
        <v>2135</v>
      </c>
      <c r="B788" s="5">
        <v>46152</v>
      </c>
      <c r="C788" s="6">
        <v>0.85416666666666696</v>
      </c>
      <c r="D788" s="1" t="s">
        <v>12</v>
      </c>
      <c r="E788" s="1" t="s">
        <v>13</v>
      </c>
      <c r="F788" s="1" t="s">
        <v>2136</v>
      </c>
      <c r="G788" s="39" t="s">
        <v>227</v>
      </c>
      <c r="H788" s="1">
        <v>1</v>
      </c>
      <c r="I788" s="1">
        <v>0</v>
      </c>
      <c r="J788" s="39" t="s">
        <v>502</v>
      </c>
      <c r="K788" s="1">
        <v>0</v>
      </c>
      <c r="L788" s="1">
        <v>1</v>
      </c>
      <c r="S788" s="1" t="s">
        <v>9541</v>
      </c>
      <c r="T788" s="1">
        <v>1</v>
      </c>
      <c r="U788" s="19"/>
      <c r="V788" s="19"/>
      <c r="W788" s="218">
        <v>1</v>
      </c>
      <c r="X788" s="218">
        <v>1</v>
      </c>
      <c r="Y788" s="218">
        <v>1</v>
      </c>
    </row>
    <row r="789" spans="1:25" ht="14.4" x14ac:dyDescent="0.3">
      <c r="A789" s="1" t="s">
        <v>2137</v>
      </c>
      <c r="B789" s="5">
        <v>46138</v>
      </c>
      <c r="C789" s="6">
        <v>0.77083333333333304</v>
      </c>
      <c r="D789" s="1" t="s">
        <v>12</v>
      </c>
      <c r="E789" s="1" t="s">
        <v>13</v>
      </c>
      <c r="F789" s="1" t="s">
        <v>2138</v>
      </c>
      <c r="G789" s="39" t="s">
        <v>502</v>
      </c>
      <c r="H789" s="1">
        <v>3</v>
      </c>
      <c r="I789" s="1">
        <v>1</v>
      </c>
      <c r="J789" s="39" t="s">
        <v>150</v>
      </c>
      <c r="K789" s="1">
        <v>1</v>
      </c>
      <c r="L789" s="1">
        <v>3</v>
      </c>
      <c r="S789" s="1" t="s">
        <v>9542</v>
      </c>
      <c r="T789">
        <v>1</v>
      </c>
      <c r="U789" s="19"/>
      <c r="V789" s="19"/>
      <c r="W789" s="218">
        <v>1</v>
      </c>
      <c r="X789" s="218">
        <v>1</v>
      </c>
      <c r="Y789" s="218">
        <v>1</v>
      </c>
    </row>
    <row r="790" spans="1:25" x14ac:dyDescent="0.3">
      <c r="A790" s="1" t="s">
        <v>2139</v>
      </c>
      <c r="B790" s="5">
        <v>46172</v>
      </c>
      <c r="C790" s="6">
        <v>0.83333333333333304</v>
      </c>
      <c r="D790" s="1" t="s">
        <v>12</v>
      </c>
      <c r="E790" s="1" t="s">
        <v>13</v>
      </c>
      <c r="F790" s="1" t="s">
        <v>2140</v>
      </c>
      <c r="G790" s="39" t="s">
        <v>479</v>
      </c>
      <c r="H790" s="1">
        <v>3</v>
      </c>
      <c r="I790" s="1">
        <v>1</v>
      </c>
      <c r="J790" s="39" t="s">
        <v>150</v>
      </c>
      <c r="K790" s="1">
        <v>1</v>
      </c>
      <c r="L790" s="1">
        <v>3</v>
      </c>
      <c r="S790" s="1" t="s">
        <v>9543</v>
      </c>
      <c r="T790" s="1">
        <v>1</v>
      </c>
      <c r="U790" s="19"/>
      <c r="V790" s="19"/>
      <c r="W790" s="218">
        <v>1</v>
      </c>
      <c r="X790" s="218">
        <v>1</v>
      </c>
      <c r="Y790" s="218">
        <v>1</v>
      </c>
    </row>
    <row r="791" spans="1:25" x14ac:dyDescent="0.3">
      <c r="A791" s="1" t="s">
        <v>2141</v>
      </c>
      <c r="B791" s="5">
        <v>46152</v>
      </c>
      <c r="C791" s="6">
        <v>0.77083333333333304</v>
      </c>
      <c r="D791" s="1" t="s">
        <v>12</v>
      </c>
      <c r="E791" s="1" t="s">
        <v>13</v>
      </c>
      <c r="F791" s="1" t="s">
        <v>2142</v>
      </c>
      <c r="G791" s="39" t="s">
        <v>479</v>
      </c>
      <c r="H791" s="1">
        <v>2</v>
      </c>
      <c r="I791" s="1">
        <v>0</v>
      </c>
      <c r="J791" s="39" t="s">
        <v>1695</v>
      </c>
      <c r="K791" s="1">
        <v>0</v>
      </c>
      <c r="L791" s="1">
        <v>2</v>
      </c>
      <c r="S791" s="1" t="s">
        <v>9544</v>
      </c>
      <c r="T791" s="1">
        <v>1</v>
      </c>
      <c r="U791" s="19"/>
      <c r="V791" s="19"/>
      <c r="W791" s="218">
        <v>1</v>
      </c>
      <c r="X791" s="218">
        <v>1</v>
      </c>
      <c r="Y791" s="218">
        <v>1</v>
      </c>
    </row>
    <row r="792" spans="1:25" ht="14.4" x14ac:dyDescent="0.3">
      <c r="A792" s="1" t="s">
        <v>2143</v>
      </c>
      <c r="B792" s="5">
        <v>46114</v>
      </c>
      <c r="C792" s="6">
        <v>0.79166666666666696</v>
      </c>
      <c r="D792" s="1" t="s">
        <v>12</v>
      </c>
      <c r="E792" s="1" t="s">
        <v>13</v>
      </c>
      <c r="F792" s="1" t="s">
        <v>2144</v>
      </c>
      <c r="G792" s="39" t="s">
        <v>479</v>
      </c>
      <c r="H792" s="1">
        <v>2</v>
      </c>
      <c r="I792" s="1">
        <v>0</v>
      </c>
      <c r="J792" s="39" t="s">
        <v>136</v>
      </c>
      <c r="K792" s="1">
        <v>0</v>
      </c>
      <c r="L792" s="1">
        <v>2</v>
      </c>
      <c r="S792" s="1" t="s">
        <v>9545</v>
      </c>
      <c r="T792">
        <v>1</v>
      </c>
      <c r="U792" s="19"/>
      <c r="V792" s="19"/>
      <c r="W792" s="218">
        <v>1</v>
      </c>
      <c r="X792" s="218">
        <v>0</v>
      </c>
      <c r="Y792" s="218">
        <v>1</v>
      </c>
    </row>
    <row r="793" spans="1:25" x14ac:dyDescent="0.3">
      <c r="A793" s="1" t="s">
        <v>2145</v>
      </c>
      <c r="B793" s="5">
        <v>46145</v>
      </c>
      <c r="C793" s="6">
        <v>0.85416666666666696</v>
      </c>
      <c r="D793" s="1" t="s">
        <v>12</v>
      </c>
      <c r="E793" s="1" t="s">
        <v>13</v>
      </c>
      <c r="F793" s="1" t="s">
        <v>2146</v>
      </c>
      <c r="G793" s="39" t="s">
        <v>135</v>
      </c>
      <c r="H793" s="1">
        <v>2</v>
      </c>
      <c r="I793" s="1">
        <v>1</v>
      </c>
      <c r="J793" s="39" t="s">
        <v>174</v>
      </c>
      <c r="K793" s="1">
        <v>1</v>
      </c>
      <c r="L793" s="1">
        <v>2</v>
      </c>
      <c r="S793" s="1" t="s">
        <v>9546</v>
      </c>
      <c r="T793" s="1">
        <v>1</v>
      </c>
      <c r="U793" s="19"/>
      <c r="V793" s="19"/>
      <c r="W793" s="218">
        <v>1</v>
      </c>
      <c r="X793" s="218">
        <v>1</v>
      </c>
      <c r="Y793" s="218">
        <v>1</v>
      </c>
    </row>
    <row r="794" spans="1:25" x14ac:dyDescent="0.3">
      <c r="A794" s="1" t="s">
        <v>2147</v>
      </c>
      <c r="B794" s="5">
        <v>46138</v>
      </c>
      <c r="C794" s="6">
        <v>0.66666666666666696</v>
      </c>
      <c r="D794" s="1" t="s">
        <v>12</v>
      </c>
      <c r="E794" s="1" t="s">
        <v>13</v>
      </c>
      <c r="F794" s="1" t="s">
        <v>2148</v>
      </c>
      <c r="G794" s="39" t="s">
        <v>174</v>
      </c>
      <c r="H794" s="1">
        <v>1</v>
      </c>
      <c r="I794" s="1">
        <v>0</v>
      </c>
      <c r="J794" s="39" t="s">
        <v>227</v>
      </c>
      <c r="K794" s="1">
        <v>0</v>
      </c>
      <c r="L794" s="1">
        <v>1</v>
      </c>
      <c r="S794" s="1" t="s">
        <v>9547</v>
      </c>
      <c r="T794" s="1">
        <v>1</v>
      </c>
      <c r="U794" s="19"/>
      <c r="V794" s="19"/>
      <c r="W794" s="218">
        <v>1</v>
      </c>
      <c r="X794" s="218">
        <v>1</v>
      </c>
      <c r="Y794" s="218">
        <v>1</v>
      </c>
    </row>
    <row r="795" spans="1:25" x14ac:dyDescent="0.3">
      <c r="A795" s="1" t="s">
        <v>2149</v>
      </c>
      <c r="B795" s="5">
        <v>46130</v>
      </c>
      <c r="C795" s="6">
        <v>0.83333333333333304</v>
      </c>
      <c r="D795" s="1" t="s">
        <v>12</v>
      </c>
      <c r="E795" s="1" t="s">
        <v>13</v>
      </c>
      <c r="F795" s="1" t="s">
        <v>2150</v>
      </c>
      <c r="G795" s="39" t="s">
        <v>150</v>
      </c>
      <c r="H795" s="1">
        <v>0</v>
      </c>
      <c r="I795" s="1">
        <v>0</v>
      </c>
      <c r="J795" s="39" t="s">
        <v>174</v>
      </c>
      <c r="K795" s="1">
        <v>0</v>
      </c>
      <c r="L795" s="1">
        <v>0</v>
      </c>
      <c r="S795" s="1" t="s">
        <v>9548</v>
      </c>
      <c r="T795" s="1">
        <v>1</v>
      </c>
      <c r="U795" s="19"/>
      <c r="V795" s="19"/>
      <c r="W795" s="218">
        <v>1</v>
      </c>
      <c r="X795" s="218">
        <v>1</v>
      </c>
      <c r="Y795" s="218">
        <v>1</v>
      </c>
    </row>
    <row r="796" spans="1:25" ht="14.4" x14ac:dyDescent="0.3">
      <c r="A796" s="1" t="s">
        <v>2151</v>
      </c>
      <c r="B796" s="5">
        <v>46117</v>
      </c>
      <c r="C796" s="6">
        <v>0.8125</v>
      </c>
      <c r="D796" s="1" t="s">
        <v>12</v>
      </c>
      <c r="E796" s="1" t="s">
        <v>13</v>
      </c>
      <c r="F796" s="1" t="s">
        <v>2152</v>
      </c>
      <c r="G796" s="39" t="s">
        <v>174</v>
      </c>
      <c r="H796" s="1">
        <v>0</v>
      </c>
      <c r="I796" s="1">
        <v>1</v>
      </c>
      <c r="J796" s="39" t="s">
        <v>143</v>
      </c>
      <c r="K796" s="1">
        <v>1</v>
      </c>
      <c r="L796" s="1">
        <v>0</v>
      </c>
      <c r="S796" s="1" t="s">
        <v>9549</v>
      </c>
      <c r="T796">
        <v>1</v>
      </c>
      <c r="U796" s="19"/>
      <c r="V796" s="19"/>
      <c r="W796" s="218">
        <v>1</v>
      </c>
      <c r="X796" s="218">
        <v>1</v>
      </c>
      <c r="Y796" s="218">
        <v>1</v>
      </c>
    </row>
    <row r="797" spans="1:25" x14ac:dyDescent="0.3">
      <c r="A797" s="1" t="s">
        <v>2153</v>
      </c>
      <c r="B797" s="5">
        <v>46219</v>
      </c>
      <c r="C797" s="6">
        <v>0.8125</v>
      </c>
      <c r="D797" s="1" t="s">
        <v>12</v>
      </c>
      <c r="E797" s="1" t="s">
        <v>13</v>
      </c>
      <c r="F797" s="1" t="s">
        <v>2154</v>
      </c>
      <c r="G797" s="39" t="s">
        <v>150</v>
      </c>
      <c r="H797" s="1">
        <v>1</v>
      </c>
      <c r="I797" s="1">
        <v>0</v>
      </c>
      <c r="J797" s="39" t="s">
        <v>227</v>
      </c>
      <c r="K797" s="1">
        <v>0</v>
      </c>
      <c r="L797" s="1">
        <v>1</v>
      </c>
      <c r="S797" s="1" t="s">
        <v>9550</v>
      </c>
      <c r="T797" s="1">
        <v>1</v>
      </c>
      <c r="U797" s="19"/>
      <c r="V797" s="19"/>
      <c r="W797" s="218">
        <v>1</v>
      </c>
      <c r="X797" s="218">
        <v>1</v>
      </c>
      <c r="Y797" s="218">
        <v>1</v>
      </c>
    </row>
    <row r="798" spans="1:25" ht="14.4" x14ac:dyDescent="0.3">
      <c r="A798" s="1" t="s">
        <v>2155</v>
      </c>
      <c r="B798" s="5">
        <v>46165</v>
      </c>
      <c r="C798" s="6">
        <v>0.70833333333333304</v>
      </c>
      <c r="D798" s="1" t="s">
        <v>12</v>
      </c>
      <c r="E798" s="1" t="s">
        <v>13</v>
      </c>
      <c r="F798" s="1" t="s">
        <v>2156</v>
      </c>
      <c r="G798" s="39" t="s">
        <v>150</v>
      </c>
      <c r="H798" s="1">
        <v>2</v>
      </c>
      <c r="I798" s="1">
        <v>0</v>
      </c>
      <c r="J798" s="39" t="s">
        <v>143</v>
      </c>
      <c r="K798" s="1">
        <v>0</v>
      </c>
      <c r="L798" s="1">
        <v>2</v>
      </c>
      <c r="S798" s="1" t="s">
        <v>9551</v>
      </c>
      <c r="T798">
        <v>1</v>
      </c>
      <c r="U798" s="19"/>
      <c r="V798" s="19"/>
      <c r="W798" s="218">
        <v>1</v>
      </c>
      <c r="X798" s="218">
        <v>1</v>
      </c>
      <c r="Y798" s="218">
        <v>1</v>
      </c>
    </row>
    <row r="799" spans="1:25" x14ac:dyDescent="0.3">
      <c r="A799" s="1" t="s">
        <v>2157</v>
      </c>
      <c r="B799" s="5">
        <v>46173</v>
      </c>
      <c r="C799" s="6">
        <v>0.45833333333333298</v>
      </c>
      <c r="D799" s="1" t="s">
        <v>12</v>
      </c>
      <c r="E799" s="1" t="s">
        <v>13</v>
      </c>
      <c r="F799" s="1" t="s">
        <v>2158</v>
      </c>
      <c r="G799" s="39" t="s">
        <v>1695</v>
      </c>
      <c r="H799" s="1">
        <v>3</v>
      </c>
      <c r="I799" s="1">
        <v>1</v>
      </c>
      <c r="J799" s="39" t="s">
        <v>143</v>
      </c>
      <c r="K799" s="1">
        <v>1</v>
      </c>
      <c r="L799" s="1">
        <v>3</v>
      </c>
      <c r="S799" s="1" t="s">
        <v>9552</v>
      </c>
      <c r="T799" s="1">
        <v>1</v>
      </c>
      <c r="U799" s="19"/>
      <c r="V799" s="19"/>
      <c r="W799" s="218">
        <v>1</v>
      </c>
      <c r="X799" s="218">
        <v>1</v>
      </c>
      <c r="Y799" s="218">
        <v>1</v>
      </c>
    </row>
    <row r="800" spans="1:25" ht="14.4" x14ac:dyDescent="0.3">
      <c r="A800" s="1" t="s">
        <v>2159</v>
      </c>
      <c r="B800" s="5">
        <v>46158</v>
      </c>
      <c r="C800" s="6">
        <v>0.77083333333333304</v>
      </c>
      <c r="D800" s="1" t="s">
        <v>12</v>
      </c>
      <c r="E800" s="1" t="s">
        <v>13</v>
      </c>
      <c r="F800" s="1" t="s">
        <v>2160</v>
      </c>
      <c r="G800" s="39" t="s">
        <v>143</v>
      </c>
      <c r="H800" s="1">
        <v>4</v>
      </c>
      <c r="I800" s="1">
        <v>1</v>
      </c>
      <c r="J800" s="39" t="s">
        <v>227</v>
      </c>
      <c r="K800" s="1">
        <v>1</v>
      </c>
      <c r="L800" s="1">
        <v>4</v>
      </c>
      <c r="S800" s="1" t="s">
        <v>9553</v>
      </c>
      <c r="T800">
        <v>1</v>
      </c>
      <c r="U800" s="19"/>
      <c r="V800" s="19"/>
      <c r="W800" s="218">
        <v>1</v>
      </c>
      <c r="X800" s="218">
        <v>1</v>
      </c>
      <c r="Y800" s="218">
        <v>1</v>
      </c>
    </row>
    <row r="801" spans="1:25" x14ac:dyDescent="0.3">
      <c r="A801" s="1" t="s">
        <v>2161</v>
      </c>
      <c r="B801" s="5">
        <v>46228</v>
      </c>
      <c r="C801" s="6">
        <v>0.85416666666666696</v>
      </c>
      <c r="D801" s="1" t="s">
        <v>12</v>
      </c>
      <c r="E801" s="1" t="s">
        <v>13</v>
      </c>
      <c r="F801" s="1" t="s">
        <v>2162</v>
      </c>
      <c r="G801" s="39" t="s">
        <v>227</v>
      </c>
      <c r="H801" s="1">
        <v>1</v>
      </c>
      <c r="I801" s="1">
        <v>1</v>
      </c>
      <c r="J801" s="39" t="s">
        <v>135</v>
      </c>
      <c r="K801" s="1">
        <v>1</v>
      </c>
      <c r="L801" s="1">
        <v>1</v>
      </c>
      <c r="S801" s="1" t="s">
        <v>9554</v>
      </c>
      <c r="T801" s="1">
        <v>1</v>
      </c>
      <c r="U801" s="19"/>
      <c r="V801" s="19"/>
      <c r="W801" s="218">
        <v>1</v>
      </c>
      <c r="X801" s="218">
        <v>1</v>
      </c>
      <c r="Y801" s="218">
        <v>1</v>
      </c>
    </row>
    <row r="802" spans="1:25" x14ac:dyDescent="0.3">
      <c r="A802" s="1" t="s">
        <v>2163</v>
      </c>
      <c r="B802" s="5">
        <v>46131</v>
      </c>
      <c r="C802" s="6">
        <v>0.45833333333333298</v>
      </c>
      <c r="D802" s="1" t="s">
        <v>12</v>
      </c>
      <c r="E802" s="1" t="s">
        <v>13</v>
      </c>
      <c r="F802" s="1" t="s">
        <v>2164</v>
      </c>
      <c r="G802" s="39" t="s">
        <v>143</v>
      </c>
      <c r="H802" s="1">
        <v>1</v>
      </c>
      <c r="I802" s="1">
        <v>2</v>
      </c>
      <c r="J802" s="39" t="s">
        <v>135</v>
      </c>
      <c r="K802" s="1">
        <v>2</v>
      </c>
      <c r="L802" s="1">
        <v>1</v>
      </c>
      <c r="S802" s="1" t="s">
        <v>9555</v>
      </c>
      <c r="T802" s="1">
        <v>1</v>
      </c>
      <c r="U802" s="19"/>
      <c r="V802" s="19"/>
      <c r="W802" s="218">
        <v>1</v>
      </c>
      <c r="X802" s="218">
        <v>1</v>
      </c>
      <c r="Y802" s="218">
        <v>1</v>
      </c>
    </row>
    <row r="803" spans="1:25" x14ac:dyDescent="0.3">
      <c r="A803" s="1" t="s">
        <v>2165</v>
      </c>
      <c r="B803" s="5">
        <v>46123</v>
      </c>
      <c r="C803" s="6">
        <v>0.77083333333333304</v>
      </c>
      <c r="D803" s="1" t="s">
        <v>12</v>
      </c>
      <c r="E803" s="1" t="s">
        <v>13</v>
      </c>
      <c r="F803" s="1" t="s">
        <v>2166</v>
      </c>
      <c r="G803" s="39" t="s">
        <v>135</v>
      </c>
      <c r="H803" s="1">
        <v>1</v>
      </c>
      <c r="I803" s="1">
        <v>2</v>
      </c>
      <c r="J803" s="39" t="s">
        <v>161</v>
      </c>
      <c r="K803" s="1">
        <v>2</v>
      </c>
      <c r="L803" s="1">
        <v>1</v>
      </c>
      <c r="S803" s="1" t="s">
        <v>9556</v>
      </c>
      <c r="T803" s="1">
        <v>1</v>
      </c>
      <c r="U803" s="19"/>
      <c r="V803" s="19"/>
      <c r="W803" s="218">
        <v>1</v>
      </c>
      <c r="X803" s="218">
        <v>1</v>
      </c>
      <c r="Y803" s="218">
        <v>1</v>
      </c>
    </row>
    <row r="804" spans="1:25" ht="14.4" x14ac:dyDescent="0.3">
      <c r="A804" s="1" t="s">
        <v>2167</v>
      </c>
      <c r="B804" s="5">
        <v>46117</v>
      </c>
      <c r="C804" s="6">
        <v>0.83333333333333304</v>
      </c>
      <c r="D804" s="1" t="s">
        <v>12</v>
      </c>
      <c r="E804" s="1" t="s">
        <v>13</v>
      </c>
      <c r="F804" s="1" t="s">
        <v>2168</v>
      </c>
      <c r="G804" s="39" t="s">
        <v>135</v>
      </c>
      <c r="H804" s="1">
        <v>0</v>
      </c>
      <c r="I804" s="1">
        <v>1</v>
      </c>
      <c r="J804" s="39" t="s">
        <v>1695</v>
      </c>
      <c r="K804" s="1">
        <v>1</v>
      </c>
      <c r="L804" s="1">
        <v>0</v>
      </c>
      <c r="S804" s="1" t="s">
        <v>9557</v>
      </c>
      <c r="T804">
        <v>1</v>
      </c>
      <c r="U804" s="19"/>
      <c r="V804" s="19"/>
      <c r="W804" s="218">
        <v>1</v>
      </c>
      <c r="X804" s="218">
        <v>1</v>
      </c>
      <c r="Y804" s="218">
        <v>1</v>
      </c>
    </row>
    <row r="805" spans="1:25" x14ac:dyDescent="0.3">
      <c r="A805" s="1" t="s">
        <v>2169</v>
      </c>
      <c r="B805" s="5">
        <v>46166</v>
      </c>
      <c r="C805" s="6">
        <v>0.85416666666666696</v>
      </c>
      <c r="D805" s="1" t="s">
        <v>12</v>
      </c>
      <c r="E805" s="1" t="s">
        <v>13</v>
      </c>
      <c r="F805" s="1" t="s">
        <v>2170</v>
      </c>
      <c r="G805" s="39" t="s">
        <v>227</v>
      </c>
      <c r="H805" s="1">
        <v>0</v>
      </c>
      <c r="I805" s="1">
        <v>3</v>
      </c>
      <c r="J805" s="39" t="s">
        <v>1695</v>
      </c>
      <c r="K805" s="1">
        <v>3</v>
      </c>
      <c r="L805" s="1">
        <v>0</v>
      </c>
      <c r="S805" s="1" t="s">
        <v>9558</v>
      </c>
      <c r="T805" s="1">
        <v>1</v>
      </c>
      <c r="U805" s="19"/>
      <c r="V805" s="19"/>
      <c r="W805" s="218">
        <v>1</v>
      </c>
      <c r="X805" s="218">
        <v>1</v>
      </c>
      <c r="Y805" s="218">
        <v>1</v>
      </c>
    </row>
    <row r="806" spans="1:25" x14ac:dyDescent="0.3">
      <c r="A806" s="1" t="s">
        <v>2171</v>
      </c>
      <c r="B806" s="5">
        <v>46159</v>
      </c>
      <c r="C806" s="6">
        <v>0.77083333333333304</v>
      </c>
      <c r="D806" s="1" t="s">
        <v>12</v>
      </c>
      <c r="E806" s="1" t="s">
        <v>13</v>
      </c>
      <c r="F806" s="1" t="s">
        <v>2172</v>
      </c>
      <c r="G806" s="39" t="s">
        <v>1695</v>
      </c>
      <c r="H806" s="1">
        <v>2</v>
      </c>
      <c r="I806" s="1">
        <v>0</v>
      </c>
      <c r="J806" s="39" t="s">
        <v>150</v>
      </c>
      <c r="K806" s="1">
        <v>0</v>
      </c>
      <c r="L806" s="1">
        <v>2</v>
      </c>
      <c r="S806" s="1" t="s">
        <v>9559</v>
      </c>
      <c r="T806" s="1">
        <v>1</v>
      </c>
      <c r="U806" s="19"/>
      <c r="V806" s="19"/>
      <c r="W806" s="218">
        <v>1</v>
      </c>
      <c r="X806" s="218">
        <v>1</v>
      </c>
      <c r="Y806" s="218">
        <v>1</v>
      </c>
    </row>
    <row r="807" spans="1:25" ht="14.4" x14ac:dyDescent="0.3">
      <c r="A807" s="1" t="s">
        <v>2173</v>
      </c>
      <c r="B807" s="5">
        <v>46114</v>
      </c>
      <c r="C807" s="6">
        <v>0.89583333333333304</v>
      </c>
      <c r="D807" s="1" t="s">
        <v>12</v>
      </c>
      <c r="E807" s="1" t="s">
        <v>13</v>
      </c>
      <c r="F807" s="1" t="s">
        <v>2174</v>
      </c>
      <c r="G807" s="39" t="s">
        <v>1695</v>
      </c>
      <c r="H807" s="1">
        <v>3</v>
      </c>
      <c r="I807" s="1">
        <v>0</v>
      </c>
      <c r="J807" s="39" t="s">
        <v>144</v>
      </c>
      <c r="K807" s="1">
        <v>0</v>
      </c>
      <c r="L807" s="1">
        <v>3</v>
      </c>
      <c r="S807" s="1" t="s">
        <v>9560</v>
      </c>
      <c r="T807">
        <v>1</v>
      </c>
      <c r="U807" s="19"/>
      <c r="V807" s="19"/>
      <c r="W807" s="218">
        <v>1</v>
      </c>
      <c r="X807" s="218">
        <v>0</v>
      </c>
      <c r="Y807" s="218">
        <v>1</v>
      </c>
    </row>
    <row r="808" spans="1:25" ht="14.4" x14ac:dyDescent="0.3">
      <c r="A808" s="1" t="s">
        <v>2175</v>
      </c>
      <c r="B808" s="5">
        <v>46113</v>
      </c>
      <c r="C808" s="6">
        <v>0.85416666666666696</v>
      </c>
      <c r="D808" s="1" t="s">
        <v>12</v>
      </c>
      <c r="E808" s="1" t="s">
        <v>13</v>
      </c>
      <c r="F808" s="1" t="s">
        <v>2176</v>
      </c>
      <c r="G808" s="39" t="s">
        <v>177</v>
      </c>
      <c r="H808" s="1">
        <v>1</v>
      </c>
      <c r="I808" s="1">
        <v>1</v>
      </c>
      <c r="J808" s="39" t="s">
        <v>227</v>
      </c>
      <c r="K808" s="1">
        <v>1</v>
      </c>
      <c r="L808" s="1">
        <v>1</v>
      </c>
      <c r="S808" s="1" t="s">
        <v>9561</v>
      </c>
      <c r="T808">
        <v>1</v>
      </c>
      <c r="U808" s="19"/>
      <c r="V808" s="19"/>
      <c r="W808" s="218">
        <v>0</v>
      </c>
      <c r="X808" s="218">
        <v>1</v>
      </c>
      <c r="Y808" s="218">
        <v>1</v>
      </c>
    </row>
    <row r="809" spans="1:25" x14ac:dyDescent="0.3">
      <c r="A809" s="1" t="s">
        <v>2185</v>
      </c>
      <c r="B809" s="5">
        <v>46242</v>
      </c>
      <c r="C809" s="6">
        <v>0.16666666666666699</v>
      </c>
      <c r="D809" s="1" t="s">
        <v>7</v>
      </c>
      <c r="E809" s="1" t="s">
        <v>2229</v>
      </c>
      <c r="F809" s="1" t="s">
        <v>2186</v>
      </c>
      <c r="G809" s="39" t="s">
        <v>2177</v>
      </c>
      <c r="H809" s="1">
        <v>3</v>
      </c>
      <c r="I809" s="1">
        <v>1</v>
      </c>
      <c r="J809" s="39" t="s">
        <v>268</v>
      </c>
      <c r="K809" s="1">
        <v>1</v>
      </c>
      <c r="L809" s="1">
        <v>3</v>
      </c>
      <c r="S809" s="1" t="s">
        <v>9562</v>
      </c>
      <c r="T809" s="1">
        <v>1</v>
      </c>
      <c r="U809" s="19"/>
      <c r="V809" s="19"/>
      <c r="W809" s="218">
        <v>1</v>
      </c>
      <c r="X809" s="218">
        <v>1</v>
      </c>
      <c r="Y809" s="218">
        <v>1</v>
      </c>
    </row>
    <row r="810" spans="1:25" x14ac:dyDescent="0.3">
      <c r="A810" s="1" t="s">
        <v>2187</v>
      </c>
      <c r="B810" s="5">
        <v>46228</v>
      </c>
      <c r="C810" s="6">
        <v>0.16666666666666699</v>
      </c>
      <c r="D810" s="1" t="s">
        <v>7</v>
      </c>
      <c r="E810" s="1" t="s">
        <v>2229</v>
      </c>
      <c r="F810" s="1" t="s">
        <v>2188</v>
      </c>
      <c r="G810" s="39" t="s">
        <v>2178</v>
      </c>
      <c r="H810" s="1">
        <v>2</v>
      </c>
      <c r="I810" s="1">
        <v>1</v>
      </c>
      <c r="J810" s="39" t="s">
        <v>268</v>
      </c>
      <c r="K810" s="1">
        <v>1</v>
      </c>
      <c r="L810" s="1">
        <v>2</v>
      </c>
      <c r="S810" s="1" t="s">
        <v>9563</v>
      </c>
      <c r="T810" s="1">
        <v>1</v>
      </c>
      <c r="U810" s="19"/>
      <c r="V810" s="19"/>
      <c r="W810" s="218">
        <v>1</v>
      </c>
      <c r="X810" s="218">
        <v>1</v>
      </c>
      <c r="Y810" s="218">
        <v>1</v>
      </c>
    </row>
    <row r="811" spans="1:25" x14ac:dyDescent="0.3">
      <c r="A811" s="1" t="s">
        <v>2189</v>
      </c>
      <c r="B811" s="5">
        <v>46222</v>
      </c>
      <c r="C811" s="6">
        <v>0.91666666666666696</v>
      </c>
      <c r="D811" s="1" t="s">
        <v>7</v>
      </c>
      <c r="E811" s="1" t="s">
        <v>2229</v>
      </c>
      <c r="F811" s="1" t="s">
        <v>2190</v>
      </c>
      <c r="G811" s="39" t="s">
        <v>268</v>
      </c>
      <c r="H811" s="1">
        <v>0</v>
      </c>
      <c r="I811" s="1">
        <v>1</v>
      </c>
      <c r="J811" s="39" t="s">
        <v>2179</v>
      </c>
      <c r="K811" s="1">
        <v>1</v>
      </c>
      <c r="L811" s="1">
        <v>0</v>
      </c>
      <c r="S811" s="1" t="s">
        <v>9564</v>
      </c>
      <c r="T811" s="1">
        <v>1</v>
      </c>
      <c r="U811" s="19"/>
      <c r="V811" s="19"/>
      <c r="W811" s="218">
        <v>1</v>
      </c>
      <c r="X811" s="218">
        <v>1</v>
      </c>
      <c r="Y811" s="218">
        <v>1</v>
      </c>
    </row>
    <row r="812" spans="1:25" x14ac:dyDescent="0.3">
      <c r="A812" s="1" t="s">
        <v>2191</v>
      </c>
      <c r="B812" s="5">
        <v>46215</v>
      </c>
      <c r="C812" s="6">
        <v>8.3333333333333301E-2</v>
      </c>
      <c r="D812" s="1" t="s">
        <v>7</v>
      </c>
      <c r="E812" s="1" t="s">
        <v>2229</v>
      </c>
      <c r="F812" s="1" t="s">
        <v>2192</v>
      </c>
      <c r="G812" s="39" t="s">
        <v>268</v>
      </c>
      <c r="H812" s="1">
        <v>3</v>
      </c>
      <c r="I812" s="1">
        <v>0</v>
      </c>
      <c r="J812" s="39" t="s">
        <v>2180</v>
      </c>
      <c r="K812" s="1">
        <v>0</v>
      </c>
      <c r="L812" s="1">
        <v>3</v>
      </c>
      <c r="S812" s="1" t="s">
        <v>9565</v>
      </c>
      <c r="T812" s="1">
        <v>1</v>
      </c>
      <c r="U812" s="19"/>
      <c r="V812" s="19"/>
      <c r="W812" s="218">
        <v>1</v>
      </c>
      <c r="X812" s="218">
        <v>1</v>
      </c>
      <c r="Y812" s="218">
        <v>1</v>
      </c>
    </row>
    <row r="813" spans="1:25" x14ac:dyDescent="0.3">
      <c r="A813" s="1" t="s">
        <v>2193</v>
      </c>
      <c r="B813" s="5">
        <v>46208</v>
      </c>
      <c r="C813" s="6">
        <v>8.3333333333333301E-2</v>
      </c>
      <c r="D813" s="1" t="s">
        <v>7</v>
      </c>
      <c r="E813" s="1" t="s">
        <v>2229</v>
      </c>
      <c r="F813" s="1" t="s">
        <v>2194</v>
      </c>
      <c r="G813" s="39" t="s">
        <v>268</v>
      </c>
      <c r="H813" s="1">
        <v>2</v>
      </c>
      <c r="I813" s="1">
        <v>0</v>
      </c>
      <c r="J813" s="39" t="s">
        <v>2181</v>
      </c>
      <c r="K813" s="1">
        <v>0</v>
      </c>
      <c r="L813" s="1">
        <v>2</v>
      </c>
      <c r="S813" s="1" t="s">
        <v>9566</v>
      </c>
      <c r="T813" s="1">
        <v>1</v>
      </c>
      <c r="U813" s="19"/>
      <c r="V813" s="19"/>
      <c r="W813" s="218">
        <v>1</v>
      </c>
      <c r="X813" s="218">
        <v>1</v>
      </c>
      <c r="Y813" s="218">
        <v>1</v>
      </c>
    </row>
    <row r="814" spans="1:25" x14ac:dyDescent="0.3">
      <c r="A814" s="1" t="s">
        <v>2195</v>
      </c>
      <c r="B814" s="5">
        <v>46201</v>
      </c>
      <c r="C814" s="6">
        <v>8.3333333333333301E-2</v>
      </c>
      <c r="D814" s="1" t="s">
        <v>7</v>
      </c>
      <c r="E814" s="1" t="s">
        <v>2229</v>
      </c>
      <c r="F814" s="1" t="s">
        <v>2196</v>
      </c>
      <c r="G814" s="39" t="s">
        <v>268</v>
      </c>
      <c r="H814" s="1">
        <v>2</v>
      </c>
      <c r="I814" s="1">
        <v>0</v>
      </c>
      <c r="J814" s="39" t="s">
        <v>248</v>
      </c>
      <c r="K814" s="1">
        <v>0</v>
      </c>
      <c r="L814" s="1">
        <v>2</v>
      </c>
      <c r="S814" s="1" t="s">
        <v>9567</v>
      </c>
      <c r="T814" s="1">
        <v>1</v>
      </c>
      <c r="U814" s="19"/>
      <c r="V814" s="19"/>
      <c r="W814" s="218">
        <v>1</v>
      </c>
      <c r="X814" s="218">
        <v>1</v>
      </c>
      <c r="Y814" s="218">
        <v>1</v>
      </c>
    </row>
    <row r="815" spans="1:25" x14ac:dyDescent="0.3">
      <c r="A815" s="1" t="s">
        <v>2197</v>
      </c>
      <c r="B815" s="5">
        <v>46194</v>
      </c>
      <c r="C815" s="6">
        <v>8.3333333333333301E-2</v>
      </c>
      <c r="D815" s="1" t="s">
        <v>7</v>
      </c>
      <c r="E815" s="1" t="s">
        <v>2229</v>
      </c>
      <c r="F815" s="1" t="s">
        <v>2198</v>
      </c>
      <c r="G815" s="39" t="s">
        <v>268</v>
      </c>
      <c r="H815" s="1">
        <v>1</v>
      </c>
      <c r="I815" s="1">
        <v>0</v>
      </c>
      <c r="J815" s="39" t="s">
        <v>2182</v>
      </c>
      <c r="K815" s="1">
        <v>0</v>
      </c>
      <c r="L815" s="1">
        <v>1</v>
      </c>
      <c r="S815" s="1" t="s">
        <v>9568</v>
      </c>
      <c r="T815" s="1">
        <v>1</v>
      </c>
      <c r="U815" s="19"/>
      <c r="V815" s="19"/>
      <c r="W815" s="218">
        <v>1</v>
      </c>
      <c r="X815" s="218">
        <v>1</v>
      </c>
      <c r="Y815" s="218">
        <v>1</v>
      </c>
    </row>
    <row r="816" spans="1:25" x14ac:dyDescent="0.3">
      <c r="A816" s="1" t="s">
        <v>2199</v>
      </c>
      <c r="B816" s="5">
        <v>46185</v>
      </c>
      <c r="C816" s="6">
        <v>0.29166666666666702</v>
      </c>
      <c r="D816" s="1" t="s">
        <v>7</v>
      </c>
      <c r="E816" s="1" t="s">
        <v>2229</v>
      </c>
      <c r="F816" s="1" t="s">
        <v>2200</v>
      </c>
      <c r="G816" s="39" t="s">
        <v>268</v>
      </c>
      <c r="H816" s="1">
        <v>0</v>
      </c>
      <c r="I816" s="1">
        <v>0</v>
      </c>
      <c r="J816" s="39" t="s">
        <v>249</v>
      </c>
      <c r="K816" s="1">
        <v>0</v>
      </c>
      <c r="L816" s="1">
        <v>0</v>
      </c>
      <c r="S816" s="1" t="s">
        <v>9569</v>
      </c>
      <c r="T816" s="1">
        <v>1</v>
      </c>
      <c r="U816" s="19"/>
      <c r="V816" s="19"/>
      <c r="W816" s="218">
        <v>1</v>
      </c>
      <c r="X816" s="218">
        <v>1</v>
      </c>
      <c r="Y816" s="218">
        <v>1</v>
      </c>
    </row>
    <row r="817" spans="1:25" x14ac:dyDescent="0.3">
      <c r="A817" s="1" t="s">
        <v>2201</v>
      </c>
      <c r="B817" s="5">
        <v>46180</v>
      </c>
      <c r="C817" s="6">
        <v>8.3333333333333301E-2</v>
      </c>
      <c r="D817" s="1" t="s">
        <v>7</v>
      </c>
      <c r="E817" s="1" t="s">
        <v>2229</v>
      </c>
      <c r="F817" s="1" t="s">
        <v>2202</v>
      </c>
      <c r="G817" s="39" t="s">
        <v>268</v>
      </c>
      <c r="H817" s="1">
        <v>1</v>
      </c>
      <c r="I817" s="1">
        <v>0</v>
      </c>
      <c r="J817" s="39" t="s">
        <v>2183</v>
      </c>
      <c r="K817" s="1">
        <v>0</v>
      </c>
      <c r="L817" s="1">
        <v>1</v>
      </c>
      <c r="S817" s="1" t="s">
        <v>9570</v>
      </c>
      <c r="T817" s="1">
        <v>1</v>
      </c>
      <c r="U817" s="19"/>
      <c r="V817" s="19"/>
      <c r="W817" s="218">
        <v>1</v>
      </c>
      <c r="X817" s="218">
        <v>1</v>
      </c>
      <c r="Y817" s="218">
        <v>1</v>
      </c>
    </row>
    <row r="818" spans="1:25" x14ac:dyDescent="0.3">
      <c r="A818" s="1" t="s">
        <v>2203</v>
      </c>
      <c r="B818" s="5">
        <v>46172</v>
      </c>
      <c r="C818" s="6">
        <v>0.25</v>
      </c>
      <c r="D818" s="1" t="s">
        <v>7</v>
      </c>
      <c r="E818" s="1" t="s">
        <v>2229</v>
      </c>
      <c r="F818" s="1" t="s">
        <v>2204</v>
      </c>
      <c r="G818" s="39" t="s">
        <v>268</v>
      </c>
      <c r="H818" s="1">
        <v>1</v>
      </c>
      <c r="I818" s="1">
        <v>1</v>
      </c>
      <c r="J818" s="39" t="s">
        <v>2184</v>
      </c>
      <c r="K818" s="1">
        <v>1</v>
      </c>
      <c r="L818" s="1">
        <v>1</v>
      </c>
      <c r="S818" s="1" t="s">
        <v>9571</v>
      </c>
      <c r="T818" s="1">
        <v>1</v>
      </c>
      <c r="U818" s="19"/>
      <c r="V818" s="19"/>
      <c r="W818" s="218">
        <v>1</v>
      </c>
      <c r="X818" s="218">
        <v>1</v>
      </c>
      <c r="Y818" s="218">
        <v>1</v>
      </c>
    </row>
    <row r="819" spans="1:25" ht="14.4" x14ac:dyDescent="0.3">
      <c r="A819" s="1" t="s">
        <v>2205</v>
      </c>
      <c r="B819" s="5">
        <v>46166</v>
      </c>
      <c r="C819" s="6">
        <v>8.3333333333333301E-2</v>
      </c>
      <c r="D819" s="1" t="s">
        <v>7</v>
      </c>
      <c r="E819" s="1" t="s">
        <v>2229</v>
      </c>
      <c r="F819" s="1" t="s">
        <v>2206</v>
      </c>
      <c r="G819" s="39" t="s">
        <v>265</v>
      </c>
      <c r="H819" s="1">
        <v>1</v>
      </c>
      <c r="I819" s="1">
        <v>1</v>
      </c>
      <c r="J819" s="39" t="s">
        <v>268</v>
      </c>
      <c r="K819" s="1">
        <v>1</v>
      </c>
      <c r="L819" s="1">
        <v>1</v>
      </c>
      <c r="S819" s="1" t="s">
        <v>9572</v>
      </c>
      <c r="T819">
        <v>1</v>
      </c>
      <c r="U819" s="19"/>
      <c r="V819" s="19"/>
      <c r="W819" s="218">
        <v>1</v>
      </c>
      <c r="X819" s="218">
        <v>1</v>
      </c>
      <c r="Y819" s="218">
        <v>1</v>
      </c>
    </row>
    <row r="820" spans="1:25" x14ac:dyDescent="0.3">
      <c r="A820" s="1" t="s">
        <v>2209</v>
      </c>
      <c r="B820" s="5">
        <v>46242</v>
      </c>
      <c r="C820" s="6">
        <v>0.22916666666666699</v>
      </c>
      <c r="D820" s="1" t="s">
        <v>7</v>
      </c>
      <c r="E820" s="1" t="s">
        <v>2229</v>
      </c>
      <c r="F820" s="1" t="s">
        <v>2210</v>
      </c>
      <c r="G820" s="39" t="s">
        <v>2181</v>
      </c>
      <c r="H820" s="1">
        <v>0</v>
      </c>
      <c r="I820" s="1">
        <v>0</v>
      </c>
      <c r="J820" s="39" t="s">
        <v>265</v>
      </c>
      <c r="K820" s="1">
        <v>0</v>
      </c>
      <c r="L820" s="1">
        <v>0</v>
      </c>
      <c r="S820" s="1" t="s">
        <v>9573</v>
      </c>
      <c r="T820" s="1">
        <v>1</v>
      </c>
      <c r="U820" s="19"/>
      <c r="V820" s="19"/>
      <c r="W820" s="218">
        <v>1</v>
      </c>
      <c r="X820" s="218">
        <v>1</v>
      </c>
      <c r="Y820" s="218">
        <v>1</v>
      </c>
    </row>
    <row r="821" spans="1:25" x14ac:dyDescent="0.3">
      <c r="A821" s="1" t="s">
        <v>2211</v>
      </c>
      <c r="B821" s="5">
        <v>46228</v>
      </c>
      <c r="C821" s="6">
        <v>0.20833333333333301</v>
      </c>
      <c r="D821" s="1" t="s">
        <v>7</v>
      </c>
      <c r="E821" s="1" t="s">
        <v>2229</v>
      </c>
      <c r="F821" s="1" t="s">
        <v>2212</v>
      </c>
      <c r="G821" s="39" t="s">
        <v>265</v>
      </c>
      <c r="H821" s="1">
        <v>4</v>
      </c>
      <c r="I821" s="1">
        <v>1</v>
      </c>
      <c r="J821" s="39" t="s">
        <v>2182</v>
      </c>
      <c r="K821" s="1">
        <v>1</v>
      </c>
      <c r="L821" s="1">
        <v>4</v>
      </c>
      <c r="S821" s="1" t="s">
        <v>9574</v>
      </c>
      <c r="T821" s="1">
        <v>1</v>
      </c>
      <c r="U821" s="19"/>
      <c r="V821" s="19"/>
      <c r="W821" s="218">
        <v>1</v>
      </c>
      <c r="X821" s="218">
        <v>1</v>
      </c>
      <c r="Y821" s="218">
        <v>1</v>
      </c>
    </row>
    <row r="822" spans="1:25" x14ac:dyDescent="0.3">
      <c r="A822" s="1" t="s">
        <v>2213</v>
      </c>
      <c r="B822" s="5">
        <v>46221</v>
      </c>
      <c r="C822" s="6">
        <v>8.3333333333333301E-2</v>
      </c>
      <c r="D822" s="1" t="s">
        <v>7</v>
      </c>
      <c r="E822" s="1" t="s">
        <v>2229</v>
      </c>
      <c r="F822" s="1" t="s">
        <v>2214</v>
      </c>
      <c r="G822" s="39" t="s">
        <v>2180</v>
      </c>
      <c r="H822" s="1">
        <v>3</v>
      </c>
      <c r="I822" s="1">
        <v>5</v>
      </c>
      <c r="J822" s="39" t="s">
        <v>265</v>
      </c>
      <c r="K822" s="1">
        <v>5</v>
      </c>
      <c r="L822" s="1">
        <v>3</v>
      </c>
      <c r="S822" s="1" t="s">
        <v>9575</v>
      </c>
      <c r="T822" s="1">
        <v>1</v>
      </c>
      <c r="U822" s="19"/>
      <c r="V822" s="19"/>
      <c r="W822" s="218">
        <v>1</v>
      </c>
      <c r="X822" s="218">
        <v>1</v>
      </c>
      <c r="Y822" s="218">
        <v>1</v>
      </c>
    </row>
    <row r="823" spans="1:25" x14ac:dyDescent="0.3">
      <c r="A823" s="1" t="s">
        <v>2215</v>
      </c>
      <c r="B823" s="5">
        <v>46214</v>
      </c>
      <c r="C823" s="6">
        <v>0.1875</v>
      </c>
      <c r="D823" s="1" t="s">
        <v>7</v>
      </c>
      <c r="E823" s="1" t="s">
        <v>2229</v>
      </c>
      <c r="F823" s="1" t="s">
        <v>2216</v>
      </c>
      <c r="G823" s="39" t="s">
        <v>265</v>
      </c>
      <c r="H823" s="1">
        <v>2</v>
      </c>
      <c r="I823" s="1">
        <v>1</v>
      </c>
      <c r="J823" s="39" t="s">
        <v>249</v>
      </c>
      <c r="K823" s="1">
        <v>1</v>
      </c>
      <c r="L823" s="1">
        <v>2</v>
      </c>
      <c r="S823" s="1" t="s">
        <v>9576</v>
      </c>
      <c r="T823" s="1">
        <v>1</v>
      </c>
      <c r="U823" s="19"/>
      <c r="V823" s="19"/>
      <c r="W823" s="218">
        <v>1</v>
      </c>
      <c r="X823" s="218">
        <v>1</v>
      </c>
      <c r="Y823" s="218">
        <v>1</v>
      </c>
    </row>
    <row r="824" spans="1:25" x14ac:dyDescent="0.3">
      <c r="A824" s="1" t="s">
        <v>2217</v>
      </c>
      <c r="B824" s="5">
        <v>46207</v>
      </c>
      <c r="C824" s="6">
        <v>0.1875</v>
      </c>
      <c r="D824" s="1" t="s">
        <v>7</v>
      </c>
      <c r="E824" s="1" t="s">
        <v>2229</v>
      </c>
      <c r="F824" s="1" t="s">
        <v>2218</v>
      </c>
      <c r="G824" s="39" t="s">
        <v>2207</v>
      </c>
      <c r="H824" s="1">
        <v>3</v>
      </c>
      <c r="I824" s="1">
        <v>2</v>
      </c>
      <c r="J824" s="39" t="s">
        <v>265</v>
      </c>
      <c r="K824" s="1">
        <v>2</v>
      </c>
      <c r="L824" s="1">
        <v>3</v>
      </c>
      <c r="S824" s="1" t="s">
        <v>9577</v>
      </c>
      <c r="T824" s="1">
        <v>1</v>
      </c>
      <c r="U824" s="19"/>
      <c r="V824" s="19"/>
      <c r="W824" s="218">
        <v>1</v>
      </c>
      <c r="X824" s="218">
        <v>1</v>
      </c>
      <c r="Y824" s="218">
        <v>1</v>
      </c>
    </row>
    <row r="825" spans="1:25" x14ac:dyDescent="0.3">
      <c r="A825" s="1" t="s">
        <v>2219</v>
      </c>
      <c r="B825" s="5">
        <v>46201</v>
      </c>
      <c r="C825" s="6">
        <v>8.3333333333333301E-2</v>
      </c>
      <c r="D825" s="1" t="s">
        <v>7</v>
      </c>
      <c r="E825" s="1" t="s">
        <v>2229</v>
      </c>
      <c r="F825" s="1" t="s">
        <v>2220</v>
      </c>
      <c r="G825" s="39" t="s">
        <v>265</v>
      </c>
      <c r="H825" s="1">
        <v>0</v>
      </c>
      <c r="I825" s="1">
        <v>2</v>
      </c>
      <c r="J825" s="39" t="s">
        <v>2184</v>
      </c>
      <c r="K825" s="1">
        <v>2</v>
      </c>
      <c r="L825" s="1">
        <v>0</v>
      </c>
      <c r="S825" s="1" t="s">
        <v>9578</v>
      </c>
      <c r="T825" s="1">
        <v>1</v>
      </c>
      <c r="U825" s="19"/>
      <c r="V825" s="19"/>
      <c r="W825" s="218">
        <v>1</v>
      </c>
      <c r="X825" s="218">
        <v>1</v>
      </c>
      <c r="Y825" s="218">
        <v>1</v>
      </c>
    </row>
    <row r="826" spans="1:25" x14ac:dyDescent="0.3">
      <c r="A826" s="1" t="s">
        <v>2221</v>
      </c>
      <c r="B826" s="5">
        <v>46194</v>
      </c>
      <c r="C826" s="6">
        <v>8.3333333333333301E-2</v>
      </c>
      <c r="D826" s="1" t="s">
        <v>7</v>
      </c>
      <c r="E826" s="1" t="s">
        <v>2229</v>
      </c>
      <c r="F826" s="1" t="s">
        <v>2222</v>
      </c>
      <c r="G826" s="39" t="s">
        <v>248</v>
      </c>
      <c r="H826" s="1">
        <v>1</v>
      </c>
      <c r="I826" s="1">
        <v>3</v>
      </c>
      <c r="J826" s="39" t="s">
        <v>265</v>
      </c>
      <c r="K826" s="1">
        <v>3</v>
      </c>
      <c r="L826" s="1">
        <v>1</v>
      </c>
      <c r="S826" s="1" t="s">
        <v>9579</v>
      </c>
      <c r="T826" s="1">
        <v>1</v>
      </c>
      <c r="U826" s="19"/>
      <c r="V826" s="19"/>
      <c r="W826" s="218">
        <v>1</v>
      </c>
      <c r="X826" s="218">
        <v>1</v>
      </c>
      <c r="Y826" s="218">
        <v>1</v>
      </c>
    </row>
    <row r="827" spans="1:25" x14ac:dyDescent="0.3">
      <c r="A827" s="1" t="s">
        <v>2223</v>
      </c>
      <c r="B827" s="5">
        <v>46186</v>
      </c>
      <c r="C827" s="6">
        <v>0.20833333333333301</v>
      </c>
      <c r="D827" s="1" t="s">
        <v>7</v>
      </c>
      <c r="E827" s="1" t="s">
        <v>2229</v>
      </c>
      <c r="F827" s="1" t="s">
        <v>2224</v>
      </c>
      <c r="G827" s="39" t="s">
        <v>2183</v>
      </c>
      <c r="H827" s="1">
        <v>0</v>
      </c>
      <c r="I827" s="1">
        <v>2</v>
      </c>
      <c r="J827" s="39" t="s">
        <v>265</v>
      </c>
      <c r="K827" s="1">
        <v>2</v>
      </c>
      <c r="L827" s="1">
        <v>0</v>
      </c>
      <c r="S827" s="1" t="s">
        <v>9580</v>
      </c>
      <c r="T827" s="1">
        <v>1</v>
      </c>
      <c r="U827" s="19"/>
      <c r="V827" s="19"/>
      <c r="W827" s="218">
        <v>1</v>
      </c>
      <c r="X827" s="218">
        <v>1</v>
      </c>
      <c r="Y827" s="218">
        <v>1</v>
      </c>
    </row>
    <row r="828" spans="1:25" x14ac:dyDescent="0.3">
      <c r="A828" s="1" t="s">
        <v>2225</v>
      </c>
      <c r="B828" s="5">
        <v>46179</v>
      </c>
      <c r="C828" s="6">
        <v>0.20833333333333301</v>
      </c>
      <c r="D828" s="1" t="s">
        <v>7</v>
      </c>
      <c r="E828" s="1" t="s">
        <v>2229</v>
      </c>
      <c r="F828" s="1" t="s">
        <v>2226</v>
      </c>
      <c r="G828" s="39" t="s">
        <v>265</v>
      </c>
      <c r="H828" s="1">
        <v>2</v>
      </c>
      <c r="I828" s="1">
        <v>0</v>
      </c>
      <c r="J828" s="39" t="s">
        <v>2177</v>
      </c>
      <c r="K828" s="1">
        <v>0</v>
      </c>
      <c r="L828" s="1">
        <v>2</v>
      </c>
      <c r="S828" s="1" t="s">
        <v>9581</v>
      </c>
      <c r="T828" s="1">
        <v>1</v>
      </c>
      <c r="U828" s="19"/>
      <c r="V828" s="19"/>
      <c r="W828" s="218">
        <v>1</v>
      </c>
      <c r="X828" s="218">
        <v>1</v>
      </c>
      <c r="Y828" s="218">
        <v>1</v>
      </c>
    </row>
    <row r="829" spans="1:25" ht="14.4" x14ac:dyDescent="0.3">
      <c r="A829" s="1" t="s">
        <v>2227</v>
      </c>
      <c r="B829" s="5">
        <v>46172</v>
      </c>
      <c r="C829" s="6">
        <v>0.1875</v>
      </c>
      <c r="D829" s="1" t="s">
        <v>7</v>
      </c>
      <c r="E829" s="1" t="s">
        <v>2229</v>
      </c>
      <c r="F829" s="1" t="s">
        <v>2228</v>
      </c>
      <c r="G829" s="39" t="s">
        <v>2208</v>
      </c>
      <c r="H829" s="1">
        <v>1</v>
      </c>
      <c r="I829" s="1">
        <v>2</v>
      </c>
      <c r="J829" s="39" t="s">
        <v>265</v>
      </c>
      <c r="K829" s="1">
        <v>2</v>
      </c>
      <c r="L829" s="1">
        <v>1</v>
      </c>
      <c r="S829" s="1" t="s">
        <v>9582</v>
      </c>
      <c r="T829">
        <v>1</v>
      </c>
      <c r="U829" s="19"/>
      <c r="V829" s="19"/>
      <c r="W829" s="218">
        <v>1</v>
      </c>
      <c r="X829" s="218">
        <v>1</v>
      </c>
      <c r="Y829" s="218">
        <v>1</v>
      </c>
    </row>
    <row r="830" spans="1:25" x14ac:dyDescent="0.3">
      <c r="A830" s="1" t="s">
        <v>2231</v>
      </c>
      <c r="B830" s="5">
        <v>46236</v>
      </c>
      <c r="C830" s="6">
        <v>6.25E-2</v>
      </c>
      <c r="D830" s="1" t="s">
        <v>7</v>
      </c>
      <c r="E830" s="1" t="s">
        <v>2229</v>
      </c>
      <c r="F830" s="1" t="s">
        <v>2232</v>
      </c>
      <c r="G830" s="39" t="s">
        <v>2179</v>
      </c>
      <c r="H830" s="1">
        <v>2</v>
      </c>
      <c r="I830" s="1">
        <v>0</v>
      </c>
      <c r="J830" s="39" t="s">
        <v>2208</v>
      </c>
      <c r="K830" s="1">
        <v>0</v>
      </c>
      <c r="L830" s="1">
        <v>2</v>
      </c>
      <c r="S830" s="1" t="s">
        <v>9583</v>
      </c>
      <c r="T830" s="1">
        <v>1</v>
      </c>
      <c r="U830" s="19"/>
      <c r="V830" s="19"/>
      <c r="W830" s="218">
        <v>1</v>
      </c>
      <c r="X830" s="218">
        <v>1</v>
      </c>
      <c r="Y830" s="218">
        <v>1</v>
      </c>
    </row>
    <row r="831" spans="1:25" x14ac:dyDescent="0.3">
      <c r="A831" s="1" t="s">
        <v>2233</v>
      </c>
      <c r="B831" s="5">
        <v>46228</v>
      </c>
      <c r="C831" s="6">
        <v>0.26041666666666702</v>
      </c>
      <c r="D831" s="1" t="s">
        <v>7</v>
      </c>
      <c r="E831" s="1" t="s">
        <v>2229</v>
      </c>
      <c r="F831" s="1" t="s">
        <v>2234</v>
      </c>
      <c r="G831" s="39" t="s">
        <v>269</v>
      </c>
      <c r="H831" s="1">
        <v>1</v>
      </c>
      <c r="I831" s="1">
        <v>0</v>
      </c>
      <c r="J831" s="39" t="s">
        <v>2179</v>
      </c>
      <c r="K831" s="1">
        <v>0</v>
      </c>
      <c r="L831" s="1">
        <v>1</v>
      </c>
      <c r="S831" s="1" t="s">
        <v>9584</v>
      </c>
      <c r="T831" s="1">
        <v>1</v>
      </c>
      <c r="U831" s="19"/>
      <c r="V831" s="19"/>
      <c r="W831" s="218">
        <v>1</v>
      </c>
      <c r="X831" s="218">
        <v>1</v>
      </c>
      <c r="Y831" s="218">
        <v>1</v>
      </c>
    </row>
    <row r="832" spans="1:25" x14ac:dyDescent="0.3">
      <c r="A832" s="1" t="s">
        <v>2235</v>
      </c>
      <c r="B832" s="5">
        <v>46215</v>
      </c>
      <c r="C832" s="6">
        <v>0.89583333333333304</v>
      </c>
      <c r="D832" s="1" t="s">
        <v>7</v>
      </c>
      <c r="E832" s="1" t="s">
        <v>2229</v>
      </c>
      <c r="F832" s="1" t="s">
        <v>2236</v>
      </c>
      <c r="G832" s="39" t="s">
        <v>2179</v>
      </c>
      <c r="H832" s="1">
        <v>1</v>
      </c>
      <c r="I832" s="1">
        <v>0</v>
      </c>
      <c r="J832" s="39" t="s">
        <v>2184</v>
      </c>
      <c r="K832" s="1">
        <v>0</v>
      </c>
      <c r="L832" s="1">
        <v>1</v>
      </c>
      <c r="S832" s="1" t="s">
        <v>9585</v>
      </c>
      <c r="T832" s="1">
        <v>1</v>
      </c>
      <c r="U832" s="19"/>
      <c r="V832" s="19"/>
      <c r="W832" s="218">
        <v>1</v>
      </c>
      <c r="X832" s="218">
        <v>1</v>
      </c>
      <c r="Y832" s="218">
        <v>1</v>
      </c>
    </row>
    <row r="833" spans="1:25" x14ac:dyDescent="0.3">
      <c r="A833" s="1" t="s">
        <v>2237</v>
      </c>
      <c r="B833" s="5">
        <v>46208</v>
      </c>
      <c r="C833" s="6">
        <v>8.3333333333333301E-2</v>
      </c>
      <c r="D833" s="1" t="s">
        <v>7</v>
      </c>
      <c r="E833" s="1" t="s">
        <v>2229</v>
      </c>
      <c r="F833" s="1" t="s">
        <v>2238</v>
      </c>
      <c r="G833" s="39" t="s">
        <v>248</v>
      </c>
      <c r="H833" s="1">
        <v>0</v>
      </c>
      <c r="I833" s="1">
        <v>0</v>
      </c>
      <c r="J833" s="39" t="s">
        <v>2179</v>
      </c>
      <c r="K833" s="1">
        <v>0</v>
      </c>
      <c r="L833" s="1">
        <v>0</v>
      </c>
      <c r="S833" s="1" t="s">
        <v>9586</v>
      </c>
      <c r="T833" s="1">
        <v>1</v>
      </c>
      <c r="U833" s="19"/>
      <c r="V833" s="19"/>
      <c r="W833" s="218">
        <v>1</v>
      </c>
      <c r="X833" s="218">
        <v>1</v>
      </c>
      <c r="Y833" s="218">
        <v>1</v>
      </c>
    </row>
    <row r="834" spans="1:25" x14ac:dyDescent="0.3">
      <c r="A834" s="1" t="s">
        <v>2239</v>
      </c>
      <c r="B834" s="5">
        <v>46199</v>
      </c>
      <c r="C834" s="6">
        <v>0.27083333333333298</v>
      </c>
      <c r="D834" s="1" t="s">
        <v>7</v>
      </c>
      <c r="E834" s="1" t="s">
        <v>2229</v>
      </c>
      <c r="F834" s="1" t="s">
        <v>2240</v>
      </c>
      <c r="G834" s="39" t="s">
        <v>249</v>
      </c>
      <c r="H834" s="1">
        <v>1</v>
      </c>
      <c r="I834" s="1">
        <v>0</v>
      </c>
      <c r="J834" s="39" t="s">
        <v>2179</v>
      </c>
      <c r="K834" s="1">
        <v>0</v>
      </c>
      <c r="L834" s="1">
        <v>1</v>
      </c>
      <c r="S834" s="1" t="s">
        <v>9587</v>
      </c>
      <c r="T834" s="1">
        <v>1</v>
      </c>
      <c r="U834" s="19"/>
      <c r="V834" s="19"/>
      <c r="W834" s="218">
        <v>1</v>
      </c>
      <c r="X834" s="218">
        <v>1</v>
      </c>
      <c r="Y834" s="218">
        <v>1</v>
      </c>
    </row>
    <row r="835" spans="1:25" x14ac:dyDescent="0.3">
      <c r="A835" s="1" t="s">
        <v>2241</v>
      </c>
      <c r="B835" s="5">
        <v>46194</v>
      </c>
      <c r="C835" s="6">
        <v>0.89583333333333304</v>
      </c>
      <c r="D835" s="1" t="s">
        <v>7</v>
      </c>
      <c r="E835" s="1" t="s">
        <v>2229</v>
      </c>
      <c r="F835" s="1" t="s">
        <v>2242</v>
      </c>
      <c r="G835" s="39" t="s">
        <v>2179</v>
      </c>
      <c r="H835" s="1">
        <v>1</v>
      </c>
      <c r="I835" s="1">
        <v>0</v>
      </c>
      <c r="J835" s="39" t="s">
        <v>2178</v>
      </c>
      <c r="K835" s="1">
        <v>0</v>
      </c>
      <c r="L835" s="1">
        <v>1</v>
      </c>
      <c r="S835" s="1" t="s">
        <v>9588</v>
      </c>
      <c r="T835" s="1">
        <v>1</v>
      </c>
      <c r="U835" s="19"/>
      <c r="V835" s="19"/>
      <c r="W835" s="218">
        <v>1</v>
      </c>
      <c r="X835" s="218">
        <v>1</v>
      </c>
      <c r="Y835" s="218">
        <v>1</v>
      </c>
    </row>
    <row r="836" spans="1:25" x14ac:dyDescent="0.3">
      <c r="A836" s="1" t="s">
        <v>2243</v>
      </c>
      <c r="B836" s="5">
        <v>46185</v>
      </c>
      <c r="C836" s="6">
        <v>0.27083333333333298</v>
      </c>
      <c r="D836" s="1" t="s">
        <v>7</v>
      </c>
      <c r="E836" s="1" t="s">
        <v>2229</v>
      </c>
      <c r="F836" s="1" t="s">
        <v>2244</v>
      </c>
      <c r="G836" s="39" t="s">
        <v>2177</v>
      </c>
      <c r="H836" s="1">
        <v>1</v>
      </c>
      <c r="I836" s="1">
        <v>1</v>
      </c>
      <c r="J836" s="39" t="s">
        <v>2179</v>
      </c>
      <c r="K836" s="1">
        <v>1</v>
      </c>
      <c r="L836" s="1">
        <v>1</v>
      </c>
      <c r="S836" s="1" t="s">
        <v>9589</v>
      </c>
      <c r="T836" s="1">
        <v>1</v>
      </c>
      <c r="U836" s="19"/>
      <c r="V836" s="19"/>
      <c r="W836" s="218">
        <v>1</v>
      </c>
      <c r="X836" s="218">
        <v>1</v>
      </c>
      <c r="Y836" s="218">
        <v>1</v>
      </c>
    </row>
    <row r="837" spans="1:25" x14ac:dyDescent="0.3">
      <c r="A837" s="1" t="s">
        <v>2245</v>
      </c>
      <c r="B837" s="5">
        <v>46179</v>
      </c>
      <c r="C837" s="6">
        <v>8.3333333333333301E-2</v>
      </c>
      <c r="D837" s="1" t="s">
        <v>7</v>
      </c>
      <c r="E837" s="1" t="s">
        <v>2229</v>
      </c>
      <c r="F837" s="1" t="s">
        <v>2246</v>
      </c>
      <c r="G837" s="39" t="s">
        <v>2180</v>
      </c>
      <c r="H837" s="1">
        <v>0</v>
      </c>
      <c r="I837" s="1">
        <v>2</v>
      </c>
      <c r="J837" s="39" t="s">
        <v>2179</v>
      </c>
      <c r="K837" s="1">
        <v>2</v>
      </c>
      <c r="L837" s="1">
        <v>0</v>
      </c>
      <c r="S837" s="1" t="s">
        <v>9590</v>
      </c>
      <c r="T837" s="1">
        <v>1</v>
      </c>
      <c r="U837" s="19"/>
      <c r="V837" s="19"/>
      <c r="W837" s="218">
        <v>1</v>
      </c>
      <c r="X837" s="218">
        <v>1</v>
      </c>
      <c r="Y837" s="218">
        <v>1</v>
      </c>
    </row>
    <row r="838" spans="1:25" x14ac:dyDescent="0.3">
      <c r="A838" s="1" t="s">
        <v>2247</v>
      </c>
      <c r="B838" s="5">
        <v>46173</v>
      </c>
      <c r="C838" s="6">
        <v>6.25E-2</v>
      </c>
      <c r="D838" s="1" t="s">
        <v>7</v>
      </c>
      <c r="E838" s="1" t="s">
        <v>2229</v>
      </c>
      <c r="F838" s="1" t="s">
        <v>2248</v>
      </c>
      <c r="G838" s="39" t="s">
        <v>2179</v>
      </c>
      <c r="H838" s="1">
        <v>0</v>
      </c>
      <c r="I838" s="1">
        <v>1</v>
      </c>
      <c r="J838" s="39" t="s">
        <v>2207</v>
      </c>
      <c r="K838" s="1">
        <v>1</v>
      </c>
      <c r="L838" s="1">
        <v>0</v>
      </c>
      <c r="S838" s="1" t="s">
        <v>9591</v>
      </c>
      <c r="T838" s="1">
        <v>1</v>
      </c>
      <c r="U838" s="19"/>
      <c r="V838" s="19"/>
      <c r="W838" s="218">
        <v>1</v>
      </c>
      <c r="X838" s="218">
        <v>1</v>
      </c>
      <c r="Y838" s="218">
        <v>1</v>
      </c>
    </row>
    <row r="839" spans="1:25" x14ac:dyDescent="0.3">
      <c r="A839" s="1" t="s">
        <v>2249</v>
      </c>
      <c r="B839" s="5">
        <v>46165</v>
      </c>
      <c r="C839" s="6">
        <v>5.2083333333333301E-2</v>
      </c>
      <c r="D839" s="1" t="s">
        <v>7</v>
      </c>
      <c r="E839" s="1" t="s">
        <v>2229</v>
      </c>
      <c r="F839" s="1" t="s">
        <v>2250</v>
      </c>
      <c r="G839" s="39" t="s">
        <v>2182</v>
      </c>
      <c r="H839" s="1">
        <v>2</v>
      </c>
      <c r="I839" s="1">
        <v>0</v>
      </c>
      <c r="J839" s="39" t="s">
        <v>2179</v>
      </c>
      <c r="K839" s="1">
        <v>0</v>
      </c>
      <c r="L839" s="1">
        <v>2</v>
      </c>
      <c r="S839" s="1" t="s">
        <v>9592</v>
      </c>
      <c r="T839" s="1">
        <v>1</v>
      </c>
      <c r="U839" s="19"/>
      <c r="V839" s="19"/>
      <c r="W839" s="218">
        <v>1</v>
      </c>
      <c r="X839" s="218">
        <v>1</v>
      </c>
      <c r="Y839" s="218">
        <v>1</v>
      </c>
    </row>
    <row r="840" spans="1:25" ht="14.4" x14ac:dyDescent="0.3">
      <c r="A840" s="1" t="s">
        <v>2251</v>
      </c>
      <c r="B840" s="5">
        <v>46158</v>
      </c>
      <c r="C840" s="6">
        <v>6.25E-2</v>
      </c>
      <c r="D840" s="1" t="s">
        <v>7</v>
      </c>
      <c r="E840" s="1" t="s">
        <v>2229</v>
      </c>
      <c r="F840" s="1" t="s">
        <v>2252</v>
      </c>
      <c r="G840" s="39" t="s">
        <v>2181</v>
      </c>
      <c r="H840" s="1">
        <v>1</v>
      </c>
      <c r="I840" s="1">
        <v>3</v>
      </c>
      <c r="J840" s="39" t="s">
        <v>2179</v>
      </c>
      <c r="K840" s="1">
        <v>3</v>
      </c>
      <c r="L840" s="1">
        <v>1</v>
      </c>
      <c r="S840" s="1" t="s">
        <v>9593</v>
      </c>
      <c r="T840">
        <v>1</v>
      </c>
      <c r="U840" s="19"/>
      <c r="V840" s="19"/>
      <c r="W840" s="218">
        <v>0</v>
      </c>
      <c r="X840" s="218">
        <v>0</v>
      </c>
      <c r="Y840" s="218">
        <v>0</v>
      </c>
    </row>
    <row r="841" spans="1:25" x14ac:dyDescent="0.3">
      <c r="A841" s="1" t="s">
        <v>2253</v>
      </c>
      <c r="B841" s="5">
        <v>46242</v>
      </c>
      <c r="C841" s="6">
        <v>0.1875</v>
      </c>
      <c r="D841" s="1" t="s">
        <v>7</v>
      </c>
      <c r="E841" s="1" t="s">
        <v>2229</v>
      </c>
      <c r="F841" s="1" t="s">
        <v>2254</v>
      </c>
      <c r="G841" s="39" t="s">
        <v>2207</v>
      </c>
      <c r="H841" s="1">
        <v>1</v>
      </c>
      <c r="I841" s="1">
        <v>1</v>
      </c>
      <c r="J841" s="39" t="s">
        <v>249</v>
      </c>
      <c r="K841" s="1">
        <v>1</v>
      </c>
      <c r="L841" s="1">
        <v>1</v>
      </c>
      <c r="S841" s="1" t="s">
        <v>9594</v>
      </c>
      <c r="T841" s="1">
        <v>1</v>
      </c>
      <c r="U841" s="19"/>
      <c r="V841" s="19"/>
      <c r="W841" s="218">
        <v>1</v>
      </c>
      <c r="X841" s="218">
        <v>1</v>
      </c>
      <c r="Y841" s="218">
        <v>1</v>
      </c>
    </row>
    <row r="842" spans="1:25" x14ac:dyDescent="0.3">
      <c r="A842" s="1" t="s">
        <v>2255</v>
      </c>
      <c r="B842" s="5">
        <v>46235</v>
      </c>
      <c r="C842" s="6">
        <v>0.125</v>
      </c>
      <c r="D842" s="1" t="s">
        <v>7</v>
      </c>
      <c r="E842" s="1" t="s">
        <v>2229</v>
      </c>
      <c r="F842" s="1" t="s">
        <v>2256</v>
      </c>
      <c r="G842" s="39" t="s">
        <v>2207</v>
      </c>
      <c r="H842" s="1">
        <v>2</v>
      </c>
      <c r="I842" s="1">
        <v>1</v>
      </c>
      <c r="J842" s="39" t="s">
        <v>2183</v>
      </c>
      <c r="K842" s="1">
        <v>1</v>
      </c>
      <c r="L842" s="1">
        <v>2</v>
      </c>
      <c r="S842" s="1" t="s">
        <v>9595</v>
      </c>
      <c r="T842" s="1">
        <v>1</v>
      </c>
      <c r="U842" s="19"/>
      <c r="V842" s="19"/>
      <c r="W842" s="218">
        <v>1</v>
      </c>
      <c r="X842" s="218">
        <v>1</v>
      </c>
      <c r="Y842" s="218">
        <v>1</v>
      </c>
    </row>
    <row r="843" spans="1:25" x14ac:dyDescent="0.3">
      <c r="A843" s="1" t="s">
        <v>2257</v>
      </c>
      <c r="B843" s="5">
        <v>46229</v>
      </c>
      <c r="C843" s="6">
        <v>8.3333333333333301E-2</v>
      </c>
      <c r="D843" s="1" t="s">
        <v>7</v>
      </c>
      <c r="E843" s="1" t="s">
        <v>2229</v>
      </c>
      <c r="F843" s="1" t="s">
        <v>2258</v>
      </c>
      <c r="G843" s="39" t="s">
        <v>2184</v>
      </c>
      <c r="H843" s="1">
        <v>1</v>
      </c>
      <c r="I843" s="1">
        <v>3</v>
      </c>
      <c r="J843" s="39" t="s">
        <v>2207</v>
      </c>
      <c r="K843" s="1">
        <v>3</v>
      </c>
      <c r="L843" s="1">
        <v>1</v>
      </c>
      <c r="S843" s="1" t="s">
        <v>9596</v>
      </c>
      <c r="T843" s="1">
        <v>1</v>
      </c>
      <c r="U843" s="19"/>
      <c r="V843" s="19"/>
      <c r="W843" s="218">
        <v>1</v>
      </c>
      <c r="X843" s="218">
        <v>1</v>
      </c>
      <c r="Y843" s="218">
        <v>1</v>
      </c>
    </row>
    <row r="844" spans="1:25" x14ac:dyDescent="0.3">
      <c r="A844" s="1" t="s">
        <v>2259</v>
      </c>
      <c r="B844" s="5">
        <v>46221</v>
      </c>
      <c r="C844" s="6">
        <v>0.1875</v>
      </c>
      <c r="D844" s="1" t="s">
        <v>7</v>
      </c>
      <c r="E844" s="1" t="s">
        <v>2229</v>
      </c>
      <c r="F844" s="1" t="s">
        <v>2260</v>
      </c>
      <c r="G844" s="39" t="s">
        <v>2207</v>
      </c>
      <c r="H844" s="1">
        <v>1</v>
      </c>
      <c r="I844" s="1">
        <v>1</v>
      </c>
      <c r="J844" s="39" t="s">
        <v>264</v>
      </c>
      <c r="K844" s="1">
        <v>1</v>
      </c>
      <c r="L844" s="1">
        <v>1</v>
      </c>
      <c r="S844" s="1" t="s">
        <v>9597</v>
      </c>
      <c r="T844" s="1">
        <v>1</v>
      </c>
      <c r="U844" s="19"/>
      <c r="V844" s="19"/>
      <c r="W844" s="218">
        <v>1</v>
      </c>
      <c r="X844" s="218">
        <v>1</v>
      </c>
      <c r="Y844" s="218">
        <v>1</v>
      </c>
    </row>
    <row r="845" spans="1:25" x14ac:dyDescent="0.3">
      <c r="A845" s="1" t="s">
        <v>2261</v>
      </c>
      <c r="B845" s="5">
        <v>46214</v>
      </c>
      <c r="C845" s="6">
        <v>0.16666666666666699</v>
      </c>
      <c r="D845" s="1" t="s">
        <v>7</v>
      </c>
      <c r="E845" s="1" t="s">
        <v>2229</v>
      </c>
      <c r="F845" s="1" t="s">
        <v>2262</v>
      </c>
      <c r="G845" s="39" t="s">
        <v>2177</v>
      </c>
      <c r="H845" s="1">
        <v>2</v>
      </c>
      <c r="I845" s="1">
        <v>1</v>
      </c>
      <c r="J845" s="39" t="s">
        <v>2207</v>
      </c>
      <c r="K845" s="1">
        <v>1</v>
      </c>
      <c r="L845" s="1">
        <v>2</v>
      </c>
      <c r="S845" s="1" t="s">
        <v>9598</v>
      </c>
      <c r="T845" s="1">
        <v>1</v>
      </c>
      <c r="U845" s="19"/>
      <c r="V845" s="19"/>
      <c r="W845" s="218">
        <v>1</v>
      </c>
      <c r="X845" s="218">
        <v>1</v>
      </c>
      <c r="Y845" s="218">
        <v>1</v>
      </c>
    </row>
    <row r="846" spans="1:25" x14ac:dyDescent="0.3">
      <c r="A846" s="1" t="s">
        <v>2263</v>
      </c>
      <c r="B846" s="5">
        <v>46200</v>
      </c>
      <c r="C846" s="6">
        <v>8.3333333333333301E-2</v>
      </c>
      <c r="D846" s="1" t="s">
        <v>7</v>
      </c>
      <c r="E846" s="1" t="s">
        <v>2229</v>
      </c>
      <c r="F846" s="1" t="s">
        <v>2264</v>
      </c>
      <c r="G846" s="39" t="s">
        <v>2182</v>
      </c>
      <c r="H846" s="1">
        <v>1</v>
      </c>
      <c r="I846" s="1">
        <v>3</v>
      </c>
      <c r="J846" s="39" t="s">
        <v>2207</v>
      </c>
      <c r="K846" s="1">
        <v>3</v>
      </c>
      <c r="L846" s="1">
        <v>1</v>
      </c>
      <c r="S846" s="1" t="s">
        <v>9599</v>
      </c>
      <c r="T846" s="1">
        <v>1</v>
      </c>
      <c r="U846" s="19"/>
      <c r="V846" s="19"/>
      <c r="W846" s="218">
        <v>1</v>
      </c>
      <c r="X846" s="218">
        <v>1</v>
      </c>
      <c r="Y846" s="218">
        <v>1</v>
      </c>
    </row>
    <row r="847" spans="1:25" x14ac:dyDescent="0.3">
      <c r="A847" s="1" t="s">
        <v>2265</v>
      </c>
      <c r="B847" s="5">
        <v>46193</v>
      </c>
      <c r="C847" s="6">
        <v>8.3333333333333301E-2</v>
      </c>
      <c r="D847" s="1" t="s">
        <v>7</v>
      </c>
      <c r="E847" s="1" t="s">
        <v>2229</v>
      </c>
      <c r="F847" s="1" t="s">
        <v>2266</v>
      </c>
      <c r="G847" s="39" t="s">
        <v>2180</v>
      </c>
      <c r="H847" s="1">
        <v>0</v>
      </c>
      <c r="I847" s="1">
        <v>3</v>
      </c>
      <c r="J847" s="39" t="s">
        <v>2207</v>
      </c>
      <c r="K847" s="1">
        <v>3</v>
      </c>
      <c r="L847" s="1">
        <v>0</v>
      </c>
      <c r="S847" s="1" t="s">
        <v>9600</v>
      </c>
      <c r="T847" s="1">
        <v>1</v>
      </c>
      <c r="U847" s="19"/>
      <c r="V847" s="19"/>
      <c r="W847" s="218">
        <v>1</v>
      </c>
      <c r="X847" s="218">
        <v>1</v>
      </c>
      <c r="Y847" s="218">
        <v>1</v>
      </c>
    </row>
    <row r="848" spans="1:25" x14ac:dyDescent="0.3">
      <c r="A848" s="1" t="s">
        <v>2267</v>
      </c>
      <c r="B848" s="5">
        <v>46186</v>
      </c>
      <c r="C848" s="6">
        <v>0.1875</v>
      </c>
      <c r="D848" s="1" t="s">
        <v>7</v>
      </c>
      <c r="E848" s="1" t="s">
        <v>2229</v>
      </c>
      <c r="F848" s="1" t="s">
        <v>2268</v>
      </c>
      <c r="G848" s="39" t="s">
        <v>2207</v>
      </c>
      <c r="H848" s="1">
        <v>1</v>
      </c>
      <c r="I848" s="1">
        <v>2</v>
      </c>
      <c r="J848" s="39" t="s">
        <v>248</v>
      </c>
      <c r="K848" s="1">
        <v>2</v>
      </c>
      <c r="L848" s="1">
        <v>1</v>
      </c>
      <c r="S848" s="1" t="s">
        <v>9601</v>
      </c>
      <c r="T848" s="1">
        <v>1</v>
      </c>
      <c r="U848" s="19"/>
      <c r="V848" s="19"/>
      <c r="W848" s="218">
        <v>1</v>
      </c>
      <c r="X848" s="218">
        <v>1</v>
      </c>
      <c r="Y848" s="218">
        <v>1</v>
      </c>
    </row>
    <row r="849" spans="1:25" x14ac:dyDescent="0.3">
      <c r="A849" s="1" t="s">
        <v>2269</v>
      </c>
      <c r="B849" s="5">
        <v>46179</v>
      </c>
      <c r="C849" s="6">
        <v>0.22916666666666699</v>
      </c>
      <c r="D849" s="1" t="s">
        <v>7</v>
      </c>
      <c r="E849" s="1" t="s">
        <v>2229</v>
      </c>
      <c r="F849" s="1" t="s">
        <v>2270</v>
      </c>
      <c r="G849" s="39" t="s">
        <v>2181</v>
      </c>
      <c r="H849" s="1">
        <v>1</v>
      </c>
      <c r="I849" s="1">
        <v>2</v>
      </c>
      <c r="J849" s="39" t="s">
        <v>2207</v>
      </c>
      <c r="K849" s="1">
        <v>2</v>
      </c>
      <c r="L849" s="1">
        <v>1</v>
      </c>
      <c r="S849" s="1" t="s">
        <v>9602</v>
      </c>
      <c r="T849" s="1">
        <v>1</v>
      </c>
      <c r="U849" s="19"/>
      <c r="V849" s="19"/>
      <c r="W849" s="218">
        <v>1</v>
      </c>
      <c r="X849" s="218">
        <v>1</v>
      </c>
      <c r="Y849" s="218">
        <v>1</v>
      </c>
    </row>
    <row r="850" spans="1:25" ht="14.4" x14ac:dyDescent="0.3">
      <c r="A850" s="1" t="s">
        <v>2271</v>
      </c>
      <c r="B850" s="5">
        <v>46165</v>
      </c>
      <c r="C850" s="6">
        <v>0.125</v>
      </c>
      <c r="D850" s="1" t="s">
        <v>7</v>
      </c>
      <c r="E850" s="1" t="s">
        <v>2229</v>
      </c>
      <c r="F850" s="1" t="s">
        <v>2272</v>
      </c>
      <c r="G850" s="39" t="s">
        <v>2207</v>
      </c>
      <c r="H850" s="1">
        <v>1</v>
      </c>
      <c r="I850" s="1">
        <v>0</v>
      </c>
      <c r="J850" s="39" t="s">
        <v>2208</v>
      </c>
      <c r="K850" s="1">
        <v>0</v>
      </c>
      <c r="L850" s="1">
        <v>1</v>
      </c>
      <c r="S850" s="1" t="s">
        <v>9603</v>
      </c>
      <c r="T850">
        <v>1</v>
      </c>
      <c r="U850" s="19"/>
      <c r="V850" s="19"/>
      <c r="W850" s="218">
        <v>1</v>
      </c>
      <c r="X850" s="218">
        <v>1</v>
      </c>
      <c r="Y850" s="218">
        <v>1</v>
      </c>
    </row>
    <row r="851" spans="1:25" x14ac:dyDescent="0.3">
      <c r="A851" s="1" t="s">
        <v>2273</v>
      </c>
      <c r="B851" s="5">
        <v>46242</v>
      </c>
      <c r="C851" s="6">
        <v>0.26041666666666702</v>
      </c>
      <c r="D851" s="1" t="s">
        <v>7</v>
      </c>
      <c r="E851" s="1" t="s">
        <v>2229</v>
      </c>
      <c r="F851" s="1" t="s">
        <v>2274</v>
      </c>
      <c r="G851" s="39" t="s">
        <v>269</v>
      </c>
      <c r="H851" s="1">
        <v>1</v>
      </c>
      <c r="I851" s="1">
        <v>0</v>
      </c>
      <c r="J851" s="39" t="s">
        <v>2184</v>
      </c>
      <c r="K851" s="1">
        <v>0</v>
      </c>
      <c r="L851" s="1">
        <v>1</v>
      </c>
      <c r="S851" s="1" t="s">
        <v>9604</v>
      </c>
      <c r="T851" s="1">
        <v>1</v>
      </c>
      <c r="U851" s="19"/>
      <c r="V851" s="19"/>
      <c r="W851" s="218">
        <v>1</v>
      </c>
      <c r="X851" s="218">
        <v>1</v>
      </c>
      <c r="Y851" s="218">
        <v>1</v>
      </c>
    </row>
    <row r="852" spans="1:25" x14ac:dyDescent="0.3">
      <c r="A852" s="1" t="s">
        <v>2275</v>
      </c>
      <c r="B852" s="5">
        <v>46236</v>
      </c>
      <c r="C852" s="6">
        <v>8.3333333333333301E-2</v>
      </c>
      <c r="D852" s="1" t="s">
        <v>7</v>
      </c>
      <c r="E852" s="1" t="s">
        <v>2229</v>
      </c>
      <c r="F852" s="1" t="s">
        <v>2276</v>
      </c>
      <c r="G852" s="39" t="s">
        <v>2184</v>
      </c>
      <c r="H852" s="1">
        <v>1</v>
      </c>
      <c r="I852" s="1">
        <v>1</v>
      </c>
      <c r="J852" s="39" t="s">
        <v>2177</v>
      </c>
      <c r="K852" s="1">
        <v>1</v>
      </c>
      <c r="L852" s="1">
        <v>1</v>
      </c>
      <c r="S852" s="1" t="s">
        <v>9605</v>
      </c>
      <c r="T852" s="1">
        <v>1</v>
      </c>
      <c r="U852" s="19"/>
      <c r="V852" s="19"/>
      <c r="W852" s="218">
        <v>1</v>
      </c>
      <c r="X852" s="218">
        <v>1</v>
      </c>
      <c r="Y852" s="218">
        <v>1</v>
      </c>
    </row>
    <row r="853" spans="1:25" x14ac:dyDescent="0.3">
      <c r="A853" s="1" t="s">
        <v>2277</v>
      </c>
      <c r="B853" s="5">
        <v>46221</v>
      </c>
      <c r="C853" s="6">
        <v>0.22916666666666699</v>
      </c>
      <c r="D853" s="1" t="s">
        <v>7</v>
      </c>
      <c r="E853" s="1" t="s">
        <v>2229</v>
      </c>
      <c r="F853" s="1" t="s">
        <v>2278</v>
      </c>
      <c r="G853" s="39" t="s">
        <v>2181</v>
      </c>
      <c r="H853" s="1">
        <v>1</v>
      </c>
      <c r="I853" s="1">
        <v>6</v>
      </c>
      <c r="J853" s="39" t="s">
        <v>2184</v>
      </c>
      <c r="K853" s="1">
        <v>6</v>
      </c>
      <c r="L853" s="1">
        <v>1</v>
      </c>
      <c r="S853" s="1" t="s">
        <v>9606</v>
      </c>
      <c r="T853" s="1">
        <v>1</v>
      </c>
      <c r="U853" s="19"/>
      <c r="V853" s="19"/>
      <c r="W853" s="218">
        <v>1</v>
      </c>
      <c r="X853" s="218">
        <v>1</v>
      </c>
      <c r="Y853" s="218">
        <v>1</v>
      </c>
    </row>
    <row r="854" spans="1:25" x14ac:dyDescent="0.3">
      <c r="A854" s="1" t="s">
        <v>2279</v>
      </c>
      <c r="B854" s="5">
        <v>46208</v>
      </c>
      <c r="C854" s="6">
        <v>8.3333333333333301E-2</v>
      </c>
      <c r="D854" s="1" t="s">
        <v>7</v>
      </c>
      <c r="E854" s="1" t="s">
        <v>2229</v>
      </c>
      <c r="F854" s="1" t="s">
        <v>2280</v>
      </c>
      <c r="G854" s="39" t="s">
        <v>2184</v>
      </c>
      <c r="H854" s="1">
        <v>1</v>
      </c>
      <c r="I854" s="1">
        <v>1</v>
      </c>
      <c r="J854" s="39" t="s">
        <v>2208</v>
      </c>
      <c r="K854" s="1">
        <v>1</v>
      </c>
      <c r="L854" s="1">
        <v>1</v>
      </c>
      <c r="S854" s="1" t="s">
        <v>9607</v>
      </c>
      <c r="T854" s="1">
        <v>1</v>
      </c>
      <c r="U854" s="19"/>
      <c r="V854" s="19"/>
      <c r="W854" s="218">
        <v>1</v>
      </c>
      <c r="X854" s="218">
        <v>1</v>
      </c>
      <c r="Y854" s="218">
        <v>1</v>
      </c>
    </row>
    <row r="855" spans="1:25" x14ac:dyDescent="0.3">
      <c r="A855" s="1" t="s">
        <v>2281</v>
      </c>
      <c r="B855" s="5">
        <v>46194</v>
      </c>
      <c r="C855" s="6">
        <v>8.3333333333333301E-2</v>
      </c>
      <c r="D855" s="1" t="s">
        <v>7</v>
      </c>
      <c r="E855" s="1" t="s">
        <v>2229</v>
      </c>
      <c r="F855" s="1" t="s">
        <v>2282</v>
      </c>
      <c r="G855" s="39" t="s">
        <v>264</v>
      </c>
      <c r="H855" s="1">
        <v>0</v>
      </c>
      <c r="I855" s="1">
        <v>4</v>
      </c>
      <c r="J855" s="39" t="s">
        <v>2184</v>
      </c>
      <c r="K855" s="1">
        <v>4</v>
      </c>
      <c r="L855" s="1">
        <v>0</v>
      </c>
      <c r="S855" s="1" t="s">
        <v>9608</v>
      </c>
      <c r="T855" s="1">
        <v>1</v>
      </c>
      <c r="U855" s="19"/>
      <c r="V855" s="19"/>
      <c r="W855" s="218">
        <v>1</v>
      </c>
      <c r="X855" s="218">
        <v>1</v>
      </c>
      <c r="Y855" s="218">
        <v>1</v>
      </c>
    </row>
    <row r="856" spans="1:25" x14ac:dyDescent="0.3">
      <c r="A856" s="1" t="s">
        <v>2283</v>
      </c>
      <c r="B856" s="5">
        <v>46187</v>
      </c>
      <c r="C856" s="6">
        <v>0.14583333333333301</v>
      </c>
      <c r="D856" s="1" t="s">
        <v>7</v>
      </c>
      <c r="E856" s="1" t="s">
        <v>2229</v>
      </c>
      <c r="F856" s="1" t="s">
        <v>2284</v>
      </c>
      <c r="G856" s="39" t="s">
        <v>2184</v>
      </c>
      <c r="H856" s="1">
        <v>0</v>
      </c>
      <c r="I856" s="1">
        <v>1</v>
      </c>
      <c r="J856" s="39" t="s">
        <v>2178</v>
      </c>
      <c r="K856" s="1">
        <v>1</v>
      </c>
      <c r="L856" s="1">
        <v>0</v>
      </c>
      <c r="S856" s="1" t="s">
        <v>9609</v>
      </c>
      <c r="T856" s="1">
        <v>1</v>
      </c>
      <c r="U856" s="19"/>
      <c r="V856" s="19"/>
      <c r="W856" s="218">
        <v>1</v>
      </c>
      <c r="X856" s="218">
        <v>1</v>
      </c>
      <c r="Y856" s="218">
        <v>1</v>
      </c>
    </row>
    <row r="857" spans="1:25" x14ac:dyDescent="0.3">
      <c r="A857" s="1" t="s">
        <v>2285</v>
      </c>
      <c r="B857" s="5">
        <v>46180</v>
      </c>
      <c r="C857" s="6">
        <v>8.3333333333333301E-2</v>
      </c>
      <c r="D857" s="1" t="s">
        <v>7</v>
      </c>
      <c r="E857" s="1" t="s">
        <v>2229</v>
      </c>
      <c r="F857" s="1" t="s">
        <v>2286</v>
      </c>
      <c r="G857" s="39" t="s">
        <v>248</v>
      </c>
      <c r="H857" s="1">
        <v>1</v>
      </c>
      <c r="I857" s="1">
        <v>2</v>
      </c>
      <c r="J857" s="39" t="s">
        <v>2184</v>
      </c>
      <c r="K857" s="1">
        <v>2</v>
      </c>
      <c r="L857" s="1">
        <v>1</v>
      </c>
      <c r="S857" s="1" t="s">
        <v>9610</v>
      </c>
      <c r="T857" s="1">
        <v>1</v>
      </c>
      <c r="U857" s="19"/>
      <c r="V857" s="19"/>
      <c r="W857" s="218">
        <v>1</v>
      </c>
      <c r="X857" s="218">
        <v>1</v>
      </c>
      <c r="Y857" s="218">
        <v>1</v>
      </c>
    </row>
    <row r="858" spans="1:25" ht="14.4" x14ac:dyDescent="0.3">
      <c r="A858" s="1" t="s">
        <v>2287</v>
      </c>
      <c r="B858" s="5">
        <v>46166</v>
      </c>
      <c r="C858" s="6">
        <v>8.3333333333333301E-2</v>
      </c>
      <c r="D858" s="1" t="s">
        <v>7</v>
      </c>
      <c r="E858" s="1" t="s">
        <v>2229</v>
      </c>
      <c r="F858" s="1" t="s">
        <v>2288</v>
      </c>
      <c r="G858" s="39" t="s">
        <v>2184</v>
      </c>
      <c r="H858" s="1">
        <v>0</v>
      </c>
      <c r="I858" s="1">
        <v>5</v>
      </c>
      <c r="J858" s="39" t="s">
        <v>2180</v>
      </c>
      <c r="K858" s="1">
        <v>5</v>
      </c>
      <c r="L858" s="1">
        <v>0</v>
      </c>
      <c r="S858" s="1" t="s">
        <v>9611</v>
      </c>
      <c r="T858">
        <v>1</v>
      </c>
      <c r="U858" s="19"/>
      <c r="V858" s="19"/>
      <c r="W858" s="218">
        <v>1</v>
      </c>
      <c r="X858" s="218">
        <v>1</v>
      </c>
      <c r="Y858" s="218">
        <v>1</v>
      </c>
    </row>
    <row r="859" spans="1:25" x14ac:dyDescent="0.3">
      <c r="A859" s="1" t="s">
        <v>2289</v>
      </c>
      <c r="B859" s="5">
        <v>46227</v>
      </c>
      <c r="C859" s="6">
        <v>0.27083333333333298</v>
      </c>
      <c r="D859" s="1" t="s">
        <v>7</v>
      </c>
      <c r="E859" s="1" t="s">
        <v>2229</v>
      </c>
      <c r="F859" s="1" t="s">
        <v>2290</v>
      </c>
      <c r="G859" s="39" t="s">
        <v>2177</v>
      </c>
      <c r="H859" s="1">
        <v>4</v>
      </c>
      <c r="I859" s="1">
        <v>0</v>
      </c>
      <c r="J859" s="39" t="s">
        <v>264</v>
      </c>
      <c r="K859" s="1">
        <v>0</v>
      </c>
      <c r="L859" s="1">
        <v>4</v>
      </c>
      <c r="S859" s="1" t="s">
        <v>9612</v>
      </c>
      <c r="T859" s="1">
        <v>1</v>
      </c>
      <c r="U859" s="19"/>
      <c r="V859" s="19"/>
      <c r="W859" s="218">
        <v>1</v>
      </c>
      <c r="X859" s="218">
        <v>1</v>
      </c>
      <c r="Y859" s="218">
        <v>1</v>
      </c>
    </row>
    <row r="860" spans="1:25" x14ac:dyDescent="0.3">
      <c r="A860" s="1" t="s">
        <v>2291</v>
      </c>
      <c r="B860" s="5">
        <v>46220</v>
      </c>
      <c r="C860" s="6">
        <v>0.27083333333333298</v>
      </c>
      <c r="D860" s="1" t="s">
        <v>7</v>
      </c>
      <c r="E860" s="1" t="s">
        <v>2229</v>
      </c>
      <c r="F860" s="1" t="s">
        <v>2292</v>
      </c>
      <c r="G860" s="39" t="s">
        <v>249</v>
      </c>
      <c r="H860" s="1">
        <v>0</v>
      </c>
      <c r="I860" s="1">
        <v>0</v>
      </c>
      <c r="J860" s="39" t="s">
        <v>2177</v>
      </c>
      <c r="K860" s="1">
        <v>0</v>
      </c>
      <c r="L860" s="1">
        <v>0</v>
      </c>
      <c r="S860" s="1" t="s">
        <v>9613</v>
      </c>
      <c r="T860" s="1">
        <v>1</v>
      </c>
      <c r="U860" s="19"/>
      <c r="V860" s="19"/>
      <c r="W860" s="218">
        <v>1</v>
      </c>
      <c r="X860" s="218">
        <v>1</v>
      </c>
      <c r="Y860" s="218">
        <v>1</v>
      </c>
    </row>
    <row r="861" spans="1:25" x14ac:dyDescent="0.3">
      <c r="A861" s="1" t="s">
        <v>2293</v>
      </c>
      <c r="B861" s="5">
        <v>46207</v>
      </c>
      <c r="C861" s="6">
        <v>0.16666666666666699</v>
      </c>
      <c r="D861" s="1" t="s">
        <v>7</v>
      </c>
      <c r="E861" s="1" t="s">
        <v>2229</v>
      </c>
      <c r="F861" s="1" t="s">
        <v>2294</v>
      </c>
      <c r="G861" s="39" t="s">
        <v>2177</v>
      </c>
      <c r="H861" s="1">
        <v>1</v>
      </c>
      <c r="I861" s="1">
        <v>0</v>
      </c>
      <c r="J861" s="39" t="s">
        <v>2178</v>
      </c>
      <c r="K861" s="1">
        <v>0</v>
      </c>
      <c r="L861" s="1">
        <v>1</v>
      </c>
      <c r="S861" s="1" t="s">
        <v>9614</v>
      </c>
      <c r="T861" s="1">
        <v>1</v>
      </c>
      <c r="U861" s="19"/>
      <c r="V861" s="19"/>
      <c r="W861" s="218">
        <v>1</v>
      </c>
      <c r="X861" s="218">
        <v>1</v>
      </c>
      <c r="Y861" s="218">
        <v>1</v>
      </c>
    </row>
    <row r="862" spans="1:25" x14ac:dyDescent="0.3">
      <c r="A862" s="1" t="s">
        <v>2295</v>
      </c>
      <c r="B862" s="5">
        <v>46200</v>
      </c>
      <c r="C862" s="6">
        <v>8.3333333333333301E-2</v>
      </c>
      <c r="D862" s="1" t="s">
        <v>7</v>
      </c>
      <c r="E862" s="1" t="s">
        <v>2229</v>
      </c>
      <c r="F862" s="1" t="s">
        <v>2296</v>
      </c>
      <c r="G862" s="39" t="s">
        <v>2180</v>
      </c>
      <c r="H862" s="1">
        <v>3</v>
      </c>
      <c r="I862" s="1">
        <v>3</v>
      </c>
      <c r="J862" s="39" t="s">
        <v>2177</v>
      </c>
      <c r="K862" s="1">
        <v>3</v>
      </c>
      <c r="L862" s="1">
        <v>3</v>
      </c>
      <c r="S862" s="1" t="s">
        <v>9615</v>
      </c>
      <c r="T862" s="1">
        <v>1</v>
      </c>
      <c r="U862" s="19"/>
      <c r="V862" s="19"/>
      <c r="W862" s="218">
        <v>1</v>
      </c>
      <c r="X862" s="218">
        <v>1</v>
      </c>
      <c r="Y862" s="218">
        <v>1</v>
      </c>
    </row>
    <row r="863" spans="1:25" x14ac:dyDescent="0.3">
      <c r="A863" s="1" t="s">
        <v>2297</v>
      </c>
      <c r="B863" s="5">
        <v>46193</v>
      </c>
      <c r="C863" s="6">
        <v>0.16666666666666699</v>
      </c>
      <c r="D863" s="1" t="s">
        <v>7</v>
      </c>
      <c r="E863" s="1" t="s">
        <v>2229</v>
      </c>
      <c r="F863" s="1" t="s">
        <v>2298</v>
      </c>
      <c r="G863" s="39" t="s">
        <v>2177</v>
      </c>
      <c r="H863" s="1">
        <v>2</v>
      </c>
      <c r="I863" s="1">
        <v>0</v>
      </c>
      <c r="J863" s="39" t="s">
        <v>2181</v>
      </c>
      <c r="K863" s="1">
        <v>0</v>
      </c>
      <c r="L863" s="1">
        <v>2</v>
      </c>
      <c r="S863" s="1" t="s">
        <v>9616</v>
      </c>
      <c r="T863" s="1">
        <v>1</v>
      </c>
      <c r="U863" s="19"/>
      <c r="V863" s="19"/>
      <c r="W863" s="218">
        <v>1</v>
      </c>
      <c r="X863" s="218">
        <v>1</v>
      </c>
      <c r="Y863" s="218">
        <v>1</v>
      </c>
    </row>
    <row r="864" spans="1:25" x14ac:dyDescent="0.3">
      <c r="A864" s="1" t="s">
        <v>2299</v>
      </c>
      <c r="B864" s="5">
        <v>46172</v>
      </c>
      <c r="C864" s="6">
        <v>0.16666666666666699</v>
      </c>
      <c r="D864" s="1" t="s">
        <v>7</v>
      </c>
      <c r="E864" s="1" t="s">
        <v>2229</v>
      </c>
      <c r="F864" s="1" t="s">
        <v>2300</v>
      </c>
      <c r="G864" s="39" t="s">
        <v>2177</v>
      </c>
      <c r="H864" s="1">
        <v>0</v>
      </c>
      <c r="I864" s="1">
        <v>0</v>
      </c>
      <c r="J864" s="39" t="s">
        <v>248</v>
      </c>
      <c r="K864" s="1">
        <v>0</v>
      </c>
      <c r="L864" s="1">
        <v>0</v>
      </c>
      <c r="S864" s="1" t="s">
        <v>9617</v>
      </c>
      <c r="T864" s="1">
        <v>1</v>
      </c>
      <c r="U864" s="19"/>
      <c r="V864" s="19"/>
      <c r="W864" s="218">
        <v>1</v>
      </c>
      <c r="X864" s="218">
        <v>1</v>
      </c>
      <c r="Y864" s="218">
        <v>1</v>
      </c>
    </row>
    <row r="865" spans="1:25" ht="14.4" x14ac:dyDescent="0.3">
      <c r="A865" s="1" t="s">
        <v>2301</v>
      </c>
      <c r="B865" s="5">
        <v>46165</v>
      </c>
      <c r="C865" s="6">
        <v>0.26041666666666702</v>
      </c>
      <c r="D865" s="1" t="s">
        <v>7</v>
      </c>
      <c r="E865" s="1" t="s">
        <v>2229</v>
      </c>
      <c r="F865" s="1" t="s">
        <v>2302</v>
      </c>
      <c r="G865" s="39" t="s">
        <v>269</v>
      </c>
      <c r="H865" s="1">
        <v>1</v>
      </c>
      <c r="I865" s="1">
        <v>2</v>
      </c>
      <c r="J865" s="39" t="s">
        <v>2177</v>
      </c>
      <c r="K865" s="1">
        <v>2</v>
      </c>
      <c r="L865" s="1">
        <v>1</v>
      </c>
      <c r="S865" s="1" t="s">
        <v>9618</v>
      </c>
      <c r="T865">
        <v>1</v>
      </c>
      <c r="U865" s="19"/>
      <c r="V865" s="19"/>
      <c r="W865" s="218">
        <v>1</v>
      </c>
      <c r="X865" s="218">
        <v>1</v>
      </c>
      <c r="Y865" s="218">
        <v>1</v>
      </c>
    </row>
    <row r="866" spans="1:25" x14ac:dyDescent="0.3">
      <c r="A866" s="1" t="s">
        <v>2303</v>
      </c>
      <c r="B866" s="5">
        <v>46242</v>
      </c>
      <c r="C866" s="6">
        <v>0.16666666666666699</v>
      </c>
      <c r="D866" s="1" t="s">
        <v>7</v>
      </c>
      <c r="E866" s="1" t="s">
        <v>2229</v>
      </c>
      <c r="F866" s="1" t="s">
        <v>2304</v>
      </c>
      <c r="G866" s="39" t="s">
        <v>2178</v>
      </c>
      <c r="H866" s="1">
        <v>3</v>
      </c>
      <c r="I866" s="1">
        <v>0</v>
      </c>
      <c r="J866" s="39" t="s">
        <v>2180</v>
      </c>
      <c r="K866" s="1">
        <v>0</v>
      </c>
      <c r="L866" s="1">
        <v>3</v>
      </c>
      <c r="S866" s="1" t="s">
        <v>9619</v>
      </c>
      <c r="T866" s="1">
        <v>1</v>
      </c>
      <c r="U866" s="19"/>
      <c r="V866" s="19"/>
      <c r="W866" s="218">
        <v>1</v>
      </c>
      <c r="X866" s="218">
        <v>1</v>
      </c>
      <c r="Y866" s="218">
        <v>1</v>
      </c>
    </row>
    <row r="867" spans="1:25" x14ac:dyDescent="0.3">
      <c r="A867" s="1" t="s">
        <v>2305</v>
      </c>
      <c r="B867" s="5">
        <v>46235</v>
      </c>
      <c r="C867" s="6">
        <v>0.22916666666666699</v>
      </c>
      <c r="D867" s="1" t="s">
        <v>7</v>
      </c>
      <c r="E867" s="1" t="s">
        <v>2229</v>
      </c>
      <c r="F867" s="1" t="s">
        <v>2306</v>
      </c>
      <c r="G867" s="39" t="s">
        <v>2181</v>
      </c>
      <c r="H867" s="1">
        <v>2</v>
      </c>
      <c r="I867" s="1">
        <v>3</v>
      </c>
      <c r="J867" s="39" t="s">
        <v>2178</v>
      </c>
      <c r="K867" s="1">
        <v>3</v>
      </c>
      <c r="L867" s="1">
        <v>2</v>
      </c>
      <c r="S867" s="1" t="s">
        <v>9620</v>
      </c>
      <c r="T867" s="1">
        <v>1</v>
      </c>
      <c r="U867" s="19"/>
      <c r="V867" s="19"/>
      <c r="W867" s="218">
        <v>1</v>
      </c>
      <c r="X867" s="218">
        <v>1</v>
      </c>
      <c r="Y867" s="218">
        <v>1</v>
      </c>
    </row>
    <row r="868" spans="1:25" x14ac:dyDescent="0.3">
      <c r="A868" s="1" t="s">
        <v>2307</v>
      </c>
      <c r="B868" s="5">
        <v>46221</v>
      </c>
      <c r="C868" s="6">
        <v>0.20833333333333301</v>
      </c>
      <c r="D868" s="1" t="s">
        <v>7</v>
      </c>
      <c r="E868" s="1" t="s">
        <v>2229</v>
      </c>
      <c r="F868" s="1" t="s">
        <v>2308</v>
      </c>
      <c r="G868" s="39" t="s">
        <v>2183</v>
      </c>
      <c r="H868" s="1">
        <v>2</v>
      </c>
      <c r="I868" s="1">
        <v>3</v>
      </c>
      <c r="J868" s="39" t="s">
        <v>2178</v>
      </c>
      <c r="K868" s="1">
        <v>3</v>
      </c>
      <c r="L868" s="1">
        <v>2</v>
      </c>
      <c r="S868" s="1" t="s">
        <v>9621</v>
      </c>
      <c r="T868" s="1">
        <v>1</v>
      </c>
      <c r="U868" s="19"/>
      <c r="V868" s="19"/>
      <c r="W868" s="218">
        <v>1</v>
      </c>
      <c r="X868" s="218">
        <v>1</v>
      </c>
      <c r="Y868" s="218">
        <v>1</v>
      </c>
    </row>
    <row r="869" spans="1:25" x14ac:dyDescent="0.3">
      <c r="A869" s="1" t="s">
        <v>2309</v>
      </c>
      <c r="B869" s="5">
        <v>46214</v>
      </c>
      <c r="C869" s="6">
        <v>0.16666666666666699</v>
      </c>
      <c r="D869" s="1" t="s">
        <v>7</v>
      </c>
      <c r="E869" s="1" t="s">
        <v>2229</v>
      </c>
      <c r="F869" s="1" t="s">
        <v>2310</v>
      </c>
      <c r="G869" s="39" t="s">
        <v>2178</v>
      </c>
      <c r="H869" s="1">
        <v>1</v>
      </c>
      <c r="I869" s="1">
        <v>3</v>
      </c>
      <c r="J869" s="39" t="s">
        <v>248</v>
      </c>
      <c r="K869" s="1">
        <v>3</v>
      </c>
      <c r="L869" s="1">
        <v>1</v>
      </c>
      <c r="S869" s="1" t="s">
        <v>9622</v>
      </c>
      <c r="T869" s="1">
        <v>1</v>
      </c>
      <c r="U869" s="19"/>
      <c r="V869" s="19"/>
      <c r="W869" s="218">
        <v>1</v>
      </c>
      <c r="X869" s="218">
        <v>1</v>
      </c>
      <c r="Y869" s="218">
        <v>1</v>
      </c>
    </row>
    <row r="870" spans="1:25" x14ac:dyDescent="0.3">
      <c r="A870" s="1" t="s">
        <v>2311</v>
      </c>
      <c r="B870" s="5">
        <v>46203</v>
      </c>
      <c r="C870" s="6">
        <v>0.29166666666666702</v>
      </c>
      <c r="D870" s="1" t="s">
        <v>7</v>
      </c>
      <c r="E870" s="1" t="s">
        <v>2229</v>
      </c>
      <c r="F870" s="1" t="s">
        <v>2312</v>
      </c>
      <c r="G870" s="39" t="s">
        <v>2178</v>
      </c>
      <c r="H870" s="1">
        <v>0</v>
      </c>
      <c r="I870" s="1">
        <v>1</v>
      </c>
      <c r="J870" s="39" t="s">
        <v>249</v>
      </c>
      <c r="K870" s="1">
        <v>1</v>
      </c>
      <c r="L870" s="1">
        <v>0</v>
      </c>
      <c r="S870" s="1" t="s">
        <v>9623</v>
      </c>
      <c r="T870" s="1">
        <v>1</v>
      </c>
      <c r="U870" s="19"/>
      <c r="V870" s="19"/>
      <c r="W870" s="218">
        <v>1</v>
      </c>
      <c r="X870" s="218">
        <v>1</v>
      </c>
      <c r="Y870" s="218">
        <v>1</v>
      </c>
    </row>
    <row r="871" spans="1:25" x14ac:dyDescent="0.3">
      <c r="A871" s="1" t="s">
        <v>2313</v>
      </c>
      <c r="B871" s="5">
        <v>46200</v>
      </c>
      <c r="C871" s="6">
        <v>0.16666666666666699</v>
      </c>
      <c r="D871" s="1" t="s">
        <v>7</v>
      </c>
      <c r="E871" s="1" t="s">
        <v>2229</v>
      </c>
      <c r="F871" s="1" t="s">
        <v>2314</v>
      </c>
      <c r="G871" s="39" t="s">
        <v>2178</v>
      </c>
      <c r="H871" s="1">
        <v>3</v>
      </c>
      <c r="I871" s="1">
        <v>1</v>
      </c>
      <c r="J871" s="39" t="s">
        <v>269</v>
      </c>
      <c r="K871" s="1">
        <v>1</v>
      </c>
      <c r="L871" s="1">
        <v>3</v>
      </c>
      <c r="S871" s="1" t="s">
        <v>9624</v>
      </c>
      <c r="T871" s="1">
        <v>1</v>
      </c>
      <c r="U871" s="19"/>
      <c r="V871" s="19"/>
      <c r="W871" s="218">
        <v>1</v>
      </c>
      <c r="X871" s="218">
        <v>1</v>
      </c>
      <c r="Y871" s="218">
        <v>1</v>
      </c>
    </row>
    <row r="872" spans="1:25" x14ac:dyDescent="0.3">
      <c r="A872" s="1" t="s">
        <v>2315</v>
      </c>
      <c r="B872" s="5">
        <v>46183</v>
      </c>
      <c r="C872" s="6">
        <v>0.27083333333333298</v>
      </c>
      <c r="D872" s="1" t="s">
        <v>7</v>
      </c>
      <c r="E872" s="1" t="s">
        <v>2229</v>
      </c>
      <c r="F872" s="1" t="s">
        <v>2316</v>
      </c>
      <c r="G872" s="39" t="s">
        <v>264</v>
      </c>
      <c r="H872" s="1">
        <v>1</v>
      </c>
      <c r="I872" s="1">
        <v>1</v>
      </c>
      <c r="J872" s="39" t="s">
        <v>2178</v>
      </c>
      <c r="K872" s="1">
        <v>1</v>
      </c>
      <c r="L872" s="1">
        <v>1</v>
      </c>
      <c r="S872" s="1" t="s">
        <v>9625</v>
      </c>
      <c r="T872" s="1">
        <v>1</v>
      </c>
      <c r="U872" s="19"/>
      <c r="V872" s="19"/>
      <c r="W872" s="218">
        <v>1</v>
      </c>
      <c r="X872" s="218">
        <v>1</v>
      </c>
      <c r="Y872" s="218">
        <v>1</v>
      </c>
    </row>
    <row r="873" spans="1:25" ht="14.4" x14ac:dyDescent="0.3">
      <c r="A873" s="1" t="s">
        <v>2317</v>
      </c>
      <c r="B873" s="5">
        <v>46179</v>
      </c>
      <c r="C873" s="6">
        <v>0.16666666666666699</v>
      </c>
      <c r="D873" s="1" t="s">
        <v>7</v>
      </c>
      <c r="E873" s="1" t="s">
        <v>2229</v>
      </c>
      <c r="F873" s="1" t="s">
        <v>2318</v>
      </c>
      <c r="G873" s="39" t="s">
        <v>2178</v>
      </c>
      <c r="H873" s="1">
        <v>2</v>
      </c>
      <c r="I873" s="1">
        <v>0</v>
      </c>
      <c r="J873" s="39" t="s">
        <v>2182</v>
      </c>
      <c r="K873" s="1">
        <v>0</v>
      </c>
      <c r="L873" s="1">
        <v>2</v>
      </c>
      <c r="S873" s="1" t="s">
        <v>9626</v>
      </c>
      <c r="T873">
        <v>1</v>
      </c>
      <c r="U873" s="19"/>
      <c r="V873" s="19"/>
      <c r="W873" s="218">
        <v>1</v>
      </c>
      <c r="X873" s="218">
        <v>1</v>
      </c>
      <c r="Y873" s="218">
        <v>1</v>
      </c>
    </row>
    <row r="874" spans="1:25" x14ac:dyDescent="0.3">
      <c r="A874" s="1" t="s">
        <v>2319</v>
      </c>
      <c r="B874" s="5">
        <v>46228</v>
      </c>
      <c r="C874" s="6">
        <v>0.22916666666666699</v>
      </c>
      <c r="D874" s="1" t="s">
        <v>7</v>
      </c>
      <c r="E874" s="1" t="s">
        <v>2229</v>
      </c>
      <c r="F874" s="1" t="s">
        <v>2320</v>
      </c>
      <c r="G874" s="39" t="s">
        <v>2181</v>
      </c>
      <c r="H874" s="1">
        <v>0</v>
      </c>
      <c r="I874" s="1">
        <v>0</v>
      </c>
      <c r="J874" s="39" t="s">
        <v>249</v>
      </c>
      <c r="K874" s="1">
        <v>0</v>
      </c>
      <c r="L874" s="1">
        <v>0</v>
      </c>
      <c r="S874" s="1" t="s">
        <v>9627</v>
      </c>
      <c r="T874" s="1">
        <v>1</v>
      </c>
      <c r="U874" s="19"/>
      <c r="V874" s="19"/>
      <c r="W874" s="218">
        <v>1</v>
      </c>
      <c r="X874" s="218">
        <v>1</v>
      </c>
      <c r="Y874" s="218">
        <v>1</v>
      </c>
    </row>
    <row r="875" spans="1:25" x14ac:dyDescent="0.3">
      <c r="A875" s="1" t="s">
        <v>2321</v>
      </c>
      <c r="B875" s="5">
        <v>46207</v>
      </c>
      <c r="C875" s="6">
        <v>8.3333333333333301E-2</v>
      </c>
      <c r="D875" s="1" t="s">
        <v>7</v>
      </c>
      <c r="E875" s="1" t="s">
        <v>2229</v>
      </c>
      <c r="F875" s="1" t="s">
        <v>2322</v>
      </c>
      <c r="G875" s="39" t="s">
        <v>2182</v>
      </c>
      <c r="H875" s="1">
        <v>3</v>
      </c>
      <c r="I875" s="1">
        <v>2</v>
      </c>
      <c r="J875" s="39" t="s">
        <v>249</v>
      </c>
      <c r="K875" s="1">
        <v>2</v>
      </c>
      <c r="L875" s="1">
        <v>3</v>
      </c>
      <c r="S875" s="1" t="s">
        <v>9628</v>
      </c>
      <c r="T875" s="1">
        <v>1</v>
      </c>
      <c r="U875" s="19"/>
      <c r="V875" s="19"/>
      <c r="W875" s="218">
        <v>1</v>
      </c>
      <c r="X875" s="218">
        <v>1</v>
      </c>
      <c r="Y875" s="218">
        <v>1</v>
      </c>
    </row>
    <row r="876" spans="1:25" x14ac:dyDescent="0.3">
      <c r="A876" s="1" t="s">
        <v>2323</v>
      </c>
      <c r="B876" s="5">
        <v>46194</v>
      </c>
      <c r="C876" s="6">
        <v>8.3333333333333301E-2</v>
      </c>
      <c r="D876" s="1" t="s">
        <v>7</v>
      </c>
      <c r="E876" s="1" t="s">
        <v>2229</v>
      </c>
      <c r="F876" s="1" t="s">
        <v>2324</v>
      </c>
      <c r="G876" s="39" t="s">
        <v>2183</v>
      </c>
      <c r="H876" s="1">
        <v>2</v>
      </c>
      <c r="I876" s="1">
        <v>3</v>
      </c>
      <c r="J876" s="39" t="s">
        <v>249</v>
      </c>
      <c r="K876" s="1">
        <v>3</v>
      </c>
      <c r="L876" s="1">
        <v>2</v>
      </c>
      <c r="S876" s="1" t="s">
        <v>9629</v>
      </c>
      <c r="T876" s="1">
        <v>1</v>
      </c>
      <c r="U876" s="19"/>
      <c r="V876" s="19"/>
      <c r="W876" s="218">
        <v>1</v>
      </c>
      <c r="X876" s="218">
        <v>1</v>
      </c>
      <c r="Y876" s="218">
        <v>1</v>
      </c>
    </row>
    <row r="877" spans="1:25" x14ac:dyDescent="0.3">
      <c r="A877" s="1" t="s">
        <v>2325</v>
      </c>
      <c r="B877" s="5">
        <v>46178</v>
      </c>
      <c r="C877" s="6">
        <v>0.27083333333333298</v>
      </c>
      <c r="D877" s="1" t="s">
        <v>7</v>
      </c>
      <c r="E877" s="1" t="s">
        <v>2229</v>
      </c>
      <c r="F877" s="1" t="s">
        <v>2326</v>
      </c>
      <c r="G877" s="39" t="s">
        <v>249</v>
      </c>
      <c r="H877" s="1">
        <v>1</v>
      </c>
      <c r="I877" s="1">
        <v>0</v>
      </c>
      <c r="J877" s="39" t="s">
        <v>2208</v>
      </c>
      <c r="K877" s="1">
        <v>0</v>
      </c>
      <c r="L877" s="1">
        <v>1</v>
      </c>
      <c r="S877" s="1" t="s">
        <v>9630</v>
      </c>
      <c r="T877" s="1">
        <v>1</v>
      </c>
      <c r="U877" s="19"/>
      <c r="V877" s="19"/>
      <c r="W877" s="218">
        <v>1</v>
      </c>
      <c r="X877" s="218">
        <v>1</v>
      </c>
      <c r="Y877" s="218">
        <v>1</v>
      </c>
    </row>
    <row r="878" spans="1:25" ht="14.4" x14ac:dyDescent="0.3">
      <c r="A878" s="1" t="s">
        <v>2327</v>
      </c>
      <c r="B878" s="5">
        <v>46171</v>
      </c>
      <c r="C878" s="6">
        <v>0.27083333333333298</v>
      </c>
      <c r="D878" s="1" t="s">
        <v>7</v>
      </c>
      <c r="E878" s="1" t="s">
        <v>2229</v>
      </c>
      <c r="F878" s="1" t="s">
        <v>2328</v>
      </c>
      <c r="G878" s="39" t="s">
        <v>249</v>
      </c>
      <c r="H878" s="1">
        <v>0</v>
      </c>
      <c r="I878" s="1">
        <v>6</v>
      </c>
      <c r="J878" s="39" t="s">
        <v>2180</v>
      </c>
      <c r="K878" s="1">
        <v>6</v>
      </c>
      <c r="L878" s="1">
        <v>0</v>
      </c>
      <c r="S878" s="1" t="s">
        <v>9631</v>
      </c>
      <c r="T878">
        <v>1</v>
      </c>
      <c r="U878" s="19"/>
      <c r="V878" s="19"/>
      <c r="W878" s="218">
        <v>1</v>
      </c>
      <c r="X878" s="218">
        <v>1</v>
      </c>
      <c r="Y878" s="218">
        <v>1</v>
      </c>
    </row>
    <row r="879" spans="1:25" x14ac:dyDescent="0.3">
      <c r="A879" s="1" t="s">
        <v>2329</v>
      </c>
      <c r="B879" s="5">
        <v>46235</v>
      </c>
      <c r="C879" s="6">
        <v>8.3333333333333301E-2</v>
      </c>
      <c r="D879" s="1" t="s">
        <v>7</v>
      </c>
      <c r="E879" s="1" t="s">
        <v>2229</v>
      </c>
      <c r="F879" s="1" t="s">
        <v>2330</v>
      </c>
      <c r="G879" s="39" t="s">
        <v>2180</v>
      </c>
      <c r="H879" s="1">
        <v>2</v>
      </c>
      <c r="I879" s="1">
        <v>1</v>
      </c>
      <c r="J879" s="39" t="s">
        <v>2182</v>
      </c>
      <c r="K879" s="1">
        <v>1</v>
      </c>
      <c r="L879" s="1">
        <v>2</v>
      </c>
      <c r="S879" s="1" t="s">
        <v>9632</v>
      </c>
      <c r="T879" s="1">
        <v>1</v>
      </c>
      <c r="U879" s="19"/>
      <c r="V879" s="19"/>
      <c r="W879" s="218">
        <v>1</v>
      </c>
      <c r="X879" s="218">
        <v>1</v>
      </c>
      <c r="Y879" s="218">
        <v>1</v>
      </c>
    </row>
    <row r="880" spans="1:25" x14ac:dyDescent="0.3">
      <c r="A880" s="1" t="s">
        <v>2331</v>
      </c>
      <c r="B880" s="5">
        <v>46228</v>
      </c>
      <c r="C880" s="6">
        <v>0.1875</v>
      </c>
      <c r="D880" s="1" t="s">
        <v>7</v>
      </c>
      <c r="E880" s="1" t="s">
        <v>2229</v>
      </c>
      <c r="F880" s="1" t="s">
        <v>2332</v>
      </c>
      <c r="G880" s="39" t="s">
        <v>2208</v>
      </c>
      <c r="H880" s="1">
        <v>0</v>
      </c>
      <c r="I880" s="1">
        <v>4</v>
      </c>
      <c r="J880" s="39" t="s">
        <v>2180</v>
      </c>
      <c r="K880" s="1">
        <v>4</v>
      </c>
      <c r="L880" s="1">
        <v>0</v>
      </c>
      <c r="S880" s="1" t="s">
        <v>9633</v>
      </c>
      <c r="T880" s="1">
        <v>1</v>
      </c>
      <c r="U880" s="19"/>
      <c r="V880" s="19"/>
      <c r="W880" s="218">
        <v>1</v>
      </c>
      <c r="X880" s="218">
        <v>1</v>
      </c>
      <c r="Y880" s="218">
        <v>1</v>
      </c>
    </row>
    <row r="881" spans="1:25" x14ac:dyDescent="0.3">
      <c r="A881" s="1" t="s">
        <v>2333</v>
      </c>
      <c r="B881" s="5">
        <v>46207</v>
      </c>
      <c r="C881" s="6">
        <v>8.3333333333333301E-2</v>
      </c>
      <c r="D881" s="1" t="s">
        <v>7</v>
      </c>
      <c r="E881" s="1" t="s">
        <v>2229</v>
      </c>
      <c r="F881" s="1" t="s">
        <v>2334</v>
      </c>
      <c r="G881" s="39" t="s">
        <v>2180</v>
      </c>
      <c r="H881" s="1">
        <v>2</v>
      </c>
      <c r="I881" s="1">
        <v>1</v>
      </c>
      <c r="J881" s="39" t="s">
        <v>264</v>
      </c>
      <c r="K881" s="1">
        <v>1</v>
      </c>
      <c r="L881" s="1">
        <v>2</v>
      </c>
      <c r="S881" s="1" t="s">
        <v>9634</v>
      </c>
      <c r="T881" s="1">
        <v>1</v>
      </c>
      <c r="U881" s="19"/>
      <c r="V881" s="19"/>
      <c r="W881" s="218">
        <v>1</v>
      </c>
      <c r="X881" s="218">
        <v>1</v>
      </c>
      <c r="Y881" s="218">
        <v>1</v>
      </c>
    </row>
    <row r="882" spans="1:25" ht="14.4" x14ac:dyDescent="0.3">
      <c r="A882" s="1" t="s">
        <v>2335</v>
      </c>
      <c r="B882" s="5">
        <v>46186</v>
      </c>
      <c r="C882" s="6">
        <v>8.3333333333333301E-2</v>
      </c>
      <c r="D882" s="1" t="s">
        <v>7</v>
      </c>
      <c r="E882" s="1" t="s">
        <v>2229</v>
      </c>
      <c r="F882" s="1" t="s">
        <v>2336</v>
      </c>
      <c r="G882" s="39" t="s">
        <v>2180</v>
      </c>
      <c r="H882" s="1">
        <v>1</v>
      </c>
      <c r="I882" s="1">
        <v>1</v>
      </c>
      <c r="J882" s="39" t="s">
        <v>269</v>
      </c>
      <c r="K882" s="1">
        <v>1</v>
      </c>
      <c r="L882" s="1">
        <v>1</v>
      </c>
      <c r="S882" s="1" t="s">
        <v>9635</v>
      </c>
      <c r="T882">
        <v>1</v>
      </c>
      <c r="U882" s="19"/>
      <c r="V882" s="19"/>
      <c r="W882" s="218">
        <v>1</v>
      </c>
      <c r="X882" s="218">
        <v>1</v>
      </c>
      <c r="Y882" s="218">
        <v>1</v>
      </c>
    </row>
    <row r="883" spans="1:25" x14ac:dyDescent="0.3">
      <c r="A883" s="1" t="s">
        <v>2337</v>
      </c>
      <c r="B883" s="5">
        <v>46242</v>
      </c>
      <c r="C883" s="6">
        <v>0.1875</v>
      </c>
      <c r="D883" s="1" t="s">
        <v>7</v>
      </c>
      <c r="E883" s="1" t="s">
        <v>2229</v>
      </c>
      <c r="F883" s="1" t="s">
        <v>2338</v>
      </c>
      <c r="G883" s="39" t="s">
        <v>2208</v>
      </c>
      <c r="H883" s="1">
        <v>3</v>
      </c>
      <c r="I883" s="1">
        <v>1</v>
      </c>
      <c r="J883" s="39" t="s">
        <v>248</v>
      </c>
      <c r="K883" s="1">
        <v>1</v>
      </c>
      <c r="L883" s="1">
        <v>3</v>
      </c>
      <c r="S883" s="1" t="s">
        <v>9636</v>
      </c>
      <c r="T883" s="1">
        <v>1</v>
      </c>
      <c r="U883" s="19"/>
      <c r="V883" s="19"/>
      <c r="W883" s="218">
        <v>1</v>
      </c>
      <c r="X883" s="218">
        <v>1</v>
      </c>
      <c r="Y883" s="218">
        <v>1</v>
      </c>
    </row>
    <row r="884" spans="1:25" x14ac:dyDescent="0.3">
      <c r="A884" s="1" t="s">
        <v>2339</v>
      </c>
      <c r="B884" s="5">
        <v>46221</v>
      </c>
      <c r="C884" s="6">
        <v>0.17708333333333301</v>
      </c>
      <c r="D884" s="1" t="s">
        <v>7</v>
      </c>
      <c r="E884" s="1" t="s">
        <v>2229</v>
      </c>
      <c r="F884" s="1" t="s">
        <v>2340</v>
      </c>
      <c r="G884" s="39" t="s">
        <v>2182</v>
      </c>
      <c r="H884" s="1">
        <v>3</v>
      </c>
      <c r="I884" s="1">
        <v>1</v>
      </c>
      <c r="J884" s="39" t="s">
        <v>2208</v>
      </c>
      <c r="K884" s="1">
        <v>1</v>
      </c>
      <c r="L884" s="1">
        <v>3</v>
      </c>
      <c r="S884" s="1" t="s">
        <v>9637</v>
      </c>
      <c r="T884" s="1">
        <v>1</v>
      </c>
      <c r="U884" s="19"/>
      <c r="V884" s="19"/>
      <c r="W884" s="218">
        <v>1</v>
      </c>
      <c r="X884" s="218">
        <v>1</v>
      </c>
      <c r="Y884" s="218">
        <v>1</v>
      </c>
    </row>
    <row r="885" spans="1:25" x14ac:dyDescent="0.3">
      <c r="A885" s="1" t="s">
        <v>2341</v>
      </c>
      <c r="B885" s="5">
        <v>46214</v>
      </c>
      <c r="C885" s="6">
        <v>0.1875</v>
      </c>
      <c r="D885" s="1" t="s">
        <v>7</v>
      </c>
      <c r="E885" s="1" t="s">
        <v>2229</v>
      </c>
      <c r="F885" s="1" t="s">
        <v>2342</v>
      </c>
      <c r="G885" s="39" t="s">
        <v>2208</v>
      </c>
      <c r="H885" s="1">
        <v>3</v>
      </c>
      <c r="I885" s="1">
        <v>1</v>
      </c>
      <c r="J885" s="39" t="s">
        <v>2181</v>
      </c>
      <c r="K885" s="1">
        <v>1</v>
      </c>
      <c r="L885" s="1">
        <v>3</v>
      </c>
      <c r="S885" s="1" t="s">
        <v>9638</v>
      </c>
      <c r="T885" s="1">
        <v>1</v>
      </c>
      <c r="U885" s="19"/>
      <c r="V885" s="19"/>
      <c r="W885" s="218">
        <v>1</v>
      </c>
      <c r="X885" s="218">
        <v>1</v>
      </c>
      <c r="Y885" s="218">
        <v>1</v>
      </c>
    </row>
    <row r="886" spans="1:25" x14ac:dyDescent="0.3">
      <c r="A886" s="1" t="s">
        <v>2343</v>
      </c>
      <c r="B886" s="5">
        <v>46200</v>
      </c>
      <c r="C886" s="6">
        <v>0.1875</v>
      </c>
      <c r="D886" s="1" t="s">
        <v>7</v>
      </c>
      <c r="E886" s="1" t="s">
        <v>2229</v>
      </c>
      <c r="F886" s="1" t="s">
        <v>2344</v>
      </c>
      <c r="G886" s="39" t="s">
        <v>2208</v>
      </c>
      <c r="H886" s="1">
        <v>2</v>
      </c>
      <c r="I886" s="1">
        <v>0</v>
      </c>
      <c r="J886" s="39" t="s">
        <v>2183</v>
      </c>
      <c r="K886" s="1">
        <v>0</v>
      </c>
      <c r="L886" s="1">
        <v>2</v>
      </c>
      <c r="S886" s="1" t="s">
        <v>9639</v>
      </c>
      <c r="T886" s="1">
        <v>1</v>
      </c>
      <c r="U886" s="19"/>
      <c r="V886" s="19"/>
      <c r="W886" s="218">
        <v>1</v>
      </c>
      <c r="X886" s="218">
        <v>1</v>
      </c>
      <c r="Y886" s="218">
        <v>1</v>
      </c>
    </row>
    <row r="887" spans="1:25" x14ac:dyDescent="0.3">
      <c r="A887" s="1" t="s">
        <v>2345</v>
      </c>
      <c r="B887" s="5">
        <v>46193</v>
      </c>
      <c r="C887" s="6">
        <v>0.26041666666666702</v>
      </c>
      <c r="D887" s="1" t="s">
        <v>7</v>
      </c>
      <c r="E887" s="1" t="s">
        <v>2229</v>
      </c>
      <c r="F887" s="1" t="s">
        <v>2346</v>
      </c>
      <c r="G887" s="39" t="s">
        <v>269</v>
      </c>
      <c r="H887" s="1">
        <v>1</v>
      </c>
      <c r="I887" s="1">
        <v>0</v>
      </c>
      <c r="J887" s="39" t="s">
        <v>2208</v>
      </c>
      <c r="K887" s="1">
        <v>0</v>
      </c>
      <c r="L887" s="1">
        <v>1</v>
      </c>
      <c r="S887" s="1" t="s">
        <v>9640</v>
      </c>
      <c r="T887" s="1">
        <v>1</v>
      </c>
      <c r="U887" s="19"/>
      <c r="V887" s="19"/>
      <c r="W887" s="218">
        <v>1</v>
      </c>
      <c r="X887" s="218">
        <v>1</v>
      </c>
      <c r="Y887" s="218">
        <v>1</v>
      </c>
    </row>
    <row r="888" spans="1:25" ht="14.4" x14ac:dyDescent="0.3">
      <c r="A888" s="1" t="s">
        <v>2347</v>
      </c>
      <c r="B888" s="5">
        <v>46186</v>
      </c>
      <c r="C888" s="6">
        <v>0.1875</v>
      </c>
      <c r="D888" s="1" t="s">
        <v>7</v>
      </c>
      <c r="E888" s="1" t="s">
        <v>2229</v>
      </c>
      <c r="F888" s="1" t="s">
        <v>2348</v>
      </c>
      <c r="G888" s="39" t="s">
        <v>2208</v>
      </c>
      <c r="H888" s="1">
        <v>3</v>
      </c>
      <c r="I888" s="1">
        <v>0</v>
      </c>
      <c r="J888" s="39" t="s">
        <v>264</v>
      </c>
      <c r="K888" s="1">
        <v>0</v>
      </c>
      <c r="L888" s="1">
        <v>3</v>
      </c>
      <c r="S888" s="1" t="s">
        <v>9641</v>
      </c>
      <c r="T888">
        <v>1</v>
      </c>
      <c r="U888" s="19"/>
      <c r="V888" s="19"/>
      <c r="W888" s="218">
        <v>1</v>
      </c>
      <c r="X888" s="218">
        <v>1</v>
      </c>
      <c r="Y888" s="218">
        <v>1</v>
      </c>
    </row>
    <row r="889" spans="1:25" x14ac:dyDescent="0.3">
      <c r="A889" s="1" t="s">
        <v>2349</v>
      </c>
      <c r="B889" s="5">
        <v>46222</v>
      </c>
      <c r="C889" s="6">
        <v>8.3333333333333301E-2</v>
      </c>
      <c r="D889" s="1" t="s">
        <v>7</v>
      </c>
      <c r="E889" s="1" t="s">
        <v>2229</v>
      </c>
      <c r="F889" s="1" t="s">
        <v>2350</v>
      </c>
      <c r="G889" s="39" t="s">
        <v>248</v>
      </c>
      <c r="H889" s="1">
        <v>3</v>
      </c>
      <c r="I889" s="1">
        <v>0</v>
      </c>
      <c r="J889" s="39" t="s">
        <v>269</v>
      </c>
      <c r="K889" s="1">
        <v>0</v>
      </c>
      <c r="L889" s="1">
        <v>3</v>
      </c>
      <c r="S889" s="1" t="s">
        <v>9642</v>
      </c>
      <c r="T889" s="1">
        <v>1</v>
      </c>
      <c r="U889" s="19"/>
      <c r="V889" s="19"/>
      <c r="W889" s="218">
        <v>1</v>
      </c>
      <c r="X889" s="218">
        <v>1</v>
      </c>
      <c r="Y889" s="218">
        <v>1</v>
      </c>
    </row>
    <row r="890" spans="1:25" x14ac:dyDescent="0.3">
      <c r="A890" s="1" t="s">
        <v>2351</v>
      </c>
      <c r="B890" s="5">
        <v>46214</v>
      </c>
      <c r="C890" s="6">
        <v>0.26041666666666702</v>
      </c>
      <c r="D890" s="1" t="s">
        <v>7</v>
      </c>
      <c r="E890" s="1" t="s">
        <v>2229</v>
      </c>
      <c r="F890" s="1" t="s">
        <v>2352</v>
      </c>
      <c r="G890" s="39" t="s">
        <v>269</v>
      </c>
      <c r="H890" s="1">
        <v>0</v>
      </c>
      <c r="I890" s="1">
        <v>2</v>
      </c>
      <c r="J890" s="39" t="s">
        <v>2182</v>
      </c>
      <c r="K890" s="1">
        <v>2</v>
      </c>
      <c r="L890" s="1">
        <v>0</v>
      </c>
      <c r="S890" s="1" t="s">
        <v>9643</v>
      </c>
      <c r="T890" s="1">
        <v>1</v>
      </c>
      <c r="U890" s="19"/>
      <c r="V890" s="19"/>
      <c r="W890" s="218">
        <v>1</v>
      </c>
      <c r="X890" s="218">
        <v>1</v>
      </c>
      <c r="Y890" s="218">
        <v>1</v>
      </c>
    </row>
    <row r="891" spans="1:25" x14ac:dyDescent="0.3">
      <c r="A891" s="1" t="s">
        <v>2353</v>
      </c>
      <c r="B891" s="5">
        <v>46208</v>
      </c>
      <c r="C891" s="6">
        <v>8.3333333333333301E-2</v>
      </c>
      <c r="D891" s="1" t="s">
        <v>7</v>
      </c>
      <c r="E891" s="1" t="s">
        <v>2229</v>
      </c>
      <c r="F891" s="1" t="s">
        <v>2354</v>
      </c>
      <c r="G891" s="39" t="s">
        <v>2183</v>
      </c>
      <c r="H891" s="1">
        <v>3</v>
      </c>
      <c r="I891" s="1">
        <v>3</v>
      </c>
      <c r="J891" s="39" t="s">
        <v>269</v>
      </c>
      <c r="K891" s="1">
        <v>3</v>
      </c>
      <c r="L891" s="1">
        <v>3</v>
      </c>
      <c r="S891" s="1" t="s">
        <v>9644</v>
      </c>
      <c r="T891" s="1">
        <v>1</v>
      </c>
      <c r="U891" s="19"/>
      <c r="V891" s="19"/>
      <c r="W891" s="218">
        <v>1</v>
      </c>
      <c r="X891" s="218">
        <v>1</v>
      </c>
      <c r="Y891" s="218">
        <v>1</v>
      </c>
    </row>
    <row r="892" spans="1:25" x14ac:dyDescent="0.3">
      <c r="A892" s="1" t="s">
        <v>2355</v>
      </c>
      <c r="B892" s="5">
        <v>46179</v>
      </c>
      <c r="C892" s="6">
        <v>0.26041666666666702</v>
      </c>
      <c r="D892" s="1" t="s">
        <v>7</v>
      </c>
      <c r="E892" s="1" t="s">
        <v>2229</v>
      </c>
      <c r="F892" s="1" t="s">
        <v>2356</v>
      </c>
      <c r="G892" s="39" t="s">
        <v>269</v>
      </c>
      <c r="H892" s="1">
        <v>1</v>
      </c>
      <c r="I892" s="1">
        <v>1</v>
      </c>
      <c r="J892" s="39" t="s">
        <v>264</v>
      </c>
      <c r="K892" s="1">
        <v>1</v>
      </c>
      <c r="L892" s="1">
        <v>1</v>
      </c>
      <c r="S892" s="1" t="s">
        <v>9645</v>
      </c>
      <c r="T892" s="1">
        <v>1</v>
      </c>
      <c r="U892" s="19"/>
      <c r="V892" s="19"/>
      <c r="W892" s="218">
        <v>1</v>
      </c>
      <c r="X892" s="218">
        <v>1</v>
      </c>
      <c r="Y892" s="218">
        <v>1</v>
      </c>
    </row>
    <row r="893" spans="1:25" ht="14.4" x14ac:dyDescent="0.3">
      <c r="A893" s="1" t="s">
        <v>2357</v>
      </c>
      <c r="B893" s="5">
        <v>46172</v>
      </c>
      <c r="C893" s="6">
        <v>0.23263888888888901</v>
      </c>
      <c r="D893" s="1" t="s">
        <v>7</v>
      </c>
      <c r="E893" s="1" t="s">
        <v>2229</v>
      </c>
      <c r="F893" s="1" t="s">
        <v>2358</v>
      </c>
      <c r="G893" s="39" t="s">
        <v>2181</v>
      </c>
      <c r="H893" s="1">
        <v>0</v>
      </c>
      <c r="I893" s="1">
        <v>1</v>
      </c>
      <c r="J893" s="39" t="s">
        <v>269</v>
      </c>
      <c r="K893" s="1">
        <v>1</v>
      </c>
      <c r="L893" s="1">
        <v>0</v>
      </c>
      <c r="S893" s="1" t="s">
        <v>9646</v>
      </c>
      <c r="T893">
        <v>1</v>
      </c>
      <c r="U893" s="19"/>
      <c r="V893" s="19"/>
      <c r="W893" s="218">
        <v>1</v>
      </c>
      <c r="X893" s="218">
        <v>1</v>
      </c>
      <c r="Y893" s="218">
        <v>1</v>
      </c>
    </row>
    <row r="894" spans="1:25" x14ac:dyDescent="0.3">
      <c r="A894" s="1" t="s">
        <v>2359</v>
      </c>
      <c r="B894" s="5">
        <v>46229</v>
      </c>
      <c r="C894" s="6">
        <v>8.3333333333333301E-2</v>
      </c>
      <c r="D894" s="1" t="s">
        <v>7</v>
      </c>
      <c r="E894" s="1" t="s">
        <v>2229</v>
      </c>
      <c r="F894" s="1" t="s">
        <v>2360</v>
      </c>
      <c r="G894" s="39" t="s">
        <v>2183</v>
      </c>
      <c r="H894" s="1">
        <v>0</v>
      </c>
      <c r="I894" s="1">
        <v>2</v>
      </c>
      <c r="J894" s="39" t="s">
        <v>248</v>
      </c>
      <c r="K894" s="1">
        <v>2</v>
      </c>
      <c r="L894" s="1">
        <v>0</v>
      </c>
      <c r="S894" s="1" t="s">
        <v>9647</v>
      </c>
      <c r="T894" s="1">
        <v>1</v>
      </c>
      <c r="U894" s="19"/>
      <c r="V894" s="19"/>
      <c r="W894" s="218">
        <v>1</v>
      </c>
      <c r="X894" s="218">
        <v>1</v>
      </c>
      <c r="Y894" s="218">
        <v>1</v>
      </c>
    </row>
    <row r="895" spans="1:25" x14ac:dyDescent="0.3">
      <c r="A895" s="1" t="s">
        <v>2361</v>
      </c>
      <c r="B895" s="5">
        <v>46214</v>
      </c>
      <c r="C895" s="6">
        <v>0.16666666666666699</v>
      </c>
      <c r="D895" s="1" t="s">
        <v>7</v>
      </c>
      <c r="E895" s="1" t="s">
        <v>2229</v>
      </c>
      <c r="F895" s="1" t="s">
        <v>2362</v>
      </c>
      <c r="G895" s="39" t="s">
        <v>264</v>
      </c>
      <c r="H895" s="1">
        <v>3</v>
      </c>
      <c r="I895" s="1">
        <v>2</v>
      </c>
      <c r="J895" s="39" t="s">
        <v>2183</v>
      </c>
      <c r="K895" s="1">
        <v>2</v>
      </c>
      <c r="L895" s="1">
        <v>3</v>
      </c>
      <c r="S895" s="1" t="s">
        <v>9648</v>
      </c>
      <c r="T895" s="1">
        <v>1</v>
      </c>
      <c r="U895" s="19"/>
      <c r="V895" s="19"/>
      <c r="W895" s="218">
        <v>1</v>
      </c>
      <c r="X895" s="218">
        <v>1</v>
      </c>
      <c r="Y895" s="218">
        <v>1</v>
      </c>
    </row>
    <row r="896" spans="1:25" x14ac:dyDescent="0.3">
      <c r="A896" s="1" t="s">
        <v>2363</v>
      </c>
      <c r="B896" s="5">
        <v>46172</v>
      </c>
      <c r="C896" s="6">
        <v>0.17708333333333301</v>
      </c>
      <c r="D896" s="1" t="s">
        <v>7</v>
      </c>
      <c r="E896" s="1" t="s">
        <v>2229</v>
      </c>
      <c r="F896" s="1" t="s">
        <v>2364</v>
      </c>
      <c r="G896" s="39" t="s">
        <v>2182</v>
      </c>
      <c r="H896" s="1">
        <v>1</v>
      </c>
      <c r="I896" s="1">
        <v>0</v>
      </c>
      <c r="J896" s="39" t="s">
        <v>2183</v>
      </c>
      <c r="K896" s="1">
        <v>0</v>
      </c>
      <c r="L896" s="1">
        <v>1</v>
      </c>
      <c r="S896" s="1" t="s">
        <v>9649</v>
      </c>
      <c r="T896" s="1">
        <v>1</v>
      </c>
      <c r="U896" s="19"/>
      <c r="V896" s="19"/>
      <c r="W896" s="218">
        <v>1</v>
      </c>
      <c r="X896" s="218">
        <v>1</v>
      </c>
      <c r="Y896" s="218">
        <v>1</v>
      </c>
    </row>
    <row r="897" spans="1:25" x14ac:dyDescent="0.3">
      <c r="A897" s="1" t="s">
        <v>2365</v>
      </c>
      <c r="B897" s="5">
        <v>46166</v>
      </c>
      <c r="C897" s="6">
        <v>8.3333333333333301E-2</v>
      </c>
      <c r="D897" s="1" t="s">
        <v>7</v>
      </c>
      <c r="E897" s="1" t="s">
        <v>2229</v>
      </c>
      <c r="F897" s="1" t="s">
        <v>2366</v>
      </c>
      <c r="G897" s="39" t="s">
        <v>2183</v>
      </c>
      <c r="H897" s="1">
        <v>2</v>
      </c>
      <c r="I897" s="1">
        <v>0</v>
      </c>
      <c r="J897" s="39" t="s">
        <v>2181</v>
      </c>
      <c r="K897" s="1">
        <v>0</v>
      </c>
      <c r="L897" s="1">
        <v>2</v>
      </c>
      <c r="S897" s="1" t="s">
        <v>9650</v>
      </c>
      <c r="T897" s="1">
        <v>1</v>
      </c>
      <c r="U897" s="19"/>
      <c r="V897" s="19"/>
      <c r="W897" s="218">
        <v>1</v>
      </c>
      <c r="X897" s="218">
        <v>1</v>
      </c>
      <c r="Y897" s="218">
        <v>1</v>
      </c>
    </row>
    <row r="898" spans="1:25" ht="14.4" x14ac:dyDescent="0.3">
      <c r="A898" s="1" t="s">
        <v>2367</v>
      </c>
      <c r="B898" s="5">
        <v>46158</v>
      </c>
      <c r="C898" s="6">
        <v>0.16666666666666699</v>
      </c>
      <c r="D898" s="1" t="s">
        <v>7</v>
      </c>
      <c r="E898" s="1" t="s">
        <v>2229</v>
      </c>
      <c r="F898" s="1" t="s">
        <v>2368</v>
      </c>
      <c r="G898" s="39" t="s">
        <v>2177</v>
      </c>
      <c r="H898" s="1">
        <v>0</v>
      </c>
      <c r="I898" s="1">
        <v>1</v>
      </c>
      <c r="J898" s="39" t="s">
        <v>2183</v>
      </c>
      <c r="K898" s="1">
        <v>1</v>
      </c>
      <c r="L898" s="1">
        <v>0</v>
      </c>
      <c r="S898" s="1" t="s">
        <v>9651</v>
      </c>
      <c r="T898">
        <v>1</v>
      </c>
      <c r="U898" s="19"/>
      <c r="V898" s="19"/>
      <c r="W898" s="218">
        <v>0</v>
      </c>
      <c r="X898" s="218">
        <v>0</v>
      </c>
      <c r="Y898" s="218">
        <v>0</v>
      </c>
    </row>
    <row r="899" spans="1:25" ht="14.4" x14ac:dyDescent="0.3">
      <c r="A899" s="1" t="s">
        <v>2369</v>
      </c>
      <c r="B899" s="5">
        <v>46166</v>
      </c>
      <c r="C899" s="6">
        <v>8.3333333333333301E-2</v>
      </c>
      <c r="D899" s="1" t="s">
        <v>7</v>
      </c>
      <c r="E899" s="1" t="s">
        <v>2229</v>
      </c>
      <c r="F899" s="1" t="s">
        <v>2370</v>
      </c>
      <c r="G899" s="39" t="s">
        <v>248</v>
      </c>
      <c r="H899" s="1">
        <v>0</v>
      </c>
      <c r="I899" s="1">
        <v>2</v>
      </c>
      <c r="J899" s="39" t="s">
        <v>264</v>
      </c>
      <c r="K899" s="1">
        <v>2</v>
      </c>
      <c r="L899" s="1">
        <v>0</v>
      </c>
      <c r="S899" s="1" t="s">
        <v>9652</v>
      </c>
      <c r="T899">
        <v>1</v>
      </c>
      <c r="U899" s="19"/>
      <c r="V899" s="19"/>
      <c r="W899" s="218">
        <v>1</v>
      </c>
      <c r="X899" s="218">
        <v>1</v>
      </c>
      <c r="Y899" s="218">
        <v>1</v>
      </c>
    </row>
    <row r="900" spans="1:25" x14ac:dyDescent="0.3">
      <c r="A900" s="1" t="s">
        <v>2371</v>
      </c>
      <c r="B900" s="5">
        <v>46242</v>
      </c>
      <c r="C900" s="6">
        <v>0.104166666666667</v>
      </c>
      <c r="D900" s="1" t="s">
        <v>7</v>
      </c>
      <c r="E900" s="1" t="s">
        <v>2229</v>
      </c>
      <c r="F900" s="1" t="s">
        <v>2372</v>
      </c>
      <c r="G900" s="39" t="s">
        <v>2182</v>
      </c>
      <c r="H900" s="1">
        <v>1</v>
      </c>
      <c r="I900" s="1">
        <v>3</v>
      </c>
      <c r="J900" s="39" t="s">
        <v>264</v>
      </c>
      <c r="K900" s="1">
        <v>3</v>
      </c>
      <c r="L900" s="1">
        <v>1</v>
      </c>
      <c r="S900" s="1" t="s">
        <v>9653</v>
      </c>
      <c r="T900" s="1">
        <v>1</v>
      </c>
      <c r="U900" s="19"/>
      <c r="V900" s="19"/>
      <c r="W900" s="218">
        <v>1</v>
      </c>
      <c r="X900" s="218">
        <v>1</v>
      </c>
      <c r="Y900" s="218">
        <v>1</v>
      </c>
    </row>
    <row r="901" spans="1:25" ht="14.4" x14ac:dyDescent="0.3">
      <c r="A901" s="1" t="s">
        <v>2373</v>
      </c>
      <c r="B901" s="5">
        <v>46186</v>
      </c>
      <c r="C901" s="6">
        <v>8.3333333333333301E-2</v>
      </c>
      <c r="D901" s="1" t="s">
        <v>7</v>
      </c>
      <c r="E901" s="1" t="s">
        <v>2229</v>
      </c>
      <c r="F901" s="1" t="s">
        <v>2374</v>
      </c>
      <c r="G901" s="39" t="s">
        <v>2182</v>
      </c>
      <c r="H901" s="1">
        <v>1</v>
      </c>
      <c r="I901" s="1">
        <v>4</v>
      </c>
      <c r="J901" s="39" t="s">
        <v>2181</v>
      </c>
      <c r="K901" s="1">
        <v>4</v>
      </c>
      <c r="L901" s="1">
        <v>1</v>
      </c>
      <c r="S901" s="1" t="s">
        <v>9654</v>
      </c>
      <c r="T901">
        <v>1</v>
      </c>
      <c r="U901" s="19"/>
      <c r="V901" s="19"/>
      <c r="W901" s="218">
        <v>1</v>
      </c>
      <c r="X901" s="218">
        <v>1</v>
      </c>
      <c r="Y901" s="218">
        <v>1</v>
      </c>
    </row>
    <row r="902" spans="1:25" ht="14.4" x14ac:dyDescent="0.3">
      <c r="A902" s="1" t="s">
        <v>2375</v>
      </c>
      <c r="B902" s="5">
        <v>46200</v>
      </c>
      <c r="C902" s="6">
        <v>0.22916666666666699</v>
      </c>
      <c r="D902" s="1" t="s">
        <v>7</v>
      </c>
      <c r="E902" s="1" t="s">
        <v>2229</v>
      </c>
      <c r="F902" s="1" t="s">
        <v>2376</v>
      </c>
      <c r="G902" s="39" t="s">
        <v>2181</v>
      </c>
      <c r="H902" s="1">
        <v>1</v>
      </c>
      <c r="I902" s="1">
        <v>2</v>
      </c>
      <c r="J902" s="39" t="s">
        <v>264</v>
      </c>
      <c r="K902" s="1">
        <v>2</v>
      </c>
      <c r="L902" s="1">
        <v>1</v>
      </c>
      <c r="S902" s="1" t="s">
        <v>9655</v>
      </c>
      <c r="T902">
        <v>1</v>
      </c>
      <c r="U902" s="19"/>
      <c r="V902" s="19"/>
      <c r="W902" s="218">
        <v>1</v>
      </c>
      <c r="X902" s="218">
        <v>1</v>
      </c>
      <c r="Y902" s="218">
        <v>1</v>
      </c>
    </row>
    <row r="903" spans="1:25" x14ac:dyDescent="0.3">
      <c r="A903" s="1" t="s">
        <v>2388</v>
      </c>
      <c r="B903" s="5">
        <v>46234</v>
      </c>
      <c r="C903" s="6">
        <v>0.27083333333333298</v>
      </c>
      <c r="D903" s="1" t="s">
        <v>7</v>
      </c>
      <c r="E903" s="1" t="s">
        <v>9</v>
      </c>
      <c r="F903" s="1" t="s">
        <v>2389</v>
      </c>
      <c r="G903" s="39" t="s">
        <v>2378</v>
      </c>
      <c r="H903" s="1">
        <v>0</v>
      </c>
      <c r="I903" s="1">
        <v>0</v>
      </c>
      <c r="J903" s="39" t="s">
        <v>2377</v>
      </c>
      <c r="K903" s="1">
        <v>0</v>
      </c>
      <c r="L903" s="1">
        <v>0</v>
      </c>
      <c r="S903" s="1" t="s">
        <v>9656</v>
      </c>
      <c r="T903" s="1">
        <v>1</v>
      </c>
      <c r="U903" s="19"/>
      <c r="V903" s="19"/>
      <c r="W903" s="218">
        <v>1</v>
      </c>
      <c r="X903" s="218">
        <v>1</v>
      </c>
      <c r="Y903" s="218">
        <v>1</v>
      </c>
    </row>
    <row r="904" spans="1:25" x14ac:dyDescent="0.3">
      <c r="A904" s="1" t="s">
        <v>2390</v>
      </c>
      <c r="B904" s="5">
        <v>46227</v>
      </c>
      <c r="C904" s="6">
        <v>0.30208333333333298</v>
      </c>
      <c r="D904" s="1" t="s">
        <v>7</v>
      </c>
      <c r="E904" s="1" t="s">
        <v>9</v>
      </c>
      <c r="F904" s="1" t="s">
        <v>2391</v>
      </c>
      <c r="G904" s="39" t="s">
        <v>2377</v>
      </c>
      <c r="H904" s="1">
        <v>1</v>
      </c>
      <c r="I904" s="1">
        <v>2</v>
      </c>
      <c r="J904" s="39" t="s">
        <v>252</v>
      </c>
      <c r="K904" s="1">
        <v>2</v>
      </c>
      <c r="L904" s="1">
        <v>1</v>
      </c>
      <c r="S904" s="1" t="s">
        <v>9657</v>
      </c>
      <c r="T904" s="1">
        <v>1</v>
      </c>
      <c r="U904" s="19"/>
      <c r="V904" s="19"/>
      <c r="W904" s="218">
        <v>1</v>
      </c>
      <c r="X904" s="218">
        <v>1</v>
      </c>
      <c r="Y904" s="218">
        <v>1</v>
      </c>
    </row>
    <row r="905" spans="1:25" x14ac:dyDescent="0.3">
      <c r="A905" s="1" t="s">
        <v>2392</v>
      </c>
      <c r="B905" s="5">
        <v>46221</v>
      </c>
      <c r="C905" s="6">
        <v>4.1666666666666699E-2</v>
      </c>
      <c r="D905" s="1" t="s">
        <v>7</v>
      </c>
      <c r="E905" s="1" t="s">
        <v>9</v>
      </c>
      <c r="F905" s="1" t="s">
        <v>2393</v>
      </c>
      <c r="G905" s="39" t="s">
        <v>2379</v>
      </c>
      <c r="H905" s="1">
        <v>0</v>
      </c>
      <c r="I905" s="1">
        <v>1</v>
      </c>
      <c r="J905" s="39" t="s">
        <v>2377</v>
      </c>
      <c r="K905" s="1">
        <v>1</v>
      </c>
      <c r="L905" s="1">
        <v>0</v>
      </c>
      <c r="S905" s="1" t="s">
        <v>9658</v>
      </c>
      <c r="T905" s="1">
        <v>1</v>
      </c>
      <c r="U905" s="19"/>
      <c r="V905" s="19"/>
      <c r="W905" s="218">
        <v>1</v>
      </c>
      <c r="X905" s="218">
        <v>1</v>
      </c>
      <c r="Y905" s="218">
        <v>1</v>
      </c>
    </row>
    <row r="906" spans="1:25" x14ac:dyDescent="0.3">
      <c r="A906" s="1" t="s">
        <v>2394</v>
      </c>
      <c r="B906" s="5">
        <v>46213</v>
      </c>
      <c r="C906" s="6">
        <v>0.30208333333333298</v>
      </c>
      <c r="D906" s="1" t="s">
        <v>7</v>
      </c>
      <c r="E906" s="1" t="s">
        <v>9</v>
      </c>
      <c r="F906" s="1" t="s">
        <v>2395</v>
      </c>
      <c r="G906" s="39" t="s">
        <v>2377</v>
      </c>
      <c r="H906" s="1">
        <v>2</v>
      </c>
      <c r="I906" s="1">
        <v>0</v>
      </c>
      <c r="J906" s="39" t="s">
        <v>2380</v>
      </c>
      <c r="K906" s="1">
        <v>0</v>
      </c>
      <c r="L906" s="1">
        <v>2</v>
      </c>
      <c r="S906" s="1" t="s">
        <v>9659</v>
      </c>
      <c r="T906" s="1">
        <v>1</v>
      </c>
      <c r="U906" s="19"/>
      <c r="V906" s="19"/>
      <c r="W906" s="218">
        <v>1</v>
      </c>
      <c r="X906" s="218">
        <v>1</v>
      </c>
      <c r="Y906" s="218">
        <v>1</v>
      </c>
    </row>
    <row r="907" spans="1:25" x14ac:dyDescent="0.3">
      <c r="A907" s="1" t="s">
        <v>2396</v>
      </c>
      <c r="B907" s="5">
        <v>46207</v>
      </c>
      <c r="C907" s="6">
        <v>0.20833333333333301</v>
      </c>
      <c r="D907" s="1" t="s">
        <v>7</v>
      </c>
      <c r="E907" s="1" t="s">
        <v>9</v>
      </c>
      <c r="F907" s="1" t="s">
        <v>2397</v>
      </c>
      <c r="G907" s="39" t="s">
        <v>2381</v>
      </c>
      <c r="H907" s="1">
        <v>1</v>
      </c>
      <c r="I907" s="1">
        <v>1</v>
      </c>
      <c r="J907" s="39" t="s">
        <v>2377</v>
      </c>
      <c r="K907" s="1">
        <v>1</v>
      </c>
      <c r="L907" s="1">
        <v>1</v>
      </c>
      <c r="S907" s="1" t="s">
        <v>9660</v>
      </c>
      <c r="T907" s="1">
        <v>1</v>
      </c>
      <c r="U907" s="19"/>
      <c r="V907" s="19"/>
      <c r="W907" s="218">
        <v>1</v>
      </c>
      <c r="X907" s="218">
        <v>1</v>
      </c>
      <c r="Y907" s="218">
        <v>1</v>
      </c>
    </row>
    <row r="908" spans="1:25" x14ac:dyDescent="0.3">
      <c r="A908" s="1" t="s">
        <v>2398</v>
      </c>
      <c r="B908" s="5">
        <v>46199</v>
      </c>
      <c r="C908" s="6">
        <v>0.27083333333333298</v>
      </c>
      <c r="D908" s="1" t="s">
        <v>7</v>
      </c>
      <c r="E908" s="1" t="s">
        <v>9</v>
      </c>
      <c r="F908" s="1" t="s">
        <v>2399</v>
      </c>
      <c r="G908" s="39" t="s">
        <v>2382</v>
      </c>
      <c r="H908" s="1">
        <v>0</v>
      </c>
      <c r="I908" s="1">
        <v>1</v>
      </c>
      <c r="J908" s="39" t="s">
        <v>2377</v>
      </c>
      <c r="K908" s="1">
        <v>1</v>
      </c>
      <c r="L908" s="1">
        <v>0</v>
      </c>
      <c r="S908" s="1" t="s">
        <v>9661</v>
      </c>
      <c r="T908" s="1">
        <v>1</v>
      </c>
      <c r="U908" s="19"/>
      <c r="V908" s="19"/>
      <c r="W908" s="218">
        <v>1</v>
      </c>
      <c r="X908" s="218">
        <v>1</v>
      </c>
      <c r="Y908" s="218">
        <v>1</v>
      </c>
    </row>
    <row r="909" spans="1:25" x14ac:dyDescent="0.3">
      <c r="A909" s="1" t="s">
        <v>2400</v>
      </c>
      <c r="B909" s="5">
        <v>46192</v>
      </c>
      <c r="C909" s="6">
        <v>0.30208333333333298</v>
      </c>
      <c r="D909" s="1" t="s">
        <v>7</v>
      </c>
      <c r="E909" s="1" t="s">
        <v>9</v>
      </c>
      <c r="F909" s="1" t="s">
        <v>2401</v>
      </c>
      <c r="G909" s="39" t="s">
        <v>2377</v>
      </c>
      <c r="H909" s="1">
        <v>3</v>
      </c>
      <c r="I909" s="1">
        <v>1</v>
      </c>
      <c r="J909" s="39" t="s">
        <v>2383</v>
      </c>
      <c r="K909" s="1">
        <v>1</v>
      </c>
      <c r="L909" s="1">
        <v>3</v>
      </c>
      <c r="S909" s="1" t="s">
        <v>9662</v>
      </c>
      <c r="T909" s="1">
        <v>1</v>
      </c>
      <c r="U909" s="19"/>
      <c r="V909" s="19"/>
      <c r="W909" s="218">
        <v>1</v>
      </c>
      <c r="X909" s="218">
        <v>1</v>
      </c>
      <c r="Y909" s="218">
        <v>1</v>
      </c>
    </row>
    <row r="910" spans="1:25" x14ac:dyDescent="0.3">
      <c r="A910" s="1" t="s">
        <v>2402</v>
      </c>
      <c r="B910" s="5">
        <v>46178</v>
      </c>
      <c r="C910" s="6">
        <v>0.30208333333333298</v>
      </c>
      <c r="D910" s="1" t="s">
        <v>7</v>
      </c>
      <c r="E910" s="1" t="s">
        <v>9</v>
      </c>
      <c r="F910" s="1" t="s">
        <v>2403</v>
      </c>
      <c r="G910" s="39" t="s">
        <v>2377</v>
      </c>
      <c r="H910" s="1">
        <v>2</v>
      </c>
      <c r="I910" s="1">
        <v>2</v>
      </c>
      <c r="J910" s="39" t="s">
        <v>253</v>
      </c>
      <c r="K910" s="1">
        <v>2</v>
      </c>
      <c r="L910" s="1">
        <v>2</v>
      </c>
      <c r="S910" s="1" t="s">
        <v>9663</v>
      </c>
      <c r="T910" s="1">
        <v>1</v>
      </c>
      <c r="U910" s="19"/>
      <c r="V910" s="19"/>
      <c r="W910" s="218">
        <v>1</v>
      </c>
      <c r="X910" s="218">
        <v>1</v>
      </c>
      <c r="Y910" s="218">
        <v>1</v>
      </c>
    </row>
    <row r="911" spans="1:25" x14ac:dyDescent="0.3">
      <c r="A911" s="1" t="s">
        <v>2404</v>
      </c>
      <c r="B911" s="5">
        <v>46172</v>
      </c>
      <c r="C911" s="6">
        <v>0.21875</v>
      </c>
      <c r="D911" s="1" t="s">
        <v>7</v>
      </c>
      <c r="E911" s="1" t="s">
        <v>9</v>
      </c>
      <c r="F911" s="1" t="s">
        <v>2405</v>
      </c>
      <c r="G911" s="39" t="s">
        <v>2384</v>
      </c>
      <c r="H911" s="1">
        <v>0</v>
      </c>
      <c r="I911" s="1">
        <v>2</v>
      </c>
      <c r="J911" s="39" t="s">
        <v>2377</v>
      </c>
      <c r="K911" s="1">
        <v>2</v>
      </c>
      <c r="L911" s="1">
        <v>0</v>
      </c>
      <c r="S911" s="1" t="s">
        <v>9664</v>
      </c>
      <c r="T911" s="1">
        <v>1</v>
      </c>
      <c r="U911" s="19"/>
      <c r="V911" s="19"/>
      <c r="W911" s="218">
        <v>1</v>
      </c>
      <c r="X911" s="218">
        <v>1</v>
      </c>
      <c r="Y911" s="218">
        <v>1</v>
      </c>
    </row>
    <row r="912" spans="1:25" x14ac:dyDescent="0.3">
      <c r="A912" s="1" t="s">
        <v>2406</v>
      </c>
      <c r="B912" s="5">
        <v>46166</v>
      </c>
      <c r="C912" s="6">
        <v>8.3333333333333301E-2</v>
      </c>
      <c r="D912" s="1" t="s">
        <v>7</v>
      </c>
      <c r="E912" s="1" t="s">
        <v>9</v>
      </c>
      <c r="F912" s="1" t="s">
        <v>2407</v>
      </c>
      <c r="G912" s="39" t="s">
        <v>2385</v>
      </c>
      <c r="H912" s="1">
        <v>0</v>
      </c>
      <c r="I912" s="1">
        <v>1</v>
      </c>
      <c r="J912" s="39" t="s">
        <v>2377</v>
      </c>
      <c r="K912" s="1">
        <v>1</v>
      </c>
      <c r="L912" s="1">
        <v>0</v>
      </c>
      <c r="S912" s="1" t="s">
        <v>9665</v>
      </c>
      <c r="T912" s="1">
        <v>1</v>
      </c>
      <c r="U912" s="19"/>
      <c r="V912" s="19"/>
      <c r="W912" s="218">
        <v>1</v>
      </c>
      <c r="X912" s="218">
        <v>1</v>
      </c>
      <c r="Y912" s="218">
        <v>1</v>
      </c>
    </row>
    <row r="913" spans="1:25" x14ac:dyDescent="0.3">
      <c r="A913" s="1" t="s">
        <v>2408</v>
      </c>
      <c r="B913" s="5">
        <v>46157</v>
      </c>
      <c r="C913" s="6">
        <v>0.28125</v>
      </c>
      <c r="D913" s="1" t="s">
        <v>7</v>
      </c>
      <c r="E913" s="1" t="s">
        <v>9</v>
      </c>
      <c r="F913" s="1" t="s">
        <v>2409</v>
      </c>
      <c r="G913" s="39" t="s">
        <v>2386</v>
      </c>
      <c r="H913" s="1">
        <v>1</v>
      </c>
      <c r="I913" s="1">
        <v>1</v>
      </c>
      <c r="J913" s="39" t="s">
        <v>2377</v>
      </c>
      <c r="K913" s="1">
        <v>1</v>
      </c>
      <c r="L913" s="1">
        <v>1</v>
      </c>
      <c r="S913" s="1" t="s">
        <v>9666</v>
      </c>
      <c r="T913" s="1">
        <v>1</v>
      </c>
      <c r="U913" s="19"/>
      <c r="V913" s="19"/>
      <c r="W913" s="218">
        <v>1</v>
      </c>
      <c r="X913" s="218">
        <v>1</v>
      </c>
      <c r="Y913" s="218">
        <v>1</v>
      </c>
    </row>
    <row r="914" spans="1:25" ht="14.4" x14ac:dyDescent="0.3">
      <c r="A914" s="1" t="s">
        <v>2410</v>
      </c>
      <c r="B914" s="5">
        <v>46150</v>
      </c>
      <c r="C914" s="6">
        <v>0.30208333333333298</v>
      </c>
      <c r="D914" s="1" t="s">
        <v>7</v>
      </c>
      <c r="E914" s="1" t="s">
        <v>9</v>
      </c>
      <c r="F914" s="1" t="s">
        <v>2411</v>
      </c>
      <c r="G914" s="39" t="s">
        <v>2377</v>
      </c>
      <c r="H914" s="1">
        <v>2</v>
      </c>
      <c r="I914" s="1">
        <v>0</v>
      </c>
      <c r="J914" s="39" t="s">
        <v>2387</v>
      </c>
      <c r="K914" s="1">
        <v>0</v>
      </c>
      <c r="L914" s="1">
        <v>2</v>
      </c>
      <c r="S914" s="1" t="s">
        <v>9667</v>
      </c>
      <c r="T914">
        <v>1</v>
      </c>
      <c r="U914" s="19"/>
      <c r="V914" s="19"/>
      <c r="W914" s="218">
        <v>1</v>
      </c>
      <c r="X914" s="218">
        <v>1</v>
      </c>
      <c r="Y914" s="218">
        <v>1</v>
      </c>
    </row>
    <row r="915" spans="1:25" x14ac:dyDescent="0.3">
      <c r="A915" s="1" t="s">
        <v>2413</v>
      </c>
      <c r="B915" s="5">
        <v>46235</v>
      </c>
      <c r="C915" s="6">
        <v>4.1666666666666699E-2</v>
      </c>
      <c r="D915" s="1" t="s">
        <v>7</v>
      </c>
      <c r="E915" s="1" t="s">
        <v>9</v>
      </c>
      <c r="F915" s="1" t="s">
        <v>2414</v>
      </c>
      <c r="G915" s="39" t="s">
        <v>2379</v>
      </c>
      <c r="H915" s="1">
        <v>1</v>
      </c>
      <c r="I915" s="1">
        <v>0</v>
      </c>
      <c r="J915" s="39" t="s">
        <v>2383</v>
      </c>
      <c r="K915" s="1">
        <v>0</v>
      </c>
      <c r="L915" s="1">
        <v>1</v>
      </c>
      <c r="S915" s="1" t="s">
        <v>9668</v>
      </c>
      <c r="T915" s="1">
        <v>1</v>
      </c>
      <c r="U915" s="19"/>
      <c r="V915" s="19"/>
      <c r="W915" s="218">
        <v>1</v>
      </c>
      <c r="X915" s="218">
        <v>1</v>
      </c>
      <c r="Y915" s="218">
        <v>1</v>
      </c>
    </row>
    <row r="916" spans="1:25" x14ac:dyDescent="0.3">
      <c r="A916" s="1" t="s">
        <v>2415</v>
      </c>
      <c r="B916" s="5">
        <v>46227</v>
      </c>
      <c r="C916" s="6">
        <v>0.27083333333333298</v>
      </c>
      <c r="D916" s="1" t="s">
        <v>7</v>
      </c>
      <c r="E916" s="1" t="s">
        <v>9</v>
      </c>
      <c r="F916" s="1" t="s">
        <v>2416</v>
      </c>
      <c r="G916" s="39" t="s">
        <v>253</v>
      </c>
      <c r="H916" s="1">
        <v>3</v>
      </c>
      <c r="I916" s="1">
        <v>2</v>
      </c>
      <c r="J916" s="39" t="s">
        <v>2379</v>
      </c>
      <c r="K916" s="1">
        <v>2</v>
      </c>
      <c r="L916" s="1">
        <v>3</v>
      </c>
      <c r="S916" s="1" t="s">
        <v>9669</v>
      </c>
      <c r="T916" s="1">
        <v>1</v>
      </c>
      <c r="U916" s="19"/>
      <c r="V916" s="19"/>
      <c r="W916" s="218">
        <v>1</v>
      </c>
      <c r="X916" s="218">
        <v>1</v>
      </c>
      <c r="Y916" s="218">
        <v>1</v>
      </c>
    </row>
    <row r="917" spans="1:25" x14ac:dyDescent="0.3">
      <c r="A917" s="1" t="s">
        <v>2417</v>
      </c>
      <c r="B917" s="5">
        <v>46213</v>
      </c>
      <c r="C917" s="6">
        <v>0.3125</v>
      </c>
      <c r="D917" s="1" t="s">
        <v>7</v>
      </c>
      <c r="E917" s="1" t="s">
        <v>9</v>
      </c>
      <c r="F917" s="1" t="s">
        <v>2418</v>
      </c>
      <c r="G917" s="39" t="s">
        <v>2385</v>
      </c>
      <c r="H917" s="1">
        <v>2</v>
      </c>
      <c r="I917" s="1">
        <v>1</v>
      </c>
      <c r="J917" s="39" t="s">
        <v>2379</v>
      </c>
      <c r="K917" s="1">
        <v>1</v>
      </c>
      <c r="L917" s="1">
        <v>2</v>
      </c>
      <c r="S917" s="1" t="s">
        <v>9670</v>
      </c>
      <c r="T917" s="1">
        <v>1</v>
      </c>
      <c r="U917" s="19"/>
      <c r="V917" s="19"/>
      <c r="W917" s="218">
        <v>1</v>
      </c>
      <c r="X917" s="218">
        <v>1</v>
      </c>
      <c r="Y917" s="218">
        <v>1</v>
      </c>
    </row>
    <row r="918" spans="1:25" x14ac:dyDescent="0.3">
      <c r="A918" s="1" t="s">
        <v>2419</v>
      </c>
      <c r="B918" s="5">
        <v>46207</v>
      </c>
      <c r="C918" s="6">
        <v>4.1666666666666699E-2</v>
      </c>
      <c r="D918" s="1" t="s">
        <v>7</v>
      </c>
      <c r="E918" s="1" t="s">
        <v>9</v>
      </c>
      <c r="F918" s="1" t="s">
        <v>2420</v>
      </c>
      <c r="G918" s="39" t="s">
        <v>2379</v>
      </c>
      <c r="H918" s="1">
        <v>0</v>
      </c>
      <c r="I918" s="1">
        <v>0</v>
      </c>
      <c r="J918" s="39" t="s">
        <v>2386</v>
      </c>
      <c r="K918" s="1">
        <v>0</v>
      </c>
      <c r="L918" s="1">
        <v>0</v>
      </c>
      <c r="S918" s="1" t="s">
        <v>9671</v>
      </c>
      <c r="T918" s="1">
        <v>1</v>
      </c>
      <c r="U918" s="19"/>
      <c r="V918" s="19"/>
      <c r="W918" s="218">
        <v>1</v>
      </c>
      <c r="X918" s="218">
        <v>1</v>
      </c>
      <c r="Y918" s="218">
        <v>1</v>
      </c>
    </row>
    <row r="919" spans="1:25" x14ac:dyDescent="0.3">
      <c r="A919" s="1" t="s">
        <v>2421</v>
      </c>
      <c r="B919" s="5">
        <v>46200</v>
      </c>
      <c r="C919" s="6">
        <v>0.16666666666666699</v>
      </c>
      <c r="D919" s="1" t="s">
        <v>7</v>
      </c>
      <c r="E919" s="1" t="s">
        <v>9</v>
      </c>
      <c r="F919" s="1" t="s">
        <v>2422</v>
      </c>
      <c r="G919" s="39" t="s">
        <v>2387</v>
      </c>
      <c r="H919" s="1">
        <v>1</v>
      </c>
      <c r="I919" s="1">
        <v>3</v>
      </c>
      <c r="J919" s="39" t="s">
        <v>2379</v>
      </c>
      <c r="K919" s="1">
        <v>3</v>
      </c>
      <c r="L919" s="1">
        <v>1</v>
      </c>
      <c r="S919" s="1" t="s">
        <v>9672</v>
      </c>
      <c r="T919" s="1">
        <v>1</v>
      </c>
      <c r="U919" s="19"/>
      <c r="V919" s="19"/>
      <c r="W919" s="218">
        <v>1</v>
      </c>
      <c r="X919" s="218">
        <v>1</v>
      </c>
      <c r="Y919" s="218">
        <v>1</v>
      </c>
    </row>
    <row r="920" spans="1:25" x14ac:dyDescent="0.3">
      <c r="A920" s="1" t="s">
        <v>2423</v>
      </c>
      <c r="B920" s="5">
        <v>46193</v>
      </c>
      <c r="C920" s="6">
        <v>4.1666666666666699E-2</v>
      </c>
      <c r="D920" s="1" t="s">
        <v>7</v>
      </c>
      <c r="E920" s="1" t="s">
        <v>9</v>
      </c>
      <c r="F920" s="1" t="s">
        <v>2424</v>
      </c>
      <c r="G920" s="39" t="s">
        <v>2379</v>
      </c>
      <c r="H920" s="1">
        <v>3</v>
      </c>
      <c r="I920" s="1">
        <v>2</v>
      </c>
      <c r="J920" s="39" t="s">
        <v>2412</v>
      </c>
      <c r="K920" s="1">
        <v>2</v>
      </c>
      <c r="L920" s="1">
        <v>3</v>
      </c>
      <c r="S920" s="1" t="s">
        <v>9673</v>
      </c>
      <c r="T920" s="1">
        <v>1</v>
      </c>
      <c r="U920" s="19"/>
      <c r="V920" s="19"/>
      <c r="W920" s="218">
        <v>1</v>
      </c>
      <c r="X920" s="218">
        <v>1</v>
      </c>
      <c r="Y920" s="218">
        <v>1</v>
      </c>
    </row>
    <row r="921" spans="1:25" x14ac:dyDescent="0.3">
      <c r="A921" s="1" t="s">
        <v>2425</v>
      </c>
      <c r="B921" s="5">
        <v>46178</v>
      </c>
      <c r="C921" s="6">
        <v>0.3125</v>
      </c>
      <c r="D921" s="1" t="s">
        <v>7</v>
      </c>
      <c r="E921" s="1" t="s">
        <v>9</v>
      </c>
      <c r="F921" s="1" t="s">
        <v>2426</v>
      </c>
      <c r="G921" s="39" t="s">
        <v>2378</v>
      </c>
      <c r="H921" s="1">
        <v>1</v>
      </c>
      <c r="I921" s="1">
        <v>5</v>
      </c>
      <c r="J921" s="39" t="s">
        <v>2379</v>
      </c>
      <c r="K921" s="1">
        <v>5</v>
      </c>
      <c r="L921" s="1">
        <v>1</v>
      </c>
      <c r="S921" s="1" t="s">
        <v>9674</v>
      </c>
      <c r="T921" s="1">
        <v>1</v>
      </c>
      <c r="U921" s="19"/>
      <c r="V921" s="19"/>
      <c r="W921" s="218">
        <v>1</v>
      </c>
      <c r="X921" s="218">
        <v>1</v>
      </c>
      <c r="Y921" s="218">
        <v>1</v>
      </c>
    </row>
    <row r="922" spans="1:25" x14ac:dyDescent="0.3">
      <c r="A922" s="1" t="s">
        <v>2427</v>
      </c>
      <c r="B922" s="5">
        <v>46172</v>
      </c>
      <c r="C922" s="6">
        <v>4.1666666666666699E-2</v>
      </c>
      <c r="D922" s="1" t="s">
        <v>7</v>
      </c>
      <c r="E922" s="1" t="s">
        <v>9</v>
      </c>
      <c r="F922" s="1" t="s">
        <v>2428</v>
      </c>
      <c r="G922" s="39" t="s">
        <v>2379</v>
      </c>
      <c r="H922" s="1">
        <v>1</v>
      </c>
      <c r="I922" s="1">
        <v>1</v>
      </c>
      <c r="J922" s="39" t="s">
        <v>252</v>
      </c>
      <c r="K922" s="1">
        <v>1</v>
      </c>
      <c r="L922" s="1">
        <v>1</v>
      </c>
      <c r="S922" s="1" t="s">
        <v>9675</v>
      </c>
      <c r="T922" s="1">
        <v>1</v>
      </c>
      <c r="U922" s="19"/>
      <c r="V922" s="19"/>
      <c r="W922" s="218">
        <v>1</v>
      </c>
      <c r="X922" s="218">
        <v>1</v>
      </c>
      <c r="Y922" s="218">
        <v>1</v>
      </c>
    </row>
    <row r="923" spans="1:25" x14ac:dyDescent="0.3">
      <c r="A923" s="1" t="s">
        <v>2429</v>
      </c>
      <c r="B923" s="5">
        <v>46165</v>
      </c>
      <c r="C923" s="6">
        <v>0.21875</v>
      </c>
      <c r="D923" s="1" t="s">
        <v>7</v>
      </c>
      <c r="E923" s="1" t="s">
        <v>9</v>
      </c>
      <c r="F923" s="1" t="s">
        <v>2430</v>
      </c>
      <c r="G923" s="39" t="s">
        <v>2384</v>
      </c>
      <c r="H923" s="1">
        <v>1</v>
      </c>
      <c r="I923" s="1">
        <v>3</v>
      </c>
      <c r="J923" s="39" t="s">
        <v>2379</v>
      </c>
      <c r="K923" s="1">
        <v>3</v>
      </c>
      <c r="L923" s="1">
        <v>1</v>
      </c>
      <c r="S923" s="1" t="s">
        <v>9676</v>
      </c>
      <c r="T923" s="1">
        <v>1</v>
      </c>
      <c r="U923" s="19"/>
      <c r="V923" s="19"/>
      <c r="W923" s="218">
        <v>1</v>
      </c>
      <c r="X923" s="218">
        <v>1</v>
      </c>
      <c r="Y923" s="218">
        <v>1</v>
      </c>
    </row>
    <row r="924" spans="1:25" x14ac:dyDescent="0.3">
      <c r="A924" s="1" t="s">
        <v>2431</v>
      </c>
      <c r="B924" s="5">
        <v>46151</v>
      </c>
      <c r="C924" s="6">
        <v>0.20833333333333301</v>
      </c>
      <c r="D924" s="1" t="s">
        <v>7</v>
      </c>
      <c r="E924" s="1" t="s">
        <v>9</v>
      </c>
      <c r="F924" s="1" t="s">
        <v>2432</v>
      </c>
      <c r="G924" s="39" t="s">
        <v>2381</v>
      </c>
      <c r="H924" s="1">
        <v>2</v>
      </c>
      <c r="I924" s="1">
        <v>4</v>
      </c>
      <c r="J924" s="39" t="s">
        <v>2379</v>
      </c>
      <c r="K924" s="1">
        <v>4</v>
      </c>
      <c r="L924" s="1">
        <v>2</v>
      </c>
      <c r="S924" s="1" t="s">
        <v>9677</v>
      </c>
      <c r="T924" s="1">
        <v>1</v>
      </c>
      <c r="U924" s="19"/>
      <c r="V924" s="19"/>
      <c r="W924" s="218">
        <v>1</v>
      </c>
      <c r="X924" s="218">
        <v>1</v>
      </c>
      <c r="Y924" s="218">
        <v>1</v>
      </c>
    </row>
    <row r="925" spans="1:25" ht="14.4" x14ac:dyDescent="0.3">
      <c r="A925" s="1" t="s">
        <v>2433</v>
      </c>
      <c r="B925" s="5">
        <v>46144</v>
      </c>
      <c r="C925" s="6">
        <v>4.1666666666666699E-2</v>
      </c>
      <c r="D925" s="1" t="s">
        <v>7</v>
      </c>
      <c r="E925" s="1" t="s">
        <v>9</v>
      </c>
      <c r="F925" s="1" t="s">
        <v>2434</v>
      </c>
      <c r="G925" s="39" t="s">
        <v>2379</v>
      </c>
      <c r="H925" s="1">
        <v>2</v>
      </c>
      <c r="I925" s="1">
        <v>1</v>
      </c>
      <c r="J925" s="39" t="s">
        <v>2382</v>
      </c>
      <c r="K925" s="1">
        <v>1</v>
      </c>
      <c r="L925" s="1">
        <v>2</v>
      </c>
      <c r="S925" s="1" t="s">
        <v>9678</v>
      </c>
      <c r="T925">
        <v>1</v>
      </c>
      <c r="U925" s="19"/>
      <c r="V925" s="19"/>
      <c r="W925" s="218">
        <v>0</v>
      </c>
      <c r="X925" s="218">
        <v>0</v>
      </c>
      <c r="Y925" s="218">
        <v>0</v>
      </c>
    </row>
    <row r="926" spans="1:25" x14ac:dyDescent="0.3">
      <c r="A926" s="1" t="s">
        <v>2435</v>
      </c>
      <c r="B926" s="5">
        <v>46235</v>
      </c>
      <c r="C926" s="6">
        <v>6.25E-2</v>
      </c>
      <c r="D926" s="1" t="s">
        <v>7</v>
      </c>
      <c r="E926" s="1" t="s">
        <v>9</v>
      </c>
      <c r="F926" s="1" t="s">
        <v>2436</v>
      </c>
      <c r="G926" s="39" t="s">
        <v>2380</v>
      </c>
      <c r="H926" s="1">
        <v>2</v>
      </c>
      <c r="I926" s="1">
        <v>1</v>
      </c>
      <c r="J926" s="39" t="s">
        <v>2382</v>
      </c>
      <c r="K926" s="1">
        <v>1</v>
      </c>
      <c r="L926" s="1">
        <v>2</v>
      </c>
      <c r="S926" s="1" t="s">
        <v>9679</v>
      </c>
      <c r="T926" s="1">
        <v>1</v>
      </c>
      <c r="U926" s="19"/>
      <c r="V926" s="19"/>
      <c r="W926" s="218">
        <v>1</v>
      </c>
      <c r="X926" s="218">
        <v>1</v>
      </c>
      <c r="Y926" s="218">
        <v>1</v>
      </c>
    </row>
    <row r="927" spans="1:25" x14ac:dyDescent="0.3">
      <c r="A927" s="1" t="s">
        <v>2437</v>
      </c>
      <c r="B927" s="5">
        <v>46228</v>
      </c>
      <c r="C927" s="6">
        <v>8.3333333333333301E-2</v>
      </c>
      <c r="D927" s="1" t="s">
        <v>7</v>
      </c>
      <c r="E927" s="1" t="s">
        <v>9</v>
      </c>
      <c r="F927" s="1" t="s">
        <v>2438</v>
      </c>
      <c r="G927" s="39" t="s">
        <v>2383</v>
      </c>
      <c r="H927" s="1">
        <v>2</v>
      </c>
      <c r="I927" s="1">
        <v>3</v>
      </c>
      <c r="J927" s="39" t="s">
        <v>2380</v>
      </c>
      <c r="K927" s="1">
        <v>3</v>
      </c>
      <c r="L927" s="1">
        <v>2</v>
      </c>
      <c r="S927" s="1" t="s">
        <v>9680</v>
      </c>
      <c r="T927" s="1">
        <v>1</v>
      </c>
      <c r="U927" s="19"/>
      <c r="V927" s="19"/>
      <c r="W927" s="218">
        <v>1</v>
      </c>
      <c r="X927" s="218">
        <v>1</v>
      </c>
      <c r="Y927" s="218">
        <v>1</v>
      </c>
    </row>
    <row r="928" spans="1:25" x14ac:dyDescent="0.3">
      <c r="A928" s="1" t="s">
        <v>2439</v>
      </c>
      <c r="B928" s="5">
        <v>46221</v>
      </c>
      <c r="C928" s="6">
        <v>8.3333333333333301E-2</v>
      </c>
      <c r="D928" s="1" t="s">
        <v>7</v>
      </c>
      <c r="E928" s="1" t="s">
        <v>9</v>
      </c>
      <c r="F928" s="1" t="s">
        <v>2440</v>
      </c>
      <c r="G928" s="39" t="s">
        <v>2380</v>
      </c>
      <c r="H928" s="1">
        <v>1</v>
      </c>
      <c r="I928" s="1">
        <v>1</v>
      </c>
      <c r="J928" s="39" t="s">
        <v>253</v>
      </c>
      <c r="K928" s="1">
        <v>1</v>
      </c>
      <c r="L928" s="1">
        <v>1</v>
      </c>
      <c r="S928" s="1" t="s">
        <v>9681</v>
      </c>
      <c r="T928" s="1">
        <v>1</v>
      </c>
      <c r="U928" s="19"/>
      <c r="V928" s="19"/>
      <c r="W928" s="218">
        <v>1</v>
      </c>
      <c r="X928" s="218">
        <v>1</v>
      </c>
      <c r="Y928" s="218">
        <v>1</v>
      </c>
    </row>
    <row r="929" spans="1:25" x14ac:dyDescent="0.3">
      <c r="A929" s="1" t="s">
        <v>2441</v>
      </c>
      <c r="B929" s="5">
        <v>46207</v>
      </c>
      <c r="C929" s="6">
        <v>8.3333333333333301E-2</v>
      </c>
      <c r="D929" s="1" t="s">
        <v>7</v>
      </c>
      <c r="E929" s="1" t="s">
        <v>9</v>
      </c>
      <c r="F929" s="1" t="s">
        <v>2442</v>
      </c>
      <c r="G929" s="39" t="s">
        <v>2380</v>
      </c>
      <c r="H929" s="1">
        <v>2</v>
      </c>
      <c r="I929" s="1">
        <v>3</v>
      </c>
      <c r="J929" s="39" t="s">
        <v>2385</v>
      </c>
      <c r="K929" s="1">
        <v>3</v>
      </c>
      <c r="L929" s="1">
        <v>2</v>
      </c>
      <c r="S929" s="1" t="s">
        <v>9682</v>
      </c>
      <c r="T929" s="1">
        <v>1</v>
      </c>
      <c r="U929" s="19"/>
      <c r="V929" s="19"/>
      <c r="W929" s="218">
        <v>1</v>
      </c>
      <c r="X929" s="218">
        <v>1</v>
      </c>
      <c r="Y929" s="218">
        <v>1</v>
      </c>
    </row>
    <row r="930" spans="1:25" x14ac:dyDescent="0.3">
      <c r="A930" s="1" t="s">
        <v>2443</v>
      </c>
      <c r="B930" s="5">
        <v>46199</v>
      </c>
      <c r="C930" s="6">
        <v>0.28125</v>
      </c>
      <c r="D930" s="1" t="s">
        <v>7</v>
      </c>
      <c r="E930" s="1" t="s">
        <v>9</v>
      </c>
      <c r="F930" s="1" t="s">
        <v>2444</v>
      </c>
      <c r="G930" s="39" t="s">
        <v>2386</v>
      </c>
      <c r="H930" s="1">
        <v>3</v>
      </c>
      <c r="I930" s="1">
        <v>1</v>
      </c>
      <c r="J930" s="39" t="s">
        <v>2380</v>
      </c>
      <c r="K930" s="1">
        <v>1</v>
      </c>
      <c r="L930" s="1">
        <v>3</v>
      </c>
      <c r="S930" s="1" t="s">
        <v>9683</v>
      </c>
      <c r="T930" s="1">
        <v>1</v>
      </c>
      <c r="U930" s="19"/>
      <c r="V930" s="19"/>
      <c r="W930" s="218">
        <v>1</v>
      </c>
      <c r="X930" s="218">
        <v>1</v>
      </c>
      <c r="Y930" s="218">
        <v>1</v>
      </c>
    </row>
    <row r="931" spans="1:25" x14ac:dyDescent="0.3">
      <c r="A931" s="1" t="s">
        <v>2445</v>
      </c>
      <c r="B931" s="5">
        <v>46193</v>
      </c>
      <c r="C931" s="6">
        <v>8.3333333333333301E-2</v>
      </c>
      <c r="D931" s="1" t="s">
        <v>7</v>
      </c>
      <c r="E931" s="1" t="s">
        <v>9</v>
      </c>
      <c r="F931" s="1" t="s">
        <v>2446</v>
      </c>
      <c r="G931" s="39" t="s">
        <v>2380</v>
      </c>
      <c r="H931" s="1">
        <v>11</v>
      </c>
      <c r="I931" s="1">
        <v>0</v>
      </c>
      <c r="J931" s="39" t="s">
        <v>2387</v>
      </c>
      <c r="K931" s="1">
        <v>0</v>
      </c>
      <c r="L931" s="1">
        <v>11</v>
      </c>
      <c r="S931" s="1" t="s">
        <v>9684</v>
      </c>
      <c r="T931" s="1">
        <v>1</v>
      </c>
      <c r="U931" s="19"/>
      <c r="V931" s="19"/>
      <c r="W931" s="218">
        <v>1</v>
      </c>
      <c r="X931" s="218">
        <v>1</v>
      </c>
      <c r="Y931" s="218">
        <v>1</v>
      </c>
    </row>
    <row r="932" spans="1:25" x14ac:dyDescent="0.3">
      <c r="A932" s="1" t="s">
        <v>2447</v>
      </c>
      <c r="B932" s="5">
        <v>46178</v>
      </c>
      <c r="C932" s="6">
        <v>0.27083333333333298</v>
      </c>
      <c r="D932" s="1" t="s">
        <v>7</v>
      </c>
      <c r="E932" s="1" t="s">
        <v>9</v>
      </c>
      <c r="F932" s="1" t="s">
        <v>2448</v>
      </c>
      <c r="G932" s="39" t="s">
        <v>2412</v>
      </c>
      <c r="H932" s="1">
        <v>0</v>
      </c>
      <c r="I932" s="1">
        <v>2</v>
      </c>
      <c r="J932" s="39" t="s">
        <v>2380</v>
      </c>
      <c r="K932" s="1">
        <v>2</v>
      </c>
      <c r="L932" s="1">
        <v>0</v>
      </c>
      <c r="S932" s="1" t="s">
        <v>9685</v>
      </c>
      <c r="T932" s="1">
        <v>1</v>
      </c>
      <c r="U932" s="19"/>
      <c r="V932" s="19"/>
      <c r="W932" s="218">
        <v>1</v>
      </c>
      <c r="X932" s="218">
        <v>1</v>
      </c>
      <c r="Y932" s="218">
        <v>1</v>
      </c>
    </row>
    <row r="933" spans="1:25" x14ac:dyDescent="0.3">
      <c r="A933" s="1" t="s">
        <v>2449</v>
      </c>
      <c r="B933" s="5">
        <v>46172</v>
      </c>
      <c r="C933" s="6">
        <v>8.3333333333333301E-2</v>
      </c>
      <c r="D933" s="1" t="s">
        <v>7</v>
      </c>
      <c r="E933" s="1" t="s">
        <v>9</v>
      </c>
      <c r="F933" s="1" t="s">
        <v>2450</v>
      </c>
      <c r="G933" s="39" t="s">
        <v>2380</v>
      </c>
      <c r="H933" s="1">
        <v>4</v>
      </c>
      <c r="I933" s="1">
        <v>0</v>
      </c>
      <c r="J933" s="39" t="s">
        <v>2378</v>
      </c>
      <c r="K933" s="1">
        <v>0</v>
      </c>
      <c r="L933" s="1">
        <v>4</v>
      </c>
      <c r="S933" s="1" t="s">
        <v>9686</v>
      </c>
      <c r="T933" s="1">
        <v>1</v>
      </c>
      <c r="U933" s="19"/>
      <c r="V933" s="19"/>
      <c r="W933" s="218">
        <v>1</v>
      </c>
      <c r="X933" s="218">
        <v>1</v>
      </c>
      <c r="Y933" s="218">
        <v>1</v>
      </c>
    </row>
    <row r="934" spans="1:25" x14ac:dyDescent="0.3">
      <c r="A934" s="1" t="s">
        <v>2451</v>
      </c>
      <c r="B934" s="5">
        <v>46167</v>
      </c>
      <c r="C934" s="6">
        <v>0.27083333333333298</v>
      </c>
      <c r="D934" s="1" t="s">
        <v>7</v>
      </c>
      <c r="E934" s="1" t="s">
        <v>9</v>
      </c>
      <c r="F934" s="1" t="s">
        <v>2452</v>
      </c>
      <c r="G934" s="39" t="s">
        <v>252</v>
      </c>
      <c r="H934" s="1">
        <v>0</v>
      </c>
      <c r="I934" s="1">
        <v>4</v>
      </c>
      <c r="J934" s="39" t="s">
        <v>2380</v>
      </c>
      <c r="K934" s="1">
        <v>4</v>
      </c>
      <c r="L934" s="1">
        <v>0</v>
      </c>
      <c r="S934" s="1" t="s">
        <v>9687</v>
      </c>
      <c r="T934" s="1">
        <v>1</v>
      </c>
      <c r="U934" s="19"/>
      <c r="V934" s="19"/>
      <c r="W934" s="218">
        <v>1</v>
      </c>
      <c r="X934" s="218">
        <v>1</v>
      </c>
      <c r="Y934" s="218">
        <v>1</v>
      </c>
    </row>
    <row r="935" spans="1:25" x14ac:dyDescent="0.3">
      <c r="A935" s="1" t="s">
        <v>2453</v>
      </c>
      <c r="B935" s="5">
        <v>46158</v>
      </c>
      <c r="C935" s="6">
        <v>4.1666666666666699E-2</v>
      </c>
      <c r="D935" s="1" t="s">
        <v>7</v>
      </c>
      <c r="E935" s="1" t="s">
        <v>9</v>
      </c>
      <c r="F935" s="1" t="s">
        <v>2454</v>
      </c>
      <c r="G935" s="39" t="s">
        <v>2379</v>
      </c>
      <c r="H935" s="1">
        <v>3</v>
      </c>
      <c r="I935" s="1">
        <v>0</v>
      </c>
      <c r="J935" s="39" t="s">
        <v>2380</v>
      </c>
      <c r="K935" s="1">
        <v>0</v>
      </c>
      <c r="L935" s="1">
        <v>3</v>
      </c>
      <c r="S935" s="1" t="s">
        <v>9688</v>
      </c>
      <c r="T935" s="1">
        <v>1</v>
      </c>
      <c r="U935" s="19"/>
      <c r="V935" s="19"/>
      <c r="W935" s="218">
        <v>1</v>
      </c>
      <c r="X935" s="218">
        <v>1</v>
      </c>
      <c r="Y935" s="218">
        <v>1</v>
      </c>
    </row>
    <row r="936" spans="1:25" ht="14.4" x14ac:dyDescent="0.3">
      <c r="A936" s="1" t="s">
        <v>2455</v>
      </c>
      <c r="B936" s="5">
        <v>46151</v>
      </c>
      <c r="C936" s="6">
        <v>8.3333333333333301E-2</v>
      </c>
      <c r="D936" s="1" t="s">
        <v>7</v>
      </c>
      <c r="E936" s="1" t="s">
        <v>9</v>
      </c>
      <c r="F936" s="1" t="s">
        <v>2456</v>
      </c>
      <c r="G936" s="39" t="s">
        <v>2380</v>
      </c>
      <c r="H936" s="1">
        <v>5</v>
      </c>
      <c r="I936" s="1">
        <v>1</v>
      </c>
      <c r="J936" s="39" t="s">
        <v>2384</v>
      </c>
      <c r="K936" s="1">
        <v>1</v>
      </c>
      <c r="L936" s="1">
        <v>5</v>
      </c>
      <c r="S936" s="1" t="s">
        <v>9689</v>
      </c>
      <c r="T936">
        <v>1</v>
      </c>
      <c r="U936" s="19"/>
      <c r="V936" s="19"/>
      <c r="W936" s="218">
        <v>1</v>
      </c>
      <c r="X936" s="218">
        <v>1</v>
      </c>
      <c r="Y936" s="218">
        <v>1</v>
      </c>
    </row>
    <row r="937" spans="1:25" x14ac:dyDescent="0.3">
      <c r="A937" s="1" t="s">
        <v>2457</v>
      </c>
      <c r="B937" s="5">
        <v>46221</v>
      </c>
      <c r="C937" s="6">
        <v>9.375E-2</v>
      </c>
      <c r="D937" s="1" t="s">
        <v>7</v>
      </c>
      <c r="E937" s="1" t="s">
        <v>9</v>
      </c>
      <c r="F937" s="1" t="s">
        <v>2458</v>
      </c>
      <c r="G937" s="39" t="s">
        <v>252</v>
      </c>
      <c r="H937" s="1">
        <v>0</v>
      </c>
      <c r="I937" s="1">
        <v>0</v>
      </c>
      <c r="J937" s="39" t="s">
        <v>2385</v>
      </c>
      <c r="K937" s="1">
        <v>0</v>
      </c>
      <c r="L937" s="1">
        <v>0</v>
      </c>
      <c r="S937" s="1" t="s">
        <v>9690</v>
      </c>
      <c r="T937" s="1">
        <v>1</v>
      </c>
      <c r="U937" s="19"/>
      <c r="V937" s="19"/>
      <c r="W937" s="218">
        <v>1</v>
      </c>
      <c r="X937" s="218">
        <v>1</v>
      </c>
      <c r="Y937" s="218">
        <v>1</v>
      </c>
    </row>
    <row r="938" spans="1:25" x14ac:dyDescent="0.3">
      <c r="A938" s="1" t="s">
        <v>2459</v>
      </c>
      <c r="B938" s="5">
        <v>46213</v>
      </c>
      <c r="C938" s="6">
        <v>0.28125</v>
      </c>
      <c r="D938" s="1" t="s">
        <v>7</v>
      </c>
      <c r="E938" s="1" t="s">
        <v>9</v>
      </c>
      <c r="F938" s="1" t="s">
        <v>2460</v>
      </c>
      <c r="G938" s="39" t="s">
        <v>2386</v>
      </c>
      <c r="H938" s="1">
        <v>0</v>
      </c>
      <c r="I938" s="1">
        <v>2</v>
      </c>
      <c r="J938" s="39" t="s">
        <v>252</v>
      </c>
      <c r="K938" s="1">
        <v>2</v>
      </c>
      <c r="L938" s="1">
        <v>0</v>
      </c>
      <c r="S938" s="1" t="s">
        <v>9691</v>
      </c>
      <c r="T938" s="1">
        <v>1</v>
      </c>
      <c r="U938" s="19"/>
      <c r="V938" s="19"/>
      <c r="W938" s="218">
        <v>1</v>
      </c>
      <c r="X938" s="218">
        <v>1</v>
      </c>
      <c r="Y938" s="218">
        <v>1</v>
      </c>
    </row>
    <row r="939" spans="1:25" x14ac:dyDescent="0.3">
      <c r="A939" s="1" t="s">
        <v>2461</v>
      </c>
      <c r="B939" s="5">
        <v>46208</v>
      </c>
      <c r="C939" s="6">
        <v>0.104166666666667</v>
      </c>
      <c r="D939" s="1" t="s">
        <v>7</v>
      </c>
      <c r="E939" s="1" t="s">
        <v>9</v>
      </c>
      <c r="F939" s="1" t="s">
        <v>2462</v>
      </c>
      <c r="G939" s="39" t="s">
        <v>252</v>
      </c>
      <c r="H939" s="1">
        <v>1</v>
      </c>
      <c r="I939" s="1">
        <v>0</v>
      </c>
      <c r="J939" s="39" t="s">
        <v>2387</v>
      </c>
      <c r="K939" s="1">
        <v>0</v>
      </c>
      <c r="L939" s="1">
        <v>1</v>
      </c>
      <c r="S939" s="1" t="s">
        <v>9692</v>
      </c>
      <c r="T939" s="1">
        <v>1</v>
      </c>
      <c r="U939" s="19"/>
      <c r="V939" s="19"/>
      <c r="W939" s="218">
        <v>1</v>
      </c>
      <c r="X939" s="218">
        <v>1</v>
      </c>
      <c r="Y939" s="218">
        <v>1</v>
      </c>
    </row>
    <row r="940" spans="1:25" x14ac:dyDescent="0.3">
      <c r="A940" s="1" t="s">
        <v>2463</v>
      </c>
      <c r="B940" s="5">
        <v>46201</v>
      </c>
      <c r="C940" s="6">
        <v>0.104166666666667</v>
      </c>
      <c r="D940" s="1" t="s">
        <v>7</v>
      </c>
      <c r="E940" s="1" t="s">
        <v>9</v>
      </c>
      <c r="F940" s="1" t="s">
        <v>2464</v>
      </c>
      <c r="G940" s="39" t="s">
        <v>252</v>
      </c>
      <c r="H940" s="1">
        <v>1</v>
      </c>
      <c r="I940" s="1">
        <v>2</v>
      </c>
      <c r="J940" s="39" t="s">
        <v>2412</v>
      </c>
      <c r="K940" s="1">
        <v>2</v>
      </c>
      <c r="L940" s="1">
        <v>1</v>
      </c>
      <c r="S940" s="1" t="s">
        <v>9693</v>
      </c>
      <c r="T940" s="1">
        <v>1</v>
      </c>
      <c r="U940" s="19"/>
      <c r="V940" s="19"/>
      <c r="W940" s="218">
        <v>1</v>
      </c>
      <c r="X940" s="218">
        <v>1</v>
      </c>
      <c r="Y940" s="218">
        <v>1</v>
      </c>
    </row>
    <row r="941" spans="1:25" x14ac:dyDescent="0.3">
      <c r="A941" s="1" t="s">
        <v>2465</v>
      </c>
      <c r="B941" s="5">
        <v>46192</v>
      </c>
      <c r="C941" s="6">
        <v>0.27083333333333298</v>
      </c>
      <c r="D941" s="1" t="s">
        <v>7</v>
      </c>
      <c r="E941" s="1" t="s">
        <v>9</v>
      </c>
      <c r="F941" s="1" t="s">
        <v>2466</v>
      </c>
      <c r="G941" s="39" t="s">
        <v>2378</v>
      </c>
      <c r="H941" s="1">
        <v>1</v>
      </c>
      <c r="I941" s="1">
        <v>5</v>
      </c>
      <c r="J941" s="39" t="s">
        <v>252</v>
      </c>
      <c r="K941" s="1">
        <v>5</v>
      </c>
      <c r="L941" s="1">
        <v>1</v>
      </c>
      <c r="S941" s="1" t="s">
        <v>9694</v>
      </c>
      <c r="T941" s="1">
        <v>1</v>
      </c>
      <c r="U941" s="19"/>
      <c r="V941" s="19"/>
      <c r="W941" s="218">
        <v>1</v>
      </c>
      <c r="X941" s="218">
        <v>1</v>
      </c>
      <c r="Y941" s="218">
        <v>1</v>
      </c>
    </row>
    <row r="942" spans="1:25" x14ac:dyDescent="0.3">
      <c r="A942" s="1" t="s">
        <v>2467</v>
      </c>
      <c r="B942" s="5">
        <v>46180</v>
      </c>
      <c r="C942" s="6">
        <v>0.104166666666667</v>
      </c>
      <c r="D942" s="1" t="s">
        <v>7</v>
      </c>
      <c r="E942" s="1" t="s">
        <v>9</v>
      </c>
      <c r="F942" s="1" t="s">
        <v>2468</v>
      </c>
      <c r="G942" s="39" t="s">
        <v>252</v>
      </c>
      <c r="H942" s="1">
        <v>2</v>
      </c>
      <c r="I942" s="1">
        <v>3</v>
      </c>
      <c r="J942" s="39" t="s">
        <v>2384</v>
      </c>
      <c r="K942" s="1">
        <v>3</v>
      </c>
      <c r="L942" s="1">
        <v>2</v>
      </c>
      <c r="S942" s="1" t="s">
        <v>9695</v>
      </c>
      <c r="T942" s="1">
        <v>1</v>
      </c>
      <c r="U942" s="19"/>
      <c r="V942" s="19"/>
      <c r="W942" s="218">
        <v>1</v>
      </c>
      <c r="X942" s="218">
        <v>1</v>
      </c>
      <c r="Y942" s="218">
        <v>1</v>
      </c>
    </row>
    <row r="943" spans="1:25" x14ac:dyDescent="0.3">
      <c r="A943" s="1" t="s">
        <v>2469</v>
      </c>
      <c r="B943" s="5">
        <v>46160</v>
      </c>
      <c r="C943" s="6">
        <v>0.27083333333333298</v>
      </c>
      <c r="D943" s="1" t="s">
        <v>7</v>
      </c>
      <c r="E943" s="1" t="s">
        <v>9</v>
      </c>
      <c r="F943" s="1" t="s">
        <v>2470</v>
      </c>
      <c r="G943" s="39" t="s">
        <v>252</v>
      </c>
      <c r="H943" s="1">
        <v>0</v>
      </c>
      <c r="I943" s="1">
        <v>4</v>
      </c>
      <c r="J943" s="39" t="s">
        <v>2381</v>
      </c>
      <c r="K943" s="1">
        <v>4</v>
      </c>
      <c r="L943" s="1">
        <v>0</v>
      </c>
      <c r="S943" s="1" t="s">
        <v>9696</v>
      </c>
      <c r="T943" s="1">
        <v>1</v>
      </c>
      <c r="U943" s="19"/>
      <c r="V943" s="19"/>
      <c r="W943" s="218">
        <v>1</v>
      </c>
      <c r="X943" s="218">
        <v>1</v>
      </c>
      <c r="Y943" s="218">
        <v>1</v>
      </c>
    </row>
    <row r="944" spans="1:25" ht="14.4" x14ac:dyDescent="0.3">
      <c r="A944" s="1" t="s">
        <v>2471</v>
      </c>
      <c r="B944" s="5">
        <v>46150</v>
      </c>
      <c r="C944" s="6">
        <v>0.27083333333333298</v>
      </c>
      <c r="D944" s="1" t="s">
        <v>7</v>
      </c>
      <c r="E944" s="1" t="s">
        <v>9</v>
      </c>
      <c r="F944" s="1" t="s">
        <v>2472</v>
      </c>
      <c r="G944" s="39" t="s">
        <v>2382</v>
      </c>
      <c r="H944" s="1">
        <v>4</v>
      </c>
      <c r="I944" s="1">
        <v>0</v>
      </c>
      <c r="J944" s="39" t="s">
        <v>252</v>
      </c>
      <c r="K944" s="1">
        <v>0</v>
      </c>
      <c r="L944" s="1">
        <v>4</v>
      </c>
      <c r="S944" s="1" t="s">
        <v>9697</v>
      </c>
      <c r="T944">
        <v>1</v>
      </c>
      <c r="U944" s="19"/>
      <c r="V944" s="19"/>
      <c r="W944" s="218">
        <v>1</v>
      </c>
      <c r="X944" s="218">
        <v>1</v>
      </c>
      <c r="Y944" s="218">
        <v>1</v>
      </c>
    </row>
    <row r="945" spans="1:25" x14ac:dyDescent="0.3">
      <c r="A945" s="1" t="s">
        <v>2473</v>
      </c>
      <c r="B945" s="5">
        <v>46234</v>
      </c>
      <c r="C945" s="6">
        <v>0.3125</v>
      </c>
      <c r="D945" s="1" t="s">
        <v>7</v>
      </c>
      <c r="E945" s="1" t="s">
        <v>9</v>
      </c>
      <c r="F945" s="1" t="s">
        <v>2474</v>
      </c>
      <c r="G945" s="39" t="s">
        <v>2385</v>
      </c>
      <c r="H945" s="1">
        <v>2</v>
      </c>
      <c r="I945" s="1">
        <v>2</v>
      </c>
      <c r="J945" s="39" t="s">
        <v>2412</v>
      </c>
      <c r="K945" s="1">
        <v>2</v>
      </c>
      <c r="L945" s="1">
        <v>2</v>
      </c>
      <c r="S945" s="1" t="s">
        <v>9698</v>
      </c>
      <c r="T945" s="1">
        <v>1</v>
      </c>
      <c r="U945" s="19"/>
      <c r="V945" s="19"/>
      <c r="W945" s="218">
        <v>1</v>
      </c>
      <c r="X945" s="218">
        <v>1</v>
      </c>
      <c r="Y945" s="218">
        <v>1</v>
      </c>
    </row>
    <row r="946" spans="1:25" x14ac:dyDescent="0.3">
      <c r="A946" s="1" t="s">
        <v>2475</v>
      </c>
      <c r="B946" s="5">
        <v>46227</v>
      </c>
      <c r="C946" s="6">
        <v>0.3125</v>
      </c>
      <c r="D946" s="1" t="s">
        <v>7</v>
      </c>
      <c r="E946" s="1" t="s">
        <v>9</v>
      </c>
      <c r="F946" s="1" t="s">
        <v>2476</v>
      </c>
      <c r="G946" s="39" t="s">
        <v>2385</v>
      </c>
      <c r="H946" s="1">
        <v>1</v>
      </c>
      <c r="I946" s="1">
        <v>0</v>
      </c>
      <c r="J946" s="39" t="s">
        <v>2378</v>
      </c>
      <c r="K946" s="1">
        <v>0</v>
      </c>
      <c r="L946" s="1">
        <v>1</v>
      </c>
      <c r="S946" s="1" t="s">
        <v>9699</v>
      </c>
      <c r="T946" s="1">
        <v>1</v>
      </c>
      <c r="U946" s="19"/>
      <c r="V946" s="19"/>
      <c r="W946" s="218">
        <v>1</v>
      </c>
      <c r="X946" s="218">
        <v>1</v>
      </c>
      <c r="Y946" s="218">
        <v>1</v>
      </c>
    </row>
    <row r="947" spans="1:25" x14ac:dyDescent="0.3">
      <c r="A947" s="1" t="s">
        <v>2477</v>
      </c>
      <c r="B947" s="5">
        <v>46200</v>
      </c>
      <c r="C947" s="6">
        <v>0.20833333333333301</v>
      </c>
      <c r="D947" s="1" t="s">
        <v>7</v>
      </c>
      <c r="E947" s="1" t="s">
        <v>9</v>
      </c>
      <c r="F947" s="1" t="s">
        <v>2478</v>
      </c>
      <c r="G947" s="39" t="s">
        <v>2381</v>
      </c>
      <c r="H947" s="1">
        <v>0</v>
      </c>
      <c r="I947" s="1">
        <v>2</v>
      </c>
      <c r="J947" s="39" t="s">
        <v>2385</v>
      </c>
      <c r="K947" s="1">
        <v>2</v>
      </c>
      <c r="L947" s="1">
        <v>0</v>
      </c>
      <c r="S947" s="1" t="s">
        <v>9700</v>
      </c>
      <c r="T947" s="1">
        <v>1</v>
      </c>
      <c r="U947" s="19"/>
      <c r="V947" s="19"/>
      <c r="W947" s="218">
        <v>1</v>
      </c>
      <c r="X947" s="218">
        <v>1</v>
      </c>
      <c r="Y947" s="218">
        <v>1</v>
      </c>
    </row>
    <row r="948" spans="1:25" x14ac:dyDescent="0.3">
      <c r="A948" s="1" t="s">
        <v>2479</v>
      </c>
      <c r="B948" s="5">
        <v>46193</v>
      </c>
      <c r="C948" s="6">
        <v>0.16666666666666699</v>
      </c>
      <c r="D948" s="1" t="s">
        <v>7</v>
      </c>
      <c r="E948" s="1" t="s">
        <v>9</v>
      </c>
      <c r="F948" s="1" t="s">
        <v>2480</v>
      </c>
      <c r="G948" s="39" t="s">
        <v>2382</v>
      </c>
      <c r="H948" s="1">
        <v>0</v>
      </c>
      <c r="I948" s="1">
        <v>1</v>
      </c>
      <c r="J948" s="39" t="s">
        <v>2385</v>
      </c>
      <c r="K948" s="1">
        <v>1</v>
      </c>
      <c r="L948" s="1">
        <v>0</v>
      </c>
      <c r="S948" s="1" t="s">
        <v>9701</v>
      </c>
      <c r="T948" s="1">
        <v>1</v>
      </c>
      <c r="U948" s="19"/>
      <c r="V948" s="19"/>
      <c r="W948" s="218">
        <v>1</v>
      </c>
      <c r="X948" s="218">
        <v>1</v>
      </c>
      <c r="Y948" s="218">
        <v>1</v>
      </c>
    </row>
    <row r="949" spans="1:25" x14ac:dyDescent="0.3">
      <c r="A949" s="1" t="s">
        <v>2481</v>
      </c>
      <c r="B949" s="5">
        <v>46173</v>
      </c>
      <c r="C949" s="6">
        <v>0.16666666666666699</v>
      </c>
      <c r="D949" s="1" t="s">
        <v>7</v>
      </c>
      <c r="E949" s="1" t="s">
        <v>9</v>
      </c>
      <c r="F949" s="1" t="s">
        <v>2482</v>
      </c>
      <c r="G949" s="39" t="s">
        <v>253</v>
      </c>
      <c r="H949" s="1">
        <v>0</v>
      </c>
      <c r="I949" s="1">
        <v>1</v>
      </c>
      <c r="J949" s="39" t="s">
        <v>2385</v>
      </c>
      <c r="K949" s="1">
        <v>1</v>
      </c>
      <c r="L949" s="1">
        <v>0</v>
      </c>
      <c r="S949" s="1" t="s">
        <v>9702</v>
      </c>
      <c r="T949" s="1">
        <v>1</v>
      </c>
      <c r="U949" s="19"/>
      <c r="V949" s="19"/>
      <c r="W949" s="218">
        <v>1</v>
      </c>
      <c r="X949" s="218">
        <v>1</v>
      </c>
      <c r="Y949" s="218">
        <v>1</v>
      </c>
    </row>
    <row r="950" spans="1:25" x14ac:dyDescent="0.3">
      <c r="A950" s="1" t="s">
        <v>2483</v>
      </c>
      <c r="B950" s="5">
        <v>46158</v>
      </c>
      <c r="C950" s="6">
        <v>0.21875</v>
      </c>
      <c r="D950" s="1" t="s">
        <v>7</v>
      </c>
      <c r="E950" s="1" t="s">
        <v>9</v>
      </c>
      <c r="F950" s="1" t="s">
        <v>2484</v>
      </c>
      <c r="G950" s="39" t="s">
        <v>2384</v>
      </c>
      <c r="H950" s="1">
        <v>1</v>
      </c>
      <c r="I950" s="1">
        <v>0</v>
      </c>
      <c r="J950" s="39" t="s">
        <v>2385</v>
      </c>
      <c r="K950" s="1">
        <v>0</v>
      </c>
      <c r="L950" s="1">
        <v>1</v>
      </c>
      <c r="S950" s="1" t="s">
        <v>9703</v>
      </c>
      <c r="T950" s="1">
        <v>1</v>
      </c>
      <c r="U950" s="19"/>
      <c r="V950" s="19"/>
      <c r="W950" s="218">
        <v>1</v>
      </c>
      <c r="X950" s="218">
        <v>1</v>
      </c>
      <c r="Y950" s="218">
        <v>1</v>
      </c>
    </row>
    <row r="951" spans="1:25" x14ac:dyDescent="0.3">
      <c r="A951" s="1" t="s">
        <v>2485</v>
      </c>
      <c r="B951" s="5">
        <v>46150</v>
      </c>
      <c r="C951" s="6">
        <v>0.3125</v>
      </c>
      <c r="D951" s="1" t="s">
        <v>7</v>
      </c>
      <c r="E951" s="1" t="s">
        <v>9</v>
      </c>
      <c r="F951" s="1" t="s">
        <v>2486</v>
      </c>
      <c r="G951" s="39" t="s">
        <v>2385</v>
      </c>
      <c r="H951" s="1">
        <v>1</v>
      </c>
      <c r="I951" s="1">
        <v>0</v>
      </c>
      <c r="J951" s="39" t="s">
        <v>2386</v>
      </c>
      <c r="K951" s="1">
        <v>0</v>
      </c>
      <c r="L951" s="1">
        <v>1</v>
      </c>
      <c r="S951" s="1" t="s">
        <v>9704</v>
      </c>
      <c r="T951" s="1">
        <v>1</v>
      </c>
      <c r="U951" s="19"/>
      <c r="V951" s="19"/>
      <c r="W951" s="218">
        <v>1</v>
      </c>
      <c r="X951" s="218">
        <v>1</v>
      </c>
      <c r="Y951" s="218">
        <v>1</v>
      </c>
    </row>
    <row r="952" spans="1:25" ht="14.4" x14ac:dyDescent="0.3">
      <c r="A952" s="1" t="s">
        <v>2487</v>
      </c>
      <c r="B952" s="5">
        <v>46144</v>
      </c>
      <c r="C952" s="6">
        <v>9.375E-2</v>
      </c>
      <c r="D952" s="1" t="s">
        <v>7</v>
      </c>
      <c r="E952" s="1" t="s">
        <v>9</v>
      </c>
      <c r="F952" s="1" t="s">
        <v>2488</v>
      </c>
      <c r="G952" s="39" t="s">
        <v>2387</v>
      </c>
      <c r="H952" s="1">
        <v>0</v>
      </c>
      <c r="I952" s="1">
        <v>1</v>
      </c>
      <c r="J952" s="39" t="s">
        <v>2385</v>
      </c>
      <c r="K952" s="1">
        <v>1</v>
      </c>
      <c r="L952" s="1">
        <v>0</v>
      </c>
      <c r="S952" s="1" t="s">
        <v>9705</v>
      </c>
      <c r="T952">
        <v>1</v>
      </c>
      <c r="U952" s="19"/>
      <c r="V952" s="19"/>
      <c r="W952" s="218">
        <v>0</v>
      </c>
      <c r="X952" s="218">
        <v>1</v>
      </c>
      <c r="Y952" s="218">
        <v>1</v>
      </c>
    </row>
    <row r="953" spans="1:25" x14ac:dyDescent="0.3">
      <c r="A953" s="1" t="s">
        <v>2489</v>
      </c>
      <c r="B953" s="5">
        <v>46227</v>
      </c>
      <c r="C953" s="6">
        <v>0.27083333333333298</v>
      </c>
      <c r="D953" s="1" t="s">
        <v>7</v>
      </c>
      <c r="E953" s="1" t="s">
        <v>9</v>
      </c>
      <c r="F953" s="1" t="s">
        <v>2490</v>
      </c>
      <c r="G953" s="39" t="s">
        <v>2382</v>
      </c>
      <c r="H953" s="1">
        <v>0</v>
      </c>
      <c r="I953" s="1">
        <v>0</v>
      </c>
      <c r="J953" s="39" t="s">
        <v>2381</v>
      </c>
      <c r="K953" s="1">
        <v>0</v>
      </c>
      <c r="L953" s="1">
        <v>0</v>
      </c>
      <c r="S953" s="1" t="s">
        <v>9706</v>
      </c>
      <c r="T953" s="1">
        <v>1</v>
      </c>
      <c r="U953" s="19"/>
      <c r="V953" s="19"/>
      <c r="W953" s="218">
        <v>1</v>
      </c>
      <c r="X953" s="218">
        <v>1</v>
      </c>
      <c r="Y953" s="218">
        <v>1</v>
      </c>
    </row>
    <row r="954" spans="1:25" x14ac:dyDescent="0.3">
      <c r="A954" s="1" t="s">
        <v>2491</v>
      </c>
      <c r="B954" s="5">
        <v>46221</v>
      </c>
      <c r="C954" s="6">
        <v>9.375E-2</v>
      </c>
      <c r="D954" s="1" t="s">
        <v>7</v>
      </c>
      <c r="E954" s="1" t="s">
        <v>9</v>
      </c>
      <c r="F954" s="1" t="s">
        <v>2492</v>
      </c>
      <c r="G954" s="39" t="s">
        <v>2384</v>
      </c>
      <c r="H954" s="1">
        <v>0</v>
      </c>
      <c r="I954" s="1">
        <v>0</v>
      </c>
      <c r="J954" s="39" t="s">
        <v>2382</v>
      </c>
      <c r="K954" s="1">
        <v>0</v>
      </c>
      <c r="L954" s="1">
        <v>0</v>
      </c>
      <c r="S954" s="1" t="s">
        <v>9707</v>
      </c>
      <c r="T954" s="1">
        <v>1</v>
      </c>
      <c r="U954" s="19"/>
      <c r="V954" s="19"/>
      <c r="W954" s="218">
        <v>1</v>
      </c>
      <c r="X954" s="218">
        <v>1</v>
      </c>
      <c r="Y954" s="218">
        <v>1</v>
      </c>
    </row>
    <row r="955" spans="1:25" x14ac:dyDescent="0.3">
      <c r="A955" s="1" t="s">
        <v>2493</v>
      </c>
      <c r="B955" s="5">
        <v>46214</v>
      </c>
      <c r="C955" s="6">
        <v>8.3333333333333301E-2</v>
      </c>
      <c r="D955" s="1" t="s">
        <v>7</v>
      </c>
      <c r="E955" s="1" t="s">
        <v>9</v>
      </c>
      <c r="F955" s="1" t="s">
        <v>2494</v>
      </c>
      <c r="G955" s="39" t="s">
        <v>2383</v>
      </c>
      <c r="H955" s="1">
        <v>2</v>
      </c>
      <c r="I955" s="1">
        <v>2</v>
      </c>
      <c r="J955" s="39" t="s">
        <v>2382</v>
      </c>
      <c r="K955" s="1">
        <v>2</v>
      </c>
      <c r="L955" s="1">
        <v>2</v>
      </c>
      <c r="S955" s="1" t="s">
        <v>9708</v>
      </c>
      <c r="T955" s="1">
        <v>1</v>
      </c>
      <c r="U955" s="19"/>
      <c r="V955" s="19"/>
      <c r="W955" s="218">
        <v>1</v>
      </c>
      <c r="X955" s="218">
        <v>1</v>
      </c>
      <c r="Y955" s="218">
        <v>1</v>
      </c>
    </row>
    <row r="956" spans="1:25" x14ac:dyDescent="0.3">
      <c r="A956" s="1" t="s">
        <v>2495</v>
      </c>
      <c r="B956" s="5">
        <v>46206</v>
      </c>
      <c r="C956" s="6">
        <v>0.27083333333333298</v>
      </c>
      <c r="D956" s="1" t="s">
        <v>7</v>
      </c>
      <c r="E956" s="1" t="s">
        <v>9</v>
      </c>
      <c r="F956" s="1" t="s">
        <v>2496</v>
      </c>
      <c r="G956" s="39" t="s">
        <v>2382</v>
      </c>
      <c r="H956" s="1">
        <v>1</v>
      </c>
      <c r="I956" s="1">
        <v>1</v>
      </c>
      <c r="J956" s="39" t="s">
        <v>253</v>
      </c>
      <c r="K956" s="1">
        <v>1</v>
      </c>
      <c r="L956" s="1">
        <v>1</v>
      </c>
      <c r="S956" s="1" t="s">
        <v>9709</v>
      </c>
      <c r="T956" s="1">
        <v>1</v>
      </c>
      <c r="U956" s="19"/>
      <c r="V956" s="19"/>
      <c r="W956" s="218">
        <v>1</v>
      </c>
      <c r="X956" s="218">
        <v>1</v>
      </c>
      <c r="Y956" s="218">
        <v>1</v>
      </c>
    </row>
    <row r="957" spans="1:25" x14ac:dyDescent="0.3">
      <c r="A957" s="1" t="s">
        <v>2497</v>
      </c>
      <c r="B957" s="5">
        <v>46178</v>
      </c>
      <c r="C957" s="6">
        <v>0.28125</v>
      </c>
      <c r="D957" s="1" t="s">
        <v>7</v>
      </c>
      <c r="E957" s="1" t="s">
        <v>9</v>
      </c>
      <c r="F957" s="1" t="s">
        <v>2498</v>
      </c>
      <c r="G957" s="39" t="s">
        <v>2386</v>
      </c>
      <c r="H957" s="1">
        <v>4</v>
      </c>
      <c r="I957" s="1">
        <v>1</v>
      </c>
      <c r="J957" s="39" t="s">
        <v>2382</v>
      </c>
      <c r="K957" s="1">
        <v>1</v>
      </c>
      <c r="L957" s="1">
        <v>4</v>
      </c>
      <c r="S957" s="1" t="s">
        <v>9710</v>
      </c>
      <c r="T957" s="1">
        <v>1</v>
      </c>
      <c r="U957" s="19"/>
      <c r="V957" s="19"/>
      <c r="W957" s="218">
        <v>1</v>
      </c>
      <c r="X957" s="218">
        <v>1</v>
      </c>
      <c r="Y957" s="218">
        <v>1</v>
      </c>
    </row>
    <row r="958" spans="1:25" x14ac:dyDescent="0.3">
      <c r="A958" s="1" t="s">
        <v>2499</v>
      </c>
      <c r="B958" s="5">
        <v>46171</v>
      </c>
      <c r="C958" s="6">
        <v>0.27083333333333298</v>
      </c>
      <c r="D958" s="1" t="s">
        <v>7</v>
      </c>
      <c r="E958" s="1" t="s">
        <v>9</v>
      </c>
      <c r="F958" s="1" t="s">
        <v>2500</v>
      </c>
      <c r="G958" s="39" t="s">
        <v>2382</v>
      </c>
      <c r="H958" s="1">
        <v>4</v>
      </c>
      <c r="I958" s="1">
        <v>2</v>
      </c>
      <c r="J958" s="39" t="s">
        <v>2387</v>
      </c>
      <c r="K958" s="1">
        <v>2</v>
      </c>
      <c r="L958" s="1">
        <v>4</v>
      </c>
      <c r="S958" s="1" t="s">
        <v>9711</v>
      </c>
      <c r="T958" s="1">
        <v>1</v>
      </c>
      <c r="U958" s="19"/>
      <c r="V958" s="19"/>
      <c r="W958" s="218">
        <v>1</v>
      </c>
      <c r="X958" s="218">
        <v>1</v>
      </c>
      <c r="Y958" s="218">
        <v>1</v>
      </c>
    </row>
    <row r="959" spans="1:25" x14ac:dyDescent="0.3">
      <c r="A959" s="1" t="s">
        <v>2501</v>
      </c>
      <c r="B959" s="5">
        <v>46164</v>
      </c>
      <c r="C959" s="6">
        <v>0.27083333333333298</v>
      </c>
      <c r="D959" s="1" t="s">
        <v>7</v>
      </c>
      <c r="E959" s="1" t="s">
        <v>9</v>
      </c>
      <c r="F959" s="1" t="s">
        <v>2502</v>
      </c>
      <c r="G959" s="39" t="s">
        <v>2412</v>
      </c>
      <c r="H959" s="1">
        <v>0</v>
      </c>
      <c r="I959" s="1">
        <v>1</v>
      </c>
      <c r="J959" s="39" t="s">
        <v>2382</v>
      </c>
      <c r="K959" s="1">
        <v>1</v>
      </c>
      <c r="L959" s="1">
        <v>0</v>
      </c>
      <c r="S959" s="1" t="s">
        <v>9712</v>
      </c>
      <c r="T959" s="1">
        <v>1</v>
      </c>
      <c r="U959" s="19"/>
      <c r="V959" s="19"/>
      <c r="W959" s="218">
        <v>1</v>
      </c>
      <c r="X959" s="218">
        <v>1</v>
      </c>
      <c r="Y959" s="218">
        <v>1</v>
      </c>
    </row>
    <row r="960" spans="1:25" ht="14.4" x14ac:dyDescent="0.3">
      <c r="A960" s="1" t="s">
        <v>2503</v>
      </c>
      <c r="B960" s="5">
        <v>46157</v>
      </c>
      <c r="C960" s="6">
        <v>0.3125</v>
      </c>
      <c r="D960" s="1" t="s">
        <v>7</v>
      </c>
      <c r="E960" s="1" t="s">
        <v>9</v>
      </c>
      <c r="F960" s="1" t="s">
        <v>2504</v>
      </c>
      <c r="G960" s="39" t="s">
        <v>2378</v>
      </c>
      <c r="H960" s="1">
        <v>2</v>
      </c>
      <c r="I960" s="1">
        <v>2</v>
      </c>
      <c r="J960" s="39" t="s">
        <v>2382</v>
      </c>
      <c r="K960" s="1">
        <v>2</v>
      </c>
      <c r="L960" s="1">
        <v>2</v>
      </c>
      <c r="S960" s="1" t="s">
        <v>9713</v>
      </c>
      <c r="T960">
        <v>1</v>
      </c>
      <c r="U960" s="19"/>
      <c r="V960" s="19"/>
      <c r="W960" s="218">
        <v>1</v>
      </c>
      <c r="X960" s="218">
        <v>1</v>
      </c>
      <c r="Y960" s="218">
        <v>1</v>
      </c>
    </row>
    <row r="961" spans="1:25" x14ac:dyDescent="0.3">
      <c r="A961" s="1" t="s">
        <v>2505</v>
      </c>
      <c r="B961" s="5">
        <v>46235</v>
      </c>
      <c r="C961" s="6">
        <v>9.375E-2</v>
      </c>
      <c r="D961" s="1" t="s">
        <v>7</v>
      </c>
      <c r="E961" s="1" t="s">
        <v>9</v>
      </c>
      <c r="F961" s="1" t="s">
        <v>2506</v>
      </c>
      <c r="G961" s="39" t="s">
        <v>2384</v>
      </c>
      <c r="H961" s="1">
        <v>1</v>
      </c>
      <c r="I961" s="1">
        <v>1</v>
      </c>
      <c r="J961" s="39" t="s">
        <v>2381</v>
      </c>
      <c r="K961" s="1">
        <v>1</v>
      </c>
      <c r="L961" s="1">
        <v>1</v>
      </c>
      <c r="S961" s="1" t="s">
        <v>9714</v>
      </c>
      <c r="T961" s="1">
        <v>1</v>
      </c>
      <c r="U961" s="19"/>
      <c r="V961" s="19"/>
      <c r="W961" s="218">
        <v>1</v>
      </c>
      <c r="X961" s="218">
        <v>1</v>
      </c>
      <c r="Y961" s="218">
        <v>1</v>
      </c>
    </row>
    <row r="962" spans="1:25" x14ac:dyDescent="0.3">
      <c r="A962" s="1" t="s">
        <v>2507</v>
      </c>
      <c r="B962" s="5">
        <v>46221</v>
      </c>
      <c r="C962" s="6">
        <v>0.20833333333333301</v>
      </c>
      <c r="D962" s="1" t="s">
        <v>7</v>
      </c>
      <c r="E962" s="1" t="s">
        <v>9</v>
      </c>
      <c r="F962" s="1" t="s">
        <v>2508</v>
      </c>
      <c r="G962" s="39" t="s">
        <v>2381</v>
      </c>
      <c r="H962" s="1">
        <v>1</v>
      </c>
      <c r="I962" s="1">
        <v>0</v>
      </c>
      <c r="J962" s="39" t="s">
        <v>2383</v>
      </c>
      <c r="K962" s="1">
        <v>0</v>
      </c>
      <c r="L962" s="1">
        <v>1</v>
      </c>
      <c r="S962" s="1" t="s">
        <v>9715</v>
      </c>
      <c r="T962" s="1">
        <v>1</v>
      </c>
      <c r="U962" s="19"/>
      <c r="V962" s="19"/>
      <c r="W962" s="218">
        <v>1</v>
      </c>
      <c r="X962" s="218">
        <v>1</v>
      </c>
      <c r="Y962" s="218">
        <v>1</v>
      </c>
    </row>
    <row r="963" spans="1:25" x14ac:dyDescent="0.3">
      <c r="A963" s="1" t="s">
        <v>2509</v>
      </c>
      <c r="B963" s="5">
        <v>46215</v>
      </c>
      <c r="C963" s="6">
        <v>8.3333333333333301E-2</v>
      </c>
      <c r="D963" s="1" t="s">
        <v>7</v>
      </c>
      <c r="E963" s="1" t="s">
        <v>9</v>
      </c>
      <c r="F963" s="1" t="s">
        <v>2510</v>
      </c>
      <c r="G963" s="39" t="s">
        <v>253</v>
      </c>
      <c r="H963" s="1">
        <v>2</v>
      </c>
      <c r="I963" s="1">
        <v>2</v>
      </c>
      <c r="J963" s="39" t="s">
        <v>2381</v>
      </c>
      <c r="K963" s="1">
        <v>2</v>
      </c>
      <c r="L963" s="1">
        <v>2</v>
      </c>
      <c r="S963" s="1" t="s">
        <v>9716</v>
      </c>
      <c r="T963" s="1">
        <v>1</v>
      </c>
      <c r="U963" s="19"/>
      <c r="V963" s="19"/>
      <c r="W963" s="218">
        <v>1</v>
      </c>
      <c r="X963" s="218">
        <v>1</v>
      </c>
      <c r="Y963" s="218">
        <v>1</v>
      </c>
    </row>
    <row r="964" spans="1:25" x14ac:dyDescent="0.3">
      <c r="A964" s="1" t="s">
        <v>2511</v>
      </c>
      <c r="B964" s="5">
        <v>46193</v>
      </c>
      <c r="C964" s="6">
        <v>0.20833333333333301</v>
      </c>
      <c r="D964" s="1" t="s">
        <v>7</v>
      </c>
      <c r="E964" s="1" t="s">
        <v>9</v>
      </c>
      <c r="F964" s="1" t="s">
        <v>2512</v>
      </c>
      <c r="G964" s="39" t="s">
        <v>2381</v>
      </c>
      <c r="H964" s="1">
        <v>3</v>
      </c>
      <c r="I964" s="1">
        <v>2</v>
      </c>
      <c r="J964" s="39" t="s">
        <v>2386</v>
      </c>
      <c r="K964" s="1">
        <v>2</v>
      </c>
      <c r="L964" s="1">
        <v>3</v>
      </c>
      <c r="S964" s="1" t="s">
        <v>9717</v>
      </c>
      <c r="T964" s="1">
        <v>1</v>
      </c>
      <c r="U964" s="19"/>
      <c r="V964" s="19"/>
      <c r="W964" s="218">
        <v>1</v>
      </c>
      <c r="X964" s="218">
        <v>1</v>
      </c>
      <c r="Y964" s="218">
        <v>1</v>
      </c>
    </row>
    <row r="965" spans="1:25" x14ac:dyDescent="0.3">
      <c r="A965" s="1" t="s">
        <v>2513</v>
      </c>
      <c r="B965" s="5">
        <v>46179</v>
      </c>
      <c r="C965" s="6">
        <v>0.16666666666666699</v>
      </c>
      <c r="D965" s="1" t="s">
        <v>7</v>
      </c>
      <c r="E965" s="1" t="s">
        <v>9</v>
      </c>
      <c r="F965" s="1" t="s">
        <v>2514</v>
      </c>
      <c r="G965" s="39" t="s">
        <v>2387</v>
      </c>
      <c r="H965" s="1">
        <v>2</v>
      </c>
      <c r="I965" s="1">
        <v>3</v>
      </c>
      <c r="J965" s="39" t="s">
        <v>2381</v>
      </c>
      <c r="K965" s="1">
        <v>3</v>
      </c>
      <c r="L965" s="1">
        <v>2</v>
      </c>
      <c r="S965" s="1" t="s">
        <v>9718</v>
      </c>
      <c r="T965" s="1">
        <v>1</v>
      </c>
      <c r="U965" s="19"/>
      <c r="V965" s="19"/>
      <c r="W965" s="218">
        <v>1</v>
      </c>
      <c r="X965" s="218">
        <v>1</v>
      </c>
      <c r="Y965" s="218">
        <v>1</v>
      </c>
    </row>
    <row r="966" spans="1:25" x14ac:dyDescent="0.3">
      <c r="A966" s="1" t="s">
        <v>2515</v>
      </c>
      <c r="B966" s="5">
        <v>46172</v>
      </c>
      <c r="C966" s="6">
        <v>0.20833333333333301</v>
      </c>
      <c r="D966" s="1" t="s">
        <v>7</v>
      </c>
      <c r="E966" s="1" t="s">
        <v>9</v>
      </c>
      <c r="F966" s="1" t="s">
        <v>2516</v>
      </c>
      <c r="G966" s="39" t="s">
        <v>2381</v>
      </c>
      <c r="H966" s="1">
        <v>0</v>
      </c>
      <c r="I966" s="1">
        <v>0</v>
      </c>
      <c r="J966" s="39" t="s">
        <v>2412</v>
      </c>
      <c r="K966" s="1">
        <v>0</v>
      </c>
      <c r="L966" s="1">
        <v>0</v>
      </c>
      <c r="S966" s="1" t="s">
        <v>9719</v>
      </c>
      <c r="T966" s="1">
        <v>1</v>
      </c>
      <c r="U966" s="19"/>
      <c r="V966" s="19"/>
      <c r="W966" s="218">
        <v>1</v>
      </c>
      <c r="X966" s="218">
        <v>1</v>
      </c>
      <c r="Y966" s="218">
        <v>1</v>
      </c>
    </row>
    <row r="967" spans="1:25" ht="14.4" x14ac:dyDescent="0.3">
      <c r="A967" s="1" t="s">
        <v>2517</v>
      </c>
      <c r="B967" s="5">
        <v>46164</v>
      </c>
      <c r="C967" s="6">
        <v>0.27083333333333298</v>
      </c>
      <c r="D967" s="1" t="s">
        <v>7</v>
      </c>
      <c r="E967" s="1" t="s">
        <v>9</v>
      </c>
      <c r="F967" s="1" t="s">
        <v>2518</v>
      </c>
      <c r="G967" s="39" t="s">
        <v>2378</v>
      </c>
      <c r="H967" s="1">
        <v>0</v>
      </c>
      <c r="I967" s="1">
        <v>0</v>
      </c>
      <c r="J967" s="39" t="s">
        <v>2381</v>
      </c>
      <c r="K967" s="1">
        <v>0</v>
      </c>
      <c r="L967" s="1">
        <v>0</v>
      </c>
      <c r="S967" s="1" t="s">
        <v>9720</v>
      </c>
      <c r="T967">
        <v>1</v>
      </c>
      <c r="U967" s="19"/>
      <c r="V967" s="19"/>
      <c r="W967" s="218">
        <v>1</v>
      </c>
      <c r="X967" s="218">
        <v>1</v>
      </c>
      <c r="Y967" s="218">
        <v>1</v>
      </c>
    </row>
    <row r="968" spans="1:25" x14ac:dyDescent="0.3">
      <c r="A968" s="1" t="s">
        <v>2519</v>
      </c>
      <c r="B968" s="102">
        <v>46207</v>
      </c>
      <c r="C968" s="6">
        <v>9.375E-2</v>
      </c>
      <c r="D968" s="1" t="s">
        <v>7</v>
      </c>
      <c r="E968" s="1" t="s">
        <v>9</v>
      </c>
      <c r="F968" s="1" t="s">
        <v>2520</v>
      </c>
      <c r="G968" s="39" t="s">
        <v>2384</v>
      </c>
      <c r="H968" s="1">
        <v>0</v>
      </c>
      <c r="I968" s="1">
        <v>3</v>
      </c>
      <c r="J968" s="39" t="s">
        <v>2383</v>
      </c>
      <c r="K968" s="1">
        <v>3</v>
      </c>
      <c r="L968" s="1">
        <v>0</v>
      </c>
      <c r="S968" s="1" t="s">
        <v>9721</v>
      </c>
      <c r="T968" s="1">
        <v>1</v>
      </c>
      <c r="U968" s="19"/>
      <c r="V968" s="19"/>
      <c r="W968" s="218">
        <v>1</v>
      </c>
      <c r="X968" s="218">
        <v>1</v>
      </c>
      <c r="Y968" s="218">
        <v>1</v>
      </c>
    </row>
    <row r="969" spans="1:25" x14ac:dyDescent="0.3">
      <c r="A969" s="1" t="s">
        <v>2521</v>
      </c>
      <c r="B969" s="102">
        <v>46199</v>
      </c>
      <c r="C969" s="6">
        <v>0.3125</v>
      </c>
      <c r="D969" s="1" t="s">
        <v>7</v>
      </c>
      <c r="E969" s="1" t="s">
        <v>9</v>
      </c>
      <c r="F969" s="1" t="s">
        <v>2522</v>
      </c>
      <c r="G969" s="39" t="s">
        <v>253</v>
      </c>
      <c r="H969" s="1">
        <v>0</v>
      </c>
      <c r="I969" s="1">
        <v>2</v>
      </c>
      <c r="J969" s="39" t="s">
        <v>2383</v>
      </c>
      <c r="K969" s="1">
        <v>2</v>
      </c>
      <c r="L969" s="1">
        <v>0</v>
      </c>
      <c r="S969" s="1" t="s">
        <v>9722</v>
      </c>
      <c r="T969" s="1">
        <v>1</v>
      </c>
      <c r="U969" s="19"/>
      <c r="V969" s="19"/>
      <c r="W969" s="218">
        <v>1</v>
      </c>
      <c r="X969" s="218">
        <v>1</v>
      </c>
      <c r="Y969" s="218">
        <v>1</v>
      </c>
    </row>
    <row r="970" spans="1:25" x14ac:dyDescent="0.3">
      <c r="A970" s="1" t="s">
        <v>2523</v>
      </c>
      <c r="B970" s="102">
        <v>46172</v>
      </c>
      <c r="C970" s="6">
        <v>8.3333333333333301E-2</v>
      </c>
      <c r="D970" s="1" t="s">
        <v>7</v>
      </c>
      <c r="E970" s="1" t="s">
        <v>9</v>
      </c>
      <c r="F970" s="1" t="s">
        <v>2524</v>
      </c>
      <c r="G970" s="39" t="s">
        <v>2383</v>
      </c>
      <c r="H970" s="1">
        <v>0</v>
      </c>
      <c r="I970" s="1">
        <v>1</v>
      </c>
      <c r="J970" s="39" t="s">
        <v>2386</v>
      </c>
      <c r="K970" s="1">
        <v>1</v>
      </c>
      <c r="L970" s="1">
        <v>0</v>
      </c>
      <c r="S970" s="1" t="s">
        <v>9723</v>
      </c>
      <c r="T970" s="1">
        <v>1</v>
      </c>
      <c r="U970" s="19"/>
      <c r="V970" s="19"/>
      <c r="W970" s="218">
        <v>1</v>
      </c>
      <c r="X970" s="218">
        <v>1</v>
      </c>
      <c r="Y970" s="218">
        <v>1</v>
      </c>
    </row>
    <row r="971" spans="1:25" x14ac:dyDescent="0.3">
      <c r="A971" s="1" t="s">
        <v>2525</v>
      </c>
      <c r="B971" s="102">
        <v>46166</v>
      </c>
      <c r="C971" s="6">
        <v>8.3333333333333301E-2</v>
      </c>
      <c r="D971" s="1" t="s">
        <v>7</v>
      </c>
      <c r="E971" s="1" t="s">
        <v>9</v>
      </c>
      <c r="F971" s="1" t="s">
        <v>2526</v>
      </c>
      <c r="G971" s="39" t="s">
        <v>2383</v>
      </c>
      <c r="H971" s="1">
        <v>2</v>
      </c>
      <c r="I971" s="1">
        <v>0</v>
      </c>
      <c r="J971" s="39" t="s">
        <v>2387</v>
      </c>
      <c r="K971" s="1">
        <v>0</v>
      </c>
      <c r="L971" s="1">
        <v>2</v>
      </c>
      <c r="S971" s="1" t="s">
        <v>9724</v>
      </c>
      <c r="T971" s="1">
        <v>1</v>
      </c>
      <c r="U971" s="19"/>
      <c r="V971" s="19"/>
      <c r="W971" s="218">
        <v>1</v>
      </c>
      <c r="X971" s="218">
        <v>1</v>
      </c>
      <c r="Y971" s="218">
        <v>1</v>
      </c>
    </row>
    <row r="972" spans="1:25" x14ac:dyDescent="0.3">
      <c r="A972" s="1" t="s">
        <v>2527</v>
      </c>
      <c r="B972" s="102">
        <v>46157</v>
      </c>
      <c r="C972" s="6">
        <v>0.27083333333333298</v>
      </c>
      <c r="D972" s="1" t="s">
        <v>7</v>
      </c>
      <c r="E972" s="1" t="s">
        <v>9</v>
      </c>
      <c r="F972" s="1" t="s">
        <v>2528</v>
      </c>
      <c r="G972" s="39" t="s">
        <v>2412</v>
      </c>
      <c r="H972" s="1">
        <v>1</v>
      </c>
      <c r="I972" s="1">
        <v>3</v>
      </c>
      <c r="J972" s="39" t="s">
        <v>2383</v>
      </c>
      <c r="K972" s="1">
        <v>3</v>
      </c>
      <c r="L972" s="1">
        <v>1</v>
      </c>
      <c r="S972" s="1" t="s">
        <v>9725</v>
      </c>
      <c r="T972" s="1">
        <v>1</v>
      </c>
      <c r="U972" s="19"/>
      <c r="V972" s="19"/>
      <c r="W972" s="218">
        <v>1</v>
      </c>
      <c r="X972" s="218">
        <v>1</v>
      </c>
      <c r="Y972" s="218">
        <v>1</v>
      </c>
    </row>
    <row r="973" spans="1:25" x14ac:dyDescent="0.3">
      <c r="A973" s="1" t="s">
        <v>2529</v>
      </c>
      <c r="B973" s="102">
        <v>46150</v>
      </c>
      <c r="C973" s="6">
        <v>0.27083333333333298</v>
      </c>
      <c r="D973" s="1" t="s">
        <v>7</v>
      </c>
      <c r="E973" s="1" t="s">
        <v>9</v>
      </c>
      <c r="F973" s="1" t="s">
        <v>2530</v>
      </c>
      <c r="G973" s="39" t="s">
        <v>2378</v>
      </c>
      <c r="H973" s="1">
        <v>0</v>
      </c>
      <c r="I973" s="1">
        <v>7</v>
      </c>
      <c r="J973" s="39" t="s">
        <v>2383</v>
      </c>
      <c r="K973" s="1">
        <v>7</v>
      </c>
      <c r="L973" s="1">
        <v>0</v>
      </c>
      <c r="S973" s="1" t="s">
        <v>9726</v>
      </c>
      <c r="T973" s="1">
        <v>1</v>
      </c>
      <c r="U973" s="19"/>
      <c r="V973" s="19"/>
      <c r="W973" s="218">
        <v>1</v>
      </c>
      <c r="X973" s="218">
        <v>1</v>
      </c>
      <c r="Y973" s="218">
        <v>1</v>
      </c>
    </row>
    <row r="974" spans="1:25" ht="14.4" x14ac:dyDescent="0.3">
      <c r="A974" s="1" t="s">
        <v>2531</v>
      </c>
      <c r="B974" s="102">
        <v>46143</v>
      </c>
      <c r="C974" s="6">
        <v>0.27083333333333298</v>
      </c>
      <c r="D974" s="1" t="s">
        <v>7</v>
      </c>
      <c r="E974" s="1" t="s">
        <v>9</v>
      </c>
      <c r="F974" s="1" t="s">
        <v>2532</v>
      </c>
      <c r="G974" s="39" t="s">
        <v>252</v>
      </c>
      <c r="H974" s="1">
        <v>1</v>
      </c>
      <c r="I974" s="1">
        <v>2</v>
      </c>
      <c r="J974" s="39" t="s">
        <v>2383</v>
      </c>
      <c r="K974" s="1">
        <v>2</v>
      </c>
      <c r="L974" s="1">
        <v>1</v>
      </c>
      <c r="S974" s="1" t="s">
        <v>9727</v>
      </c>
      <c r="T974">
        <v>1</v>
      </c>
      <c r="U974" s="19"/>
      <c r="V974" s="19"/>
      <c r="W974" s="218">
        <v>0</v>
      </c>
      <c r="X974" s="218">
        <v>1</v>
      </c>
      <c r="Y974" s="218">
        <v>1</v>
      </c>
    </row>
    <row r="975" spans="1:25" x14ac:dyDescent="0.3">
      <c r="A975" s="1" t="s">
        <v>2533</v>
      </c>
      <c r="B975" s="102">
        <v>46228</v>
      </c>
      <c r="C975" s="6">
        <v>0.16666666666666699</v>
      </c>
      <c r="D975" s="1" t="s">
        <v>7</v>
      </c>
      <c r="E975" s="1" t="s">
        <v>9</v>
      </c>
      <c r="F975" s="1" t="s">
        <v>2534</v>
      </c>
      <c r="G975" s="39" t="s">
        <v>2387</v>
      </c>
      <c r="H975" s="1">
        <v>0</v>
      </c>
      <c r="I975" s="1">
        <v>2</v>
      </c>
      <c r="J975" s="39" t="s">
        <v>2384</v>
      </c>
      <c r="K975" s="1">
        <v>2</v>
      </c>
      <c r="L975" s="1">
        <v>0</v>
      </c>
      <c r="S975" s="1" t="s">
        <v>9728</v>
      </c>
      <c r="T975" s="1">
        <v>1</v>
      </c>
      <c r="U975" s="19"/>
      <c r="V975" s="19"/>
      <c r="W975" s="218">
        <v>1</v>
      </c>
      <c r="X975" s="218">
        <v>1</v>
      </c>
      <c r="Y975" s="218">
        <v>1</v>
      </c>
    </row>
    <row r="976" spans="1:25" x14ac:dyDescent="0.3">
      <c r="A976" s="1" t="s">
        <v>2535</v>
      </c>
      <c r="B976" s="102">
        <v>46213</v>
      </c>
      <c r="C976" s="6">
        <v>0.27083333333333298</v>
      </c>
      <c r="D976" s="1" t="s">
        <v>7</v>
      </c>
      <c r="E976" s="1" t="s">
        <v>9</v>
      </c>
      <c r="F976" s="1" t="s">
        <v>2536</v>
      </c>
      <c r="G976" s="39" t="s">
        <v>2412</v>
      </c>
      <c r="H976" s="1">
        <v>1</v>
      </c>
      <c r="I976" s="1">
        <v>3</v>
      </c>
      <c r="J976" s="39" t="s">
        <v>2384</v>
      </c>
      <c r="K976" s="1">
        <v>3</v>
      </c>
      <c r="L976" s="1">
        <v>1</v>
      </c>
      <c r="S976" s="1" t="s">
        <v>9729</v>
      </c>
      <c r="T976" s="1">
        <v>1</v>
      </c>
      <c r="U976" s="19"/>
      <c r="V976" s="19"/>
      <c r="W976" s="218">
        <v>1</v>
      </c>
      <c r="X976" s="218">
        <v>1</v>
      </c>
      <c r="Y976" s="218">
        <v>1</v>
      </c>
    </row>
    <row r="977" spans="1:25" x14ac:dyDescent="0.3">
      <c r="A977" s="1" t="s">
        <v>2537</v>
      </c>
      <c r="B977" s="102">
        <v>46199</v>
      </c>
      <c r="C977" s="6">
        <v>0.3125</v>
      </c>
      <c r="D977" s="1" t="s">
        <v>7</v>
      </c>
      <c r="E977" s="1" t="s">
        <v>9</v>
      </c>
      <c r="F977" s="1" t="s">
        <v>2538</v>
      </c>
      <c r="G977" s="39" t="s">
        <v>2378</v>
      </c>
      <c r="H977" s="1">
        <v>0</v>
      </c>
      <c r="I977" s="1">
        <v>1</v>
      </c>
      <c r="J977" s="39" t="s">
        <v>2384</v>
      </c>
      <c r="K977" s="1">
        <v>1</v>
      </c>
      <c r="L977" s="1">
        <v>0</v>
      </c>
      <c r="S977" s="1" t="s">
        <v>9730</v>
      </c>
      <c r="T977" s="1">
        <v>1</v>
      </c>
      <c r="U977" s="19"/>
      <c r="V977" s="19"/>
      <c r="W977" s="218">
        <v>1</v>
      </c>
      <c r="X977" s="218">
        <v>1</v>
      </c>
      <c r="Y977" s="218">
        <v>1</v>
      </c>
    </row>
    <row r="978" spans="1:25" ht="14.4" x14ac:dyDescent="0.3">
      <c r="A978" s="1" t="s">
        <v>2539</v>
      </c>
      <c r="B978" s="102">
        <v>46194</v>
      </c>
      <c r="C978" s="6">
        <v>0.16666666666666699</v>
      </c>
      <c r="D978" s="1" t="s">
        <v>7</v>
      </c>
      <c r="E978" s="1" t="s">
        <v>9</v>
      </c>
      <c r="F978" s="1" t="s">
        <v>2540</v>
      </c>
      <c r="G978" s="39" t="s">
        <v>253</v>
      </c>
      <c r="H978" s="1">
        <v>2</v>
      </c>
      <c r="I978" s="1">
        <v>1</v>
      </c>
      <c r="J978" s="39" t="s">
        <v>2384</v>
      </c>
      <c r="K978" s="1">
        <v>1</v>
      </c>
      <c r="L978" s="1">
        <v>2</v>
      </c>
      <c r="S978" s="1" t="s">
        <v>9731</v>
      </c>
      <c r="T978">
        <v>1</v>
      </c>
      <c r="U978" s="19"/>
      <c r="V978" s="19"/>
      <c r="W978" s="218">
        <v>1</v>
      </c>
      <c r="X978" s="218">
        <v>1</v>
      </c>
      <c r="Y978" s="218">
        <v>1</v>
      </c>
    </row>
    <row r="979" spans="1:25" x14ac:dyDescent="0.3">
      <c r="A979" s="1" t="s">
        <v>2541</v>
      </c>
      <c r="B979" s="102">
        <v>46164</v>
      </c>
      <c r="C979" s="6">
        <v>0.28125</v>
      </c>
      <c r="D979" s="1" t="s">
        <v>7</v>
      </c>
      <c r="E979" s="1" t="s">
        <v>9</v>
      </c>
      <c r="F979" s="1" t="s">
        <v>2542</v>
      </c>
      <c r="G979" s="39" t="s">
        <v>2386</v>
      </c>
      <c r="H979" s="1">
        <v>2</v>
      </c>
      <c r="I979" s="1">
        <v>1</v>
      </c>
      <c r="J979" s="39" t="s">
        <v>253</v>
      </c>
      <c r="K979" s="1">
        <v>1</v>
      </c>
      <c r="L979" s="1">
        <v>2</v>
      </c>
      <c r="S979" s="1" t="s">
        <v>9732</v>
      </c>
      <c r="T979" s="1">
        <v>1</v>
      </c>
      <c r="U979" s="19"/>
      <c r="V979" s="19"/>
      <c r="W979" s="218">
        <v>1</v>
      </c>
      <c r="X979" s="218">
        <v>1</v>
      </c>
      <c r="Y979" s="218">
        <v>1</v>
      </c>
    </row>
    <row r="980" spans="1:25" x14ac:dyDescent="0.3">
      <c r="A980" s="1" t="s">
        <v>2543</v>
      </c>
      <c r="B980" s="102">
        <v>46158</v>
      </c>
      <c r="C980" s="6">
        <v>0.16666666666666699</v>
      </c>
      <c r="D980" s="1" t="s">
        <v>7</v>
      </c>
      <c r="E980" s="1" t="s">
        <v>9</v>
      </c>
      <c r="F980" s="1" t="s">
        <v>2544</v>
      </c>
      <c r="G980" s="39" t="s">
        <v>2387</v>
      </c>
      <c r="H980" s="1">
        <v>2</v>
      </c>
      <c r="I980" s="1">
        <v>2</v>
      </c>
      <c r="J980" s="39" t="s">
        <v>253</v>
      </c>
      <c r="K980" s="1">
        <v>2</v>
      </c>
      <c r="L980" s="1">
        <v>2</v>
      </c>
      <c r="S980" s="1" t="s">
        <v>9733</v>
      </c>
      <c r="T980" s="1">
        <v>1</v>
      </c>
      <c r="U980" s="19"/>
      <c r="V980" s="19"/>
      <c r="W980" s="218">
        <v>1</v>
      </c>
      <c r="X980" s="218">
        <v>1</v>
      </c>
      <c r="Y980" s="218">
        <v>1</v>
      </c>
    </row>
    <row r="981" spans="1:25" ht="14.4" x14ac:dyDescent="0.3">
      <c r="A981" s="1" t="s">
        <v>2545</v>
      </c>
      <c r="B981" s="102">
        <v>46150</v>
      </c>
      <c r="C981" s="6">
        <v>0.27083333333333298</v>
      </c>
      <c r="D981" s="1" t="s">
        <v>7</v>
      </c>
      <c r="E981" s="1" t="s">
        <v>9</v>
      </c>
      <c r="F981" s="1" t="s">
        <v>2546</v>
      </c>
      <c r="G981" s="39" t="s">
        <v>253</v>
      </c>
      <c r="H981" s="1">
        <v>1</v>
      </c>
      <c r="I981" s="1">
        <v>0</v>
      </c>
      <c r="J981" s="39" t="s">
        <v>2412</v>
      </c>
      <c r="K981" s="1">
        <v>0</v>
      </c>
      <c r="L981" s="1">
        <v>1</v>
      </c>
      <c r="S981" s="1" t="s">
        <v>9734</v>
      </c>
      <c r="T981">
        <v>1</v>
      </c>
      <c r="U981" s="19"/>
      <c r="V981" s="19"/>
      <c r="W981" s="218">
        <v>1</v>
      </c>
      <c r="X981" s="218">
        <v>1</v>
      </c>
      <c r="Y981" s="218">
        <v>1</v>
      </c>
    </row>
    <row r="982" spans="1:25" x14ac:dyDescent="0.3">
      <c r="A982" s="1" t="s">
        <v>2547</v>
      </c>
      <c r="B982" s="102">
        <v>46235</v>
      </c>
      <c r="C982" s="6">
        <v>0.25</v>
      </c>
      <c r="D982" s="1" t="s">
        <v>7</v>
      </c>
      <c r="E982" s="1" t="s">
        <v>9</v>
      </c>
      <c r="F982" s="1" t="s">
        <v>2548</v>
      </c>
      <c r="G982" s="39" t="s">
        <v>2387</v>
      </c>
      <c r="H982" s="1">
        <v>0</v>
      </c>
      <c r="I982" s="1">
        <v>3</v>
      </c>
      <c r="J982" s="39" t="s">
        <v>2386</v>
      </c>
      <c r="K982" s="1">
        <v>3</v>
      </c>
      <c r="L982" s="1">
        <v>0</v>
      </c>
      <c r="S982" s="1" t="s">
        <v>9735</v>
      </c>
      <c r="T982" s="1">
        <v>1</v>
      </c>
      <c r="U982" s="19"/>
      <c r="V982" s="19"/>
      <c r="W982" s="218">
        <v>1</v>
      </c>
      <c r="X982" s="218">
        <v>1</v>
      </c>
      <c r="Y982" s="218">
        <v>1</v>
      </c>
    </row>
    <row r="983" spans="1:25" x14ac:dyDescent="0.3">
      <c r="A983" s="1" t="s">
        <v>2549</v>
      </c>
      <c r="B983" s="102">
        <v>46227</v>
      </c>
      <c r="C983" s="6">
        <v>0.27083333333333298</v>
      </c>
      <c r="D983" s="1" t="s">
        <v>7</v>
      </c>
      <c r="E983" s="1" t="s">
        <v>9</v>
      </c>
      <c r="F983" s="1" t="s">
        <v>2550</v>
      </c>
      <c r="G983" s="39" t="s">
        <v>2412</v>
      </c>
      <c r="H983" s="1">
        <v>0</v>
      </c>
      <c r="I983" s="1">
        <v>0</v>
      </c>
      <c r="J983" s="39" t="s">
        <v>2386</v>
      </c>
      <c r="K983" s="1">
        <v>0</v>
      </c>
      <c r="L983" s="1">
        <v>0</v>
      </c>
      <c r="S983" s="1" t="s">
        <v>9736</v>
      </c>
      <c r="T983" s="1">
        <v>1</v>
      </c>
      <c r="U983" s="19"/>
      <c r="V983" s="19"/>
      <c r="W983" s="218">
        <v>1</v>
      </c>
      <c r="X983" s="218">
        <v>1</v>
      </c>
      <c r="Y983" s="218">
        <v>1</v>
      </c>
    </row>
    <row r="984" spans="1:25" ht="14.4" x14ac:dyDescent="0.3">
      <c r="A984" s="1" t="s">
        <v>2551</v>
      </c>
      <c r="B984" s="102">
        <v>46220</v>
      </c>
      <c r="C984" s="6">
        <v>0.27083333333333298</v>
      </c>
      <c r="D984" s="1" t="s">
        <v>7</v>
      </c>
      <c r="E984" s="1" t="s">
        <v>9</v>
      </c>
      <c r="F984" s="1" t="s">
        <v>2552</v>
      </c>
      <c r="G984" s="39" t="s">
        <v>2378</v>
      </c>
      <c r="H984" s="1">
        <v>2</v>
      </c>
      <c r="I984" s="1">
        <v>1</v>
      </c>
      <c r="J984" s="39" t="s">
        <v>2386</v>
      </c>
      <c r="K984" s="1">
        <v>1</v>
      </c>
      <c r="L984" s="1">
        <v>2</v>
      </c>
      <c r="S984" s="1" t="s">
        <v>9737</v>
      </c>
      <c r="T984">
        <v>1</v>
      </c>
      <c r="U984" s="19"/>
      <c r="V984" s="19"/>
      <c r="W984" s="218">
        <v>1</v>
      </c>
      <c r="X984" s="218">
        <v>1</v>
      </c>
      <c r="Y984" s="218">
        <v>1</v>
      </c>
    </row>
    <row r="985" spans="1:25" x14ac:dyDescent="0.3">
      <c r="A985" s="1" t="s">
        <v>2553</v>
      </c>
      <c r="B985" s="102">
        <v>46214</v>
      </c>
      <c r="C985" s="6">
        <v>0.16666666666666699</v>
      </c>
      <c r="D985" s="1" t="s">
        <v>7</v>
      </c>
      <c r="E985" s="1" t="s">
        <v>9</v>
      </c>
      <c r="F985" s="1" t="s">
        <v>2554</v>
      </c>
      <c r="G985" s="39" t="s">
        <v>2387</v>
      </c>
      <c r="H985" s="1">
        <v>2</v>
      </c>
      <c r="I985" s="1">
        <v>1</v>
      </c>
      <c r="J985" s="39" t="s">
        <v>2378</v>
      </c>
      <c r="K985" s="1">
        <v>1</v>
      </c>
      <c r="L985" s="1">
        <v>2</v>
      </c>
      <c r="S985" s="1" t="s">
        <v>9738</v>
      </c>
      <c r="T985" s="1">
        <v>1</v>
      </c>
      <c r="U985" s="19"/>
      <c r="V985" s="19"/>
      <c r="W985" s="218">
        <v>1</v>
      </c>
      <c r="X985" s="218">
        <v>1</v>
      </c>
      <c r="Y985" s="218">
        <v>1</v>
      </c>
    </row>
    <row r="986" spans="1:25" ht="14.4" x14ac:dyDescent="0.3">
      <c r="A986" s="1" t="s">
        <v>2555</v>
      </c>
      <c r="B986" s="102">
        <v>46206</v>
      </c>
      <c r="C986" s="6">
        <v>0.27083333333333298</v>
      </c>
      <c r="D986" s="1" t="s">
        <v>7</v>
      </c>
      <c r="E986" s="1" t="s">
        <v>9</v>
      </c>
      <c r="F986" s="1" t="s">
        <v>2556</v>
      </c>
      <c r="G986" s="39" t="s">
        <v>2412</v>
      </c>
      <c r="H986" s="1">
        <v>3</v>
      </c>
      <c r="I986" s="1">
        <v>0</v>
      </c>
      <c r="J986" s="39" t="s">
        <v>2378</v>
      </c>
      <c r="K986" s="1">
        <v>0</v>
      </c>
      <c r="L986" s="1">
        <v>3</v>
      </c>
      <c r="S986" s="1" t="s">
        <v>9739</v>
      </c>
      <c r="T986">
        <v>1</v>
      </c>
      <c r="U986" s="19"/>
      <c r="V986" s="19"/>
      <c r="W986" s="218">
        <v>1</v>
      </c>
      <c r="X986" s="218">
        <v>1</v>
      </c>
      <c r="Y986" s="218">
        <v>1</v>
      </c>
    </row>
    <row r="987" spans="1:25" ht="14.4" x14ac:dyDescent="0.3">
      <c r="A987" s="1" t="s">
        <v>2557</v>
      </c>
      <c r="B987" s="102">
        <v>46220</v>
      </c>
      <c r="C987" s="6">
        <v>0.27083333333333298</v>
      </c>
      <c r="D987" s="1" t="s">
        <v>7</v>
      </c>
      <c r="E987" s="1" t="s">
        <v>9</v>
      </c>
      <c r="F987" s="1" t="s">
        <v>2558</v>
      </c>
      <c r="G987" s="39" t="s">
        <v>2412</v>
      </c>
      <c r="H987" s="1">
        <v>3</v>
      </c>
      <c r="I987" s="1">
        <v>1</v>
      </c>
      <c r="J987" s="39" t="s">
        <v>2387</v>
      </c>
      <c r="K987" s="1">
        <v>1</v>
      </c>
      <c r="L987" s="1">
        <v>3</v>
      </c>
      <c r="S987" s="1" t="s">
        <v>9740</v>
      </c>
      <c r="T987">
        <v>1</v>
      </c>
      <c r="U987" s="19"/>
      <c r="V987" s="19"/>
      <c r="W987" s="218">
        <v>1</v>
      </c>
      <c r="X987" s="218">
        <v>1</v>
      </c>
      <c r="Y987" s="218">
        <v>1</v>
      </c>
    </row>
    <row r="988" spans="1:25" x14ac:dyDescent="0.3">
      <c r="A988" s="1" t="s">
        <v>2559</v>
      </c>
      <c r="B988" s="102">
        <v>46218</v>
      </c>
      <c r="C988" s="6">
        <v>0.83333333333333304</v>
      </c>
      <c r="D988" s="1" t="s">
        <v>10</v>
      </c>
      <c r="E988" s="1" t="s">
        <v>11</v>
      </c>
      <c r="F988" s="1" t="s">
        <v>2560</v>
      </c>
      <c r="G988" s="39" t="s">
        <v>233</v>
      </c>
      <c r="H988" s="1">
        <v>1</v>
      </c>
      <c r="I988" s="1">
        <v>1</v>
      </c>
      <c r="J988" s="39" t="s">
        <v>1574</v>
      </c>
      <c r="K988" s="1">
        <v>1</v>
      </c>
      <c r="L988" s="1">
        <v>1</v>
      </c>
      <c r="S988" s="1" t="s">
        <v>9741</v>
      </c>
      <c r="T988" s="1">
        <v>1</v>
      </c>
      <c r="U988" s="19"/>
      <c r="V988" s="19"/>
      <c r="W988" s="218">
        <v>1</v>
      </c>
      <c r="X988" s="218">
        <v>1</v>
      </c>
      <c r="Y988" s="218">
        <v>1</v>
      </c>
    </row>
    <row r="989" spans="1:25" ht="14.4" x14ac:dyDescent="0.3">
      <c r="A989" s="1" t="s">
        <v>2561</v>
      </c>
      <c r="B989" s="102">
        <v>46173</v>
      </c>
      <c r="C989" s="6">
        <v>0.54166666666666696</v>
      </c>
      <c r="D989" s="1" t="s">
        <v>10</v>
      </c>
      <c r="E989" s="1" t="s">
        <v>11</v>
      </c>
      <c r="F989" s="1" t="s">
        <v>2562</v>
      </c>
      <c r="G989" s="39" t="s">
        <v>662</v>
      </c>
      <c r="H989" s="1">
        <v>0</v>
      </c>
      <c r="I989" s="1">
        <v>1</v>
      </c>
      <c r="J989" s="39" t="s">
        <v>233</v>
      </c>
      <c r="K989" s="1">
        <v>1</v>
      </c>
      <c r="L989" s="1">
        <v>0</v>
      </c>
      <c r="S989" s="1" t="s">
        <v>9742</v>
      </c>
      <c r="T989">
        <v>1</v>
      </c>
      <c r="U989" s="19"/>
      <c r="V989" s="19"/>
      <c r="W989" s="218">
        <v>1</v>
      </c>
      <c r="X989" s="218">
        <v>1</v>
      </c>
      <c r="Y989" s="218">
        <v>1</v>
      </c>
    </row>
    <row r="990" spans="1:25" x14ac:dyDescent="0.3">
      <c r="A990" s="1" t="s">
        <v>2563</v>
      </c>
      <c r="B990" s="102">
        <v>46236</v>
      </c>
      <c r="C990" s="6">
        <v>0.5</v>
      </c>
      <c r="D990" s="1" t="s">
        <v>10</v>
      </c>
      <c r="E990" s="1" t="s">
        <v>11</v>
      </c>
      <c r="F990" s="1" t="s">
        <v>2564</v>
      </c>
      <c r="G990" s="39" t="s">
        <v>1553</v>
      </c>
      <c r="H990" s="1">
        <v>0</v>
      </c>
      <c r="I990" s="1">
        <v>0</v>
      </c>
      <c r="J990" s="39" t="s">
        <v>1574</v>
      </c>
      <c r="K990" s="1">
        <v>0</v>
      </c>
      <c r="L990" s="1">
        <v>0</v>
      </c>
      <c r="S990" s="1" t="s">
        <v>9743</v>
      </c>
      <c r="T990" s="1">
        <v>1</v>
      </c>
      <c r="U990" s="19"/>
      <c r="V990" s="19"/>
      <c r="W990" s="218">
        <v>1</v>
      </c>
      <c r="X990" s="218">
        <v>1</v>
      </c>
      <c r="Y990" s="218">
        <v>1</v>
      </c>
    </row>
    <row r="991" spans="1:25" ht="14.4" x14ac:dyDescent="0.3">
      <c r="A991" s="1" t="s">
        <v>2565</v>
      </c>
      <c r="B991" s="102">
        <v>46230</v>
      </c>
      <c r="C991" s="6">
        <v>0.5</v>
      </c>
      <c r="D991" s="1" t="s">
        <v>10</v>
      </c>
      <c r="E991" s="1" t="s">
        <v>11</v>
      </c>
      <c r="F991" s="1" t="s">
        <v>2566</v>
      </c>
      <c r="G991" s="39" t="s">
        <v>1574</v>
      </c>
      <c r="H991" s="1">
        <v>2</v>
      </c>
      <c r="I991" s="1">
        <v>1</v>
      </c>
      <c r="J991" s="39" t="s">
        <v>677</v>
      </c>
      <c r="K991" s="1">
        <v>1</v>
      </c>
      <c r="L991" s="1">
        <v>2</v>
      </c>
      <c r="S991" s="1" t="s">
        <v>9744</v>
      </c>
      <c r="T991">
        <v>1</v>
      </c>
      <c r="U991" s="19"/>
      <c r="V991" s="19"/>
      <c r="W991" s="218">
        <v>1</v>
      </c>
      <c r="X991" s="218">
        <v>1</v>
      </c>
      <c r="Y991" s="218">
        <v>1</v>
      </c>
    </row>
    <row r="992" spans="1:25" x14ac:dyDescent="0.3">
      <c r="A992" s="1" t="s">
        <v>2567</v>
      </c>
      <c r="B992" s="102">
        <v>46138</v>
      </c>
      <c r="C992" s="6">
        <v>0.6875</v>
      </c>
      <c r="D992" s="1" t="s">
        <v>10</v>
      </c>
      <c r="E992" s="1" t="s">
        <v>11</v>
      </c>
      <c r="F992" s="1" t="s">
        <v>2568</v>
      </c>
      <c r="G992" s="39" t="s">
        <v>662</v>
      </c>
      <c r="H992" s="1">
        <v>2</v>
      </c>
      <c r="I992" s="1">
        <v>0</v>
      </c>
      <c r="J992" s="39" t="s">
        <v>1553</v>
      </c>
      <c r="K992" s="1">
        <v>0</v>
      </c>
      <c r="L992" s="1">
        <v>2</v>
      </c>
      <c r="S992" s="1" t="s">
        <v>9745</v>
      </c>
      <c r="T992" s="1">
        <v>1</v>
      </c>
      <c r="U992" s="19"/>
      <c r="V992" s="19"/>
      <c r="W992" s="218">
        <v>1</v>
      </c>
      <c r="X992" s="218">
        <v>1</v>
      </c>
      <c r="Y992" s="218">
        <v>1</v>
      </c>
    </row>
    <row r="993" spans="1:25" ht="14.4" x14ac:dyDescent="0.3">
      <c r="A993" s="1" t="s">
        <v>2569</v>
      </c>
      <c r="B993" s="102">
        <v>46124</v>
      </c>
      <c r="C993" s="6">
        <v>0.6875</v>
      </c>
      <c r="D993" s="1" t="s">
        <v>10</v>
      </c>
      <c r="E993" s="1" t="s">
        <v>11</v>
      </c>
      <c r="F993" s="1" t="s">
        <v>2570</v>
      </c>
      <c r="G993" s="39" t="s">
        <v>662</v>
      </c>
      <c r="H993" s="1">
        <v>2</v>
      </c>
      <c r="I993" s="1">
        <v>1</v>
      </c>
      <c r="J993" s="39" t="s">
        <v>1574</v>
      </c>
      <c r="K993" s="1">
        <v>1</v>
      </c>
      <c r="L993" s="1">
        <v>2</v>
      </c>
      <c r="S993" s="1" t="s">
        <v>9746</v>
      </c>
      <c r="T993">
        <v>1</v>
      </c>
      <c r="U993" s="19"/>
      <c r="V993" s="19"/>
      <c r="W993" s="218">
        <v>0</v>
      </c>
      <c r="X993" s="218">
        <v>0</v>
      </c>
      <c r="Y993" s="218">
        <v>0</v>
      </c>
    </row>
    <row r="994" spans="1:25" ht="14.4" x14ac:dyDescent="0.3">
      <c r="A994" s="1" t="s">
        <v>2571</v>
      </c>
      <c r="B994" s="102">
        <v>46146</v>
      </c>
      <c r="C994" s="6">
        <v>0.70833333333333304</v>
      </c>
      <c r="D994" s="1" t="s">
        <v>10</v>
      </c>
      <c r="E994" s="1" t="s">
        <v>11</v>
      </c>
      <c r="F994" s="1" t="s">
        <v>2572</v>
      </c>
      <c r="G994" s="39" t="s">
        <v>677</v>
      </c>
      <c r="H994" s="1">
        <v>1</v>
      </c>
      <c r="I994" s="1">
        <v>1</v>
      </c>
      <c r="J994" s="39" t="s">
        <v>233</v>
      </c>
      <c r="K994" s="1">
        <v>1</v>
      </c>
      <c r="L994" s="1">
        <v>1</v>
      </c>
      <c r="S994" s="1" t="s">
        <v>9747</v>
      </c>
      <c r="T994">
        <v>1</v>
      </c>
      <c r="U994" s="19"/>
      <c r="V994" s="19"/>
      <c r="W994" s="218">
        <v>1</v>
      </c>
      <c r="X994" s="218">
        <v>1</v>
      </c>
      <c r="Y994" s="218">
        <v>1</v>
      </c>
    </row>
    <row r="995" spans="1:25" x14ac:dyDescent="0.3">
      <c r="A995" s="1" t="s">
        <v>2578</v>
      </c>
      <c r="B995" s="102">
        <v>46241</v>
      </c>
      <c r="C995" s="6">
        <v>0.79166666666666696</v>
      </c>
      <c r="D995" s="1" t="s">
        <v>15</v>
      </c>
      <c r="E995" s="1" t="s">
        <v>2573</v>
      </c>
      <c r="F995" s="1" t="s">
        <v>2579</v>
      </c>
      <c r="G995" s="39" t="s">
        <v>2575</v>
      </c>
      <c r="H995" s="1">
        <v>0</v>
      </c>
      <c r="I995" s="1">
        <v>1</v>
      </c>
      <c r="J995" s="39" t="s">
        <v>230</v>
      </c>
      <c r="K995" s="1">
        <v>1</v>
      </c>
      <c r="L995" s="1">
        <v>0</v>
      </c>
      <c r="S995" s="1" t="s">
        <v>9748</v>
      </c>
      <c r="T995" s="1">
        <v>1</v>
      </c>
      <c r="U995" s="19"/>
      <c r="V995" s="19"/>
      <c r="W995" s="218">
        <v>1</v>
      </c>
      <c r="X995" s="218">
        <v>1</v>
      </c>
      <c r="Y995" s="218">
        <v>1</v>
      </c>
    </row>
    <row r="996" spans="1:25" x14ac:dyDescent="0.3">
      <c r="A996" s="1" t="s">
        <v>2580</v>
      </c>
      <c r="B996" s="102">
        <v>46236</v>
      </c>
      <c r="C996" s="6">
        <v>0.79166666666666696</v>
      </c>
      <c r="D996" s="1" t="s">
        <v>15</v>
      </c>
      <c r="E996" s="1" t="s">
        <v>2573</v>
      </c>
      <c r="F996" s="1" t="s">
        <v>2581</v>
      </c>
      <c r="G996" s="39" t="s">
        <v>2576</v>
      </c>
      <c r="H996" s="1">
        <v>0</v>
      </c>
      <c r="I996" s="1">
        <v>0</v>
      </c>
      <c r="J996" s="39" t="s">
        <v>2575</v>
      </c>
      <c r="K996" s="1">
        <v>0</v>
      </c>
      <c r="L996" s="1">
        <v>0</v>
      </c>
      <c r="S996" s="1" t="s">
        <v>9749</v>
      </c>
      <c r="T996" s="1">
        <v>1</v>
      </c>
      <c r="U996" s="19"/>
      <c r="V996" s="19"/>
      <c r="W996" s="218">
        <v>1</v>
      </c>
      <c r="X996" s="218">
        <v>1</v>
      </c>
      <c r="Y996" s="218">
        <v>1</v>
      </c>
    </row>
    <row r="997" spans="1:25" x14ac:dyDescent="0.3">
      <c r="A997" s="1" t="s">
        <v>2582</v>
      </c>
      <c r="B997" s="102">
        <v>46229</v>
      </c>
      <c r="C997" s="6">
        <v>0.70833333333333304</v>
      </c>
      <c r="D997" s="1" t="s">
        <v>15</v>
      </c>
      <c r="E997" s="1" t="s">
        <v>2573</v>
      </c>
      <c r="F997" s="1" t="s">
        <v>2583</v>
      </c>
      <c r="G997" s="39" t="s">
        <v>2577</v>
      </c>
      <c r="H997" s="1">
        <v>1</v>
      </c>
      <c r="I997" s="1">
        <v>3</v>
      </c>
      <c r="J997" s="39" t="s">
        <v>2575</v>
      </c>
      <c r="K997" s="1">
        <v>3</v>
      </c>
      <c r="L997" s="1">
        <v>1</v>
      </c>
      <c r="S997" s="1" t="s">
        <v>9750</v>
      </c>
      <c r="T997" s="1">
        <v>1</v>
      </c>
      <c r="U997" s="19"/>
      <c r="V997" s="19"/>
      <c r="W997" s="218">
        <v>1</v>
      </c>
      <c r="X997" s="218">
        <v>1</v>
      </c>
      <c r="Y997" s="218">
        <v>1</v>
      </c>
    </row>
    <row r="998" spans="1:25" x14ac:dyDescent="0.3">
      <c r="A998" s="1" t="s">
        <v>2584</v>
      </c>
      <c r="B998" s="102">
        <v>46208</v>
      </c>
      <c r="C998" s="6">
        <v>0.54166666666666696</v>
      </c>
      <c r="D998" s="1" t="s">
        <v>15</v>
      </c>
      <c r="E998" s="1" t="s">
        <v>2573</v>
      </c>
      <c r="F998" s="1" t="s">
        <v>2585</v>
      </c>
      <c r="G998" s="39" t="s">
        <v>119</v>
      </c>
      <c r="H998" s="1">
        <v>1</v>
      </c>
      <c r="I998" s="1">
        <v>2</v>
      </c>
      <c r="J998" s="39" t="s">
        <v>2575</v>
      </c>
      <c r="K998" s="1">
        <v>2</v>
      </c>
      <c r="L998" s="1">
        <v>1</v>
      </c>
      <c r="S998" s="1" t="s">
        <v>9751</v>
      </c>
      <c r="T998" s="1">
        <v>1</v>
      </c>
      <c r="U998" s="19"/>
      <c r="V998" s="19"/>
      <c r="W998" s="218">
        <v>1</v>
      </c>
      <c r="X998" s="218">
        <v>1</v>
      </c>
      <c r="Y998" s="218">
        <v>1</v>
      </c>
    </row>
    <row r="999" spans="1:25" x14ac:dyDescent="0.3">
      <c r="A999" s="1" t="s">
        <v>2586</v>
      </c>
      <c r="B999" s="102">
        <v>46204</v>
      </c>
      <c r="C999" s="6">
        <v>0.54166666666666696</v>
      </c>
      <c r="D999" s="1" t="s">
        <v>15</v>
      </c>
      <c r="E999" s="1" t="s">
        <v>2573</v>
      </c>
      <c r="F999" s="1" t="s">
        <v>2587</v>
      </c>
      <c r="G999" s="39" t="s">
        <v>2575</v>
      </c>
      <c r="H999" s="1">
        <v>3</v>
      </c>
      <c r="I999" s="1">
        <v>2</v>
      </c>
      <c r="J999" s="39" t="s">
        <v>230</v>
      </c>
      <c r="K999" s="1">
        <v>2</v>
      </c>
      <c r="L999" s="1">
        <v>3</v>
      </c>
      <c r="S999" s="1" t="s">
        <v>9752</v>
      </c>
      <c r="T999" s="1">
        <v>1</v>
      </c>
      <c r="U999" s="19"/>
      <c r="V999" s="19"/>
      <c r="W999" s="218">
        <v>1</v>
      </c>
      <c r="X999" s="218">
        <v>1</v>
      </c>
      <c r="Y999" s="218">
        <v>1</v>
      </c>
    </row>
    <row r="1000" spans="1:25" x14ac:dyDescent="0.3">
      <c r="A1000" s="1" t="s">
        <v>2588</v>
      </c>
      <c r="B1000" s="102">
        <v>46183</v>
      </c>
      <c r="C1000" s="6">
        <v>0.79166666666666696</v>
      </c>
      <c r="D1000" s="1" t="s">
        <v>15</v>
      </c>
      <c r="E1000" s="1" t="s">
        <v>2573</v>
      </c>
      <c r="F1000" s="1" t="s">
        <v>2589</v>
      </c>
      <c r="G1000" s="39" t="s">
        <v>2575</v>
      </c>
      <c r="H1000" s="1">
        <v>1</v>
      </c>
      <c r="I1000" s="1">
        <v>0</v>
      </c>
      <c r="J1000" s="39" t="s">
        <v>2576</v>
      </c>
      <c r="K1000" s="1">
        <v>0</v>
      </c>
      <c r="L1000" s="1">
        <v>1</v>
      </c>
      <c r="S1000" s="1" t="s">
        <v>9753</v>
      </c>
      <c r="T1000" s="1">
        <v>1</v>
      </c>
      <c r="U1000" s="19"/>
      <c r="V1000" s="19"/>
      <c r="W1000" s="218">
        <v>1</v>
      </c>
      <c r="X1000" s="218">
        <v>1</v>
      </c>
      <c r="Y1000" s="218">
        <v>1</v>
      </c>
    </row>
    <row r="1001" spans="1:25" x14ac:dyDescent="0.3">
      <c r="A1001" s="1" t="s">
        <v>2590</v>
      </c>
      <c r="B1001" s="102">
        <v>46180</v>
      </c>
      <c r="C1001" s="6">
        <v>0.58333333333333304</v>
      </c>
      <c r="D1001" s="1" t="s">
        <v>15</v>
      </c>
      <c r="E1001" s="1" t="s">
        <v>2573</v>
      </c>
      <c r="F1001" s="1" t="s">
        <v>2591</v>
      </c>
      <c r="G1001" s="39" t="s">
        <v>2577</v>
      </c>
      <c r="H1001" s="1">
        <v>1</v>
      </c>
      <c r="I1001" s="1">
        <v>4</v>
      </c>
      <c r="J1001" s="39" t="s">
        <v>2575</v>
      </c>
      <c r="K1001" s="1">
        <v>4</v>
      </c>
      <c r="L1001" s="1">
        <v>1</v>
      </c>
      <c r="S1001" s="1" t="s">
        <v>9754</v>
      </c>
      <c r="T1001" s="1">
        <v>1</v>
      </c>
      <c r="U1001" s="19"/>
      <c r="V1001" s="19"/>
      <c r="W1001" s="218">
        <v>1</v>
      </c>
      <c r="X1001" s="218">
        <v>1</v>
      </c>
      <c r="Y1001" s="218">
        <v>1</v>
      </c>
    </row>
    <row r="1002" spans="1:25" x14ac:dyDescent="0.3">
      <c r="A1002" s="1" t="s">
        <v>2592</v>
      </c>
      <c r="B1002" s="102">
        <v>46173</v>
      </c>
      <c r="C1002" s="6">
        <v>0.66666666666666696</v>
      </c>
      <c r="D1002" s="1" t="s">
        <v>15</v>
      </c>
      <c r="E1002" s="1" t="s">
        <v>2573</v>
      </c>
      <c r="F1002" s="1" t="s">
        <v>2593</v>
      </c>
      <c r="G1002" s="39" t="s">
        <v>2575</v>
      </c>
      <c r="H1002" s="1">
        <v>1</v>
      </c>
      <c r="I1002" s="1">
        <v>0</v>
      </c>
      <c r="J1002" s="39" t="s">
        <v>118</v>
      </c>
      <c r="K1002" s="1">
        <v>0</v>
      </c>
      <c r="L1002" s="1">
        <v>1</v>
      </c>
      <c r="S1002" s="1" t="s">
        <v>9755</v>
      </c>
      <c r="T1002" s="1">
        <v>1</v>
      </c>
      <c r="U1002" s="19"/>
      <c r="V1002" s="19"/>
      <c r="W1002" s="218">
        <v>1</v>
      </c>
      <c r="X1002" s="218">
        <v>1</v>
      </c>
      <c r="Y1002" s="218">
        <v>1</v>
      </c>
    </row>
    <row r="1003" spans="1:25" x14ac:dyDescent="0.3">
      <c r="A1003" s="1" t="s">
        <v>2594</v>
      </c>
      <c r="B1003" s="102">
        <v>46166</v>
      </c>
      <c r="C1003" s="6">
        <v>0.66666666666666696</v>
      </c>
      <c r="D1003" s="1" t="s">
        <v>15</v>
      </c>
      <c r="E1003" s="1" t="s">
        <v>2573</v>
      </c>
      <c r="F1003" s="1" t="s">
        <v>2595</v>
      </c>
      <c r="G1003" s="39" t="s">
        <v>231</v>
      </c>
      <c r="H1003" s="1">
        <v>2</v>
      </c>
      <c r="I1003" s="1">
        <v>1</v>
      </c>
      <c r="J1003" s="39" t="s">
        <v>2575</v>
      </c>
      <c r="K1003" s="1">
        <v>1</v>
      </c>
      <c r="L1003" s="1">
        <v>2</v>
      </c>
      <c r="S1003" s="1" t="s">
        <v>9756</v>
      </c>
      <c r="T1003" s="1">
        <v>1</v>
      </c>
      <c r="U1003" s="19"/>
      <c r="V1003" s="19"/>
      <c r="W1003" s="218">
        <v>1</v>
      </c>
      <c r="X1003" s="218">
        <v>1</v>
      </c>
      <c r="Y1003" s="218">
        <v>1</v>
      </c>
    </row>
    <row r="1004" spans="1:25" x14ac:dyDescent="0.3">
      <c r="A1004" s="1" t="s">
        <v>2596</v>
      </c>
      <c r="B1004" s="102">
        <v>46155</v>
      </c>
      <c r="C1004" s="6">
        <v>0.45833333333333298</v>
      </c>
      <c r="D1004" s="1" t="s">
        <v>15</v>
      </c>
      <c r="E1004" s="1" t="s">
        <v>2573</v>
      </c>
      <c r="F1004" s="1" t="s">
        <v>2597</v>
      </c>
      <c r="G1004" s="39" t="s">
        <v>2575</v>
      </c>
      <c r="H1004" s="1">
        <v>1</v>
      </c>
      <c r="I1004" s="1">
        <v>0</v>
      </c>
      <c r="J1004" s="39" t="s">
        <v>119</v>
      </c>
      <c r="K1004" s="1">
        <v>0</v>
      </c>
      <c r="L1004" s="1">
        <v>1</v>
      </c>
      <c r="S1004" s="1" t="s">
        <v>9757</v>
      </c>
      <c r="T1004" s="1">
        <v>1</v>
      </c>
      <c r="U1004" s="19"/>
      <c r="V1004" s="19"/>
      <c r="W1004" s="218">
        <v>1</v>
      </c>
      <c r="X1004" s="218">
        <v>1</v>
      </c>
      <c r="Y1004" s="218">
        <v>1</v>
      </c>
    </row>
    <row r="1005" spans="1:25" x14ac:dyDescent="0.3">
      <c r="A1005" s="1" t="s">
        <v>2598</v>
      </c>
      <c r="B1005" s="102">
        <v>46144</v>
      </c>
      <c r="C1005" s="6">
        <v>0.58333333333333304</v>
      </c>
      <c r="D1005" s="1" t="s">
        <v>15</v>
      </c>
      <c r="E1005" s="1" t="s">
        <v>2573</v>
      </c>
      <c r="F1005" s="1" t="s">
        <v>2599</v>
      </c>
      <c r="G1005" s="39" t="s">
        <v>2576</v>
      </c>
      <c r="H1005" s="1">
        <v>1</v>
      </c>
      <c r="I1005" s="1">
        <v>3</v>
      </c>
      <c r="J1005" s="39" t="s">
        <v>2575</v>
      </c>
      <c r="K1005" s="1">
        <v>3</v>
      </c>
      <c r="L1005" s="1">
        <v>1</v>
      </c>
      <c r="S1005" s="1" t="s">
        <v>9758</v>
      </c>
      <c r="T1005" s="1">
        <v>1</v>
      </c>
      <c r="U1005" s="19"/>
      <c r="V1005" s="19"/>
      <c r="W1005" s="218">
        <v>0</v>
      </c>
      <c r="X1005" s="218">
        <v>1</v>
      </c>
      <c r="Y1005" s="218">
        <v>1</v>
      </c>
    </row>
    <row r="1006" spans="1:25" ht="14.4" x14ac:dyDescent="0.3">
      <c r="A1006" s="1" t="s">
        <v>2600</v>
      </c>
      <c r="B1006" s="102">
        <v>46138</v>
      </c>
      <c r="C1006" s="6">
        <v>0.66666666666666696</v>
      </c>
      <c r="D1006" s="1" t="s">
        <v>15</v>
      </c>
      <c r="E1006" s="1" t="s">
        <v>2573</v>
      </c>
      <c r="F1006" s="1" t="s">
        <v>2601</v>
      </c>
      <c r="G1006" s="39" t="s">
        <v>198</v>
      </c>
      <c r="H1006" s="1">
        <v>0</v>
      </c>
      <c r="I1006" s="1">
        <v>1</v>
      </c>
      <c r="J1006" s="39" t="s">
        <v>2575</v>
      </c>
      <c r="K1006" s="1">
        <v>1</v>
      </c>
      <c r="L1006" s="1">
        <v>0</v>
      </c>
      <c r="S1006" s="1" t="s">
        <v>9759</v>
      </c>
      <c r="T1006">
        <v>1</v>
      </c>
      <c r="U1006" s="19"/>
      <c r="V1006" s="19"/>
      <c r="W1006" s="218">
        <v>1</v>
      </c>
      <c r="X1006" s="218">
        <v>1</v>
      </c>
      <c r="Y1006" s="218">
        <v>1</v>
      </c>
    </row>
    <row r="1007" spans="1:25" x14ac:dyDescent="0.3">
      <c r="A1007" s="1" t="s">
        <v>2602</v>
      </c>
      <c r="B1007" s="102">
        <v>46235</v>
      </c>
      <c r="C1007" s="6">
        <v>0.875</v>
      </c>
      <c r="D1007" s="1" t="s">
        <v>15</v>
      </c>
      <c r="E1007" s="1" t="s">
        <v>2573</v>
      </c>
      <c r="F1007" s="1" t="s">
        <v>2603</v>
      </c>
      <c r="G1007" s="39" t="s">
        <v>118</v>
      </c>
      <c r="H1007" s="1">
        <v>5</v>
      </c>
      <c r="I1007" s="1">
        <v>0</v>
      </c>
      <c r="J1007" s="39" t="s">
        <v>2577</v>
      </c>
      <c r="K1007" s="1">
        <v>0</v>
      </c>
      <c r="L1007" s="1">
        <v>5</v>
      </c>
      <c r="S1007" s="1" t="s">
        <v>9760</v>
      </c>
      <c r="T1007" s="1">
        <v>1</v>
      </c>
      <c r="U1007" s="19"/>
      <c r="V1007" s="19"/>
      <c r="W1007" s="218">
        <v>1</v>
      </c>
      <c r="X1007" s="218">
        <v>1</v>
      </c>
      <c r="Y1007" s="218">
        <v>1</v>
      </c>
    </row>
    <row r="1008" spans="1:25" x14ac:dyDescent="0.3">
      <c r="A1008" s="1" t="s">
        <v>2604</v>
      </c>
      <c r="B1008" s="102">
        <v>46227</v>
      </c>
      <c r="C1008" s="6">
        <v>0.91666666666666696</v>
      </c>
      <c r="D1008" s="1" t="s">
        <v>15</v>
      </c>
      <c r="E1008" s="1" t="s">
        <v>2573</v>
      </c>
      <c r="F1008" s="1" t="s">
        <v>2605</v>
      </c>
      <c r="G1008" s="39" t="s">
        <v>230</v>
      </c>
      <c r="H1008" s="1">
        <v>1</v>
      </c>
      <c r="I1008" s="1">
        <v>0</v>
      </c>
      <c r="J1008" s="39" t="s">
        <v>118</v>
      </c>
      <c r="K1008" s="1">
        <v>0</v>
      </c>
      <c r="L1008" s="1">
        <v>1</v>
      </c>
      <c r="S1008" s="1" t="s">
        <v>9761</v>
      </c>
      <c r="T1008" s="1">
        <v>1</v>
      </c>
      <c r="U1008" s="19"/>
      <c r="V1008" s="19"/>
      <c r="W1008" s="218">
        <v>1</v>
      </c>
      <c r="X1008" s="218">
        <v>1</v>
      </c>
      <c r="Y1008" s="218">
        <v>1</v>
      </c>
    </row>
    <row r="1009" spans="1:25" x14ac:dyDescent="0.3">
      <c r="A1009" s="1" t="s">
        <v>2606</v>
      </c>
      <c r="B1009" s="102">
        <v>46221</v>
      </c>
      <c r="C1009" s="6">
        <v>0.625</v>
      </c>
      <c r="D1009" s="1" t="s">
        <v>15</v>
      </c>
      <c r="E1009" s="1" t="s">
        <v>2573</v>
      </c>
      <c r="F1009" s="1" t="s">
        <v>2607</v>
      </c>
      <c r="G1009" s="39" t="s">
        <v>118</v>
      </c>
      <c r="H1009" s="1">
        <v>1</v>
      </c>
      <c r="I1009" s="1">
        <v>1</v>
      </c>
      <c r="J1009" s="39" t="s">
        <v>2576</v>
      </c>
      <c r="K1009" s="1">
        <v>1</v>
      </c>
      <c r="L1009" s="1">
        <v>1</v>
      </c>
      <c r="S1009" s="1" t="s">
        <v>9762</v>
      </c>
      <c r="T1009" s="1">
        <v>1</v>
      </c>
      <c r="U1009" s="19"/>
      <c r="V1009" s="19"/>
      <c r="W1009" s="218">
        <v>1</v>
      </c>
      <c r="X1009" s="218">
        <v>1</v>
      </c>
      <c r="Y1009" s="218">
        <v>1</v>
      </c>
    </row>
    <row r="1010" spans="1:25" x14ac:dyDescent="0.3">
      <c r="A1010" s="1" t="s">
        <v>2608</v>
      </c>
      <c r="B1010" s="102">
        <v>46207</v>
      </c>
      <c r="C1010" s="6">
        <v>0.625</v>
      </c>
      <c r="D1010" s="1" t="s">
        <v>15</v>
      </c>
      <c r="E1010" s="1" t="s">
        <v>2573</v>
      </c>
      <c r="F1010" s="1" t="s">
        <v>2609</v>
      </c>
      <c r="G1010" s="39" t="s">
        <v>231</v>
      </c>
      <c r="H1010" s="1">
        <v>0</v>
      </c>
      <c r="I1010" s="1">
        <v>3</v>
      </c>
      <c r="J1010" s="39" t="s">
        <v>118</v>
      </c>
      <c r="K1010" s="1">
        <v>3</v>
      </c>
      <c r="L1010" s="1">
        <v>0</v>
      </c>
      <c r="S1010" s="1" t="s">
        <v>9763</v>
      </c>
      <c r="T1010" s="1">
        <v>1</v>
      </c>
      <c r="U1010" s="19"/>
      <c r="V1010" s="19"/>
      <c r="W1010" s="218">
        <v>1</v>
      </c>
      <c r="X1010" s="218">
        <v>1</v>
      </c>
      <c r="Y1010" s="218">
        <v>1</v>
      </c>
    </row>
    <row r="1011" spans="1:25" x14ac:dyDescent="0.3">
      <c r="A1011" s="1" t="s">
        <v>2610</v>
      </c>
      <c r="B1011" s="102">
        <v>46183</v>
      </c>
      <c r="C1011" s="6">
        <v>0.8125</v>
      </c>
      <c r="D1011" s="1" t="s">
        <v>15</v>
      </c>
      <c r="E1011" s="1" t="s">
        <v>2573</v>
      </c>
      <c r="F1011" s="1" t="s">
        <v>2611</v>
      </c>
      <c r="G1011" s="39" t="s">
        <v>2577</v>
      </c>
      <c r="H1011" s="1">
        <v>1</v>
      </c>
      <c r="I1011" s="1">
        <v>5</v>
      </c>
      <c r="J1011" s="39" t="s">
        <v>118</v>
      </c>
      <c r="K1011" s="1">
        <v>5</v>
      </c>
      <c r="L1011" s="1">
        <v>1</v>
      </c>
      <c r="S1011" s="1" t="s">
        <v>9764</v>
      </c>
      <c r="T1011" s="1">
        <v>1</v>
      </c>
      <c r="U1011" s="19"/>
      <c r="V1011" s="19"/>
      <c r="W1011" s="218">
        <v>1</v>
      </c>
      <c r="X1011" s="218">
        <v>1</v>
      </c>
      <c r="Y1011" s="218">
        <v>1</v>
      </c>
    </row>
    <row r="1012" spans="1:25" x14ac:dyDescent="0.3">
      <c r="A1012" s="1" t="s">
        <v>2612</v>
      </c>
      <c r="B1012" s="102">
        <v>46179</v>
      </c>
      <c r="C1012" s="6">
        <v>0.79166666666666696</v>
      </c>
      <c r="D1012" s="1" t="s">
        <v>15</v>
      </c>
      <c r="E1012" s="1" t="s">
        <v>2573</v>
      </c>
      <c r="F1012" s="1" t="s">
        <v>2613</v>
      </c>
      <c r="G1012" s="39" t="s">
        <v>118</v>
      </c>
      <c r="H1012" s="1">
        <v>2</v>
      </c>
      <c r="I1012" s="1">
        <v>0</v>
      </c>
      <c r="J1012" s="39" t="s">
        <v>2576</v>
      </c>
      <c r="K1012" s="1">
        <v>0</v>
      </c>
      <c r="L1012" s="1">
        <v>2</v>
      </c>
      <c r="S1012" s="1" t="s">
        <v>9765</v>
      </c>
      <c r="T1012" s="1">
        <v>1</v>
      </c>
      <c r="U1012" s="19"/>
      <c r="V1012" s="19"/>
      <c r="W1012" s="218">
        <v>1</v>
      </c>
      <c r="X1012" s="218">
        <v>1</v>
      </c>
      <c r="Y1012" s="218">
        <v>1</v>
      </c>
    </row>
    <row r="1013" spans="1:25" x14ac:dyDescent="0.3">
      <c r="A1013" s="1" t="s">
        <v>2614</v>
      </c>
      <c r="B1013" s="102">
        <v>46166</v>
      </c>
      <c r="C1013" s="6">
        <v>0.70833333333333304</v>
      </c>
      <c r="D1013" s="1" t="s">
        <v>15</v>
      </c>
      <c r="E1013" s="1" t="s">
        <v>2573</v>
      </c>
      <c r="F1013" s="1" t="s">
        <v>2615</v>
      </c>
      <c r="G1013" s="39" t="s">
        <v>118</v>
      </c>
      <c r="H1013" s="1">
        <v>3</v>
      </c>
      <c r="I1013" s="1">
        <v>0</v>
      </c>
      <c r="J1013" s="39" t="s">
        <v>198</v>
      </c>
      <c r="K1013" s="1">
        <v>0</v>
      </c>
      <c r="L1013" s="1">
        <v>3</v>
      </c>
      <c r="S1013" s="1" t="s">
        <v>9766</v>
      </c>
      <c r="T1013" s="1">
        <v>1</v>
      </c>
      <c r="U1013" s="19"/>
      <c r="V1013" s="19"/>
      <c r="W1013" s="218">
        <v>1</v>
      </c>
      <c r="X1013" s="218">
        <v>1</v>
      </c>
      <c r="Y1013" s="218">
        <v>1</v>
      </c>
    </row>
    <row r="1014" spans="1:25" x14ac:dyDescent="0.3">
      <c r="A1014" s="1" t="s">
        <v>2616</v>
      </c>
      <c r="B1014" s="102">
        <v>46159</v>
      </c>
      <c r="C1014" s="6">
        <v>0.875</v>
      </c>
      <c r="D1014" s="1" t="s">
        <v>15</v>
      </c>
      <c r="E1014" s="1" t="s">
        <v>2573</v>
      </c>
      <c r="F1014" s="1" t="s">
        <v>2617</v>
      </c>
      <c r="G1014" s="39" t="s">
        <v>230</v>
      </c>
      <c r="H1014" s="1">
        <v>0</v>
      </c>
      <c r="I1014" s="1">
        <v>2</v>
      </c>
      <c r="J1014" s="39" t="s">
        <v>118</v>
      </c>
      <c r="K1014" s="1">
        <v>2</v>
      </c>
      <c r="L1014" s="1">
        <v>0</v>
      </c>
      <c r="S1014" s="1" t="s">
        <v>9767</v>
      </c>
      <c r="T1014" s="1">
        <v>1</v>
      </c>
      <c r="U1014" s="19"/>
      <c r="V1014" s="19"/>
      <c r="W1014" s="218">
        <v>1</v>
      </c>
      <c r="X1014" s="218">
        <v>1</v>
      </c>
      <c r="Y1014" s="218">
        <v>1</v>
      </c>
    </row>
    <row r="1015" spans="1:25" x14ac:dyDescent="0.3">
      <c r="A1015" s="1" t="s">
        <v>2618</v>
      </c>
      <c r="B1015" s="102">
        <v>46145</v>
      </c>
      <c r="C1015" s="6">
        <v>0.625</v>
      </c>
      <c r="D1015" s="1" t="s">
        <v>15</v>
      </c>
      <c r="E1015" s="1" t="s">
        <v>2573</v>
      </c>
      <c r="F1015" s="1" t="s">
        <v>2619</v>
      </c>
      <c r="G1015" s="39" t="s">
        <v>119</v>
      </c>
      <c r="H1015" s="1">
        <v>0</v>
      </c>
      <c r="I1015" s="1">
        <v>1</v>
      </c>
      <c r="J1015" s="39" t="s">
        <v>118</v>
      </c>
      <c r="K1015" s="1">
        <v>1</v>
      </c>
      <c r="L1015" s="1">
        <v>0</v>
      </c>
      <c r="S1015" s="1" t="s">
        <v>9768</v>
      </c>
      <c r="T1015" s="1">
        <v>1</v>
      </c>
      <c r="U1015" s="19"/>
      <c r="V1015" s="19"/>
      <c r="W1015" s="218">
        <v>1</v>
      </c>
      <c r="X1015" s="218">
        <v>1</v>
      </c>
      <c r="Y1015" s="218">
        <v>1</v>
      </c>
    </row>
    <row r="1016" spans="1:25" ht="14.4" x14ac:dyDescent="0.3">
      <c r="A1016" s="1" t="s">
        <v>2620</v>
      </c>
      <c r="B1016" s="102">
        <v>46137</v>
      </c>
      <c r="C1016" s="6">
        <v>0.70833333333333304</v>
      </c>
      <c r="D1016" s="1" t="s">
        <v>15</v>
      </c>
      <c r="E1016" s="1" t="s">
        <v>2573</v>
      </c>
      <c r="F1016" s="1" t="s">
        <v>2621</v>
      </c>
      <c r="G1016" s="39" t="s">
        <v>118</v>
      </c>
      <c r="H1016" s="1">
        <v>1</v>
      </c>
      <c r="I1016" s="1">
        <v>1</v>
      </c>
      <c r="J1016" s="39" t="s">
        <v>2577</v>
      </c>
      <c r="K1016" s="1">
        <v>1</v>
      </c>
      <c r="L1016" s="1">
        <v>1</v>
      </c>
      <c r="S1016" s="1" t="s">
        <v>9769</v>
      </c>
      <c r="T1016">
        <v>1</v>
      </c>
      <c r="U1016" s="19"/>
      <c r="V1016" s="19"/>
      <c r="W1016" s="218">
        <v>1</v>
      </c>
      <c r="X1016" s="218">
        <v>1</v>
      </c>
      <c r="Y1016" s="218">
        <v>1</v>
      </c>
    </row>
    <row r="1017" spans="1:25" x14ac:dyDescent="0.3">
      <c r="A1017" s="1" t="s">
        <v>2622</v>
      </c>
      <c r="B1017" s="102">
        <v>46220</v>
      </c>
      <c r="C1017" s="6">
        <v>0.79166666666666696</v>
      </c>
      <c r="D1017" s="1" t="s">
        <v>15</v>
      </c>
      <c r="E1017" s="1" t="s">
        <v>2573</v>
      </c>
      <c r="F1017" s="1" t="s">
        <v>2623</v>
      </c>
      <c r="G1017" s="39" t="s">
        <v>119</v>
      </c>
      <c r="H1017" s="1">
        <v>1</v>
      </c>
      <c r="I1017" s="1">
        <v>5</v>
      </c>
      <c r="J1017" s="39" t="s">
        <v>230</v>
      </c>
      <c r="K1017" s="1">
        <v>5</v>
      </c>
      <c r="L1017" s="1">
        <v>1</v>
      </c>
      <c r="S1017" s="1" t="s">
        <v>9770</v>
      </c>
      <c r="T1017" s="1">
        <v>1</v>
      </c>
      <c r="U1017" s="19"/>
      <c r="V1017" s="19"/>
      <c r="W1017" s="218">
        <v>1</v>
      </c>
      <c r="X1017" s="218">
        <v>1</v>
      </c>
      <c r="Y1017" s="218">
        <v>1</v>
      </c>
    </row>
    <row r="1018" spans="1:25" x14ac:dyDescent="0.3">
      <c r="A1018" s="1" t="s">
        <v>2624</v>
      </c>
      <c r="B1018" s="102">
        <v>46207</v>
      </c>
      <c r="C1018" s="6">
        <v>0.75</v>
      </c>
      <c r="D1018" s="1" t="s">
        <v>15</v>
      </c>
      <c r="E1018" s="1" t="s">
        <v>2573</v>
      </c>
      <c r="F1018" s="1" t="s">
        <v>2625</v>
      </c>
      <c r="G1018" s="39" t="s">
        <v>230</v>
      </c>
      <c r="H1018" s="1">
        <v>4</v>
      </c>
      <c r="I1018" s="1">
        <v>0</v>
      </c>
      <c r="J1018" s="39" t="s">
        <v>2577</v>
      </c>
      <c r="K1018" s="1">
        <v>0</v>
      </c>
      <c r="L1018" s="1">
        <v>4</v>
      </c>
      <c r="S1018" s="1" t="s">
        <v>9771</v>
      </c>
      <c r="T1018" s="1">
        <v>1</v>
      </c>
      <c r="U1018" s="19"/>
      <c r="V1018" s="19"/>
      <c r="W1018" s="218">
        <v>1</v>
      </c>
      <c r="X1018" s="218">
        <v>1</v>
      </c>
      <c r="Y1018" s="218">
        <v>1</v>
      </c>
    </row>
    <row r="1019" spans="1:25" x14ac:dyDescent="0.3">
      <c r="A1019" s="1" t="s">
        <v>2626</v>
      </c>
      <c r="B1019" s="102">
        <v>46187</v>
      </c>
      <c r="C1019" s="6">
        <v>0.91666666666666696</v>
      </c>
      <c r="D1019" s="1" t="s">
        <v>15</v>
      </c>
      <c r="E1019" s="1" t="s">
        <v>2573</v>
      </c>
      <c r="F1019" s="1" t="s">
        <v>2627</v>
      </c>
      <c r="G1019" s="39" t="s">
        <v>230</v>
      </c>
      <c r="H1019" s="1">
        <v>2</v>
      </c>
      <c r="I1019" s="1">
        <v>1</v>
      </c>
      <c r="J1019" s="39" t="s">
        <v>198</v>
      </c>
      <c r="K1019" s="1">
        <v>1</v>
      </c>
      <c r="L1019" s="1">
        <v>2</v>
      </c>
      <c r="S1019" s="1" t="s">
        <v>9772</v>
      </c>
      <c r="T1019" s="1">
        <v>1</v>
      </c>
      <c r="U1019" s="19"/>
      <c r="V1019" s="19"/>
      <c r="W1019" s="218">
        <v>1</v>
      </c>
      <c r="X1019" s="218">
        <v>1</v>
      </c>
      <c r="Y1019" s="218">
        <v>1</v>
      </c>
    </row>
    <row r="1020" spans="1:25" x14ac:dyDescent="0.3">
      <c r="A1020" s="1" t="s">
        <v>2628</v>
      </c>
      <c r="B1020" s="102">
        <v>46178</v>
      </c>
      <c r="C1020" s="6">
        <v>0.91666666666666696</v>
      </c>
      <c r="D1020" s="1" t="s">
        <v>15</v>
      </c>
      <c r="E1020" s="1" t="s">
        <v>2573</v>
      </c>
      <c r="F1020" s="1" t="s">
        <v>2629</v>
      </c>
      <c r="G1020" s="39" t="s">
        <v>230</v>
      </c>
      <c r="H1020" s="1">
        <v>2</v>
      </c>
      <c r="I1020" s="1">
        <v>1</v>
      </c>
      <c r="J1020" s="39" t="s">
        <v>231</v>
      </c>
      <c r="K1020" s="1">
        <v>1</v>
      </c>
      <c r="L1020" s="1">
        <v>2</v>
      </c>
      <c r="S1020" s="1" t="s">
        <v>9773</v>
      </c>
      <c r="T1020" s="1">
        <v>1</v>
      </c>
      <c r="U1020" s="19"/>
      <c r="V1020" s="19"/>
      <c r="W1020" s="218">
        <v>1</v>
      </c>
      <c r="X1020" s="218">
        <v>1</v>
      </c>
      <c r="Y1020" s="218">
        <v>1</v>
      </c>
    </row>
    <row r="1021" spans="1:25" x14ac:dyDescent="0.3">
      <c r="A1021" s="1" t="s">
        <v>2630</v>
      </c>
      <c r="B1021" s="102">
        <v>46172</v>
      </c>
      <c r="C1021" s="6">
        <v>0.625</v>
      </c>
      <c r="D1021" s="1" t="s">
        <v>15</v>
      </c>
      <c r="E1021" s="1" t="s">
        <v>2573</v>
      </c>
      <c r="F1021" s="1" t="s">
        <v>2631</v>
      </c>
      <c r="G1021" s="39" t="s">
        <v>2576</v>
      </c>
      <c r="H1021" s="1">
        <v>1</v>
      </c>
      <c r="I1021" s="1">
        <v>0</v>
      </c>
      <c r="J1021" s="39" t="s">
        <v>230</v>
      </c>
      <c r="K1021" s="1">
        <v>0</v>
      </c>
      <c r="L1021" s="1">
        <v>1</v>
      </c>
      <c r="S1021" s="1" t="s">
        <v>9774</v>
      </c>
      <c r="T1021" s="1">
        <v>1</v>
      </c>
      <c r="U1021" s="19"/>
      <c r="V1021" s="19"/>
      <c r="W1021" s="218">
        <v>1</v>
      </c>
      <c r="X1021" s="218">
        <v>1</v>
      </c>
      <c r="Y1021" s="218">
        <v>1</v>
      </c>
    </row>
    <row r="1022" spans="1:25" x14ac:dyDescent="0.3">
      <c r="A1022" s="1" t="s">
        <v>2632</v>
      </c>
      <c r="B1022" s="102">
        <v>46165</v>
      </c>
      <c r="C1022" s="6">
        <v>0.75</v>
      </c>
      <c r="D1022" s="1" t="s">
        <v>15</v>
      </c>
      <c r="E1022" s="1" t="s">
        <v>2573</v>
      </c>
      <c r="F1022" s="1" t="s">
        <v>2633</v>
      </c>
      <c r="G1022" s="39" t="s">
        <v>230</v>
      </c>
      <c r="H1022" s="1">
        <v>1</v>
      </c>
      <c r="I1022" s="1">
        <v>1</v>
      </c>
      <c r="J1022" s="39" t="s">
        <v>119</v>
      </c>
      <c r="K1022" s="1">
        <v>1</v>
      </c>
      <c r="L1022" s="1">
        <v>1</v>
      </c>
      <c r="S1022" s="1" t="s">
        <v>9775</v>
      </c>
      <c r="T1022" s="1">
        <v>1</v>
      </c>
      <c r="U1022" s="19"/>
      <c r="V1022" s="19"/>
      <c r="W1022" s="218">
        <v>1</v>
      </c>
      <c r="X1022" s="218">
        <v>1</v>
      </c>
      <c r="Y1022" s="218">
        <v>1</v>
      </c>
    </row>
    <row r="1023" spans="1:25" ht="14.4" x14ac:dyDescent="0.3">
      <c r="A1023" s="1" t="s">
        <v>2634</v>
      </c>
      <c r="B1023" s="102">
        <v>46145</v>
      </c>
      <c r="C1023" s="6">
        <v>0.79166666666666696</v>
      </c>
      <c r="D1023" s="1" t="s">
        <v>15</v>
      </c>
      <c r="E1023" s="1" t="s">
        <v>2573</v>
      </c>
      <c r="F1023" s="1" t="s">
        <v>2635</v>
      </c>
      <c r="G1023" s="39" t="s">
        <v>198</v>
      </c>
      <c r="H1023" s="1">
        <v>1</v>
      </c>
      <c r="I1023" s="1">
        <v>3</v>
      </c>
      <c r="J1023" s="39" t="s">
        <v>230</v>
      </c>
      <c r="K1023" s="1">
        <v>3</v>
      </c>
      <c r="L1023" s="1">
        <v>1</v>
      </c>
      <c r="S1023" s="1" t="s">
        <v>9776</v>
      </c>
      <c r="T1023">
        <v>1</v>
      </c>
      <c r="U1023" s="19"/>
      <c r="V1023" s="19"/>
      <c r="W1023" s="218">
        <v>1</v>
      </c>
      <c r="X1023" s="218">
        <v>1</v>
      </c>
      <c r="Y1023" s="218">
        <v>1</v>
      </c>
    </row>
    <row r="1024" spans="1:25" x14ac:dyDescent="0.3">
      <c r="A1024" s="1" t="s">
        <v>2636</v>
      </c>
      <c r="B1024" s="102">
        <v>46242</v>
      </c>
      <c r="C1024" s="6">
        <v>0.54166666666666696</v>
      </c>
      <c r="D1024" s="1" t="s">
        <v>15</v>
      </c>
      <c r="E1024" s="1" t="s">
        <v>2573</v>
      </c>
      <c r="F1024" s="1" t="s">
        <v>2637</v>
      </c>
      <c r="G1024" s="39" t="s">
        <v>231</v>
      </c>
      <c r="H1024" s="1">
        <v>2</v>
      </c>
      <c r="I1024" s="1">
        <v>1</v>
      </c>
      <c r="J1024" s="39" t="s">
        <v>2576</v>
      </c>
      <c r="K1024" s="1">
        <v>1</v>
      </c>
      <c r="L1024" s="1">
        <v>2</v>
      </c>
      <c r="S1024" s="1" t="s">
        <v>9777</v>
      </c>
      <c r="T1024" s="1">
        <v>1</v>
      </c>
      <c r="U1024" s="19"/>
      <c r="V1024" s="19"/>
      <c r="W1024" s="218">
        <v>1</v>
      </c>
      <c r="X1024" s="218">
        <v>1</v>
      </c>
      <c r="Y1024" s="218">
        <v>1</v>
      </c>
    </row>
    <row r="1025" spans="1:25" x14ac:dyDescent="0.3">
      <c r="A1025" s="1" t="s">
        <v>2638</v>
      </c>
      <c r="B1025" s="102">
        <v>46229</v>
      </c>
      <c r="C1025" s="6">
        <v>0.58333333333333304</v>
      </c>
      <c r="D1025" s="1" t="s">
        <v>15</v>
      </c>
      <c r="E1025" s="1" t="s">
        <v>2573</v>
      </c>
      <c r="F1025" s="1" t="s">
        <v>2639</v>
      </c>
      <c r="G1025" s="39" t="s">
        <v>231</v>
      </c>
      <c r="H1025" s="1">
        <v>3</v>
      </c>
      <c r="I1025" s="1">
        <v>2</v>
      </c>
      <c r="J1025" s="39" t="s">
        <v>198</v>
      </c>
      <c r="K1025" s="1">
        <v>2</v>
      </c>
      <c r="L1025" s="1">
        <v>3</v>
      </c>
      <c r="S1025" s="1" t="s">
        <v>9778</v>
      </c>
      <c r="T1025" s="1">
        <v>1</v>
      </c>
      <c r="U1025" s="19"/>
      <c r="V1025" s="19"/>
      <c r="W1025" s="218">
        <v>1</v>
      </c>
      <c r="X1025" s="218">
        <v>1</v>
      </c>
      <c r="Y1025" s="218">
        <v>1</v>
      </c>
    </row>
    <row r="1026" spans="1:25" x14ac:dyDescent="0.3">
      <c r="A1026" s="1" t="s">
        <v>2640</v>
      </c>
      <c r="B1026" s="102">
        <v>46220</v>
      </c>
      <c r="C1026" s="6">
        <v>0.79166666666666696</v>
      </c>
      <c r="D1026" s="1" t="s">
        <v>15</v>
      </c>
      <c r="E1026" s="1" t="s">
        <v>2573</v>
      </c>
      <c r="F1026" s="1" t="s">
        <v>2641</v>
      </c>
      <c r="G1026" s="39" t="s">
        <v>231</v>
      </c>
      <c r="H1026" s="1">
        <v>1</v>
      </c>
      <c r="I1026" s="1">
        <v>1</v>
      </c>
      <c r="J1026" s="39" t="s">
        <v>2577</v>
      </c>
      <c r="K1026" s="1">
        <v>1</v>
      </c>
      <c r="L1026" s="1">
        <v>1</v>
      </c>
      <c r="S1026" s="1" t="s">
        <v>9779</v>
      </c>
      <c r="T1026" s="1">
        <v>1</v>
      </c>
      <c r="U1026" s="19"/>
      <c r="V1026" s="19"/>
      <c r="W1026" s="218">
        <v>1</v>
      </c>
      <c r="X1026" s="218">
        <v>1</v>
      </c>
      <c r="Y1026" s="218">
        <v>1</v>
      </c>
    </row>
    <row r="1027" spans="1:25" x14ac:dyDescent="0.3">
      <c r="A1027" s="1" t="s">
        <v>2642</v>
      </c>
      <c r="B1027" s="102">
        <v>46204</v>
      </c>
      <c r="C1027" s="6">
        <v>0.66666666666666696</v>
      </c>
      <c r="D1027" s="1" t="s">
        <v>15</v>
      </c>
      <c r="E1027" s="1" t="s">
        <v>2573</v>
      </c>
      <c r="F1027" s="1" t="s">
        <v>2643</v>
      </c>
      <c r="G1027" s="39" t="s">
        <v>2576</v>
      </c>
      <c r="H1027" s="1">
        <v>1</v>
      </c>
      <c r="I1027" s="1">
        <v>3</v>
      </c>
      <c r="J1027" s="39" t="s">
        <v>231</v>
      </c>
      <c r="K1027" s="1">
        <v>3</v>
      </c>
      <c r="L1027" s="1">
        <v>1</v>
      </c>
      <c r="S1027" s="1" t="s">
        <v>9780</v>
      </c>
      <c r="T1027" s="1">
        <v>1</v>
      </c>
      <c r="U1027" s="19"/>
      <c r="V1027" s="19"/>
      <c r="W1027" s="218">
        <v>1</v>
      </c>
      <c r="X1027" s="218">
        <v>1</v>
      </c>
      <c r="Y1027" s="218">
        <v>1</v>
      </c>
    </row>
    <row r="1028" spans="1:25" x14ac:dyDescent="0.3">
      <c r="A1028" s="1" t="s">
        <v>2644</v>
      </c>
      <c r="B1028" s="102">
        <v>46182</v>
      </c>
      <c r="C1028" s="6">
        <v>0.79166666666666696</v>
      </c>
      <c r="D1028" s="1" t="s">
        <v>15</v>
      </c>
      <c r="E1028" s="1" t="s">
        <v>2573</v>
      </c>
      <c r="F1028" s="1" t="s">
        <v>2645</v>
      </c>
      <c r="G1028" s="39" t="s">
        <v>231</v>
      </c>
      <c r="H1028" s="1">
        <v>5</v>
      </c>
      <c r="I1028" s="1">
        <v>3</v>
      </c>
      <c r="J1028" s="39" t="s">
        <v>119</v>
      </c>
      <c r="K1028" s="1">
        <v>3</v>
      </c>
      <c r="L1028" s="1">
        <v>5</v>
      </c>
      <c r="S1028" s="1" t="s">
        <v>9781</v>
      </c>
      <c r="T1028" s="1">
        <v>1</v>
      </c>
      <c r="U1028" s="19"/>
      <c r="V1028" s="19"/>
      <c r="W1028" s="218">
        <v>1</v>
      </c>
      <c r="X1028" s="218">
        <v>1</v>
      </c>
      <c r="Y1028" s="218">
        <v>1</v>
      </c>
    </row>
    <row r="1029" spans="1:25" x14ac:dyDescent="0.3">
      <c r="A1029" s="1" t="s">
        <v>2646</v>
      </c>
      <c r="B1029" s="102">
        <v>46172</v>
      </c>
      <c r="C1029" s="6">
        <v>0.75</v>
      </c>
      <c r="D1029" s="1" t="s">
        <v>15</v>
      </c>
      <c r="E1029" s="1" t="s">
        <v>2573</v>
      </c>
      <c r="F1029" s="1" t="s">
        <v>2647</v>
      </c>
      <c r="G1029" s="39" t="s">
        <v>198</v>
      </c>
      <c r="H1029" s="1">
        <v>2</v>
      </c>
      <c r="I1029" s="1">
        <v>2</v>
      </c>
      <c r="J1029" s="39" t="s">
        <v>231</v>
      </c>
      <c r="K1029" s="1">
        <v>2</v>
      </c>
      <c r="L1029" s="1">
        <v>2</v>
      </c>
      <c r="S1029" s="1" t="s">
        <v>9782</v>
      </c>
      <c r="T1029" s="1">
        <v>1</v>
      </c>
      <c r="U1029" s="19"/>
      <c r="V1029" s="19"/>
      <c r="W1029" s="218">
        <v>1</v>
      </c>
      <c r="X1029" s="218">
        <v>1</v>
      </c>
      <c r="Y1029" s="218">
        <v>1</v>
      </c>
    </row>
    <row r="1030" spans="1:25" x14ac:dyDescent="0.3">
      <c r="A1030" s="1" t="s">
        <v>2648</v>
      </c>
      <c r="B1030" s="102">
        <v>46159</v>
      </c>
      <c r="C1030" s="6">
        <v>0.54166666666666696</v>
      </c>
      <c r="D1030" s="1" t="s">
        <v>15</v>
      </c>
      <c r="E1030" s="1" t="s">
        <v>2573</v>
      </c>
      <c r="F1030" s="1" t="s">
        <v>2649</v>
      </c>
      <c r="G1030" s="39" t="s">
        <v>231</v>
      </c>
      <c r="H1030" s="1">
        <v>1</v>
      </c>
      <c r="I1030" s="1">
        <v>0</v>
      </c>
      <c r="J1030" s="39" t="s">
        <v>2576</v>
      </c>
      <c r="K1030" s="1">
        <v>0</v>
      </c>
      <c r="L1030" s="1">
        <v>1</v>
      </c>
      <c r="S1030" s="1" t="s">
        <v>9783</v>
      </c>
      <c r="T1030" s="1">
        <v>1</v>
      </c>
      <c r="U1030" s="19"/>
      <c r="V1030" s="19"/>
      <c r="W1030" s="218">
        <v>1</v>
      </c>
      <c r="X1030" s="218">
        <v>1</v>
      </c>
      <c r="Y1030" s="218">
        <v>1</v>
      </c>
    </row>
    <row r="1031" spans="1:25" ht="14.4" x14ac:dyDescent="0.3">
      <c r="A1031" s="1" t="s">
        <v>2650</v>
      </c>
      <c r="B1031" s="102">
        <v>46143</v>
      </c>
      <c r="C1031" s="6">
        <v>0.8125</v>
      </c>
      <c r="D1031" s="1" t="s">
        <v>15</v>
      </c>
      <c r="E1031" s="1" t="s">
        <v>2573</v>
      </c>
      <c r="F1031" s="1" t="s">
        <v>2651</v>
      </c>
      <c r="G1031" s="39" t="s">
        <v>2577</v>
      </c>
      <c r="H1031" s="1">
        <v>4</v>
      </c>
      <c r="I1031" s="1">
        <v>1</v>
      </c>
      <c r="J1031" s="39" t="s">
        <v>231</v>
      </c>
      <c r="K1031" s="1">
        <v>1</v>
      </c>
      <c r="L1031" s="1">
        <v>4</v>
      </c>
      <c r="S1031" s="1" t="s">
        <v>9784</v>
      </c>
      <c r="T1031">
        <v>1</v>
      </c>
      <c r="U1031" s="19"/>
      <c r="V1031" s="19"/>
      <c r="W1031" s="218">
        <v>1</v>
      </c>
      <c r="X1031" s="218">
        <v>1</v>
      </c>
      <c r="Y1031" s="218">
        <v>1</v>
      </c>
    </row>
    <row r="1032" spans="1:25" x14ac:dyDescent="0.3">
      <c r="A1032" s="1" t="s">
        <v>2652</v>
      </c>
      <c r="B1032" s="102">
        <v>46227</v>
      </c>
      <c r="C1032" s="6">
        <v>0.75</v>
      </c>
      <c r="D1032" s="1" t="s">
        <v>15</v>
      </c>
      <c r="E1032" s="1" t="s">
        <v>2573</v>
      </c>
      <c r="F1032" s="1" t="s">
        <v>2653</v>
      </c>
      <c r="G1032" s="39" t="s">
        <v>2576</v>
      </c>
      <c r="H1032" s="1">
        <v>2</v>
      </c>
      <c r="I1032" s="1">
        <v>3</v>
      </c>
      <c r="J1032" s="39" t="s">
        <v>119</v>
      </c>
      <c r="K1032" s="1">
        <v>3</v>
      </c>
      <c r="L1032" s="1">
        <v>2</v>
      </c>
      <c r="S1032" s="1" t="s">
        <v>9785</v>
      </c>
      <c r="T1032" s="1">
        <v>1</v>
      </c>
      <c r="U1032" s="19"/>
      <c r="V1032" s="19"/>
      <c r="W1032" s="218">
        <v>1</v>
      </c>
      <c r="X1032" s="218">
        <v>1</v>
      </c>
      <c r="Y1032" s="218">
        <v>1</v>
      </c>
    </row>
    <row r="1033" spans="1:25" x14ac:dyDescent="0.3">
      <c r="A1033" s="1" t="s">
        <v>2654</v>
      </c>
      <c r="B1033" s="102">
        <v>46179</v>
      </c>
      <c r="C1033" s="6">
        <v>0.79166666666666696</v>
      </c>
      <c r="D1033" s="1" t="s">
        <v>15</v>
      </c>
      <c r="E1033" s="1" t="s">
        <v>2573</v>
      </c>
      <c r="F1033" s="1" t="s">
        <v>2655</v>
      </c>
      <c r="G1033" s="39" t="s">
        <v>119</v>
      </c>
      <c r="H1033" s="1">
        <v>1</v>
      </c>
      <c r="I1033" s="1">
        <v>1</v>
      </c>
      <c r="J1033" s="39" t="s">
        <v>198</v>
      </c>
      <c r="K1033" s="1">
        <v>1</v>
      </c>
      <c r="L1033" s="1">
        <v>1</v>
      </c>
      <c r="S1033" s="1" t="s">
        <v>9786</v>
      </c>
      <c r="T1033" s="1">
        <v>1</v>
      </c>
      <c r="U1033" s="19"/>
      <c r="V1033" s="19"/>
      <c r="W1033" s="218">
        <v>1</v>
      </c>
      <c r="X1033" s="218">
        <v>1</v>
      </c>
      <c r="Y1033" s="218">
        <v>1</v>
      </c>
    </row>
    <row r="1034" spans="1:25" x14ac:dyDescent="0.3">
      <c r="A1034" s="1" t="s">
        <v>2656</v>
      </c>
      <c r="B1034" s="102">
        <v>46171</v>
      </c>
      <c r="C1034" s="6">
        <v>0.79166666666666696</v>
      </c>
      <c r="D1034" s="1" t="s">
        <v>15</v>
      </c>
      <c r="E1034" s="1" t="s">
        <v>2573</v>
      </c>
      <c r="F1034" s="1" t="s">
        <v>2657</v>
      </c>
      <c r="G1034" s="39" t="s">
        <v>119</v>
      </c>
      <c r="H1034" s="1">
        <v>3</v>
      </c>
      <c r="I1034" s="1">
        <v>1</v>
      </c>
      <c r="J1034" s="39" t="s">
        <v>2577</v>
      </c>
      <c r="K1034" s="1">
        <v>1</v>
      </c>
      <c r="L1034" s="1">
        <v>3</v>
      </c>
      <c r="S1034" s="1" t="s">
        <v>9787</v>
      </c>
      <c r="T1034" s="1">
        <v>1</v>
      </c>
      <c r="U1034" s="19"/>
      <c r="V1034" s="19"/>
      <c r="W1034" s="218">
        <v>1</v>
      </c>
      <c r="X1034" s="218">
        <v>1</v>
      </c>
      <c r="Y1034" s="218">
        <v>1</v>
      </c>
    </row>
    <row r="1035" spans="1:25" ht="14.4" x14ac:dyDescent="0.3">
      <c r="A1035" s="1" t="s">
        <v>2658</v>
      </c>
      <c r="B1035" s="102">
        <v>46136</v>
      </c>
      <c r="C1035" s="6">
        <v>0.79166666666666696</v>
      </c>
      <c r="D1035" s="1" t="s">
        <v>15</v>
      </c>
      <c r="E1035" s="1" t="s">
        <v>2573</v>
      </c>
      <c r="F1035" s="1" t="s">
        <v>2659</v>
      </c>
      <c r="G1035" s="39" t="s">
        <v>119</v>
      </c>
      <c r="H1035" s="1">
        <v>2</v>
      </c>
      <c r="I1035" s="1">
        <v>1</v>
      </c>
      <c r="J1035" s="39" t="s">
        <v>2576</v>
      </c>
      <c r="K1035" s="1">
        <v>1</v>
      </c>
      <c r="L1035" s="1">
        <v>2</v>
      </c>
      <c r="S1035" s="1" t="s">
        <v>9788</v>
      </c>
      <c r="T1035">
        <v>1</v>
      </c>
      <c r="U1035" s="19"/>
      <c r="V1035" s="19"/>
      <c r="W1035" s="218">
        <v>1</v>
      </c>
      <c r="X1035" s="218">
        <v>0</v>
      </c>
      <c r="Y1035" s="218">
        <v>1</v>
      </c>
    </row>
    <row r="1036" spans="1:25" x14ac:dyDescent="0.3">
      <c r="A1036" s="1" t="s">
        <v>2660</v>
      </c>
      <c r="B1036" s="102">
        <v>46208</v>
      </c>
      <c r="C1036" s="6">
        <v>0.75</v>
      </c>
      <c r="D1036" s="1" t="s">
        <v>15</v>
      </c>
      <c r="E1036" s="1" t="s">
        <v>2573</v>
      </c>
      <c r="F1036" s="1" t="s">
        <v>2661</v>
      </c>
      <c r="G1036" s="39" t="s">
        <v>198</v>
      </c>
      <c r="H1036" s="1">
        <v>1</v>
      </c>
      <c r="I1036" s="1">
        <v>2</v>
      </c>
      <c r="J1036" s="39" t="s">
        <v>2576</v>
      </c>
      <c r="K1036" s="1">
        <v>2</v>
      </c>
      <c r="L1036" s="1">
        <v>1</v>
      </c>
      <c r="S1036" s="1" t="s">
        <v>9789</v>
      </c>
      <c r="T1036" s="1">
        <v>1</v>
      </c>
      <c r="U1036" s="19"/>
      <c r="V1036" s="19"/>
      <c r="W1036" s="218">
        <v>1</v>
      </c>
      <c r="X1036" s="218">
        <v>1</v>
      </c>
      <c r="Y1036" s="218">
        <v>1</v>
      </c>
    </row>
    <row r="1037" spans="1:25" x14ac:dyDescent="0.3">
      <c r="A1037" s="1" t="s">
        <v>2662</v>
      </c>
      <c r="B1037" s="102">
        <v>46199</v>
      </c>
      <c r="C1037" s="6">
        <v>0.75</v>
      </c>
      <c r="D1037" s="1" t="s">
        <v>15</v>
      </c>
      <c r="E1037" s="1" t="s">
        <v>2573</v>
      </c>
      <c r="F1037" s="1" t="s">
        <v>2663</v>
      </c>
      <c r="G1037" s="39" t="s">
        <v>2576</v>
      </c>
      <c r="H1037" s="1">
        <v>5</v>
      </c>
      <c r="I1037" s="1">
        <v>2</v>
      </c>
      <c r="J1037" s="39" t="s">
        <v>198</v>
      </c>
      <c r="K1037" s="1">
        <v>2</v>
      </c>
      <c r="L1037" s="1">
        <v>5</v>
      </c>
      <c r="S1037" s="1" t="s">
        <v>9790</v>
      </c>
      <c r="T1037" s="1">
        <v>1</v>
      </c>
      <c r="U1037" s="19"/>
      <c r="V1037" s="19"/>
      <c r="W1037" s="218">
        <v>1</v>
      </c>
      <c r="X1037" s="218">
        <v>1</v>
      </c>
      <c r="Y1037" s="218">
        <v>1</v>
      </c>
    </row>
    <row r="1038" spans="1:25" ht="14.4" x14ac:dyDescent="0.3">
      <c r="A1038" s="1" t="s">
        <v>2664</v>
      </c>
      <c r="B1038" s="102">
        <v>46165</v>
      </c>
      <c r="C1038" s="6">
        <v>0.625</v>
      </c>
      <c r="D1038" s="1" t="s">
        <v>15</v>
      </c>
      <c r="E1038" s="1" t="s">
        <v>2573</v>
      </c>
      <c r="F1038" s="1" t="s">
        <v>2665</v>
      </c>
      <c r="G1038" s="39" t="s">
        <v>2576</v>
      </c>
      <c r="H1038" s="1">
        <v>1</v>
      </c>
      <c r="I1038" s="1">
        <v>1</v>
      </c>
      <c r="J1038" s="39" t="s">
        <v>2577</v>
      </c>
      <c r="K1038" s="1">
        <v>1</v>
      </c>
      <c r="L1038" s="1">
        <v>1</v>
      </c>
      <c r="S1038" s="1" t="s">
        <v>9791</v>
      </c>
      <c r="T1038">
        <v>1</v>
      </c>
      <c r="U1038" s="19"/>
      <c r="V1038" s="19"/>
      <c r="W1038" s="218">
        <v>1</v>
      </c>
      <c r="X1038" s="218">
        <v>1</v>
      </c>
      <c r="Y1038" s="218">
        <v>1</v>
      </c>
    </row>
    <row r="1039" spans="1:25" x14ac:dyDescent="0.3">
      <c r="A1039" s="1" t="s">
        <v>2666</v>
      </c>
      <c r="B1039" s="102">
        <v>46242</v>
      </c>
      <c r="C1039" s="6">
        <v>0.70833333333333304</v>
      </c>
      <c r="D1039" s="1" t="s">
        <v>15</v>
      </c>
      <c r="E1039" s="1" t="s">
        <v>2573</v>
      </c>
      <c r="F1039" s="1" t="s">
        <v>2667</v>
      </c>
      <c r="G1039" s="39" t="s">
        <v>198</v>
      </c>
      <c r="H1039" s="1">
        <v>1</v>
      </c>
      <c r="I1039" s="1">
        <v>1</v>
      </c>
      <c r="J1039" s="39" t="s">
        <v>2577</v>
      </c>
      <c r="K1039" s="1">
        <v>1</v>
      </c>
      <c r="L1039" s="1">
        <v>1</v>
      </c>
      <c r="S1039" s="1" t="s">
        <v>9792</v>
      </c>
      <c r="T1039" s="1">
        <v>1</v>
      </c>
      <c r="U1039" s="19"/>
      <c r="V1039" s="19"/>
      <c r="W1039" s="218">
        <v>1</v>
      </c>
      <c r="X1039" s="218">
        <v>1</v>
      </c>
      <c r="Y1039" s="218">
        <v>1</v>
      </c>
    </row>
    <row r="1040" spans="1:25" ht="14.4" x14ac:dyDescent="0.3">
      <c r="A1040" s="1" t="s">
        <v>2668</v>
      </c>
      <c r="B1040" s="102">
        <v>46159</v>
      </c>
      <c r="C1040" s="6">
        <v>0.70833333333333304</v>
      </c>
      <c r="D1040" s="1" t="s">
        <v>15</v>
      </c>
      <c r="E1040" s="1" t="s">
        <v>2573</v>
      </c>
      <c r="F1040" s="1" t="s">
        <v>2669</v>
      </c>
      <c r="G1040" s="39" t="s">
        <v>198</v>
      </c>
      <c r="H1040" s="1">
        <v>0</v>
      </c>
      <c r="I1040" s="1">
        <v>1</v>
      </c>
      <c r="J1040" s="39" t="s">
        <v>2577</v>
      </c>
      <c r="K1040" s="1">
        <v>1</v>
      </c>
      <c r="L1040" s="1">
        <v>0</v>
      </c>
      <c r="S1040" s="1" t="s">
        <v>9793</v>
      </c>
      <c r="T1040">
        <v>1</v>
      </c>
      <c r="U1040" s="19"/>
      <c r="V1040" s="19"/>
      <c r="W1040" s="218">
        <v>1</v>
      </c>
      <c r="X1040" s="218">
        <v>1</v>
      </c>
      <c r="Y1040" s="218">
        <v>1</v>
      </c>
    </row>
    <row r="1041" spans="1:25" x14ac:dyDescent="0.3">
      <c r="A1041" s="1" t="s">
        <v>2677</v>
      </c>
      <c r="B1041" s="102">
        <v>46235</v>
      </c>
      <c r="C1041" s="6">
        <v>0.54166666666666696</v>
      </c>
      <c r="D1041" s="1" t="s">
        <v>18</v>
      </c>
      <c r="E1041" s="1" t="s">
        <v>19</v>
      </c>
      <c r="F1041" s="1" t="s">
        <v>2678</v>
      </c>
      <c r="G1041" s="39" t="s">
        <v>2671</v>
      </c>
      <c r="H1041" s="1">
        <v>0</v>
      </c>
      <c r="I1041" s="1">
        <v>1</v>
      </c>
      <c r="J1041" s="39" t="s">
        <v>2670</v>
      </c>
      <c r="K1041" s="1">
        <v>1</v>
      </c>
      <c r="L1041" s="1">
        <v>0</v>
      </c>
      <c r="S1041" s="1" t="s">
        <v>9794</v>
      </c>
      <c r="T1041" s="1">
        <v>1</v>
      </c>
      <c r="U1041" s="19"/>
      <c r="V1041" s="19"/>
      <c r="W1041" s="218">
        <v>1</v>
      </c>
      <c r="X1041" s="218">
        <v>1</v>
      </c>
      <c r="Y1041" s="218">
        <v>1</v>
      </c>
    </row>
    <row r="1042" spans="1:25" x14ac:dyDescent="0.3">
      <c r="A1042" s="1" t="s">
        <v>2679</v>
      </c>
      <c r="B1042" s="102">
        <v>46228</v>
      </c>
      <c r="C1042" s="6">
        <v>0.45833333333333398</v>
      </c>
      <c r="D1042" s="1" t="s">
        <v>18</v>
      </c>
      <c r="E1042" s="1" t="s">
        <v>19</v>
      </c>
      <c r="F1042" s="1" t="s">
        <v>2680</v>
      </c>
      <c r="G1042" s="39" t="s">
        <v>2670</v>
      </c>
      <c r="H1042" s="1">
        <v>3</v>
      </c>
      <c r="I1042" s="1">
        <v>1</v>
      </c>
      <c r="J1042" s="39" t="s">
        <v>392</v>
      </c>
      <c r="K1042" s="1">
        <v>1</v>
      </c>
      <c r="L1042" s="1">
        <v>3</v>
      </c>
      <c r="S1042" s="1" t="s">
        <v>9795</v>
      </c>
      <c r="T1042" s="1">
        <v>1</v>
      </c>
      <c r="U1042" s="19"/>
      <c r="V1042" s="19"/>
      <c r="W1042" s="218">
        <v>1</v>
      </c>
      <c r="X1042" s="218">
        <v>1</v>
      </c>
      <c r="Y1042" s="218">
        <v>1</v>
      </c>
    </row>
    <row r="1043" spans="1:25" x14ac:dyDescent="0.3">
      <c r="A1043" s="1" t="s">
        <v>2681</v>
      </c>
      <c r="B1043" s="102">
        <v>46221</v>
      </c>
      <c r="C1043" s="6">
        <v>0.45833333333333398</v>
      </c>
      <c r="D1043" s="1" t="s">
        <v>18</v>
      </c>
      <c r="E1043" s="1" t="s">
        <v>19</v>
      </c>
      <c r="F1043" s="1" t="s">
        <v>2682</v>
      </c>
      <c r="G1043" s="39" t="s">
        <v>990</v>
      </c>
      <c r="H1043" s="1">
        <v>0</v>
      </c>
      <c r="I1043" s="1">
        <v>2</v>
      </c>
      <c r="J1043" s="39" t="s">
        <v>2670</v>
      </c>
      <c r="K1043" s="1">
        <v>2</v>
      </c>
      <c r="L1043" s="1">
        <v>0</v>
      </c>
      <c r="S1043" s="1" t="s">
        <v>9796</v>
      </c>
      <c r="T1043" s="1">
        <v>1</v>
      </c>
      <c r="U1043" s="19"/>
      <c r="V1043" s="19"/>
      <c r="W1043" s="218">
        <v>1</v>
      </c>
      <c r="X1043" s="218">
        <v>1</v>
      </c>
      <c r="Y1043" s="218">
        <v>1</v>
      </c>
    </row>
    <row r="1044" spans="1:25" x14ac:dyDescent="0.3">
      <c r="A1044" s="1" t="s">
        <v>2683</v>
      </c>
      <c r="B1044" s="102">
        <v>46200</v>
      </c>
      <c r="C1044" s="6">
        <v>0.45833333333333398</v>
      </c>
      <c r="D1044" s="1" t="s">
        <v>18</v>
      </c>
      <c r="E1044" s="1" t="s">
        <v>19</v>
      </c>
      <c r="F1044" s="1" t="s">
        <v>2684</v>
      </c>
      <c r="G1044" s="39" t="s">
        <v>989</v>
      </c>
      <c r="H1044" s="1">
        <v>0</v>
      </c>
      <c r="I1044" s="1">
        <v>4</v>
      </c>
      <c r="J1044" s="39" t="s">
        <v>2670</v>
      </c>
      <c r="K1044" s="1">
        <v>4</v>
      </c>
      <c r="L1044" s="1">
        <v>0</v>
      </c>
      <c r="S1044" s="1" t="s">
        <v>9797</v>
      </c>
      <c r="T1044" s="1">
        <v>1</v>
      </c>
      <c r="U1044" s="19"/>
      <c r="V1044" s="19"/>
      <c r="W1044" s="218">
        <v>1</v>
      </c>
      <c r="X1044" s="218">
        <v>1</v>
      </c>
      <c r="Y1044" s="218">
        <v>1</v>
      </c>
    </row>
    <row r="1045" spans="1:25" x14ac:dyDescent="0.3">
      <c r="A1045" s="1" t="s">
        <v>2685</v>
      </c>
      <c r="B1045" s="102">
        <v>46196</v>
      </c>
      <c r="C1045" s="6">
        <v>0.5</v>
      </c>
      <c r="D1045" s="1" t="s">
        <v>18</v>
      </c>
      <c r="E1045" s="1" t="s">
        <v>19</v>
      </c>
      <c r="F1045" s="1" t="s">
        <v>2686</v>
      </c>
      <c r="G1045" s="39" t="s">
        <v>2670</v>
      </c>
      <c r="H1045" s="1">
        <v>4</v>
      </c>
      <c r="I1045" s="1">
        <v>3</v>
      </c>
      <c r="J1045" s="39" t="s">
        <v>2672</v>
      </c>
      <c r="K1045" s="1">
        <v>3</v>
      </c>
      <c r="L1045" s="1">
        <v>4</v>
      </c>
      <c r="S1045" s="1" t="s">
        <v>9798</v>
      </c>
      <c r="T1045" s="1">
        <v>1</v>
      </c>
      <c r="U1045" s="19"/>
      <c r="V1045" s="19"/>
      <c r="W1045" s="218">
        <v>1</v>
      </c>
      <c r="X1045" s="218">
        <v>1</v>
      </c>
      <c r="Y1045" s="218">
        <v>1</v>
      </c>
    </row>
    <row r="1046" spans="1:25" x14ac:dyDescent="0.3">
      <c r="A1046" s="1" t="s">
        <v>2687</v>
      </c>
      <c r="B1046" s="102">
        <v>46190</v>
      </c>
      <c r="C1046" s="6">
        <v>0.5</v>
      </c>
      <c r="D1046" s="1" t="s">
        <v>18</v>
      </c>
      <c r="E1046" s="1" t="s">
        <v>19</v>
      </c>
      <c r="F1046" s="1" t="s">
        <v>2688</v>
      </c>
      <c r="G1046" s="39" t="s">
        <v>2673</v>
      </c>
      <c r="H1046" s="1">
        <v>1</v>
      </c>
      <c r="I1046" s="1">
        <v>2</v>
      </c>
      <c r="J1046" s="39" t="s">
        <v>2670</v>
      </c>
      <c r="K1046" s="1">
        <v>2</v>
      </c>
      <c r="L1046" s="1">
        <v>1</v>
      </c>
      <c r="S1046" s="1" t="s">
        <v>9799</v>
      </c>
      <c r="T1046" s="1">
        <v>1</v>
      </c>
      <c r="U1046" s="19"/>
      <c r="V1046" s="19"/>
      <c r="W1046" s="218">
        <v>1</v>
      </c>
      <c r="X1046" s="218">
        <v>1</v>
      </c>
      <c r="Y1046" s="218">
        <v>1</v>
      </c>
    </row>
    <row r="1047" spans="1:25" x14ac:dyDescent="0.3">
      <c r="A1047" s="1" t="s">
        <v>2689</v>
      </c>
      <c r="B1047" s="102">
        <v>46186</v>
      </c>
      <c r="C1047" s="6">
        <v>0.45833333333333398</v>
      </c>
      <c r="D1047" s="1" t="s">
        <v>18</v>
      </c>
      <c r="E1047" s="1" t="s">
        <v>19</v>
      </c>
      <c r="F1047" s="1" t="s">
        <v>2690</v>
      </c>
      <c r="G1047" s="39" t="s">
        <v>392</v>
      </c>
      <c r="H1047" s="1">
        <v>1</v>
      </c>
      <c r="I1047" s="1">
        <v>1</v>
      </c>
      <c r="J1047" s="39" t="s">
        <v>2670</v>
      </c>
      <c r="K1047" s="1">
        <v>1</v>
      </c>
      <c r="L1047" s="1">
        <v>1</v>
      </c>
      <c r="S1047" s="1" t="s">
        <v>9800</v>
      </c>
      <c r="T1047" s="1">
        <v>1</v>
      </c>
      <c r="U1047" s="19"/>
      <c r="V1047" s="19"/>
      <c r="W1047" s="218">
        <v>1</v>
      </c>
      <c r="X1047" s="218">
        <v>1</v>
      </c>
      <c r="Y1047" s="218">
        <v>1</v>
      </c>
    </row>
    <row r="1048" spans="1:25" x14ac:dyDescent="0.3">
      <c r="A1048" s="1" t="s">
        <v>2691</v>
      </c>
      <c r="B1048" s="102">
        <v>46172</v>
      </c>
      <c r="C1048" s="6">
        <v>0.45833333333333398</v>
      </c>
      <c r="D1048" s="1" t="s">
        <v>18</v>
      </c>
      <c r="E1048" s="1" t="s">
        <v>19</v>
      </c>
      <c r="F1048" s="1" t="s">
        <v>2692</v>
      </c>
      <c r="G1048" s="39" t="s">
        <v>2670</v>
      </c>
      <c r="H1048" s="1">
        <v>1</v>
      </c>
      <c r="I1048" s="1">
        <v>1</v>
      </c>
      <c r="J1048" s="39" t="s">
        <v>2674</v>
      </c>
      <c r="K1048" s="1">
        <v>1</v>
      </c>
      <c r="L1048" s="1">
        <v>1</v>
      </c>
      <c r="S1048" s="1" t="s">
        <v>9801</v>
      </c>
      <c r="T1048" s="1">
        <v>1</v>
      </c>
      <c r="U1048" s="19"/>
      <c r="V1048" s="19"/>
      <c r="W1048" s="218">
        <v>1</v>
      </c>
      <c r="X1048" s="218">
        <v>1</v>
      </c>
      <c r="Y1048" s="218">
        <v>1</v>
      </c>
    </row>
    <row r="1049" spans="1:25" x14ac:dyDescent="0.3">
      <c r="A1049" s="1" t="s">
        <v>2693</v>
      </c>
      <c r="B1049" s="102">
        <v>46165</v>
      </c>
      <c r="C1049" s="6">
        <v>0.45833333333333398</v>
      </c>
      <c r="D1049" s="1" t="s">
        <v>18</v>
      </c>
      <c r="E1049" s="1" t="s">
        <v>19</v>
      </c>
      <c r="F1049" s="1" t="s">
        <v>2694</v>
      </c>
      <c r="G1049" s="39" t="s">
        <v>2670</v>
      </c>
      <c r="H1049" s="1">
        <v>2</v>
      </c>
      <c r="I1049" s="1">
        <v>1</v>
      </c>
      <c r="J1049" s="39" t="s">
        <v>2675</v>
      </c>
      <c r="K1049" s="1">
        <v>1</v>
      </c>
      <c r="L1049" s="1">
        <v>2</v>
      </c>
      <c r="S1049" s="1" t="s">
        <v>9802</v>
      </c>
      <c r="T1049" s="1">
        <v>1</v>
      </c>
      <c r="U1049" s="19"/>
      <c r="V1049" s="19"/>
      <c r="W1049" s="218">
        <v>1</v>
      </c>
      <c r="X1049" s="218">
        <v>1</v>
      </c>
      <c r="Y1049" s="218">
        <v>1</v>
      </c>
    </row>
    <row r="1050" spans="1:25" x14ac:dyDescent="0.3">
      <c r="A1050" s="1" t="s">
        <v>2695</v>
      </c>
      <c r="B1050" s="102">
        <v>46162</v>
      </c>
      <c r="C1050" s="6">
        <v>0.54166666666666696</v>
      </c>
      <c r="D1050" s="1" t="s">
        <v>18</v>
      </c>
      <c r="E1050" s="1" t="s">
        <v>19</v>
      </c>
      <c r="F1050" s="1" t="s">
        <v>2696</v>
      </c>
      <c r="G1050" s="39" t="s">
        <v>2670</v>
      </c>
      <c r="H1050" s="1">
        <v>3</v>
      </c>
      <c r="I1050" s="1">
        <v>0</v>
      </c>
      <c r="J1050" s="39" t="s">
        <v>1540</v>
      </c>
      <c r="K1050" s="1">
        <v>0</v>
      </c>
      <c r="L1050" s="1">
        <v>3</v>
      </c>
      <c r="S1050" s="1" t="s">
        <v>9803</v>
      </c>
      <c r="T1050" s="1">
        <v>1</v>
      </c>
      <c r="U1050" s="19"/>
      <c r="V1050" s="19"/>
      <c r="W1050" s="218">
        <v>1</v>
      </c>
      <c r="X1050" s="218">
        <v>1</v>
      </c>
      <c r="Y1050" s="218">
        <v>1</v>
      </c>
    </row>
    <row r="1051" spans="1:25" x14ac:dyDescent="0.3">
      <c r="A1051" s="1" t="s">
        <v>2697</v>
      </c>
      <c r="B1051" s="102">
        <v>46158</v>
      </c>
      <c r="C1051" s="6">
        <v>0.45833333333333398</v>
      </c>
      <c r="D1051" s="1" t="s">
        <v>18</v>
      </c>
      <c r="E1051" s="1" t="s">
        <v>19</v>
      </c>
      <c r="F1051" s="1" t="s">
        <v>2698</v>
      </c>
      <c r="G1051" s="39" t="s">
        <v>2676</v>
      </c>
      <c r="H1051" s="1">
        <v>1</v>
      </c>
      <c r="I1051" s="1">
        <v>1</v>
      </c>
      <c r="J1051" s="39" t="s">
        <v>2670</v>
      </c>
      <c r="K1051" s="1">
        <v>1</v>
      </c>
      <c r="L1051" s="1">
        <v>1</v>
      </c>
      <c r="S1051" s="1" t="s">
        <v>9804</v>
      </c>
      <c r="T1051" s="1">
        <v>1</v>
      </c>
      <c r="U1051" s="19"/>
      <c r="V1051" s="19"/>
      <c r="W1051" s="218">
        <v>0</v>
      </c>
      <c r="X1051" s="218">
        <v>1</v>
      </c>
      <c r="Y1051" s="218">
        <v>1</v>
      </c>
    </row>
    <row r="1052" spans="1:25" ht="14.4" x14ac:dyDescent="0.3">
      <c r="A1052" s="1" t="s">
        <v>2699</v>
      </c>
      <c r="B1052" s="102">
        <v>46150</v>
      </c>
      <c r="C1052" s="6">
        <v>0.58333333333333404</v>
      </c>
      <c r="D1052" s="1" t="s">
        <v>18</v>
      </c>
      <c r="E1052" s="1" t="s">
        <v>19</v>
      </c>
      <c r="F1052" s="1" t="s">
        <v>2700</v>
      </c>
      <c r="G1052" s="39" t="s">
        <v>2670</v>
      </c>
      <c r="H1052" s="1">
        <v>0</v>
      </c>
      <c r="I1052" s="1">
        <v>0</v>
      </c>
      <c r="J1052" s="39" t="s">
        <v>990</v>
      </c>
      <c r="K1052" s="1">
        <v>0</v>
      </c>
      <c r="L1052" s="1">
        <v>0</v>
      </c>
      <c r="S1052" s="1" t="s">
        <v>9805</v>
      </c>
      <c r="T1052">
        <v>1</v>
      </c>
      <c r="U1052" s="19"/>
      <c r="V1052" s="19"/>
      <c r="W1052" s="218">
        <v>0</v>
      </c>
      <c r="X1052" s="218">
        <v>1</v>
      </c>
      <c r="Y1052" s="218">
        <v>1</v>
      </c>
    </row>
    <row r="1053" spans="1:25" x14ac:dyDescent="0.3">
      <c r="A1053" s="1" t="s">
        <v>2702</v>
      </c>
      <c r="B1053" s="102">
        <v>46235</v>
      </c>
      <c r="C1053" s="6">
        <v>0.375</v>
      </c>
      <c r="D1053" s="1" t="s">
        <v>18</v>
      </c>
      <c r="E1053" s="1" t="s">
        <v>19</v>
      </c>
      <c r="F1053" s="1" t="s">
        <v>2703</v>
      </c>
      <c r="G1053" s="39" t="s">
        <v>2673</v>
      </c>
      <c r="H1053" s="1">
        <v>3</v>
      </c>
      <c r="I1053" s="1">
        <v>0</v>
      </c>
      <c r="J1053" s="39" t="s">
        <v>2676</v>
      </c>
      <c r="K1053" s="1">
        <v>0</v>
      </c>
      <c r="L1053" s="1">
        <v>3</v>
      </c>
      <c r="S1053" s="1" t="s">
        <v>9806</v>
      </c>
      <c r="T1053" s="1">
        <v>1</v>
      </c>
      <c r="U1053" s="19"/>
      <c r="V1053" s="19"/>
      <c r="W1053" s="218">
        <v>1</v>
      </c>
      <c r="X1053" s="218">
        <v>1</v>
      </c>
      <c r="Y1053" s="218">
        <v>1</v>
      </c>
    </row>
    <row r="1054" spans="1:25" x14ac:dyDescent="0.3">
      <c r="A1054" s="1" t="s">
        <v>2704</v>
      </c>
      <c r="B1054" s="102">
        <v>46229</v>
      </c>
      <c r="C1054" s="6">
        <v>0.45833333333333398</v>
      </c>
      <c r="D1054" s="1" t="s">
        <v>18</v>
      </c>
      <c r="E1054" s="1" t="s">
        <v>19</v>
      </c>
      <c r="F1054" s="1" t="s">
        <v>2705</v>
      </c>
      <c r="G1054" s="39" t="s">
        <v>989</v>
      </c>
      <c r="H1054" s="1">
        <v>1</v>
      </c>
      <c r="I1054" s="1">
        <v>0</v>
      </c>
      <c r="J1054" s="39" t="s">
        <v>2673</v>
      </c>
      <c r="K1054" s="1">
        <v>0</v>
      </c>
      <c r="L1054" s="1">
        <v>1</v>
      </c>
      <c r="S1054" s="1" t="s">
        <v>9807</v>
      </c>
      <c r="T1054" s="1">
        <v>1</v>
      </c>
      <c r="U1054" s="19"/>
      <c r="V1054" s="19"/>
      <c r="W1054" s="218">
        <v>1</v>
      </c>
      <c r="X1054" s="218">
        <v>1</v>
      </c>
      <c r="Y1054" s="218">
        <v>1</v>
      </c>
    </row>
    <row r="1055" spans="1:25" x14ac:dyDescent="0.3">
      <c r="A1055" s="1" t="s">
        <v>2706</v>
      </c>
      <c r="B1055" s="102">
        <v>46223</v>
      </c>
      <c r="C1055" s="6">
        <v>0.5</v>
      </c>
      <c r="D1055" s="1" t="s">
        <v>18</v>
      </c>
      <c r="E1055" s="1" t="s">
        <v>19</v>
      </c>
      <c r="F1055" s="1" t="s">
        <v>2707</v>
      </c>
      <c r="G1055" s="39" t="s">
        <v>2673</v>
      </c>
      <c r="H1055" s="1">
        <v>1</v>
      </c>
      <c r="I1055" s="1">
        <v>3</v>
      </c>
      <c r="J1055" s="39" t="s">
        <v>2672</v>
      </c>
      <c r="K1055" s="1">
        <v>3</v>
      </c>
      <c r="L1055" s="1">
        <v>1</v>
      </c>
      <c r="S1055" s="1" t="s">
        <v>9808</v>
      </c>
      <c r="T1055" s="1">
        <v>1</v>
      </c>
      <c r="U1055" s="19"/>
      <c r="V1055" s="19"/>
      <c r="W1055" s="218">
        <v>1</v>
      </c>
      <c r="X1055" s="218">
        <v>1</v>
      </c>
      <c r="Y1055" s="218">
        <v>1</v>
      </c>
    </row>
    <row r="1056" spans="1:25" x14ac:dyDescent="0.3">
      <c r="A1056" s="1" t="s">
        <v>2708</v>
      </c>
      <c r="B1056" s="102">
        <v>46214</v>
      </c>
      <c r="C1056" s="6">
        <v>0.45833333333333398</v>
      </c>
      <c r="D1056" s="1" t="s">
        <v>18</v>
      </c>
      <c r="E1056" s="1" t="s">
        <v>19</v>
      </c>
      <c r="F1056" s="1" t="s">
        <v>2709</v>
      </c>
      <c r="G1056" s="39" t="s">
        <v>2673</v>
      </c>
      <c r="H1056" s="1">
        <v>3</v>
      </c>
      <c r="I1056" s="1">
        <v>0</v>
      </c>
      <c r="J1056" s="39" t="s">
        <v>2701</v>
      </c>
      <c r="K1056" s="1">
        <v>0</v>
      </c>
      <c r="L1056" s="1">
        <v>3</v>
      </c>
      <c r="S1056" s="1" t="s">
        <v>9809</v>
      </c>
      <c r="T1056" s="1">
        <v>1</v>
      </c>
      <c r="U1056" s="19"/>
      <c r="V1056" s="19"/>
      <c r="W1056" s="218">
        <v>1</v>
      </c>
      <c r="X1056" s="218">
        <v>1</v>
      </c>
      <c r="Y1056" s="218">
        <v>1</v>
      </c>
    </row>
    <row r="1057" spans="1:25" x14ac:dyDescent="0.3">
      <c r="A1057" s="1" t="s">
        <v>2710</v>
      </c>
      <c r="B1057" s="102">
        <v>46207</v>
      </c>
      <c r="C1057" s="6">
        <v>0.45833333333333398</v>
      </c>
      <c r="D1057" s="1" t="s">
        <v>18</v>
      </c>
      <c r="E1057" s="1" t="s">
        <v>19</v>
      </c>
      <c r="F1057" s="1" t="s">
        <v>2711</v>
      </c>
      <c r="G1057" s="39" t="s">
        <v>990</v>
      </c>
      <c r="H1057" s="1">
        <v>3</v>
      </c>
      <c r="I1057" s="1">
        <v>1</v>
      </c>
      <c r="J1057" s="39" t="s">
        <v>2673</v>
      </c>
      <c r="K1057" s="1">
        <v>1</v>
      </c>
      <c r="L1057" s="1">
        <v>3</v>
      </c>
      <c r="S1057" s="1" t="s">
        <v>9810</v>
      </c>
      <c r="T1057" s="1">
        <v>1</v>
      </c>
      <c r="U1057" s="19"/>
      <c r="V1057" s="19"/>
      <c r="W1057" s="218">
        <v>1</v>
      </c>
      <c r="X1057" s="218">
        <v>1</v>
      </c>
      <c r="Y1057" s="218">
        <v>1</v>
      </c>
    </row>
    <row r="1058" spans="1:25" x14ac:dyDescent="0.3">
      <c r="A1058" s="1" t="s">
        <v>2712</v>
      </c>
      <c r="B1058" s="102">
        <v>46200</v>
      </c>
      <c r="C1058" s="6">
        <v>0.54166666666666696</v>
      </c>
      <c r="D1058" s="1" t="s">
        <v>18</v>
      </c>
      <c r="E1058" s="1" t="s">
        <v>19</v>
      </c>
      <c r="F1058" s="1" t="s">
        <v>2713</v>
      </c>
      <c r="G1058" s="39" t="s">
        <v>2673</v>
      </c>
      <c r="H1058" s="1">
        <v>3</v>
      </c>
      <c r="I1058" s="1">
        <v>2</v>
      </c>
      <c r="J1058" s="39" t="s">
        <v>1540</v>
      </c>
      <c r="K1058" s="1">
        <v>2</v>
      </c>
      <c r="L1058" s="1">
        <v>3</v>
      </c>
      <c r="S1058" s="1" t="s">
        <v>9811</v>
      </c>
      <c r="T1058" s="1">
        <v>1</v>
      </c>
      <c r="U1058" s="19"/>
      <c r="V1058" s="19"/>
      <c r="W1058" s="218">
        <v>1</v>
      </c>
      <c r="X1058" s="218">
        <v>1</v>
      </c>
      <c r="Y1058" s="218">
        <v>1</v>
      </c>
    </row>
    <row r="1059" spans="1:25" x14ac:dyDescent="0.3">
      <c r="A1059" s="1" t="s">
        <v>2714</v>
      </c>
      <c r="B1059" s="102">
        <v>46196</v>
      </c>
      <c r="C1059" s="6">
        <v>0.5</v>
      </c>
      <c r="D1059" s="1" t="s">
        <v>18</v>
      </c>
      <c r="E1059" s="1" t="s">
        <v>19</v>
      </c>
      <c r="F1059" s="1" t="s">
        <v>2715</v>
      </c>
      <c r="G1059" s="39" t="s">
        <v>2675</v>
      </c>
      <c r="H1059" s="1">
        <v>0</v>
      </c>
      <c r="I1059" s="1">
        <v>0</v>
      </c>
      <c r="J1059" s="39" t="s">
        <v>2673</v>
      </c>
      <c r="K1059" s="1">
        <v>0</v>
      </c>
      <c r="L1059" s="1">
        <v>0</v>
      </c>
      <c r="S1059" s="1" t="s">
        <v>9812</v>
      </c>
      <c r="T1059" s="1">
        <v>1</v>
      </c>
      <c r="U1059" s="19"/>
      <c r="V1059" s="19"/>
      <c r="W1059" s="218">
        <v>1</v>
      </c>
      <c r="X1059" s="218">
        <v>1</v>
      </c>
      <c r="Y1059" s="218">
        <v>1</v>
      </c>
    </row>
    <row r="1060" spans="1:25" x14ac:dyDescent="0.3">
      <c r="A1060" s="1" t="s">
        <v>2716</v>
      </c>
      <c r="B1060" s="102">
        <v>46186</v>
      </c>
      <c r="C1060" s="6">
        <v>0.375</v>
      </c>
      <c r="D1060" s="1" t="s">
        <v>18</v>
      </c>
      <c r="E1060" s="1" t="s">
        <v>19</v>
      </c>
      <c r="F1060" s="1" t="s">
        <v>2717</v>
      </c>
      <c r="G1060" s="39" t="s">
        <v>2672</v>
      </c>
      <c r="H1060" s="1">
        <v>1</v>
      </c>
      <c r="I1060" s="1">
        <v>0</v>
      </c>
      <c r="J1060" s="39" t="s">
        <v>2673</v>
      </c>
      <c r="K1060" s="1">
        <v>0</v>
      </c>
      <c r="L1060" s="1">
        <v>1</v>
      </c>
      <c r="S1060" s="1" t="s">
        <v>9813</v>
      </c>
      <c r="T1060" s="1">
        <v>1</v>
      </c>
      <c r="U1060" s="19"/>
      <c r="V1060" s="19"/>
      <c r="W1060" s="218">
        <v>1</v>
      </c>
      <c r="X1060" s="218">
        <v>1</v>
      </c>
      <c r="Y1060" s="218">
        <v>1</v>
      </c>
    </row>
    <row r="1061" spans="1:25" x14ac:dyDescent="0.3">
      <c r="A1061" s="1" t="s">
        <v>2718</v>
      </c>
      <c r="B1061" s="102">
        <v>46172</v>
      </c>
      <c r="C1061" s="6">
        <v>0.45833333333333398</v>
      </c>
      <c r="D1061" s="1" t="s">
        <v>18</v>
      </c>
      <c r="E1061" s="1" t="s">
        <v>19</v>
      </c>
      <c r="F1061" s="1" t="s">
        <v>2719</v>
      </c>
      <c r="G1061" s="39" t="s">
        <v>2673</v>
      </c>
      <c r="H1061" s="1">
        <v>1</v>
      </c>
      <c r="I1061" s="1">
        <v>0</v>
      </c>
      <c r="J1061" s="39" t="s">
        <v>392</v>
      </c>
      <c r="K1061" s="1">
        <v>0</v>
      </c>
      <c r="L1061" s="1">
        <v>1</v>
      </c>
      <c r="S1061" s="1" t="s">
        <v>9814</v>
      </c>
      <c r="T1061" s="1">
        <v>1</v>
      </c>
      <c r="U1061" s="19"/>
      <c r="V1061" s="19"/>
      <c r="W1061" s="218">
        <v>1</v>
      </c>
      <c r="X1061" s="218">
        <v>1</v>
      </c>
      <c r="Y1061" s="218">
        <v>1</v>
      </c>
    </row>
    <row r="1062" spans="1:25" x14ac:dyDescent="0.3">
      <c r="A1062" s="1" t="s">
        <v>2720</v>
      </c>
      <c r="B1062" s="102">
        <v>46165</v>
      </c>
      <c r="C1062" s="6">
        <v>0.33333333333333398</v>
      </c>
      <c r="D1062" s="1" t="s">
        <v>18</v>
      </c>
      <c r="E1062" s="1" t="s">
        <v>19</v>
      </c>
      <c r="F1062" s="1" t="s">
        <v>2721</v>
      </c>
      <c r="G1062" s="39" t="s">
        <v>2674</v>
      </c>
      <c r="H1062" s="1">
        <v>2</v>
      </c>
      <c r="I1062" s="1">
        <v>1</v>
      </c>
      <c r="J1062" s="39" t="s">
        <v>2673</v>
      </c>
      <c r="K1062" s="1">
        <v>1</v>
      </c>
      <c r="L1062" s="1">
        <v>2</v>
      </c>
      <c r="S1062" s="1" t="s">
        <v>9815</v>
      </c>
      <c r="T1062" s="1">
        <v>1</v>
      </c>
      <c r="U1062" s="19"/>
      <c r="V1062" s="19"/>
      <c r="W1062" s="218">
        <v>1</v>
      </c>
      <c r="X1062" s="218">
        <v>1</v>
      </c>
      <c r="Y1062" s="218">
        <v>1</v>
      </c>
    </row>
    <row r="1063" spans="1:25" ht="14.4" x14ac:dyDescent="0.3">
      <c r="A1063" s="1" t="s">
        <v>2722</v>
      </c>
      <c r="B1063" s="102">
        <v>46158</v>
      </c>
      <c r="C1063" s="6">
        <v>0.54166666666666696</v>
      </c>
      <c r="D1063" s="1" t="s">
        <v>18</v>
      </c>
      <c r="E1063" s="1" t="s">
        <v>19</v>
      </c>
      <c r="F1063" s="1" t="s">
        <v>2723</v>
      </c>
      <c r="G1063" s="39" t="s">
        <v>2701</v>
      </c>
      <c r="H1063" s="1">
        <v>1</v>
      </c>
      <c r="I1063" s="1">
        <v>0</v>
      </c>
      <c r="J1063" s="39" t="s">
        <v>2673</v>
      </c>
      <c r="K1063" s="1">
        <v>0</v>
      </c>
      <c r="L1063" s="1">
        <v>1</v>
      </c>
      <c r="S1063" s="1" t="s">
        <v>9816</v>
      </c>
      <c r="T1063">
        <v>1</v>
      </c>
      <c r="U1063" s="19"/>
      <c r="V1063" s="19"/>
      <c r="W1063" s="218">
        <v>1</v>
      </c>
      <c r="X1063" s="218">
        <v>0</v>
      </c>
      <c r="Y1063" s="218">
        <v>1</v>
      </c>
    </row>
    <row r="1064" spans="1:25" x14ac:dyDescent="0.3">
      <c r="A1064" s="1" t="s">
        <v>2725</v>
      </c>
      <c r="B1064" s="102">
        <v>46229</v>
      </c>
      <c r="C1064" s="6">
        <v>0.375</v>
      </c>
      <c r="D1064" s="1" t="s">
        <v>18</v>
      </c>
      <c r="E1064" s="1" t="s">
        <v>19</v>
      </c>
      <c r="F1064" s="1" t="s">
        <v>2726</v>
      </c>
      <c r="G1064" s="39" t="s">
        <v>2674</v>
      </c>
      <c r="H1064" s="1">
        <v>1</v>
      </c>
      <c r="I1064" s="1">
        <v>2</v>
      </c>
      <c r="J1064" s="39" t="s">
        <v>2671</v>
      </c>
      <c r="K1064" s="1">
        <v>2</v>
      </c>
      <c r="L1064" s="1">
        <v>1</v>
      </c>
      <c r="S1064" s="1" t="s">
        <v>9817</v>
      </c>
      <c r="T1064" s="1">
        <v>1</v>
      </c>
      <c r="U1064" s="19"/>
      <c r="V1064" s="19"/>
      <c r="W1064" s="218">
        <v>1</v>
      </c>
      <c r="X1064" s="218">
        <v>1</v>
      </c>
      <c r="Y1064" s="218">
        <v>1</v>
      </c>
    </row>
    <row r="1065" spans="1:25" x14ac:dyDescent="0.3">
      <c r="A1065" s="1" t="s">
        <v>2727</v>
      </c>
      <c r="B1065" s="102">
        <v>46222</v>
      </c>
      <c r="C1065" s="6">
        <v>0.52083333333333404</v>
      </c>
      <c r="D1065" s="1" t="s">
        <v>18</v>
      </c>
      <c r="E1065" s="1" t="s">
        <v>19</v>
      </c>
      <c r="F1065" s="1" t="s">
        <v>2728</v>
      </c>
      <c r="G1065" s="39" t="s">
        <v>1540</v>
      </c>
      <c r="H1065" s="1">
        <v>0</v>
      </c>
      <c r="I1065" s="1">
        <v>0</v>
      </c>
      <c r="J1065" s="39" t="s">
        <v>2674</v>
      </c>
      <c r="K1065" s="1">
        <v>0</v>
      </c>
      <c r="L1065" s="1">
        <v>0</v>
      </c>
      <c r="S1065" s="1" t="s">
        <v>9818</v>
      </c>
      <c r="T1065" s="1">
        <v>1</v>
      </c>
      <c r="U1065" s="19"/>
      <c r="V1065" s="19"/>
      <c r="W1065" s="218">
        <v>1</v>
      </c>
      <c r="X1065" s="218">
        <v>1</v>
      </c>
      <c r="Y1065" s="218">
        <v>1</v>
      </c>
    </row>
    <row r="1066" spans="1:25" x14ac:dyDescent="0.3">
      <c r="A1066" s="1" t="s">
        <v>2729</v>
      </c>
      <c r="B1066" s="102">
        <v>46200</v>
      </c>
      <c r="C1066" s="6">
        <v>0.45833333333333398</v>
      </c>
      <c r="D1066" s="1" t="s">
        <v>18</v>
      </c>
      <c r="E1066" s="1" t="s">
        <v>19</v>
      </c>
      <c r="F1066" s="1" t="s">
        <v>2730</v>
      </c>
      <c r="G1066" s="39" t="s">
        <v>2676</v>
      </c>
      <c r="H1066" s="1">
        <v>0</v>
      </c>
      <c r="I1066" s="1">
        <v>2</v>
      </c>
      <c r="J1066" s="39" t="s">
        <v>2674</v>
      </c>
      <c r="K1066" s="1">
        <v>2</v>
      </c>
      <c r="L1066" s="1">
        <v>0</v>
      </c>
      <c r="S1066" s="1" t="s">
        <v>9819</v>
      </c>
      <c r="T1066" s="1">
        <v>1</v>
      </c>
      <c r="U1066" s="19"/>
      <c r="V1066" s="19"/>
      <c r="W1066" s="218">
        <v>1</v>
      </c>
      <c r="X1066" s="218">
        <v>1</v>
      </c>
      <c r="Y1066" s="218">
        <v>1</v>
      </c>
    </row>
    <row r="1067" spans="1:25" x14ac:dyDescent="0.3">
      <c r="A1067" s="1" t="s">
        <v>2731</v>
      </c>
      <c r="B1067" s="102">
        <v>46190</v>
      </c>
      <c r="C1067" s="6">
        <v>0.5</v>
      </c>
      <c r="D1067" s="1" t="s">
        <v>18</v>
      </c>
      <c r="E1067" s="1" t="s">
        <v>19</v>
      </c>
      <c r="F1067" s="1" t="s">
        <v>2732</v>
      </c>
      <c r="G1067" s="39" t="s">
        <v>989</v>
      </c>
      <c r="H1067" s="1">
        <v>3</v>
      </c>
      <c r="I1067" s="1">
        <v>3</v>
      </c>
      <c r="J1067" s="39" t="s">
        <v>2674</v>
      </c>
      <c r="K1067" s="1">
        <v>3</v>
      </c>
      <c r="L1067" s="1">
        <v>3</v>
      </c>
      <c r="S1067" s="1" t="s">
        <v>9820</v>
      </c>
      <c r="T1067" s="1">
        <v>1</v>
      </c>
      <c r="U1067" s="19"/>
      <c r="V1067" s="19"/>
      <c r="W1067" s="218">
        <v>1</v>
      </c>
      <c r="X1067" s="218">
        <v>1</v>
      </c>
      <c r="Y1067" s="218">
        <v>1</v>
      </c>
    </row>
    <row r="1068" spans="1:25" x14ac:dyDescent="0.3">
      <c r="A1068" s="1" t="s">
        <v>2733</v>
      </c>
      <c r="B1068" s="102">
        <v>46186</v>
      </c>
      <c r="C1068" s="6">
        <v>0.375</v>
      </c>
      <c r="D1068" s="1" t="s">
        <v>18</v>
      </c>
      <c r="E1068" s="1" t="s">
        <v>19</v>
      </c>
      <c r="F1068" s="1" t="s">
        <v>2734</v>
      </c>
      <c r="G1068" s="39" t="s">
        <v>2674</v>
      </c>
      <c r="H1068" s="1">
        <v>0</v>
      </c>
      <c r="I1068" s="1">
        <v>0</v>
      </c>
      <c r="J1068" s="39" t="s">
        <v>2701</v>
      </c>
      <c r="K1068" s="1">
        <v>0</v>
      </c>
      <c r="L1068" s="1">
        <v>0</v>
      </c>
      <c r="S1068" s="1" t="s">
        <v>9821</v>
      </c>
      <c r="T1068" s="1">
        <v>1</v>
      </c>
      <c r="U1068" s="19"/>
      <c r="V1068" s="19"/>
      <c r="W1068" s="218">
        <v>1</v>
      </c>
      <c r="X1068" s="218">
        <v>1</v>
      </c>
      <c r="Y1068" s="218">
        <v>1</v>
      </c>
    </row>
    <row r="1069" spans="1:25" x14ac:dyDescent="0.3">
      <c r="A1069" s="1" t="s">
        <v>2735</v>
      </c>
      <c r="B1069" s="102">
        <v>46162</v>
      </c>
      <c r="C1069" s="6">
        <v>0.5</v>
      </c>
      <c r="D1069" s="1" t="s">
        <v>18</v>
      </c>
      <c r="E1069" s="1" t="s">
        <v>19</v>
      </c>
      <c r="F1069" s="1" t="s">
        <v>2736</v>
      </c>
      <c r="G1069" s="39" t="s">
        <v>2672</v>
      </c>
      <c r="H1069" s="1">
        <v>1</v>
      </c>
      <c r="I1069" s="1">
        <v>3</v>
      </c>
      <c r="J1069" s="39" t="s">
        <v>2674</v>
      </c>
      <c r="K1069" s="1">
        <v>3</v>
      </c>
      <c r="L1069" s="1">
        <v>1</v>
      </c>
      <c r="S1069" s="1" t="s">
        <v>9822</v>
      </c>
      <c r="T1069" s="1">
        <v>1</v>
      </c>
      <c r="U1069" s="19"/>
      <c r="V1069" s="19"/>
      <c r="W1069" s="218">
        <v>1</v>
      </c>
      <c r="X1069" s="218">
        <v>1</v>
      </c>
      <c r="Y1069" s="218">
        <v>1</v>
      </c>
    </row>
    <row r="1070" spans="1:25" x14ac:dyDescent="0.3">
      <c r="A1070" s="1" t="s">
        <v>2737</v>
      </c>
      <c r="B1070" s="102">
        <v>46158</v>
      </c>
      <c r="C1070" s="6">
        <v>0.45833333333333398</v>
      </c>
      <c r="D1070" s="1" t="s">
        <v>18</v>
      </c>
      <c r="E1070" s="1" t="s">
        <v>19</v>
      </c>
      <c r="F1070" s="1" t="s">
        <v>2738</v>
      </c>
      <c r="G1070" s="39" t="s">
        <v>990</v>
      </c>
      <c r="H1070" s="1">
        <v>1</v>
      </c>
      <c r="I1070" s="1">
        <v>3</v>
      </c>
      <c r="J1070" s="39" t="s">
        <v>2674</v>
      </c>
      <c r="K1070" s="1">
        <v>3</v>
      </c>
      <c r="L1070" s="1">
        <v>1</v>
      </c>
      <c r="S1070" s="1" t="s">
        <v>9823</v>
      </c>
      <c r="T1070" s="1">
        <v>1</v>
      </c>
      <c r="U1070" s="19"/>
      <c r="V1070" s="19"/>
      <c r="W1070" s="218">
        <v>1</v>
      </c>
      <c r="X1070" s="218">
        <v>1</v>
      </c>
      <c r="Y1070" s="218">
        <v>1</v>
      </c>
    </row>
    <row r="1071" spans="1:25" x14ac:dyDescent="0.3">
      <c r="A1071" s="1" t="s">
        <v>2739</v>
      </c>
      <c r="B1071" s="102">
        <v>46147</v>
      </c>
      <c r="C1071" s="6">
        <v>0.54166666666666696</v>
      </c>
      <c r="D1071" s="1" t="s">
        <v>18</v>
      </c>
      <c r="E1071" s="1" t="s">
        <v>19</v>
      </c>
      <c r="F1071" s="1" t="s">
        <v>2740</v>
      </c>
      <c r="G1071" s="39" t="s">
        <v>2671</v>
      </c>
      <c r="H1071" s="1">
        <v>2</v>
      </c>
      <c r="I1071" s="1">
        <v>0</v>
      </c>
      <c r="J1071" s="39" t="s">
        <v>2674</v>
      </c>
      <c r="K1071" s="1">
        <v>0</v>
      </c>
      <c r="L1071" s="1">
        <v>2</v>
      </c>
      <c r="S1071" s="1" t="s">
        <v>9824</v>
      </c>
      <c r="T1071" s="1">
        <v>1</v>
      </c>
      <c r="U1071" s="19"/>
      <c r="V1071" s="19"/>
      <c r="W1071" s="218">
        <v>0</v>
      </c>
      <c r="X1071" s="218">
        <v>1</v>
      </c>
      <c r="Y1071" s="218">
        <v>1</v>
      </c>
    </row>
    <row r="1072" spans="1:25" ht="14.4" x14ac:dyDescent="0.3">
      <c r="A1072" s="1" t="s">
        <v>2741</v>
      </c>
      <c r="B1072" s="102">
        <v>46141</v>
      </c>
      <c r="C1072" s="6">
        <v>0.54166666666666696</v>
      </c>
      <c r="D1072" s="1" t="s">
        <v>18</v>
      </c>
      <c r="E1072" s="1" t="s">
        <v>19</v>
      </c>
      <c r="F1072" s="1" t="s">
        <v>2742</v>
      </c>
      <c r="G1072" s="39" t="s">
        <v>2674</v>
      </c>
      <c r="H1072" s="1">
        <v>1</v>
      </c>
      <c r="I1072" s="1">
        <v>1</v>
      </c>
      <c r="J1072" s="39" t="s">
        <v>989</v>
      </c>
      <c r="K1072" s="1">
        <v>1</v>
      </c>
      <c r="L1072" s="1">
        <v>1</v>
      </c>
      <c r="S1072" s="1" t="s">
        <v>9825</v>
      </c>
      <c r="T1072">
        <v>1</v>
      </c>
      <c r="U1072" s="19"/>
      <c r="V1072" s="19"/>
      <c r="W1072" s="218">
        <v>0</v>
      </c>
      <c r="X1072" s="218">
        <v>0</v>
      </c>
      <c r="Y1072" s="218">
        <v>0</v>
      </c>
    </row>
    <row r="1073" spans="1:25" x14ac:dyDescent="0.3">
      <c r="A1073" s="1" t="s">
        <v>2743</v>
      </c>
      <c r="B1073" s="102">
        <v>46235</v>
      </c>
      <c r="C1073" s="6">
        <v>0.5</v>
      </c>
      <c r="D1073" s="1" t="s">
        <v>18</v>
      </c>
      <c r="E1073" s="1" t="s">
        <v>19</v>
      </c>
      <c r="F1073" s="1" t="s">
        <v>2744</v>
      </c>
      <c r="G1073" s="39" t="s">
        <v>2675</v>
      </c>
      <c r="H1073" s="1">
        <v>2</v>
      </c>
      <c r="I1073" s="1">
        <v>0</v>
      </c>
      <c r="J1073" s="39" t="s">
        <v>1540</v>
      </c>
      <c r="K1073" s="1">
        <v>0</v>
      </c>
      <c r="L1073" s="1">
        <v>2</v>
      </c>
      <c r="S1073" s="1" t="s">
        <v>9826</v>
      </c>
      <c r="T1073" s="1">
        <v>1</v>
      </c>
      <c r="U1073" s="19"/>
      <c r="V1073" s="19"/>
      <c r="W1073" s="218">
        <v>1</v>
      </c>
      <c r="X1073" s="218">
        <v>1</v>
      </c>
      <c r="Y1073" s="218">
        <v>1</v>
      </c>
    </row>
    <row r="1074" spans="1:25" x14ac:dyDescent="0.3">
      <c r="A1074" s="1" t="s">
        <v>2745</v>
      </c>
      <c r="B1074" s="102">
        <v>46229</v>
      </c>
      <c r="C1074" s="6">
        <v>0.375</v>
      </c>
      <c r="D1074" s="1" t="s">
        <v>18</v>
      </c>
      <c r="E1074" s="1" t="s">
        <v>19</v>
      </c>
      <c r="F1074" s="1" t="s">
        <v>2746</v>
      </c>
      <c r="G1074" s="39" t="s">
        <v>2672</v>
      </c>
      <c r="H1074" s="1">
        <v>1</v>
      </c>
      <c r="I1074" s="1">
        <v>0</v>
      </c>
      <c r="J1074" s="39" t="s">
        <v>2675</v>
      </c>
      <c r="K1074" s="1">
        <v>0</v>
      </c>
      <c r="L1074" s="1">
        <v>1</v>
      </c>
      <c r="S1074" s="1" t="s">
        <v>9827</v>
      </c>
      <c r="T1074" s="1">
        <v>1</v>
      </c>
      <c r="U1074" s="19"/>
      <c r="V1074" s="19"/>
      <c r="W1074" s="218">
        <v>1</v>
      </c>
      <c r="X1074" s="218">
        <v>1</v>
      </c>
      <c r="Y1074" s="218">
        <v>1</v>
      </c>
    </row>
    <row r="1075" spans="1:25" x14ac:dyDescent="0.3">
      <c r="A1075" s="1" t="s">
        <v>2747</v>
      </c>
      <c r="B1075" s="102">
        <v>46223</v>
      </c>
      <c r="C1075" s="6">
        <v>0.54166666666666696</v>
      </c>
      <c r="D1075" s="1" t="s">
        <v>18</v>
      </c>
      <c r="E1075" s="1" t="s">
        <v>19</v>
      </c>
      <c r="F1075" s="1" t="s">
        <v>2748</v>
      </c>
      <c r="G1075" s="39" t="s">
        <v>2676</v>
      </c>
      <c r="H1075" s="1">
        <v>0</v>
      </c>
      <c r="I1075" s="1">
        <v>2</v>
      </c>
      <c r="J1075" s="39" t="s">
        <v>2675</v>
      </c>
      <c r="K1075" s="1">
        <v>2</v>
      </c>
      <c r="L1075" s="1">
        <v>0</v>
      </c>
      <c r="S1075" s="1" t="s">
        <v>9828</v>
      </c>
      <c r="T1075" s="1">
        <v>1</v>
      </c>
      <c r="U1075" s="19"/>
      <c r="V1075" s="19"/>
      <c r="W1075" s="218">
        <v>1</v>
      </c>
      <c r="X1075" s="218">
        <v>1</v>
      </c>
      <c r="Y1075" s="218">
        <v>1</v>
      </c>
    </row>
    <row r="1076" spans="1:25" x14ac:dyDescent="0.3">
      <c r="A1076" s="1" t="s">
        <v>2749</v>
      </c>
      <c r="B1076" s="102">
        <v>46214</v>
      </c>
      <c r="C1076" s="6">
        <v>0.375</v>
      </c>
      <c r="D1076" s="1" t="s">
        <v>18</v>
      </c>
      <c r="E1076" s="1" t="s">
        <v>19</v>
      </c>
      <c r="F1076" s="1" t="s">
        <v>2750</v>
      </c>
      <c r="G1076" s="39" t="s">
        <v>2675</v>
      </c>
      <c r="H1076" s="1">
        <v>2</v>
      </c>
      <c r="I1076" s="1">
        <v>0</v>
      </c>
      <c r="J1076" s="39" t="s">
        <v>989</v>
      </c>
      <c r="K1076" s="1">
        <v>0</v>
      </c>
      <c r="L1076" s="1">
        <v>2</v>
      </c>
      <c r="S1076" s="1" t="s">
        <v>9829</v>
      </c>
      <c r="T1076" s="1">
        <v>1</v>
      </c>
      <c r="U1076" s="19"/>
      <c r="V1076" s="19"/>
      <c r="W1076" s="218">
        <v>1</v>
      </c>
      <c r="X1076" s="218">
        <v>1</v>
      </c>
      <c r="Y1076" s="218">
        <v>1</v>
      </c>
    </row>
    <row r="1077" spans="1:25" x14ac:dyDescent="0.3">
      <c r="A1077" s="1" t="s">
        <v>2751</v>
      </c>
      <c r="B1077" s="102">
        <v>46207</v>
      </c>
      <c r="C1077" s="6">
        <v>0.375</v>
      </c>
      <c r="D1077" s="1" t="s">
        <v>18</v>
      </c>
      <c r="E1077" s="1" t="s">
        <v>19</v>
      </c>
      <c r="F1077" s="1" t="s">
        <v>2752</v>
      </c>
      <c r="G1077" s="39" t="s">
        <v>2675</v>
      </c>
      <c r="H1077" s="1">
        <v>1</v>
      </c>
      <c r="I1077" s="1">
        <v>0</v>
      </c>
      <c r="J1077" s="39" t="s">
        <v>2671</v>
      </c>
      <c r="K1077" s="1">
        <v>0</v>
      </c>
      <c r="L1077" s="1">
        <v>1</v>
      </c>
      <c r="S1077" s="1" t="s">
        <v>9830</v>
      </c>
      <c r="T1077" s="1">
        <v>1</v>
      </c>
      <c r="U1077" s="19"/>
      <c r="V1077" s="19"/>
      <c r="W1077" s="218">
        <v>1</v>
      </c>
      <c r="X1077" s="218">
        <v>1</v>
      </c>
      <c r="Y1077" s="218">
        <v>1</v>
      </c>
    </row>
    <row r="1078" spans="1:25" x14ac:dyDescent="0.3">
      <c r="A1078" s="1" t="s">
        <v>2753</v>
      </c>
      <c r="B1078" s="102">
        <v>46200</v>
      </c>
      <c r="C1078" s="6">
        <v>0.625</v>
      </c>
      <c r="D1078" s="1" t="s">
        <v>18</v>
      </c>
      <c r="E1078" s="1" t="s">
        <v>19</v>
      </c>
      <c r="F1078" s="1" t="s">
        <v>2754</v>
      </c>
      <c r="G1078" s="39" t="s">
        <v>2701</v>
      </c>
      <c r="H1078" s="1">
        <v>1</v>
      </c>
      <c r="I1078" s="1">
        <v>1</v>
      </c>
      <c r="J1078" s="39" t="s">
        <v>2675</v>
      </c>
      <c r="K1078" s="1">
        <v>1</v>
      </c>
      <c r="L1078" s="1">
        <v>1</v>
      </c>
      <c r="S1078" s="1" t="s">
        <v>9831</v>
      </c>
      <c r="T1078" s="1">
        <v>1</v>
      </c>
      <c r="U1078" s="19"/>
      <c r="V1078" s="19"/>
      <c r="W1078" s="218">
        <v>1</v>
      </c>
      <c r="X1078" s="218">
        <v>1</v>
      </c>
      <c r="Y1078" s="218">
        <v>1</v>
      </c>
    </row>
    <row r="1079" spans="1:25" x14ac:dyDescent="0.3">
      <c r="A1079" s="1" t="s">
        <v>2755</v>
      </c>
      <c r="B1079" s="102">
        <v>46190</v>
      </c>
      <c r="C1079" s="6">
        <v>0.625</v>
      </c>
      <c r="D1079" s="1" t="s">
        <v>18</v>
      </c>
      <c r="E1079" s="1" t="s">
        <v>19</v>
      </c>
      <c r="F1079" s="1" t="s">
        <v>2756</v>
      </c>
      <c r="G1079" s="39" t="s">
        <v>2671</v>
      </c>
      <c r="H1079" s="1">
        <v>1</v>
      </c>
      <c r="I1079" s="1">
        <v>0</v>
      </c>
      <c r="J1079" s="39" t="s">
        <v>2675</v>
      </c>
      <c r="K1079" s="1">
        <v>0</v>
      </c>
      <c r="L1079" s="1">
        <v>1</v>
      </c>
      <c r="S1079" s="1" t="s">
        <v>9832</v>
      </c>
      <c r="T1079" s="1">
        <v>1</v>
      </c>
      <c r="U1079" s="19"/>
      <c r="V1079" s="19"/>
      <c r="W1079" s="218">
        <v>1</v>
      </c>
      <c r="X1079" s="218">
        <v>1</v>
      </c>
      <c r="Y1079" s="218">
        <v>1</v>
      </c>
    </row>
    <row r="1080" spans="1:25" x14ac:dyDescent="0.3">
      <c r="A1080" s="1" t="s">
        <v>2757</v>
      </c>
      <c r="B1080" s="102">
        <v>46186</v>
      </c>
      <c r="C1080" s="6">
        <v>0.54166666666666696</v>
      </c>
      <c r="D1080" s="1" t="s">
        <v>18</v>
      </c>
      <c r="E1080" s="1" t="s">
        <v>19</v>
      </c>
      <c r="F1080" s="1" t="s">
        <v>2758</v>
      </c>
      <c r="G1080" s="39" t="s">
        <v>2675</v>
      </c>
      <c r="H1080" s="1">
        <v>2</v>
      </c>
      <c r="I1080" s="1">
        <v>3</v>
      </c>
      <c r="J1080" s="39" t="s">
        <v>990</v>
      </c>
      <c r="K1080" s="1">
        <v>3</v>
      </c>
      <c r="L1080" s="1">
        <v>2</v>
      </c>
      <c r="S1080" s="1" t="s">
        <v>9833</v>
      </c>
      <c r="T1080" s="1">
        <v>1</v>
      </c>
      <c r="U1080" s="19"/>
      <c r="V1080" s="19"/>
      <c r="W1080" s="218">
        <v>1</v>
      </c>
      <c r="X1080" s="218">
        <v>1</v>
      </c>
      <c r="Y1080" s="218">
        <v>1</v>
      </c>
    </row>
    <row r="1081" spans="1:25" x14ac:dyDescent="0.3">
      <c r="A1081" s="1" t="s">
        <v>2759</v>
      </c>
      <c r="B1081" s="102">
        <v>46172</v>
      </c>
      <c r="C1081" s="6">
        <v>0.45833333333333398</v>
      </c>
      <c r="D1081" s="1" t="s">
        <v>18</v>
      </c>
      <c r="E1081" s="1" t="s">
        <v>19</v>
      </c>
      <c r="F1081" s="1" t="s">
        <v>2760</v>
      </c>
      <c r="G1081" s="39" t="s">
        <v>2675</v>
      </c>
      <c r="H1081" s="1">
        <v>5</v>
      </c>
      <c r="I1081" s="1">
        <v>0</v>
      </c>
      <c r="J1081" s="39" t="s">
        <v>2672</v>
      </c>
      <c r="K1081" s="1">
        <v>0</v>
      </c>
      <c r="L1081" s="1">
        <v>5</v>
      </c>
      <c r="S1081" s="1" t="s">
        <v>9834</v>
      </c>
      <c r="T1081" s="1">
        <v>1</v>
      </c>
      <c r="U1081" s="19"/>
      <c r="V1081" s="19"/>
      <c r="W1081" s="218">
        <v>1</v>
      </c>
      <c r="X1081" s="218">
        <v>1</v>
      </c>
      <c r="Y1081" s="218">
        <v>1</v>
      </c>
    </row>
    <row r="1082" spans="1:25" ht="14.4" x14ac:dyDescent="0.3">
      <c r="A1082" s="1" t="s">
        <v>2761</v>
      </c>
      <c r="B1082" s="102">
        <v>46160</v>
      </c>
      <c r="C1082" s="6">
        <v>0.5</v>
      </c>
      <c r="D1082" s="1" t="s">
        <v>18</v>
      </c>
      <c r="E1082" s="1" t="s">
        <v>19</v>
      </c>
      <c r="F1082" s="1" t="s">
        <v>2762</v>
      </c>
      <c r="G1082" s="39" t="s">
        <v>2675</v>
      </c>
      <c r="H1082" s="1">
        <v>1</v>
      </c>
      <c r="I1082" s="1">
        <v>1</v>
      </c>
      <c r="J1082" s="39" t="s">
        <v>392</v>
      </c>
      <c r="K1082" s="1">
        <v>1</v>
      </c>
      <c r="L1082" s="1">
        <v>1</v>
      </c>
      <c r="S1082" s="1" t="s">
        <v>9835</v>
      </c>
      <c r="T1082">
        <v>1</v>
      </c>
      <c r="U1082" s="19"/>
      <c r="V1082" s="19"/>
      <c r="W1082" s="218">
        <v>0</v>
      </c>
      <c r="X1082" s="218">
        <v>0</v>
      </c>
      <c r="Y1082" s="218">
        <v>0</v>
      </c>
    </row>
    <row r="1083" spans="1:25" x14ac:dyDescent="0.3">
      <c r="A1083" s="1" t="s">
        <v>2763</v>
      </c>
      <c r="B1083" s="102">
        <v>46236</v>
      </c>
      <c r="C1083" s="6">
        <v>0.45833333333333298</v>
      </c>
      <c r="D1083" s="1" t="s">
        <v>18</v>
      </c>
      <c r="E1083" s="1" t="s">
        <v>19</v>
      </c>
      <c r="F1083" s="1" t="s">
        <v>2764</v>
      </c>
      <c r="G1083" s="39" t="s">
        <v>2701</v>
      </c>
      <c r="H1083" s="1">
        <v>1</v>
      </c>
      <c r="I1083" s="1">
        <v>0</v>
      </c>
      <c r="J1083" s="39" t="s">
        <v>2672</v>
      </c>
      <c r="K1083" s="1">
        <v>0</v>
      </c>
      <c r="L1083" s="1">
        <v>1</v>
      </c>
      <c r="S1083" s="1" t="s">
        <v>9836</v>
      </c>
      <c r="T1083" s="1">
        <v>1</v>
      </c>
      <c r="U1083" s="19"/>
      <c r="V1083" s="19"/>
      <c r="W1083" s="218">
        <v>1</v>
      </c>
      <c r="X1083" s="218">
        <v>1</v>
      </c>
      <c r="Y1083" s="218">
        <v>1</v>
      </c>
    </row>
    <row r="1084" spans="1:25" x14ac:dyDescent="0.3">
      <c r="A1084" s="1" t="s">
        <v>2765</v>
      </c>
      <c r="B1084" s="102">
        <v>46207</v>
      </c>
      <c r="C1084" s="6">
        <v>0.45833333333333298</v>
      </c>
      <c r="D1084" s="1" t="s">
        <v>18</v>
      </c>
      <c r="E1084" s="1" t="s">
        <v>19</v>
      </c>
      <c r="F1084" s="1" t="s">
        <v>2766</v>
      </c>
      <c r="G1084" s="39" t="s">
        <v>1540</v>
      </c>
      <c r="H1084" s="1">
        <v>2</v>
      </c>
      <c r="I1084" s="1">
        <v>1</v>
      </c>
      <c r="J1084" s="39" t="s">
        <v>2672</v>
      </c>
      <c r="K1084" s="1">
        <v>1</v>
      </c>
      <c r="L1084" s="1">
        <v>2</v>
      </c>
      <c r="S1084" s="1" t="s">
        <v>9837</v>
      </c>
      <c r="T1084" s="1">
        <v>1</v>
      </c>
      <c r="U1084" s="19"/>
      <c r="V1084" s="19"/>
      <c r="W1084" s="218">
        <v>1</v>
      </c>
      <c r="X1084" s="218">
        <v>1</v>
      </c>
      <c r="Y1084" s="218">
        <v>1</v>
      </c>
    </row>
    <row r="1085" spans="1:25" x14ac:dyDescent="0.3">
      <c r="A1085" s="1" t="s">
        <v>2767</v>
      </c>
      <c r="B1085" s="102">
        <v>46200</v>
      </c>
      <c r="C1085" s="6">
        <v>0.33333333333333298</v>
      </c>
      <c r="D1085" s="1" t="s">
        <v>18</v>
      </c>
      <c r="E1085" s="1" t="s">
        <v>19</v>
      </c>
      <c r="F1085" s="1" t="s">
        <v>2768</v>
      </c>
      <c r="G1085" s="39" t="s">
        <v>2672</v>
      </c>
      <c r="H1085" s="1">
        <v>2</v>
      </c>
      <c r="I1085" s="1">
        <v>2</v>
      </c>
      <c r="J1085" s="39" t="s">
        <v>990</v>
      </c>
      <c r="K1085" s="1">
        <v>2</v>
      </c>
      <c r="L1085" s="1">
        <v>2</v>
      </c>
      <c r="S1085" s="1" t="s">
        <v>9838</v>
      </c>
      <c r="T1085" s="1">
        <v>1</v>
      </c>
      <c r="U1085" s="19"/>
      <c r="V1085" s="19"/>
      <c r="W1085" s="218">
        <v>1</v>
      </c>
      <c r="X1085" s="218">
        <v>1</v>
      </c>
      <c r="Y1085" s="218">
        <v>1</v>
      </c>
    </row>
    <row r="1086" spans="1:25" x14ac:dyDescent="0.3">
      <c r="A1086" s="1" t="s">
        <v>2769</v>
      </c>
      <c r="B1086" s="102">
        <v>46190</v>
      </c>
      <c r="C1086" s="6">
        <v>0.5</v>
      </c>
      <c r="D1086" s="1" t="s">
        <v>18</v>
      </c>
      <c r="E1086" s="1" t="s">
        <v>19</v>
      </c>
      <c r="F1086" s="1" t="s">
        <v>2770</v>
      </c>
      <c r="G1086" s="39" t="s">
        <v>2672</v>
      </c>
      <c r="H1086" s="1">
        <v>5</v>
      </c>
      <c r="I1086" s="1">
        <v>0</v>
      </c>
      <c r="J1086" s="39" t="s">
        <v>1540</v>
      </c>
      <c r="K1086" s="1">
        <v>0</v>
      </c>
      <c r="L1086" s="1">
        <v>5</v>
      </c>
      <c r="S1086" s="1" t="s">
        <v>9839</v>
      </c>
      <c r="T1086" s="1">
        <v>1</v>
      </c>
      <c r="U1086" s="19"/>
      <c r="V1086" s="19"/>
      <c r="W1086" s="218">
        <v>1</v>
      </c>
      <c r="X1086" s="218">
        <v>1</v>
      </c>
      <c r="Y1086" s="218">
        <v>1</v>
      </c>
    </row>
    <row r="1087" spans="1:25" x14ac:dyDescent="0.3">
      <c r="A1087" s="1" t="s">
        <v>2771</v>
      </c>
      <c r="B1087" s="102">
        <v>46165</v>
      </c>
      <c r="C1087" s="6">
        <v>0.45833333333333298</v>
      </c>
      <c r="D1087" s="1" t="s">
        <v>18</v>
      </c>
      <c r="E1087" s="1" t="s">
        <v>19</v>
      </c>
      <c r="F1087" s="1" t="s">
        <v>2772</v>
      </c>
      <c r="G1087" s="39" t="s">
        <v>2672</v>
      </c>
      <c r="H1087" s="1">
        <v>2</v>
      </c>
      <c r="I1087" s="1">
        <v>0</v>
      </c>
      <c r="J1087" s="39" t="s">
        <v>2671</v>
      </c>
      <c r="K1087" s="1">
        <v>0</v>
      </c>
      <c r="L1087" s="1">
        <v>2</v>
      </c>
      <c r="S1087" s="1" t="s">
        <v>9840</v>
      </c>
      <c r="T1087" s="1">
        <v>1</v>
      </c>
      <c r="U1087" s="19"/>
      <c r="V1087" s="19"/>
      <c r="W1087" s="218">
        <v>1</v>
      </c>
      <c r="X1087" s="218">
        <v>1</v>
      </c>
      <c r="Y1087" s="218">
        <v>1</v>
      </c>
    </row>
    <row r="1088" spans="1:25" ht="14.4" x14ac:dyDescent="0.3">
      <c r="A1088" s="1" t="s">
        <v>2773</v>
      </c>
      <c r="B1088" s="102">
        <v>46158</v>
      </c>
      <c r="C1088" s="6">
        <v>0.33333333333333298</v>
      </c>
      <c r="D1088" s="1" t="s">
        <v>18</v>
      </c>
      <c r="E1088" s="1" t="s">
        <v>19</v>
      </c>
      <c r="F1088" s="1" t="s">
        <v>2774</v>
      </c>
      <c r="G1088" s="39" t="s">
        <v>989</v>
      </c>
      <c r="H1088" s="1">
        <v>2</v>
      </c>
      <c r="I1088" s="1">
        <v>2</v>
      </c>
      <c r="J1088" s="39" t="s">
        <v>2672</v>
      </c>
      <c r="K1088" s="1">
        <v>2</v>
      </c>
      <c r="L1088" s="1">
        <v>2</v>
      </c>
      <c r="S1088" s="1" t="s">
        <v>9841</v>
      </c>
      <c r="T1088">
        <v>1</v>
      </c>
      <c r="U1088" s="19"/>
      <c r="V1088" s="19"/>
      <c r="W1088" s="218">
        <v>1</v>
      </c>
      <c r="X1088" s="218">
        <v>0</v>
      </c>
      <c r="Y1088" s="218">
        <v>1</v>
      </c>
    </row>
    <row r="1089" spans="1:25" x14ac:dyDescent="0.3">
      <c r="A1089" s="1" t="s">
        <v>2775</v>
      </c>
      <c r="B1089" s="102">
        <v>46228</v>
      </c>
      <c r="C1089" s="6">
        <v>0.4375</v>
      </c>
      <c r="D1089" s="1" t="s">
        <v>18</v>
      </c>
      <c r="E1089" s="1" t="s">
        <v>19</v>
      </c>
      <c r="F1089" s="1" t="s">
        <v>2776</v>
      </c>
      <c r="G1089" s="39" t="s">
        <v>2676</v>
      </c>
      <c r="H1089" s="1">
        <v>1</v>
      </c>
      <c r="I1089" s="1">
        <v>1</v>
      </c>
      <c r="J1089" s="39" t="s">
        <v>2701</v>
      </c>
      <c r="K1089" s="1">
        <v>1</v>
      </c>
      <c r="L1089" s="1">
        <v>1</v>
      </c>
      <c r="S1089" s="1" t="s">
        <v>9842</v>
      </c>
      <c r="T1089" s="1">
        <v>1</v>
      </c>
      <c r="U1089" s="19"/>
      <c r="V1089" s="19"/>
      <c r="W1089" s="218">
        <v>1</v>
      </c>
      <c r="X1089" s="218">
        <v>1</v>
      </c>
      <c r="Y1089" s="218">
        <v>1</v>
      </c>
    </row>
    <row r="1090" spans="1:25" x14ac:dyDescent="0.3">
      <c r="A1090" s="1" t="s">
        <v>2777</v>
      </c>
      <c r="B1090" s="102">
        <v>46214</v>
      </c>
      <c r="C1090" s="6">
        <v>0.45833333333333298</v>
      </c>
      <c r="D1090" s="1" t="s">
        <v>18</v>
      </c>
      <c r="E1090" s="1" t="s">
        <v>19</v>
      </c>
      <c r="F1090" s="1" t="s">
        <v>2778</v>
      </c>
      <c r="G1090" s="39" t="s">
        <v>2671</v>
      </c>
      <c r="H1090" s="1">
        <v>4</v>
      </c>
      <c r="I1090" s="1">
        <v>2</v>
      </c>
      <c r="J1090" s="39" t="s">
        <v>2676</v>
      </c>
      <c r="K1090" s="1">
        <v>2</v>
      </c>
      <c r="L1090" s="1">
        <v>4</v>
      </c>
      <c r="S1090" s="1" t="s">
        <v>9843</v>
      </c>
      <c r="T1090" s="1">
        <v>1</v>
      </c>
      <c r="U1090" s="19"/>
      <c r="V1090" s="19"/>
      <c r="W1090" s="218">
        <v>1</v>
      </c>
      <c r="X1090" s="218">
        <v>1</v>
      </c>
      <c r="Y1090" s="218">
        <v>1</v>
      </c>
    </row>
    <row r="1091" spans="1:25" x14ac:dyDescent="0.3">
      <c r="A1091" s="1" t="s">
        <v>2779</v>
      </c>
      <c r="B1091" s="102">
        <v>46207</v>
      </c>
      <c r="C1091" s="6">
        <v>0.5</v>
      </c>
      <c r="D1091" s="1" t="s">
        <v>18</v>
      </c>
      <c r="E1091" s="1" t="s">
        <v>19</v>
      </c>
      <c r="F1091" s="1" t="s">
        <v>2780</v>
      </c>
      <c r="G1091" s="39" t="s">
        <v>392</v>
      </c>
      <c r="H1091" s="1">
        <v>4</v>
      </c>
      <c r="I1091" s="1">
        <v>0</v>
      </c>
      <c r="J1091" s="39" t="s">
        <v>2676</v>
      </c>
      <c r="K1091" s="1">
        <v>0</v>
      </c>
      <c r="L1091" s="1">
        <v>4</v>
      </c>
      <c r="S1091" s="1" t="s">
        <v>9844</v>
      </c>
      <c r="T1091" s="1">
        <v>1</v>
      </c>
      <c r="U1091" s="19"/>
      <c r="V1091" s="19"/>
      <c r="W1091" s="218">
        <v>1</v>
      </c>
      <c r="X1091" s="218">
        <v>1</v>
      </c>
      <c r="Y1091" s="218">
        <v>1</v>
      </c>
    </row>
    <row r="1092" spans="1:25" x14ac:dyDescent="0.3">
      <c r="A1092" s="1" t="s">
        <v>2781</v>
      </c>
      <c r="B1092" s="102">
        <v>46196</v>
      </c>
      <c r="C1092" s="6">
        <v>0.58333333333333304</v>
      </c>
      <c r="D1092" s="1" t="s">
        <v>18</v>
      </c>
      <c r="E1092" s="1" t="s">
        <v>19</v>
      </c>
      <c r="F1092" s="1" t="s">
        <v>2782</v>
      </c>
      <c r="G1092" s="39" t="s">
        <v>2676</v>
      </c>
      <c r="H1092" s="1">
        <v>0</v>
      </c>
      <c r="I1092" s="1">
        <v>4</v>
      </c>
      <c r="J1092" s="39" t="s">
        <v>989</v>
      </c>
      <c r="K1092" s="1">
        <v>4</v>
      </c>
      <c r="L1092" s="1">
        <v>0</v>
      </c>
      <c r="S1092" s="1" t="s">
        <v>9845</v>
      </c>
      <c r="T1092" s="1">
        <v>1</v>
      </c>
      <c r="U1092" s="19"/>
      <c r="V1092" s="19"/>
      <c r="W1092" s="218">
        <v>1</v>
      </c>
      <c r="X1092" s="218">
        <v>1</v>
      </c>
      <c r="Y1092" s="218">
        <v>1</v>
      </c>
    </row>
    <row r="1093" spans="1:25" x14ac:dyDescent="0.3">
      <c r="A1093" s="1" t="s">
        <v>2783</v>
      </c>
      <c r="B1093" s="102">
        <v>46191</v>
      </c>
      <c r="C1093" s="6">
        <v>0.29097222222222202</v>
      </c>
      <c r="D1093" s="1" t="s">
        <v>18</v>
      </c>
      <c r="E1093" s="1" t="s">
        <v>19</v>
      </c>
      <c r="F1093" s="1" t="s">
        <v>2784</v>
      </c>
      <c r="G1093" s="39" t="s">
        <v>2701</v>
      </c>
      <c r="H1093" s="1">
        <v>2</v>
      </c>
      <c r="I1093" s="1">
        <v>1</v>
      </c>
      <c r="J1093" s="39" t="s">
        <v>2676</v>
      </c>
      <c r="K1093" s="1">
        <v>1</v>
      </c>
      <c r="L1093" s="1">
        <v>2</v>
      </c>
      <c r="S1093" s="1" t="s">
        <v>9846</v>
      </c>
      <c r="T1093" s="1">
        <v>1</v>
      </c>
      <c r="U1093" s="19"/>
      <c r="V1093" s="19"/>
      <c r="W1093" s="218">
        <v>1</v>
      </c>
      <c r="X1093" s="218">
        <v>1</v>
      </c>
      <c r="Y1093" s="218">
        <v>1</v>
      </c>
    </row>
    <row r="1094" spans="1:25" x14ac:dyDescent="0.3">
      <c r="A1094" s="1" t="s">
        <v>2785</v>
      </c>
      <c r="B1094" s="102">
        <v>46186</v>
      </c>
      <c r="C1094" s="6">
        <v>0.54166666666666696</v>
      </c>
      <c r="D1094" s="1" t="s">
        <v>18</v>
      </c>
      <c r="E1094" s="1" t="s">
        <v>19</v>
      </c>
      <c r="F1094" s="1" t="s">
        <v>2786</v>
      </c>
      <c r="G1094" s="39" t="s">
        <v>2676</v>
      </c>
      <c r="H1094" s="1">
        <v>0</v>
      </c>
      <c r="I1094" s="1">
        <v>3</v>
      </c>
      <c r="J1094" s="39" t="s">
        <v>2671</v>
      </c>
      <c r="K1094" s="1">
        <v>3</v>
      </c>
      <c r="L1094" s="1">
        <v>0</v>
      </c>
      <c r="S1094" s="1" t="s">
        <v>9847</v>
      </c>
      <c r="T1094" s="1">
        <v>1</v>
      </c>
      <c r="U1094" s="19"/>
      <c r="V1094" s="19"/>
      <c r="W1094" s="218">
        <v>1</v>
      </c>
      <c r="X1094" s="218">
        <v>1</v>
      </c>
      <c r="Y1094" s="218">
        <v>1</v>
      </c>
    </row>
    <row r="1095" spans="1:25" x14ac:dyDescent="0.3">
      <c r="A1095" s="1" t="s">
        <v>2787</v>
      </c>
      <c r="B1095" s="102">
        <v>46172</v>
      </c>
      <c r="C1095" s="6">
        <v>0.375</v>
      </c>
      <c r="D1095" s="1" t="s">
        <v>18</v>
      </c>
      <c r="E1095" s="1" t="s">
        <v>19</v>
      </c>
      <c r="F1095" s="1" t="s">
        <v>2788</v>
      </c>
      <c r="G1095" s="39" t="s">
        <v>989</v>
      </c>
      <c r="H1095" s="1">
        <v>1</v>
      </c>
      <c r="I1095" s="1">
        <v>0</v>
      </c>
      <c r="J1095" s="39" t="s">
        <v>2676</v>
      </c>
      <c r="K1095" s="1">
        <v>0</v>
      </c>
      <c r="L1095" s="1">
        <v>1</v>
      </c>
      <c r="S1095" s="1" t="s">
        <v>9848</v>
      </c>
      <c r="T1095" s="1">
        <v>1</v>
      </c>
      <c r="U1095" s="19"/>
      <c r="V1095" s="19"/>
      <c r="W1095" s="218">
        <v>1</v>
      </c>
      <c r="X1095" s="218">
        <v>1</v>
      </c>
      <c r="Y1095" s="218">
        <v>1</v>
      </c>
    </row>
    <row r="1096" spans="1:25" ht="14.4" x14ac:dyDescent="0.3">
      <c r="A1096" s="1" t="s">
        <v>2789</v>
      </c>
      <c r="B1096" s="102">
        <v>46165</v>
      </c>
      <c r="C1096" s="6">
        <v>0.45833333333333298</v>
      </c>
      <c r="D1096" s="1" t="s">
        <v>18</v>
      </c>
      <c r="E1096" s="1" t="s">
        <v>19</v>
      </c>
      <c r="F1096" s="1" t="s">
        <v>2790</v>
      </c>
      <c r="G1096" s="39" t="s">
        <v>1540</v>
      </c>
      <c r="H1096" s="1">
        <v>3</v>
      </c>
      <c r="I1096" s="1">
        <v>0</v>
      </c>
      <c r="J1096" s="39" t="s">
        <v>2676</v>
      </c>
      <c r="K1096" s="1">
        <v>0</v>
      </c>
      <c r="L1096" s="1">
        <v>3</v>
      </c>
      <c r="S1096" s="1" t="s">
        <v>9849</v>
      </c>
      <c r="T1096">
        <v>1</v>
      </c>
      <c r="U1096" s="19"/>
      <c r="V1096" s="19"/>
      <c r="W1096" s="218">
        <v>1</v>
      </c>
      <c r="X1096" s="218">
        <v>1</v>
      </c>
      <c r="Y1096" s="218">
        <v>1</v>
      </c>
    </row>
    <row r="1097" spans="1:25" x14ac:dyDescent="0.3">
      <c r="A1097" s="1" t="s">
        <v>2791</v>
      </c>
      <c r="B1097" s="102">
        <v>46221</v>
      </c>
      <c r="C1097" s="6">
        <v>0.45833333333333298</v>
      </c>
      <c r="D1097" s="1" t="s">
        <v>18</v>
      </c>
      <c r="E1097" s="1" t="s">
        <v>19</v>
      </c>
      <c r="F1097" s="1" t="s">
        <v>2792</v>
      </c>
      <c r="G1097" s="39" t="s">
        <v>2701</v>
      </c>
      <c r="H1097" s="1">
        <v>0</v>
      </c>
      <c r="I1097" s="1">
        <v>2</v>
      </c>
      <c r="J1097" s="39" t="s">
        <v>2671</v>
      </c>
      <c r="K1097" s="1">
        <v>2</v>
      </c>
      <c r="L1097" s="1">
        <v>0</v>
      </c>
      <c r="S1097" s="1" t="s">
        <v>9850</v>
      </c>
      <c r="T1097" s="1">
        <v>1</v>
      </c>
      <c r="U1097" s="19"/>
      <c r="V1097" s="19"/>
      <c r="W1097" s="218">
        <v>1</v>
      </c>
      <c r="X1097" s="218">
        <v>1</v>
      </c>
      <c r="Y1097" s="218">
        <v>1</v>
      </c>
    </row>
    <row r="1098" spans="1:25" x14ac:dyDescent="0.3">
      <c r="A1098" s="1" t="s">
        <v>2793</v>
      </c>
      <c r="B1098" s="102">
        <v>46196</v>
      </c>
      <c r="C1098" s="6">
        <v>0.5</v>
      </c>
      <c r="D1098" s="1" t="s">
        <v>18</v>
      </c>
      <c r="E1098" s="1" t="s">
        <v>19</v>
      </c>
      <c r="F1098" s="1" t="s">
        <v>2794</v>
      </c>
      <c r="G1098" s="39" t="s">
        <v>392</v>
      </c>
      <c r="H1098" s="1">
        <v>5</v>
      </c>
      <c r="I1098" s="1">
        <v>1</v>
      </c>
      <c r="J1098" s="39" t="s">
        <v>2701</v>
      </c>
      <c r="K1098" s="1">
        <v>1</v>
      </c>
      <c r="L1098" s="1">
        <v>5</v>
      </c>
      <c r="S1098" s="1" t="s">
        <v>9851</v>
      </c>
      <c r="T1098" s="1">
        <v>1</v>
      </c>
      <c r="U1098" s="19"/>
      <c r="V1098" s="19"/>
      <c r="W1098" s="218">
        <v>1</v>
      </c>
      <c r="X1098" s="218">
        <v>1</v>
      </c>
      <c r="Y1098" s="218">
        <v>1</v>
      </c>
    </row>
    <row r="1099" spans="1:25" x14ac:dyDescent="0.3">
      <c r="A1099" s="1" t="s">
        <v>2795</v>
      </c>
      <c r="B1099" s="102">
        <v>46173</v>
      </c>
      <c r="C1099" s="6">
        <v>0.41666666666666702</v>
      </c>
      <c r="D1099" s="1" t="s">
        <v>18</v>
      </c>
      <c r="E1099" s="1" t="s">
        <v>19</v>
      </c>
      <c r="F1099" s="1" t="s">
        <v>2796</v>
      </c>
      <c r="G1099" s="39" t="s">
        <v>2701</v>
      </c>
      <c r="H1099" s="1">
        <v>2</v>
      </c>
      <c r="I1099" s="1">
        <v>1</v>
      </c>
      <c r="J1099" s="39" t="s">
        <v>1540</v>
      </c>
      <c r="K1099" s="1">
        <v>1</v>
      </c>
      <c r="L1099" s="1">
        <v>2</v>
      </c>
      <c r="S1099" s="1" t="s">
        <v>9852</v>
      </c>
      <c r="T1099" s="1">
        <v>1</v>
      </c>
      <c r="U1099" s="19"/>
      <c r="V1099" s="19"/>
      <c r="W1099" s="218">
        <v>1</v>
      </c>
      <c r="X1099" s="218">
        <v>1</v>
      </c>
      <c r="Y1099" s="218">
        <v>1</v>
      </c>
    </row>
    <row r="1100" spans="1:25" x14ac:dyDescent="0.3">
      <c r="A1100" s="1" t="s">
        <v>2797</v>
      </c>
      <c r="B1100" s="102">
        <v>46165</v>
      </c>
      <c r="C1100" s="6">
        <v>0.45833333333333298</v>
      </c>
      <c r="D1100" s="1" t="s">
        <v>18</v>
      </c>
      <c r="E1100" s="1" t="s">
        <v>19</v>
      </c>
      <c r="F1100" s="1" t="s">
        <v>2798</v>
      </c>
      <c r="G1100" s="39" t="s">
        <v>990</v>
      </c>
      <c r="H1100" s="1">
        <v>0</v>
      </c>
      <c r="I1100" s="1">
        <v>1</v>
      </c>
      <c r="J1100" s="39" t="s">
        <v>2701</v>
      </c>
      <c r="K1100" s="1">
        <v>1</v>
      </c>
      <c r="L1100" s="1">
        <v>0</v>
      </c>
      <c r="S1100" s="1" t="s">
        <v>9853</v>
      </c>
      <c r="T1100" s="1">
        <v>1</v>
      </c>
      <c r="U1100" s="19"/>
      <c r="V1100" s="19"/>
      <c r="W1100" s="218">
        <v>1</v>
      </c>
      <c r="X1100" s="218">
        <v>1</v>
      </c>
      <c r="Y1100" s="218">
        <v>1</v>
      </c>
    </row>
    <row r="1101" spans="1:25" ht="14.4" x14ac:dyDescent="0.3">
      <c r="A1101" s="1" t="s">
        <v>2799</v>
      </c>
      <c r="B1101" s="102">
        <v>46150</v>
      </c>
      <c r="C1101" s="6">
        <v>0.5</v>
      </c>
      <c r="D1101" s="1" t="s">
        <v>18</v>
      </c>
      <c r="E1101" s="1" t="s">
        <v>19</v>
      </c>
      <c r="F1101" s="1" t="s">
        <v>2800</v>
      </c>
      <c r="G1101" s="39" t="s">
        <v>2672</v>
      </c>
      <c r="H1101" s="1">
        <v>1</v>
      </c>
      <c r="I1101" s="1">
        <v>0</v>
      </c>
      <c r="J1101" s="39" t="s">
        <v>2701</v>
      </c>
      <c r="K1101" s="1">
        <v>0</v>
      </c>
      <c r="L1101" s="1">
        <v>1</v>
      </c>
      <c r="S1101" s="1" t="s">
        <v>9854</v>
      </c>
      <c r="T1101">
        <v>1</v>
      </c>
      <c r="U1101" s="19"/>
      <c r="V1101" s="19"/>
      <c r="W1101" s="218">
        <v>0</v>
      </c>
      <c r="X1101" s="218">
        <v>0</v>
      </c>
      <c r="Y1101" s="218">
        <v>0</v>
      </c>
    </row>
    <row r="1102" spans="1:25" x14ac:dyDescent="0.3">
      <c r="A1102" s="1" t="s">
        <v>2801</v>
      </c>
      <c r="B1102" s="102">
        <v>46221</v>
      </c>
      <c r="C1102" s="6">
        <v>0.375</v>
      </c>
      <c r="D1102" s="1" t="s">
        <v>18</v>
      </c>
      <c r="E1102" s="1" t="s">
        <v>19</v>
      </c>
      <c r="F1102" s="1" t="s">
        <v>2802</v>
      </c>
      <c r="G1102" s="39" t="s">
        <v>989</v>
      </c>
      <c r="H1102" s="1">
        <v>2</v>
      </c>
      <c r="I1102" s="1">
        <v>1</v>
      </c>
      <c r="J1102" s="39" t="s">
        <v>392</v>
      </c>
      <c r="K1102" s="1">
        <v>1</v>
      </c>
      <c r="L1102" s="1">
        <v>2</v>
      </c>
      <c r="S1102" s="1" t="s">
        <v>9855</v>
      </c>
      <c r="T1102" s="1">
        <v>1</v>
      </c>
      <c r="U1102" s="19"/>
      <c r="V1102" s="19"/>
      <c r="W1102" s="218">
        <v>1</v>
      </c>
      <c r="X1102" s="218">
        <v>1</v>
      </c>
      <c r="Y1102" s="218">
        <v>1</v>
      </c>
    </row>
    <row r="1103" spans="1:25" x14ac:dyDescent="0.3">
      <c r="A1103" s="1" t="s">
        <v>2803</v>
      </c>
      <c r="B1103" s="102">
        <v>46186</v>
      </c>
      <c r="C1103" s="6">
        <v>0.45833333333333298</v>
      </c>
      <c r="D1103" s="1" t="s">
        <v>18</v>
      </c>
      <c r="E1103" s="1" t="s">
        <v>19</v>
      </c>
      <c r="F1103" s="1" t="s">
        <v>2804</v>
      </c>
      <c r="G1103" s="39" t="s">
        <v>1540</v>
      </c>
      <c r="H1103" s="1">
        <v>2</v>
      </c>
      <c r="I1103" s="1">
        <v>5</v>
      </c>
      <c r="J1103" s="39" t="s">
        <v>989</v>
      </c>
      <c r="K1103" s="1">
        <v>5</v>
      </c>
      <c r="L1103" s="1">
        <v>2</v>
      </c>
      <c r="S1103" s="1" t="s">
        <v>9856</v>
      </c>
      <c r="T1103" s="1">
        <v>1</v>
      </c>
      <c r="U1103" s="19"/>
      <c r="V1103" s="19"/>
      <c r="W1103" s="218">
        <v>1</v>
      </c>
      <c r="X1103" s="218">
        <v>1</v>
      </c>
      <c r="Y1103" s="218">
        <v>1</v>
      </c>
    </row>
    <row r="1104" spans="1:25" ht="14.4" x14ac:dyDescent="0.3">
      <c r="A1104" s="1" t="s">
        <v>2805</v>
      </c>
      <c r="B1104" s="102">
        <v>46164</v>
      </c>
      <c r="C1104" s="6">
        <v>0.54166666666666696</v>
      </c>
      <c r="D1104" s="1" t="s">
        <v>18</v>
      </c>
      <c r="E1104" s="1" t="s">
        <v>19</v>
      </c>
      <c r="F1104" s="1" t="s">
        <v>2806</v>
      </c>
      <c r="G1104" s="39" t="s">
        <v>392</v>
      </c>
      <c r="H1104" s="1">
        <v>2</v>
      </c>
      <c r="I1104" s="1">
        <v>1</v>
      </c>
      <c r="J1104" s="39" t="s">
        <v>989</v>
      </c>
      <c r="K1104" s="1">
        <v>1</v>
      </c>
      <c r="L1104" s="1">
        <v>2</v>
      </c>
      <c r="S1104" s="1" t="s">
        <v>9857</v>
      </c>
      <c r="T1104">
        <v>1</v>
      </c>
      <c r="U1104" s="19"/>
      <c r="V1104" s="19"/>
      <c r="W1104" s="218">
        <v>1</v>
      </c>
      <c r="X1104" s="218">
        <v>1</v>
      </c>
      <c r="Y1104" s="218">
        <v>1</v>
      </c>
    </row>
    <row r="1105" spans="1:25" x14ac:dyDescent="0.3">
      <c r="A1105" s="1" t="s">
        <v>2807</v>
      </c>
      <c r="B1105" s="102">
        <v>46213</v>
      </c>
      <c r="C1105" s="6">
        <v>0.54166666666666696</v>
      </c>
      <c r="D1105" s="1" t="s">
        <v>18</v>
      </c>
      <c r="E1105" s="1" t="s">
        <v>19</v>
      </c>
      <c r="F1105" s="1" t="s">
        <v>2808</v>
      </c>
      <c r="G1105" s="39" t="s">
        <v>392</v>
      </c>
      <c r="H1105" s="1">
        <v>1</v>
      </c>
      <c r="I1105" s="1">
        <v>0</v>
      </c>
      <c r="J1105" s="39" t="s">
        <v>990</v>
      </c>
      <c r="K1105" s="1">
        <v>0</v>
      </c>
      <c r="L1105" s="1">
        <v>1</v>
      </c>
      <c r="S1105" s="1" t="s">
        <v>9858</v>
      </c>
      <c r="T1105" s="1">
        <v>1</v>
      </c>
      <c r="U1105" s="19"/>
      <c r="V1105" s="19"/>
      <c r="W1105" s="218">
        <v>1</v>
      </c>
      <c r="X1105" s="218">
        <v>1</v>
      </c>
      <c r="Y1105" s="218">
        <v>1</v>
      </c>
    </row>
    <row r="1106" spans="1:25" x14ac:dyDescent="0.3">
      <c r="A1106" s="1" t="s">
        <v>2809</v>
      </c>
      <c r="B1106" s="102">
        <v>46200</v>
      </c>
      <c r="C1106" s="6">
        <v>0.54166666666666696</v>
      </c>
      <c r="D1106" s="1" t="s">
        <v>18</v>
      </c>
      <c r="E1106" s="1" t="s">
        <v>19</v>
      </c>
      <c r="F1106" s="1" t="s">
        <v>2810</v>
      </c>
      <c r="G1106" s="39" t="s">
        <v>2671</v>
      </c>
      <c r="H1106" s="1">
        <v>1</v>
      </c>
      <c r="I1106" s="1">
        <v>1</v>
      </c>
      <c r="J1106" s="39" t="s">
        <v>392</v>
      </c>
      <c r="K1106" s="1">
        <v>1</v>
      </c>
      <c r="L1106" s="1">
        <v>1</v>
      </c>
      <c r="S1106" s="1" t="s">
        <v>9859</v>
      </c>
      <c r="T1106" s="1">
        <v>1</v>
      </c>
      <c r="U1106" s="19"/>
      <c r="V1106" s="19"/>
      <c r="W1106" s="218">
        <v>1</v>
      </c>
      <c r="X1106" s="218">
        <v>1</v>
      </c>
      <c r="Y1106" s="218">
        <v>1</v>
      </c>
    </row>
    <row r="1107" spans="1:25" ht="14.4" x14ac:dyDescent="0.3">
      <c r="A1107" s="1" t="s">
        <v>2811</v>
      </c>
      <c r="B1107" s="102">
        <v>46190</v>
      </c>
      <c r="C1107" s="6">
        <v>0.625</v>
      </c>
      <c r="D1107" s="1" t="s">
        <v>18</v>
      </c>
      <c r="E1107" s="1" t="s">
        <v>19</v>
      </c>
      <c r="F1107" s="1" t="s">
        <v>2812</v>
      </c>
      <c r="G1107" s="39" t="s">
        <v>990</v>
      </c>
      <c r="H1107" s="1">
        <v>1</v>
      </c>
      <c r="I1107" s="1">
        <v>2</v>
      </c>
      <c r="J1107" s="39" t="s">
        <v>392</v>
      </c>
      <c r="K1107" s="1">
        <v>2</v>
      </c>
      <c r="L1107" s="1">
        <v>1</v>
      </c>
      <c r="S1107" s="1" t="s">
        <v>9860</v>
      </c>
      <c r="T1107">
        <v>1</v>
      </c>
      <c r="U1107" s="19"/>
      <c r="V1107" s="19"/>
      <c r="W1107" s="218">
        <v>1</v>
      </c>
      <c r="X1107" s="218">
        <v>1</v>
      </c>
      <c r="Y1107" s="218">
        <v>1</v>
      </c>
    </row>
    <row r="1108" spans="1:25" x14ac:dyDescent="0.3">
      <c r="A1108" s="1" t="s">
        <v>2813</v>
      </c>
      <c r="B1108" s="102">
        <v>46227</v>
      </c>
      <c r="C1108" s="6">
        <v>0.54166666666666696</v>
      </c>
      <c r="D1108" s="1" t="s">
        <v>18</v>
      </c>
      <c r="E1108" s="1" t="s">
        <v>19</v>
      </c>
      <c r="F1108" s="1" t="s">
        <v>2814</v>
      </c>
      <c r="G1108" s="39" t="s">
        <v>1540</v>
      </c>
      <c r="H1108" s="1">
        <v>2</v>
      </c>
      <c r="I1108" s="1">
        <v>1</v>
      </c>
      <c r="J1108" s="39" t="s">
        <v>990</v>
      </c>
      <c r="K1108" s="1">
        <v>1</v>
      </c>
      <c r="L1108" s="1">
        <v>2</v>
      </c>
      <c r="S1108" s="1" t="s">
        <v>9861</v>
      </c>
      <c r="T1108" s="1">
        <v>1</v>
      </c>
      <c r="U1108" s="19"/>
      <c r="V1108" s="19"/>
      <c r="W1108" s="218">
        <v>1</v>
      </c>
      <c r="X1108" s="218">
        <v>1</v>
      </c>
      <c r="Y1108" s="218">
        <v>1</v>
      </c>
    </row>
    <row r="1109" spans="1:25" x14ac:dyDescent="0.3">
      <c r="A1109" s="1" t="s">
        <v>2815</v>
      </c>
      <c r="B1109" s="102">
        <v>46196</v>
      </c>
      <c r="C1109" s="6">
        <v>0.54166666666666696</v>
      </c>
      <c r="D1109" s="1" t="s">
        <v>18</v>
      </c>
      <c r="E1109" s="1" t="s">
        <v>19</v>
      </c>
      <c r="F1109" s="1" t="s">
        <v>2816</v>
      </c>
      <c r="G1109" s="39" t="s">
        <v>1540</v>
      </c>
      <c r="H1109" s="1">
        <v>1</v>
      </c>
      <c r="I1109" s="1">
        <v>1</v>
      </c>
      <c r="J1109" s="39" t="s">
        <v>2671</v>
      </c>
      <c r="K1109" s="1">
        <v>1</v>
      </c>
      <c r="L1109" s="1">
        <v>1</v>
      </c>
      <c r="S1109" s="1" t="s">
        <v>9862</v>
      </c>
      <c r="T1109" s="1">
        <v>1</v>
      </c>
      <c r="U1109" s="19"/>
      <c r="V1109" s="19"/>
      <c r="W1109" s="218">
        <v>1</v>
      </c>
      <c r="X1109" s="218">
        <v>1</v>
      </c>
      <c r="Y1109" s="218">
        <v>1</v>
      </c>
    </row>
    <row r="1110" spans="1:25" ht="14.4" x14ac:dyDescent="0.3">
      <c r="A1110" s="1" t="s">
        <v>2817</v>
      </c>
      <c r="B1110" s="102">
        <v>46158</v>
      </c>
      <c r="C1110" s="6">
        <v>0.54166666666666696</v>
      </c>
      <c r="D1110" s="1" t="s">
        <v>18</v>
      </c>
      <c r="E1110" s="1" t="s">
        <v>19</v>
      </c>
      <c r="F1110" s="1" t="s">
        <v>2818</v>
      </c>
      <c r="G1110" s="39" t="s">
        <v>2671</v>
      </c>
      <c r="H1110" s="1">
        <v>5</v>
      </c>
      <c r="I1110" s="1">
        <v>0</v>
      </c>
      <c r="J1110" s="39" t="s">
        <v>1540</v>
      </c>
      <c r="K1110" s="1">
        <v>0</v>
      </c>
      <c r="L1110" s="1">
        <v>5</v>
      </c>
      <c r="S1110" s="1" t="s">
        <v>9863</v>
      </c>
      <c r="T1110">
        <v>1</v>
      </c>
      <c r="U1110" s="19"/>
      <c r="V1110" s="19"/>
      <c r="W1110" s="218">
        <v>1</v>
      </c>
      <c r="X1110" s="218">
        <v>0</v>
      </c>
      <c r="Y1110" s="218">
        <v>1</v>
      </c>
    </row>
    <row r="1111" spans="1:25" ht="14.4" x14ac:dyDescent="0.3">
      <c r="A1111" s="1" t="s">
        <v>2819</v>
      </c>
      <c r="B1111" s="102">
        <v>46241</v>
      </c>
      <c r="C1111" s="6">
        <v>0.54166666666666696</v>
      </c>
      <c r="D1111" s="1" t="s">
        <v>18</v>
      </c>
      <c r="E1111" s="1" t="s">
        <v>19</v>
      </c>
      <c r="F1111" s="1" t="s">
        <v>2820</v>
      </c>
      <c r="G1111" s="39" t="s">
        <v>990</v>
      </c>
      <c r="H1111" s="1">
        <v>2</v>
      </c>
      <c r="I1111" s="1">
        <v>2</v>
      </c>
      <c r="J1111" s="39" t="s">
        <v>2671</v>
      </c>
      <c r="K1111" s="1">
        <v>2</v>
      </c>
      <c r="L1111" s="1">
        <v>2</v>
      </c>
      <c r="S1111" s="1" t="s">
        <v>9864</v>
      </c>
      <c r="T1111">
        <v>1</v>
      </c>
      <c r="U1111" s="19"/>
      <c r="V1111" s="19"/>
      <c r="W1111" s="218">
        <v>1</v>
      </c>
      <c r="X1111" s="218">
        <v>1</v>
      </c>
      <c r="Y1111" s="218">
        <v>1</v>
      </c>
    </row>
    <row r="1112" spans="1:25" x14ac:dyDescent="0.3">
      <c r="A1112" s="1" t="s">
        <v>2823</v>
      </c>
      <c r="B1112" s="102">
        <v>46234</v>
      </c>
      <c r="C1112" s="6">
        <v>0.52083333333333304</v>
      </c>
      <c r="D1112" s="1" t="s">
        <v>18</v>
      </c>
      <c r="E1112" s="1" t="s">
        <v>20</v>
      </c>
      <c r="F1112" s="1" t="s">
        <v>2824</v>
      </c>
      <c r="G1112" s="39" t="s">
        <v>2821</v>
      </c>
      <c r="H1112" s="1">
        <v>2</v>
      </c>
      <c r="I1112" s="1">
        <v>0</v>
      </c>
      <c r="J1112" s="39" t="s">
        <v>318</v>
      </c>
      <c r="K1112" s="1">
        <v>0</v>
      </c>
      <c r="L1112" s="1">
        <v>2</v>
      </c>
      <c r="S1112" s="1" t="s">
        <v>9865</v>
      </c>
      <c r="T1112" s="1">
        <v>1</v>
      </c>
      <c r="U1112" s="19"/>
      <c r="V1112" s="19"/>
      <c r="W1112" s="218">
        <v>1</v>
      </c>
      <c r="X1112" s="218">
        <v>1</v>
      </c>
      <c r="Y1112" s="218">
        <v>1</v>
      </c>
    </row>
    <row r="1113" spans="1:25" x14ac:dyDescent="0.3">
      <c r="A1113" s="1" t="s">
        <v>2825</v>
      </c>
      <c r="B1113" s="102">
        <v>46228</v>
      </c>
      <c r="C1113" s="6">
        <v>0.41666666666666702</v>
      </c>
      <c r="D1113" s="1" t="s">
        <v>18</v>
      </c>
      <c r="E1113" s="1" t="s">
        <v>20</v>
      </c>
      <c r="F1113" s="1" t="s">
        <v>2849</v>
      </c>
      <c r="G1113" s="39" t="s">
        <v>320</v>
      </c>
      <c r="H1113" s="1">
        <v>2</v>
      </c>
      <c r="I1113" s="1">
        <v>0</v>
      </c>
      <c r="J1113" s="39" t="s">
        <v>318</v>
      </c>
      <c r="K1113" s="1">
        <v>0</v>
      </c>
      <c r="L1113" s="1">
        <v>2</v>
      </c>
      <c r="S1113" s="1" t="s">
        <v>9866</v>
      </c>
      <c r="T1113" s="1">
        <v>1</v>
      </c>
      <c r="U1113" s="19"/>
      <c r="V1113" s="19"/>
      <c r="W1113" s="218">
        <v>1</v>
      </c>
      <c r="X1113" s="218">
        <v>1</v>
      </c>
      <c r="Y1113" s="218">
        <v>1</v>
      </c>
    </row>
    <row r="1114" spans="1:25" x14ac:dyDescent="0.3">
      <c r="A1114" s="1" t="s">
        <v>2826</v>
      </c>
      <c r="B1114" s="102">
        <v>46224</v>
      </c>
      <c r="C1114" s="6">
        <v>0.54166666666666696</v>
      </c>
      <c r="D1114" s="1" t="s">
        <v>18</v>
      </c>
      <c r="E1114" s="1" t="s">
        <v>20</v>
      </c>
      <c r="F1114" s="1" t="s">
        <v>2827</v>
      </c>
      <c r="G1114" s="39" t="s">
        <v>2822</v>
      </c>
      <c r="H1114" s="1">
        <v>0</v>
      </c>
      <c r="I1114" s="1">
        <v>2</v>
      </c>
      <c r="J1114" s="39" t="s">
        <v>318</v>
      </c>
      <c r="K1114" s="1">
        <v>2</v>
      </c>
      <c r="L1114" s="1">
        <v>0</v>
      </c>
      <c r="S1114" s="1" t="s">
        <v>9867</v>
      </c>
      <c r="T1114" s="1">
        <v>1</v>
      </c>
      <c r="U1114" s="19"/>
      <c r="V1114" s="19"/>
      <c r="W1114" s="218">
        <v>1</v>
      </c>
      <c r="X1114" s="218">
        <v>1</v>
      </c>
      <c r="Y1114" s="218">
        <v>1</v>
      </c>
    </row>
    <row r="1115" spans="1:25" x14ac:dyDescent="0.3">
      <c r="A1115" s="1" t="s">
        <v>2828</v>
      </c>
      <c r="B1115" s="102">
        <v>46214</v>
      </c>
      <c r="C1115" s="6">
        <v>0.54166666666666696</v>
      </c>
      <c r="D1115" s="1" t="s">
        <v>18</v>
      </c>
      <c r="E1115" s="1" t="s">
        <v>20</v>
      </c>
      <c r="F1115" s="1" t="s">
        <v>2829</v>
      </c>
      <c r="G1115" s="39" t="s">
        <v>318</v>
      </c>
      <c r="H1115" s="1">
        <v>0</v>
      </c>
      <c r="I1115" s="1">
        <v>2</v>
      </c>
      <c r="J1115" s="39" t="s">
        <v>312</v>
      </c>
      <c r="K1115" s="1">
        <v>2</v>
      </c>
      <c r="L1115" s="1">
        <v>0</v>
      </c>
      <c r="S1115" s="1" t="s">
        <v>9868</v>
      </c>
      <c r="T1115" s="1">
        <v>1</v>
      </c>
      <c r="U1115" s="19"/>
      <c r="V1115" s="19"/>
      <c r="W1115" s="218">
        <v>1</v>
      </c>
      <c r="X1115" s="218">
        <v>1</v>
      </c>
      <c r="Y1115" s="218">
        <v>1</v>
      </c>
    </row>
    <row r="1116" spans="1:25" x14ac:dyDescent="0.3">
      <c r="A1116" s="1" t="s">
        <v>2830</v>
      </c>
      <c r="B1116" s="102">
        <v>46187</v>
      </c>
      <c r="C1116" s="6">
        <v>0.52083333333333304</v>
      </c>
      <c r="D1116" s="1" t="s">
        <v>18</v>
      </c>
      <c r="E1116" s="1" t="s">
        <v>20</v>
      </c>
      <c r="F1116" s="1" t="s">
        <v>2831</v>
      </c>
      <c r="G1116" s="39" t="s">
        <v>323</v>
      </c>
      <c r="H1116" s="1">
        <v>2</v>
      </c>
      <c r="I1116" s="1">
        <v>2</v>
      </c>
      <c r="J1116" s="39" t="s">
        <v>318</v>
      </c>
      <c r="K1116" s="1">
        <v>2</v>
      </c>
      <c r="L1116" s="1">
        <v>2</v>
      </c>
      <c r="S1116" s="1" t="s">
        <v>9869</v>
      </c>
      <c r="T1116" s="1">
        <v>1</v>
      </c>
      <c r="U1116" s="19"/>
      <c r="V1116" s="19"/>
      <c r="W1116" s="218">
        <v>1</v>
      </c>
      <c r="X1116" s="218">
        <v>1</v>
      </c>
      <c r="Y1116" s="218">
        <v>1</v>
      </c>
    </row>
    <row r="1117" spans="1:25" x14ac:dyDescent="0.3">
      <c r="A1117" s="1" t="s">
        <v>2832</v>
      </c>
      <c r="B1117" s="102">
        <v>46165</v>
      </c>
      <c r="C1117" s="6">
        <v>0.54166666666666696</v>
      </c>
      <c r="D1117" s="1" t="s">
        <v>18</v>
      </c>
      <c r="E1117" s="1" t="s">
        <v>20</v>
      </c>
      <c r="F1117" s="1" t="s">
        <v>2833</v>
      </c>
      <c r="G1117" s="39" t="s">
        <v>318</v>
      </c>
      <c r="H1117" s="1">
        <v>0</v>
      </c>
      <c r="I1117" s="1">
        <v>1</v>
      </c>
      <c r="J1117" s="39" t="s">
        <v>309</v>
      </c>
      <c r="K1117" s="1">
        <v>1</v>
      </c>
      <c r="L1117" s="1">
        <v>0</v>
      </c>
      <c r="S1117" s="1" t="s">
        <v>9870</v>
      </c>
      <c r="T1117" s="1">
        <v>1</v>
      </c>
      <c r="U1117" s="19"/>
      <c r="V1117" s="19"/>
      <c r="W1117" s="218">
        <v>1</v>
      </c>
      <c r="X1117" s="218">
        <v>1</v>
      </c>
      <c r="Y1117" s="218">
        <v>1</v>
      </c>
    </row>
    <row r="1118" spans="1:25" ht="14.4" x14ac:dyDescent="0.3">
      <c r="A1118" s="1" t="s">
        <v>2834</v>
      </c>
      <c r="B1118" s="102">
        <v>46151</v>
      </c>
      <c r="C1118" s="6">
        <v>0.375</v>
      </c>
      <c r="D1118" s="1" t="s">
        <v>18</v>
      </c>
      <c r="E1118" s="1" t="s">
        <v>20</v>
      </c>
      <c r="F1118" s="1" t="s">
        <v>2835</v>
      </c>
      <c r="G1118" s="39" t="s">
        <v>312</v>
      </c>
      <c r="H1118" s="1">
        <v>1</v>
      </c>
      <c r="I1118" s="1">
        <v>1</v>
      </c>
      <c r="J1118" s="39" t="s">
        <v>318</v>
      </c>
      <c r="K1118" s="1">
        <v>1</v>
      </c>
      <c r="L1118" s="1">
        <v>1</v>
      </c>
      <c r="S1118" s="1" t="s">
        <v>9871</v>
      </c>
      <c r="T1118">
        <v>1</v>
      </c>
      <c r="U1118" s="19"/>
      <c r="V1118" s="19"/>
      <c r="W1118" s="218">
        <v>1</v>
      </c>
      <c r="X1118" s="218">
        <v>0</v>
      </c>
      <c r="Y1118" s="218">
        <v>1</v>
      </c>
    </row>
    <row r="1119" spans="1:25" ht="14.4" x14ac:dyDescent="0.3">
      <c r="A1119" s="1" t="s">
        <v>2836</v>
      </c>
      <c r="B1119" s="102">
        <v>46242</v>
      </c>
      <c r="C1119" s="6">
        <v>0.5</v>
      </c>
      <c r="D1119" s="1" t="s">
        <v>18</v>
      </c>
      <c r="E1119" s="1" t="s">
        <v>20</v>
      </c>
      <c r="F1119" s="1" t="s">
        <v>2837</v>
      </c>
      <c r="G1119" s="39" t="s">
        <v>204</v>
      </c>
      <c r="H1119" s="1">
        <v>0</v>
      </c>
      <c r="I1119" s="1">
        <v>3</v>
      </c>
      <c r="J1119" s="39" t="s">
        <v>340</v>
      </c>
      <c r="K1119" s="1">
        <v>3</v>
      </c>
      <c r="L1119" s="1">
        <v>0</v>
      </c>
      <c r="S1119" s="1" t="s">
        <v>9872</v>
      </c>
      <c r="T1119">
        <v>1</v>
      </c>
      <c r="U1119" s="19"/>
      <c r="V1119" s="19"/>
      <c r="W1119" s="218">
        <v>1</v>
      </c>
      <c r="X1119" s="218">
        <v>1</v>
      </c>
      <c r="Y1119" s="218">
        <v>1</v>
      </c>
    </row>
    <row r="1120" spans="1:25" ht="14.4" x14ac:dyDescent="0.3">
      <c r="A1120" s="1" t="s">
        <v>2838</v>
      </c>
      <c r="B1120" s="102">
        <v>46158</v>
      </c>
      <c r="C1120" s="6">
        <v>0.41666666666666702</v>
      </c>
      <c r="D1120" s="1" t="s">
        <v>18</v>
      </c>
      <c r="E1120" s="1" t="s">
        <v>20</v>
      </c>
      <c r="F1120" s="1" t="s">
        <v>2839</v>
      </c>
      <c r="G1120" s="39" t="s">
        <v>320</v>
      </c>
      <c r="H1120" s="1">
        <v>0</v>
      </c>
      <c r="I1120" s="1">
        <v>1</v>
      </c>
      <c r="J1120" s="39" t="s">
        <v>309</v>
      </c>
      <c r="K1120" s="1">
        <v>1</v>
      </c>
      <c r="L1120" s="1">
        <v>0</v>
      </c>
      <c r="S1120" s="1" t="s">
        <v>9873</v>
      </c>
      <c r="T1120">
        <v>1</v>
      </c>
      <c r="U1120" s="19"/>
      <c r="V1120" s="19"/>
      <c r="W1120" s="218">
        <v>1</v>
      </c>
      <c r="X1120" s="218">
        <v>0</v>
      </c>
      <c r="Y1120" s="218">
        <v>1</v>
      </c>
    </row>
    <row r="1121" spans="1:25" ht="14.4" x14ac:dyDescent="0.3">
      <c r="A1121" s="1" t="s">
        <v>2840</v>
      </c>
      <c r="B1121" s="102">
        <v>46241</v>
      </c>
      <c r="C1121" s="6">
        <v>0.5</v>
      </c>
      <c r="D1121" s="1" t="s">
        <v>18</v>
      </c>
      <c r="E1121" s="1" t="s">
        <v>20</v>
      </c>
      <c r="F1121" s="1" t="s">
        <v>2841</v>
      </c>
      <c r="G1121" s="39" t="s">
        <v>315</v>
      </c>
      <c r="H1121" s="1">
        <v>3</v>
      </c>
      <c r="I1121" s="1">
        <v>0</v>
      </c>
      <c r="J1121" s="39" t="s">
        <v>312</v>
      </c>
      <c r="K1121" s="1">
        <v>0</v>
      </c>
      <c r="L1121" s="1">
        <v>3</v>
      </c>
      <c r="S1121" s="1" t="s">
        <v>9874</v>
      </c>
      <c r="T1121">
        <v>1</v>
      </c>
      <c r="U1121" s="19"/>
      <c r="V1121" s="19"/>
      <c r="W1121" s="218">
        <v>1</v>
      </c>
      <c r="X1121" s="218">
        <v>1</v>
      </c>
      <c r="Y1121" s="218">
        <v>1</v>
      </c>
    </row>
    <row r="1122" spans="1:25" x14ac:dyDescent="0.3">
      <c r="A1122" s="1" t="s">
        <v>2842</v>
      </c>
      <c r="B1122" s="102">
        <v>46233</v>
      </c>
      <c r="C1122" s="6">
        <v>0.52083333333333304</v>
      </c>
      <c r="D1122" s="1" t="s">
        <v>18</v>
      </c>
      <c r="E1122" s="1" t="s">
        <v>20</v>
      </c>
      <c r="F1122" s="1" t="s">
        <v>2850</v>
      </c>
      <c r="G1122" s="39" t="s">
        <v>312</v>
      </c>
      <c r="H1122" s="1">
        <v>1</v>
      </c>
      <c r="I1122" s="1">
        <v>0</v>
      </c>
      <c r="J1122" s="39" t="s">
        <v>320</v>
      </c>
      <c r="K1122" s="1">
        <v>0</v>
      </c>
      <c r="L1122" s="1">
        <v>1</v>
      </c>
      <c r="S1122" s="1" t="s">
        <v>9875</v>
      </c>
      <c r="T1122" s="1">
        <v>1</v>
      </c>
      <c r="U1122" s="19"/>
      <c r="V1122" s="19"/>
      <c r="W1122" s="218">
        <v>1</v>
      </c>
      <c r="X1122" s="218">
        <v>1</v>
      </c>
      <c r="Y1122" s="218">
        <v>1</v>
      </c>
    </row>
    <row r="1123" spans="1:25" x14ac:dyDescent="0.3">
      <c r="A1123" s="1" t="s">
        <v>2843</v>
      </c>
      <c r="B1123" s="102">
        <v>46218</v>
      </c>
      <c r="C1123" s="6">
        <v>0.52083333333333304</v>
      </c>
      <c r="D1123" s="1" t="s">
        <v>18</v>
      </c>
      <c r="E1123" s="1" t="s">
        <v>20</v>
      </c>
      <c r="F1123" s="1" t="s">
        <v>2844</v>
      </c>
      <c r="G1123" s="39" t="s">
        <v>312</v>
      </c>
      <c r="H1123" s="1">
        <v>3</v>
      </c>
      <c r="I1123" s="1">
        <v>1</v>
      </c>
      <c r="J1123" s="39" t="s">
        <v>323</v>
      </c>
      <c r="K1123" s="1">
        <v>1</v>
      </c>
      <c r="L1123" s="1">
        <v>3</v>
      </c>
      <c r="S1123" s="1" t="s">
        <v>9876</v>
      </c>
      <c r="T1123" s="1">
        <v>1</v>
      </c>
      <c r="U1123" s="19"/>
      <c r="V1123" s="19"/>
      <c r="W1123" s="218">
        <v>1</v>
      </c>
      <c r="X1123" s="218">
        <v>1</v>
      </c>
      <c r="Y1123" s="218">
        <v>1</v>
      </c>
    </row>
    <row r="1124" spans="1:25" x14ac:dyDescent="0.3">
      <c r="A1124" s="1" t="s">
        <v>2845</v>
      </c>
      <c r="B1124" s="102">
        <v>46200</v>
      </c>
      <c r="C1124" s="6">
        <v>0.41666666666666702</v>
      </c>
      <c r="D1124" s="1" t="s">
        <v>18</v>
      </c>
      <c r="E1124" s="1" t="s">
        <v>20</v>
      </c>
      <c r="F1124" s="1" t="s">
        <v>2846</v>
      </c>
      <c r="G1124" s="39" t="s">
        <v>312</v>
      </c>
      <c r="H1124" s="1">
        <v>1</v>
      </c>
      <c r="I1124" s="1">
        <v>1</v>
      </c>
      <c r="J1124" s="39" t="s">
        <v>2821</v>
      </c>
      <c r="K1124" s="1">
        <v>1</v>
      </c>
      <c r="L1124" s="1">
        <v>1</v>
      </c>
      <c r="S1124" s="1" t="s">
        <v>9877</v>
      </c>
      <c r="T1124" s="1">
        <v>1</v>
      </c>
      <c r="U1124" s="19"/>
      <c r="V1124" s="19"/>
      <c r="W1124" s="218">
        <v>1</v>
      </c>
      <c r="X1124" s="218">
        <v>1</v>
      </c>
      <c r="Y1124" s="218">
        <v>1</v>
      </c>
    </row>
    <row r="1125" spans="1:25" ht="14.4" x14ac:dyDescent="0.3">
      <c r="A1125" s="1" t="s">
        <v>2847</v>
      </c>
      <c r="B1125" s="102">
        <v>46186</v>
      </c>
      <c r="C1125" s="6">
        <v>0.41666666666666702</v>
      </c>
      <c r="D1125" s="1" t="s">
        <v>18</v>
      </c>
      <c r="E1125" s="1" t="s">
        <v>20</v>
      </c>
      <c r="F1125" s="1" t="s">
        <v>2848</v>
      </c>
      <c r="G1125" s="39" t="s">
        <v>312</v>
      </c>
      <c r="H1125" s="1">
        <v>3</v>
      </c>
      <c r="I1125" s="1">
        <v>0</v>
      </c>
      <c r="J1125" s="39" t="s">
        <v>2822</v>
      </c>
      <c r="K1125" s="1">
        <v>0</v>
      </c>
      <c r="L1125" s="1">
        <v>3</v>
      </c>
      <c r="S1125" s="1" t="s">
        <v>9878</v>
      </c>
      <c r="T1125">
        <v>1</v>
      </c>
      <c r="U1125" s="19"/>
      <c r="V1125" s="19"/>
      <c r="W1125" s="218">
        <v>1</v>
      </c>
      <c r="X1125" s="218">
        <v>1</v>
      </c>
      <c r="Y1125" s="218">
        <v>1</v>
      </c>
    </row>
    <row r="1126" spans="1:25" x14ac:dyDescent="0.3">
      <c r="A1126" s="1" t="s">
        <v>2851</v>
      </c>
      <c r="B1126" s="102">
        <v>46241</v>
      </c>
      <c r="C1126" s="6">
        <v>0.52083333333333304</v>
      </c>
      <c r="D1126" s="1" t="s">
        <v>18</v>
      </c>
      <c r="E1126" s="1" t="s">
        <v>20</v>
      </c>
      <c r="F1126" s="1" t="s">
        <v>2852</v>
      </c>
      <c r="G1126" s="39" t="s">
        <v>320</v>
      </c>
      <c r="H1126" s="1">
        <v>1</v>
      </c>
      <c r="I1126" s="1">
        <v>0</v>
      </c>
      <c r="J1126" s="39" t="s">
        <v>323</v>
      </c>
      <c r="K1126" s="1">
        <v>0</v>
      </c>
      <c r="L1126" s="1">
        <v>1</v>
      </c>
      <c r="S1126" s="1" t="s">
        <v>9879</v>
      </c>
      <c r="T1126" s="1">
        <v>1</v>
      </c>
      <c r="U1126" s="19"/>
      <c r="V1126" s="19"/>
      <c r="W1126" s="218">
        <v>1</v>
      </c>
      <c r="X1126" s="218">
        <v>1</v>
      </c>
      <c r="Y1126" s="218">
        <v>1</v>
      </c>
    </row>
    <row r="1127" spans="1:25" x14ac:dyDescent="0.3">
      <c r="A1127" s="1" t="s">
        <v>2853</v>
      </c>
      <c r="B1127" s="102">
        <v>46221</v>
      </c>
      <c r="C1127" s="6">
        <v>0.41666666666666702</v>
      </c>
      <c r="D1127" s="1" t="s">
        <v>18</v>
      </c>
      <c r="E1127" s="1" t="s">
        <v>20</v>
      </c>
      <c r="F1127" s="1" t="s">
        <v>2854</v>
      </c>
      <c r="G1127" s="39" t="s">
        <v>2821</v>
      </c>
      <c r="H1127" s="1">
        <v>0</v>
      </c>
      <c r="I1127" s="1">
        <v>1</v>
      </c>
      <c r="J1127" s="39" t="s">
        <v>320</v>
      </c>
      <c r="K1127" s="1">
        <v>1</v>
      </c>
      <c r="L1127" s="1">
        <v>0</v>
      </c>
      <c r="S1127" s="1" t="s">
        <v>9880</v>
      </c>
      <c r="T1127" s="1">
        <v>1</v>
      </c>
      <c r="U1127" s="19"/>
      <c r="V1127" s="19"/>
      <c r="W1127" s="218">
        <v>1</v>
      </c>
      <c r="X1127" s="218">
        <v>1</v>
      </c>
      <c r="Y1127" s="218">
        <v>1</v>
      </c>
    </row>
    <row r="1128" spans="1:25" x14ac:dyDescent="0.3">
      <c r="A1128" s="1" t="s">
        <v>2855</v>
      </c>
      <c r="B1128" s="102">
        <v>46201</v>
      </c>
      <c r="C1128" s="6">
        <v>0.41666666666666702</v>
      </c>
      <c r="D1128" s="1" t="s">
        <v>18</v>
      </c>
      <c r="E1128" s="1" t="s">
        <v>20</v>
      </c>
      <c r="F1128" s="1" t="s">
        <v>2856</v>
      </c>
      <c r="G1128" s="39" t="s">
        <v>2822</v>
      </c>
      <c r="H1128" s="1">
        <v>3</v>
      </c>
      <c r="I1128" s="1">
        <v>1</v>
      </c>
      <c r="J1128" s="39" t="s">
        <v>320</v>
      </c>
      <c r="K1128" s="1">
        <v>1</v>
      </c>
      <c r="L1128" s="1">
        <v>3</v>
      </c>
      <c r="S1128" s="1" t="s">
        <v>9881</v>
      </c>
      <c r="T1128" s="1">
        <v>1</v>
      </c>
      <c r="U1128" s="19"/>
      <c r="V1128" s="19"/>
      <c r="W1128" s="218">
        <v>1</v>
      </c>
      <c r="X1128" s="218">
        <v>1</v>
      </c>
      <c r="Y1128" s="218">
        <v>1</v>
      </c>
    </row>
    <row r="1129" spans="1:25" x14ac:dyDescent="0.3">
      <c r="A1129" s="1" t="s">
        <v>2857</v>
      </c>
      <c r="B1129" s="102">
        <v>46171</v>
      </c>
      <c r="C1129" s="6">
        <v>0.54166666666666696</v>
      </c>
      <c r="D1129" s="1" t="s">
        <v>18</v>
      </c>
      <c r="E1129" s="1" t="s">
        <v>20</v>
      </c>
      <c r="F1129" s="1" t="s">
        <v>2858</v>
      </c>
      <c r="G1129" s="39" t="s">
        <v>2822</v>
      </c>
      <c r="H1129" s="1">
        <v>2</v>
      </c>
      <c r="I1129" s="1">
        <v>1</v>
      </c>
      <c r="J1129" s="39" t="s">
        <v>320</v>
      </c>
      <c r="K1129" s="1">
        <v>1</v>
      </c>
      <c r="L1129" s="1">
        <v>2</v>
      </c>
      <c r="S1129" s="1" t="s">
        <v>9882</v>
      </c>
      <c r="T1129" s="1">
        <v>1</v>
      </c>
      <c r="U1129" s="19"/>
      <c r="V1129" s="19"/>
      <c r="W1129" s="218">
        <v>1</v>
      </c>
      <c r="X1129" s="218">
        <v>1</v>
      </c>
      <c r="Y1129" s="218">
        <v>1</v>
      </c>
    </row>
    <row r="1130" spans="1:25" ht="14.4" x14ac:dyDescent="0.3">
      <c r="A1130" s="1" t="s">
        <v>2859</v>
      </c>
      <c r="B1130" s="102">
        <v>46164</v>
      </c>
      <c r="C1130" s="6">
        <v>0.52083333333333304</v>
      </c>
      <c r="D1130" s="1" t="s">
        <v>18</v>
      </c>
      <c r="E1130" s="1" t="s">
        <v>20</v>
      </c>
      <c r="F1130" s="1" t="s">
        <v>2860</v>
      </c>
      <c r="G1130" s="39" t="s">
        <v>320</v>
      </c>
      <c r="H1130" s="1">
        <v>0</v>
      </c>
      <c r="I1130" s="1">
        <v>2</v>
      </c>
      <c r="J1130" s="39" t="s">
        <v>323</v>
      </c>
      <c r="K1130" s="1">
        <v>2</v>
      </c>
      <c r="L1130" s="1">
        <v>0</v>
      </c>
      <c r="S1130" s="1" t="s">
        <v>9883</v>
      </c>
      <c r="T1130">
        <v>1</v>
      </c>
      <c r="U1130" s="19"/>
      <c r="V1130" s="19"/>
      <c r="W1130" s="218">
        <v>1</v>
      </c>
      <c r="X1130" s="218">
        <v>1</v>
      </c>
      <c r="Y1130" s="218">
        <v>1</v>
      </c>
    </row>
    <row r="1131" spans="1:25" x14ac:dyDescent="0.3">
      <c r="A1131" s="1" t="s">
        <v>2866</v>
      </c>
      <c r="B1131" s="102">
        <v>46242</v>
      </c>
      <c r="C1131" s="6">
        <v>0.5</v>
      </c>
      <c r="D1131" s="1" t="s">
        <v>18</v>
      </c>
      <c r="E1131" s="1" t="s">
        <v>20</v>
      </c>
      <c r="F1131" s="1" t="s">
        <v>2867</v>
      </c>
      <c r="G1131" s="39" t="s">
        <v>2822</v>
      </c>
      <c r="H1131" s="1">
        <v>0</v>
      </c>
      <c r="I1131" s="1">
        <v>1</v>
      </c>
      <c r="J1131" s="39" t="s">
        <v>2821</v>
      </c>
      <c r="K1131" s="1">
        <v>1</v>
      </c>
      <c r="L1131" s="1">
        <v>0</v>
      </c>
      <c r="S1131" s="1" t="s">
        <v>9884</v>
      </c>
      <c r="T1131" s="1">
        <v>1</v>
      </c>
      <c r="U1131" s="19"/>
      <c r="V1131" s="19"/>
      <c r="W1131" s="218">
        <v>1</v>
      </c>
      <c r="X1131" s="218">
        <v>1</v>
      </c>
      <c r="Y1131" s="218">
        <v>1</v>
      </c>
    </row>
    <row r="1132" spans="1:25" x14ac:dyDescent="0.3">
      <c r="A1132" s="1" t="s">
        <v>2868</v>
      </c>
      <c r="B1132" s="102">
        <v>46179</v>
      </c>
      <c r="C1132" s="6">
        <v>0.41666666666666702</v>
      </c>
      <c r="D1132" s="1" t="s">
        <v>18</v>
      </c>
      <c r="E1132" s="1" t="s">
        <v>20</v>
      </c>
      <c r="F1132" s="1" t="s">
        <v>2869</v>
      </c>
      <c r="G1132" s="39" t="s">
        <v>2821</v>
      </c>
      <c r="H1132" s="1">
        <v>1</v>
      </c>
      <c r="I1132" s="1">
        <v>0</v>
      </c>
      <c r="J1132" s="39" t="s">
        <v>323</v>
      </c>
      <c r="K1132" s="1">
        <v>0</v>
      </c>
      <c r="L1132" s="1">
        <v>1</v>
      </c>
      <c r="S1132" s="1" t="s">
        <v>9885</v>
      </c>
      <c r="T1132" s="1">
        <v>1</v>
      </c>
      <c r="U1132" s="19"/>
      <c r="V1132" s="19"/>
      <c r="W1132" s="218">
        <v>1</v>
      </c>
      <c r="X1132" s="218">
        <v>1</v>
      </c>
      <c r="Y1132" s="218">
        <v>1</v>
      </c>
    </row>
    <row r="1133" spans="1:25" x14ac:dyDescent="0.3">
      <c r="A1133" s="1" t="s">
        <v>2870</v>
      </c>
      <c r="B1133" s="102">
        <v>46173</v>
      </c>
      <c r="C1133" s="6">
        <v>0.52083333333333304</v>
      </c>
      <c r="D1133" s="1" t="s">
        <v>18</v>
      </c>
      <c r="E1133" s="1" t="s">
        <v>20</v>
      </c>
      <c r="F1133" s="1" t="s">
        <v>2871</v>
      </c>
      <c r="G1133" s="39" t="s">
        <v>323</v>
      </c>
      <c r="H1133" s="1">
        <v>1</v>
      </c>
      <c r="I1133" s="1">
        <v>0</v>
      </c>
      <c r="J1133" s="39" t="s">
        <v>2821</v>
      </c>
      <c r="K1133" s="1">
        <v>0</v>
      </c>
      <c r="L1133" s="1">
        <v>1</v>
      </c>
      <c r="S1133" s="1" t="s">
        <v>9886</v>
      </c>
      <c r="T1133" s="1">
        <v>1</v>
      </c>
      <c r="U1133" s="19"/>
      <c r="V1133" s="19"/>
      <c r="W1133" s="218">
        <v>1</v>
      </c>
      <c r="X1133" s="218">
        <v>1</v>
      </c>
      <c r="Y1133" s="218">
        <v>1</v>
      </c>
    </row>
    <row r="1134" spans="1:25" ht="14.4" x14ac:dyDescent="0.3">
      <c r="A1134" s="1" t="s">
        <v>2872</v>
      </c>
      <c r="B1134" s="102">
        <v>46165</v>
      </c>
      <c r="C1134" s="6">
        <v>0.45833333333333298</v>
      </c>
      <c r="D1134" s="1" t="s">
        <v>18</v>
      </c>
      <c r="E1134" s="1" t="s">
        <v>20</v>
      </c>
      <c r="F1134" s="1" t="s">
        <v>2873</v>
      </c>
      <c r="G1134" s="39" t="s">
        <v>2821</v>
      </c>
      <c r="H1134" s="1">
        <v>1</v>
      </c>
      <c r="I1134" s="1">
        <v>0</v>
      </c>
      <c r="J1134" s="39" t="s">
        <v>2822</v>
      </c>
      <c r="K1134" s="1">
        <v>0</v>
      </c>
      <c r="L1134" s="1">
        <v>1</v>
      </c>
      <c r="S1134" s="1" t="s">
        <v>9887</v>
      </c>
      <c r="T1134">
        <v>1</v>
      </c>
      <c r="U1134" s="19"/>
      <c r="V1134" s="19"/>
      <c r="W1134" s="218">
        <v>1</v>
      </c>
      <c r="X1134" s="218">
        <v>1</v>
      </c>
      <c r="Y1134" s="218">
        <v>1</v>
      </c>
    </row>
    <row r="1135" spans="1:25" ht="14.4" x14ac:dyDescent="0.3">
      <c r="A1135" s="1" t="s">
        <v>2874</v>
      </c>
      <c r="B1135" s="102">
        <v>46232</v>
      </c>
      <c r="C1135" s="6">
        <v>0.52083333333333304</v>
      </c>
      <c r="D1135" s="1" t="s">
        <v>18</v>
      </c>
      <c r="E1135" s="1" t="s">
        <v>20</v>
      </c>
      <c r="F1135" s="1" t="s">
        <v>2875</v>
      </c>
      <c r="G1135" s="39" t="s">
        <v>323</v>
      </c>
      <c r="H1135" s="1">
        <v>2</v>
      </c>
      <c r="I1135" s="1">
        <v>1</v>
      </c>
      <c r="J1135" s="39" t="s">
        <v>2822</v>
      </c>
      <c r="K1135" s="1">
        <v>1</v>
      </c>
      <c r="L1135" s="1">
        <v>2</v>
      </c>
      <c r="S1135" s="1" t="s">
        <v>9888</v>
      </c>
      <c r="T1135">
        <v>1</v>
      </c>
      <c r="U1135" s="19"/>
      <c r="V1135" s="19"/>
      <c r="W1135" s="218">
        <v>1</v>
      </c>
      <c r="X1135" s="218">
        <v>1</v>
      </c>
      <c r="Y1135" s="218">
        <v>1</v>
      </c>
    </row>
    <row r="1136" spans="1:25" ht="14.4" x14ac:dyDescent="0.3">
      <c r="A1136" s="1" t="s">
        <v>2881</v>
      </c>
      <c r="B1136" s="102">
        <v>46159</v>
      </c>
      <c r="C1136" s="6">
        <v>0.41666666666666702</v>
      </c>
      <c r="D1136" s="1" t="s">
        <v>18</v>
      </c>
      <c r="E1136" s="1" t="s">
        <v>20</v>
      </c>
      <c r="F1136" s="1" t="s">
        <v>2882</v>
      </c>
      <c r="G1136" s="39" t="s">
        <v>2821</v>
      </c>
      <c r="H1136" s="1">
        <v>3</v>
      </c>
      <c r="I1136" s="1">
        <v>0</v>
      </c>
      <c r="J1136" s="39" t="s">
        <v>204</v>
      </c>
      <c r="K1136" s="1">
        <v>0</v>
      </c>
      <c r="L1136" s="1">
        <v>3</v>
      </c>
      <c r="S1136" s="1" t="s">
        <v>9889</v>
      </c>
      <c r="T1136">
        <v>1</v>
      </c>
      <c r="U1136" s="19"/>
      <c r="V1136" s="19"/>
      <c r="W1136" s="218">
        <v>1</v>
      </c>
      <c r="X1136" s="218">
        <v>1</v>
      </c>
      <c r="Y1136" s="218">
        <v>1</v>
      </c>
    </row>
    <row r="1137" spans="1:25" x14ac:dyDescent="0.3">
      <c r="A1137" s="1" t="s">
        <v>2883</v>
      </c>
      <c r="B1137" s="102">
        <v>46239</v>
      </c>
      <c r="C1137" s="6">
        <v>0.52083333333333304</v>
      </c>
      <c r="D1137" s="1" t="s">
        <v>18</v>
      </c>
      <c r="E1137" s="1" t="s">
        <v>21</v>
      </c>
      <c r="F1137" s="1" t="s">
        <v>2884</v>
      </c>
      <c r="G1137" s="39" t="s">
        <v>749</v>
      </c>
      <c r="H1137" s="1">
        <v>6</v>
      </c>
      <c r="I1137" s="1">
        <v>0</v>
      </c>
      <c r="J1137" s="39" t="s">
        <v>760</v>
      </c>
      <c r="K1137" s="1">
        <v>0</v>
      </c>
      <c r="L1137" s="1">
        <v>6</v>
      </c>
      <c r="S1137" s="1" t="s">
        <v>9890</v>
      </c>
      <c r="T1137" s="1">
        <v>1</v>
      </c>
      <c r="U1137" s="19"/>
      <c r="V1137" s="19"/>
      <c r="W1137" s="218">
        <v>1</v>
      </c>
      <c r="X1137" s="218">
        <v>1</v>
      </c>
      <c r="Y1137" s="218">
        <v>1</v>
      </c>
    </row>
    <row r="1138" spans="1:25" x14ac:dyDescent="0.3">
      <c r="A1138" s="1" t="s">
        <v>2885</v>
      </c>
      <c r="B1138" s="102">
        <v>46235</v>
      </c>
      <c r="C1138" s="6">
        <v>0.45833333333333298</v>
      </c>
      <c r="D1138" s="1" t="s">
        <v>18</v>
      </c>
      <c r="E1138" s="1" t="s">
        <v>21</v>
      </c>
      <c r="F1138" s="1" t="s">
        <v>2886</v>
      </c>
      <c r="G1138" s="39" t="s">
        <v>760</v>
      </c>
      <c r="H1138" s="1">
        <v>3</v>
      </c>
      <c r="I1138" s="1">
        <v>0</v>
      </c>
      <c r="J1138" s="39" t="s">
        <v>745</v>
      </c>
      <c r="K1138" s="1">
        <v>0</v>
      </c>
      <c r="L1138" s="1">
        <v>3</v>
      </c>
      <c r="S1138" s="1" t="s">
        <v>9891</v>
      </c>
      <c r="T1138" s="1">
        <v>1</v>
      </c>
      <c r="U1138" s="19"/>
      <c r="V1138" s="19"/>
      <c r="W1138" s="218">
        <v>1</v>
      </c>
      <c r="X1138" s="218">
        <v>1</v>
      </c>
      <c r="Y1138" s="218">
        <v>1</v>
      </c>
    </row>
    <row r="1139" spans="1:25" x14ac:dyDescent="0.3">
      <c r="A1139" s="1" t="s">
        <v>2887</v>
      </c>
      <c r="B1139" s="102">
        <v>46223</v>
      </c>
      <c r="C1139" s="6">
        <v>0.52083333333333304</v>
      </c>
      <c r="D1139" s="1" t="s">
        <v>18</v>
      </c>
      <c r="E1139" s="1" t="s">
        <v>21</v>
      </c>
      <c r="F1139" s="1" t="s">
        <v>2933</v>
      </c>
      <c r="G1139" s="39" t="s">
        <v>760</v>
      </c>
      <c r="H1139" s="1">
        <v>1</v>
      </c>
      <c r="I1139" s="1">
        <v>1</v>
      </c>
      <c r="J1139" s="39" t="s">
        <v>2926</v>
      </c>
      <c r="K1139" s="1">
        <v>1</v>
      </c>
      <c r="L1139" s="1">
        <v>1</v>
      </c>
      <c r="S1139" s="1" t="s">
        <v>9892</v>
      </c>
      <c r="T1139" s="1">
        <v>1</v>
      </c>
      <c r="U1139" s="19"/>
      <c r="V1139" s="19"/>
      <c r="W1139" s="218">
        <v>1</v>
      </c>
      <c r="X1139" s="218">
        <v>1</v>
      </c>
      <c r="Y1139" s="218">
        <v>1</v>
      </c>
    </row>
    <row r="1140" spans="1:25" x14ac:dyDescent="0.3">
      <c r="A1140" s="1" t="s">
        <v>2888</v>
      </c>
      <c r="B1140" s="102">
        <v>46214</v>
      </c>
      <c r="C1140" s="6">
        <v>0.45833333333333298</v>
      </c>
      <c r="D1140" s="1" t="s">
        <v>18</v>
      </c>
      <c r="E1140" s="1" t="s">
        <v>21</v>
      </c>
      <c r="F1140" s="1" t="s">
        <v>2889</v>
      </c>
      <c r="G1140" s="39" t="s">
        <v>760</v>
      </c>
      <c r="H1140" s="1">
        <v>1</v>
      </c>
      <c r="I1140" s="1">
        <v>3</v>
      </c>
      <c r="J1140" s="39" t="s">
        <v>763</v>
      </c>
      <c r="K1140" s="1">
        <v>3</v>
      </c>
      <c r="L1140" s="1">
        <v>1</v>
      </c>
      <c r="S1140" s="1" t="s">
        <v>9893</v>
      </c>
      <c r="T1140" s="1">
        <v>1</v>
      </c>
      <c r="U1140" s="19"/>
      <c r="V1140" s="19"/>
      <c r="W1140" s="218">
        <v>1</v>
      </c>
      <c r="X1140" s="218">
        <v>1</v>
      </c>
      <c r="Y1140" s="218">
        <v>1</v>
      </c>
    </row>
    <row r="1141" spans="1:25" x14ac:dyDescent="0.3">
      <c r="A1141" s="1" t="s">
        <v>2890</v>
      </c>
      <c r="B1141" s="102">
        <v>46205</v>
      </c>
      <c r="C1141" s="6">
        <v>0.54166666666666696</v>
      </c>
      <c r="D1141" s="1" t="s">
        <v>18</v>
      </c>
      <c r="E1141" s="1" t="s">
        <v>21</v>
      </c>
      <c r="F1141" s="1" t="s">
        <v>2891</v>
      </c>
      <c r="G1141" s="39" t="s">
        <v>766</v>
      </c>
      <c r="H1141" s="1">
        <v>0</v>
      </c>
      <c r="I1141" s="1">
        <v>1</v>
      </c>
      <c r="J1141" s="39" t="s">
        <v>760</v>
      </c>
      <c r="K1141" s="1">
        <v>1</v>
      </c>
      <c r="L1141" s="1">
        <v>0</v>
      </c>
      <c r="S1141" s="1" t="s">
        <v>9894</v>
      </c>
      <c r="T1141" s="1">
        <v>1</v>
      </c>
      <c r="U1141" s="19"/>
      <c r="V1141" s="19"/>
      <c r="W1141" s="218">
        <v>1</v>
      </c>
      <c r="X1141" s="218">
        <v>1</v>
      </c>
      <c r="Y1141" s="218">
        <v>1</v>
      </c>
    </row>
    <row r="1142" spans="1:25" x14ac:dyDescent="0.3">
      <c r="A1142" s="1" t="s">
        <v>2892</v>
      </c>
      <c r="B1142" s="102">
        <v>46201</v>
      </c>
      <c r="C1142" s="6">
        <v>0.52083333333333304</v>
      </c>
      <c r="D1142" s="1" t="s">
        <v>18</v>
      </c>
      <c r="E1142" s="1" t="s">
        <v>21</v>
      </c>
      <c r="F1142" s="1" t="s">
        <v>2893</v>
      </c>
      <c r="G1142" s="39" t="s">
        <v>760</v>
      </c>
      <c r="H1142" s="1">
        <v>1</v>
      </c>
      <c r="I1142" s="1">
        <v>3</v>
      </c>
      <c r="J1142" s="39" t="s">
        <v>757</v>
      </c>
      <c r="K1142" s="1">
        <v>3</v>
      </c>
      <c r="L1142" s="1">
        <v>1</v>
      </c>
      <c r="S1142" s="1" t="s">
        <v>9895</v>
      </c>
      <c r="T1142" s="1">
        <v>1</v>
      </c>
      <c r="U1142" s="19"/>
      <c r="V1142" s="19"/>
      <c r="W1142" s="218">
        <v>1</v>
      </c>
      <c r="X1142" s="218">
        <v>1</v>
      </c>
      <c r="Y1142" s="218">
        <v>1</v>
      </c>
    </row>
    <row r="1143" spans="1:25" ht="14.4" x14ac:dyDescent="0.3">
      <c r="A1143" s="1" t="s">
        <v>2894</v>
      </c>
      <c r="B1143" s="102">
        <v>46165</v>
      </c>
      <c r="C1143" s="6">
        <v>0.29166666666666702</v>
      </c>
      <c r="D1143" s="1" t="s">
        <v>18</v>
      </c>
      <c r="E1143" s="1" t="s">
        <v>21</v>
      </c>
      <c r="F1143" s="1" t="s">
        <v>2895</v>
      </c>
      <c r="G1143" s="39" t="s">
        <v>752</v>
      </c>
      <c r="H1143" s="1">
        <v>5</v>
      </c>
      <c r="I1143" s="1">
        <v>0</v>
      </c>
      <c r="J1143" s="39" t="s">
        <v>760</v>
      </c>
      <c r="K1143" s="1">
        <v>0</v>
      </c>
      <c r="L1143" s="1">
        <v>5</v>
      </c>
      <c r="S1143" s="1" t="s">
        <v>9896</v>
      </c>
      <c r="T1143">
        <v>1</v>
      </c>
      <c r="U1143" s="19"/>
      <c r="V1143" s="19"/>
      <c r="W1143" s="218">
        <v>1</v>
      </c>
      <c r="X1143" s="218">
        <v>1</v>
      </c>
      <c r="Y1143" s="218">
        <v>1</v>
      </c>
    </row>
    <row r="1144" spans="1:25" x14ac:dyDescent="0.3">
      <c r="A1144" s="1" t="s">
        <v>2896</v>
      </c>
      <c r="B1144" s="102">
        <v>46225</v>
      </c>
      <c r="C1144" s="6">
        <v>0.54166666666666696</v>
      </c>
      <c r="D1144" s="1" t="s">
        <v>18</v>
      </c>
      <c r="E1144" s="1" t="s">
        <v>21</v>
      </c>
      <c r="F1144" s="1" t="s">
        <v>2897</v>
      </c>
      <c r="G1144" s="39" t="s">
        <v>757</v>
      </c>
      <c r="H1144" s="1">
        <v>1</v>
      </c>
      <c r="I1144" s="1">
        <v>3</v>
      </c>
      <c r="J1144" s="39" t="s">
        <v>752</v>
      </c>
      <c r="K1144" s="1">
        <v>3</v>
      </c>
      <c r="L1144" s="1">
        <v>1</v>
      </c>
      <c r="S1144" s="1" t="s">
        <v>9897</v>
      </c>
      <c r="T1144" s="1">
        <v>1</v>
      </c>
      <c r="U1144" s="19"/>
      <c r="V1144" s="19"/>
      <c r="W1144" s="218">
        <v>1</v>
      </c>
      <c r="X1144" s="218">
        <v>1</v>
      </c>
      <c r="Y1144" s="218">
        <v>1</v>
      </c>
    </row>
    <row r="1145" spans="1:25" x14ac:dyDescent="0.3">
      <c r="A1145" s="1" t="s">
        <v>2898</v>
      </c>
      <c r="B1145" s="102">
        <v>46221</v>
      </c>
      <c r="C1145" s="6">
        <v>0.45833333333333298</v>
      </c>
      <c r="D1145" s="1" t="s">
        <v>18</v>
      </c>
      <c r="E1145" s="1" t="s">
        <v>21</v>
      </c>
      <c r="F1145" s="1" t="s">
        <v>2899</v>
      </c>
      <c r="G1145" s="39" t="s">
        <v>752</v>
      </c>
      <c r="H1145" s="1">
        <v>0</v>
      </c>
      <c r="I1145" s="1">
        <v>1</v>
      </c>
      <c r="J1145" s="39" t="s">
        <v>749</v>
      </c>
      <c r="K1145" s="1">
        <v>1</v>
      </c>
      <c r="L1145" s="1">
        <v>0</v>
      </c>
      <c r="S1145" s="1" t="s">
        <v>9898</v>
      </c>
      <c r="T1145" s="1">
        <v>1</v>
      </c>
      <c r="U1145" s="19"/>
      <c r="V1145" s="19"/>
      <c r="W1145" s="218">
        <v>1</v>
      </c>
      <c r="X1145" s="218">
        <v>1</v>
      </c>
      <c r="Y1145" s="218">
        <v>1</v>
      </c>
    </row>
    <row r="1146" spans="1:25" x14ac:dyDescent="0.3">
      <c r="A1146" s="1" t="s">
        <v>2900</v>
      </c>
      <c r="B1146" s="102">
        <v>46207</v>
      </c>
      <c r="C1146" s="6">
        <v>0.41666666666666702</v>
      </c>
      <c r="D1146" s="1" t="s">
        <v>18</v>
      </c>
      <c r="E1146" s="1" t="s">
        <v>21</v>
      </c>
      <c r="F1146" s="1" t="s">
        <v>2901</v>
      </c>
      <c r="G1146" s="39" t="s">
        <v>745</v>
      </c>
      <c r="H1146" s="1">
        <v>2</v>
      </c>
      <c r="I1146" s="1">
        <v>2</v>
      </c>
      <c r="J1146" s="39" t="s">
        <v>752</v>
      </c>
      <c r="K1146" s="1">
        <v>2</v>
      </c>
      <c r="L1146" s="1">
        <v>2</v>
      </c>
      <c r="S1146" s="1" t="s">
        <v>9899</v>
      </c>
      <c r="T1146" s="1">
        <v>1</v>
      </c>
      <c r="U1146" s="19"/>
      <c r="V1146" s="19"/>
      <c r="W1146" s="218">
        <v>1</v>
      </c>
      <c r="X1146" s="218">
        <v>1</v>
      </c>
      <c r="Y1146" s="218">
        <v>1</v>
      </c>
    </row>
    <row r="1147" spans="1:25" x14ac:dyDescent="0.3">
      <c r="A1147" s="1" t="s">
        <v>2902</v>
      </c>
      <c r="B1147" s="102">
        <v>46202</v>
      </c>
      <c r="C1147" s="6">
        <v>0.52083333333333304</v>
      </c>
      <c r="D1147" s="1" t="s">
        <v>18</v>
      </c>
      <c r="E1147" s="1" t="s">
        <v>21</v>
      </c>
      <c r="F1147" s="1" t="s">
        <v>2903</v>
      </c>
      <c r="G1147" s="39" t="s">
        <v>752</v>
      </c>
      <c r="H1147" s="1">
        <v>2</v>
      </c>
      <c r="I1147" s="1">
        <v>1</v>
      </c>
      <c r="J1147" s="39" t="s">
        <v>763</v>
      </c>
      <c r="K1147" s="1">
        <v>1</v>
      </c>
      <c r="L1147" s="1">
        <v>2</v>
      </c>
      <c r="S1147" s="1" t="s">
        <v>9900</v>
      </c>
      <c r="T1147" s="1">
        <v>1</v>
      </c>
      <c r="U1147" s="19"/>
      <c r="V1147" s="19"/>
      <c r="W1147" s="218">
        <v>1</v>
      </c>
      <c r="X1147" s="218">
        <v>1</v>
      </c>
      <c r="Y1147" s="218">
        <v>1</v>
      </c>
    </row>
    <row r="1148" spans="1:25" ht="14.4" x14ac:dyDescent="0.3">
      <c r="A1148" s="1" t="s">
        <v>2904</v>
      </c>
      <c r="B1148" s="102">
        <v>46186</v>
      </c>
      <c r="C1148" s="6">
        <v>0.52083333333333304</v>
      </c>
      <c r="D1148" s="1" t="s">
        <v>18</v>
      </c>
      <c r="E1148" s="1" t="s">
        <v>21</v>
      </c>
      <c r="F1148" s="1" t="s">
        <v>2934</v>
      </c>
      <c r="G1148" s="39" t="s">
        <v>752</v>
      </c>
      <c r="H1148" s="1">
        <v>0</v>
      </c>
      <c r="I1148" s="1">
        <v>2</v>
      </c>
      <c r="J1148" s="39" t="s">
        <v>2926</v>
      </c>
      <c r="K1148" s="1">
        <v>2</v>
      </c>
      <c r="L1148" s="1">
        <v>0</v>
      </c>
      <c r="S1148" s="1" t="s">
        <v>9901</v>
      </c>
      <c r="T1148">
        <v>1</v>
      </c>
      <c r="U1148" s="19"/>
      <c r="V1148" s="19"/>
      <c r="W1148" s="218">
        <v>1</v>
      </c>
      <c r="X1148" s="218">
        <v>1</v>
      </c>
      <c r="Y1148" s="218">
        <v>1</v>
      </c>
    </row>
    <row r="1149" spans="1:25" x14ac:dyDescent="0.3">
      <c r="A1149" s="1" t="s">
        <v>2905</v>
      </c>
      <c r="B1149" s="102">
        <v>46227</v>
      </c>
      <c r="C1149" s="6">
        <v>0.54166666666666696</v>
      </c>
      <c r="D1149" s="1" t="s">
        <v>18</v>
      </c>
      <c r="E1149" s="1" t="s">
        <v>21</v>
      </c>
      <c r="F1149" s="1" t="s">
        <v>2906</v>
      </c>
      <c r="G1149" s="39" t="s">
        <v>766</v>
      </c>
      <c r="H1149" s="1">
        <v>4</v>
      </c>
      <c r="I1149" s="1">
        <v>0</v>
      </c>
      <c r="J1149" s="39" t="s">
        <v>763</v>
      </c>
      <c r="K1149" s="1">
        <v>0</v>
      </c>
      <c r="L1149" s="1">
        <v>4</v>
      </c>
      <c r="S1149" s="1" t="s">
        <v>9902</v>
      </c>
      <c r="T1149" s="1">
        <v>1</v>
      </c>
      <c r="U1149" s="19"/>
      <c r="V1149" s="19"/>
      <c r="W1149" s="218">
        <v>1</v>
      </c>
      <c r="X1149" s="218">
        <v>1</v>
      </c>
      <c r="Y1149" s="218">
        <v>1</v>
      </c>
    </row>
    <row r="1150" spans="1:25" x14ac:dyDescent="0.3">
      <c r="A1150" s="1" t="s">
        <v>2907</v>
      </c>
      <c r="B1150" s="102">
        <v>46214</v>
      </c>
      <c r="C1150" s="6">
        <v>0.41666666666666702</v>
      </c>
      <c r="D1150" s="1" t="s">
        <v>18</v>
      </c>
      <c r="E1150" s="1" t="s">
        <v>21</v>
      </c>
      <c r="F1150" s="1" t="s">
        <v>2908</v>
      </c>
      <c r="G1150" s="39" t="s">
        <v>757</v>
      </c>
      <c r="H1150" s="1">
        <v>2</v>
      </c>
      <c r="I1150" s="1">
        <v>1</v>
      </c>
      <c r="J1150" s="39" t="s">
        <v>766</v>
      </c>
      <c r="K1150" s="1">
        <v>1</v>
      </c>
      <c r="L1150" s="1">
        <v>2</v>
      </c>
      <c r="S1150" s="1" t="s">
        <v>9903</v>
      </c>
      <c r="T1150" s="1">
        <v>1</v>
      </c>
      <c r="U1150" s="19"/>
      <c r="V1150" s="19"/>
      <c r="W1150" s="218">
        <v>1</v>
      </c>
      <c r="X1150" s="218">
        <v>1</v>
      </c>
      <c r="Y1150" s="218">
        <v>1</v>
      </c>
    </row>
    <row r="1151" spans="1:25" x14ac:dyDescent="0.3">
      <c r="A1151" s="1" t="s">
        <v>2909</v>
      </c>
      <c r="B1151" s="102">
        <v>46198</v>
      </c>
      <c r="C1151" s="6">
        <v>0.54166666666666696</v>
      </c>
      <c r="D1151" s="1" t="s">
        <v>18</v>
      </c>
      <c r="E1151" s="1" t="s">
        <v>21</v>
      </c>
      <c r="F1151" s="1" t="s">
        <v>2910</v>
      </c>
      <c r="G1151" s="39" t="s">
        <v>766</v>
      </c>
      <c r="H1151" s="1">
        <v>0</v>
      </c>
      <c r="I1151" s="1">
        <v>1</v>
      </c>
      <c r="J1151" s="39" t="s">
        <v>749</v>
      </c>
      <c r="K1151" s="1">
        <v>1</v>
      </c>
      <c r="L1151" s="1">
        <v>0</v>
      </c>
      <c r="S1151" s="1" t="s">
        <v>9904</v>
      </c>
      <c r="T1151" s="1">
        <v>1</v>
      </c>
      <c r="U1151" s="19"/>
      <c r="V1151" s="19"/>
      <c r="W1151" s="218">
        <v>1</v>
      </c>
      <c r="X1151" s="218">
        <v>1</v>
      </c>
      <c r="Y1151" s="218">
        <v>1</v>
      </c>
    </row>
    <row r="1152" spans="1:25" x14ac:dyDescent="0.3">
      <c r="A1152" s="1" t="s">
        <v>2911</v>
      </c>
      <c r="B1152" s="102">
        <v>46170</v>
      </c>
      <c r="C1152" s="6">
        <v>0.52083333333333304</v>
      </c>
      <c r="D1152" s="1" t="s">
        <v>18</v>
      </c>
      <c r="E1152" s="1" t="s">
        <v>21</v>
      </c>
      <c r="F1152" s="1" t="s">
        <v>2912</v>
      </c>
      <c r="G1152" s="39" t="s">
        <v>766</v>
      </c>
      <c r="H1152" s="1">
        <v>1</v>
      </c>
      <c r="I1152" s="1">
        <v>2</v>
      </c>
      <c r="J1152" s="39" t="s">
        <v>745</v>
      </c>
      <c r="K1152" s="1">
        <v>2</v>
      </c>
      <c r="L1152" s="1">
        <v>1</v>
      </c>
      <c r="S1152" s="1" t="s">
        <v>9905</v>
      </c>
      <c r="T1152" s="1">
        <v>1</v>
      </c>
      <c r="U1152" s="19"/>
      <c r="V1152" s="19"/>
      <c r="W1152" s="218">
        <v>1</v>
      </c>
      <c r="X1152" s="218">
        <v>1</v>
      </c>
      <c r="Y1152" s="218">
        <v>1</v>
      </c>
    </row>
    <row r="1153" spans="1:25" x14ac:dyDescent="0.3">
      <c r="A1153" s="1" t="s">
        <v>2913</v>
      </c>
      <c r="B1153" s="102">
        <v>46158</v>
      </c>
      <c r="C1153" s="6">
        <v>0.375</v>
      </c>
      <c r="D1153" s="1" t="s">
        <v>18</v>
      </c>
      <c r="E1153" s="1" t="s">
        <v>21</v>
      </c>
      <c r="F1153" s="1" t="s">
        <v>2935</v>
      </c>
      <c r="G1153" s="39" t="s">
        <v>766</v>
      </c>
      <c r="H1153" s="1">
        <v>2</v>
      </c>
      <c r="I1153" s="1">
        <v>1</v>
      </c>
      <c r="J1153" s="39" t="s">
        <v>2926</v>
      </c>
      <c r="K1153" s="1">
        <v>1</v>
      </c>
      <c r="L1153" s="1">
        <v>2</v>
      </c>
      <c r="S1153" s="1" t="s">
        <v>9906</v>
      </c>
      <c r="T1153" s="1">
        <v>1</v>
      </c>
      <c r="U1153" s="19"/>
      <c r="V1153" s="19"/>
      <c r="W1153" s="218">
        <v>1</v>
      </c>
      <c r="X1153" s="218">
        <v>0</v>
      </c>
      <c r="Y1153" s="218">
        <v>1</v>
      </c>
    </row>
    <row r="1154" spans="1:25" ht="14.4" x14ac:dyDescent="0.3">
      <c r="A1154" s="1" t="s">
        <v>2914</v>
      </c>
      <c r="B1154" s="102">
        <v>46151</v>
      </c>
      <c r="C1154" s="6">
        <v>0.45833333333333298</v>
      </c>
      <c r="D1154" s="1" t="s">
        <v>18</v>
      </c>
      <c r="E1154" s="1" t="s">
        <v>21</v>
      </c>
      <c r="F1154" s="1" t="s">
        <v>2915</v>
      </c>
      <c r="G1154" s="39" t="s">
        <v>163</v>
      </c>
      <c r="H1154" s="1">
        <v>1</v>
      </c>
      <c r="I1154" s="1">
        <v>2</v>
      </c>
      <c r="J1154" s="39" t="s">
        <v>766</v>
      </c>
      <c r="K1154" s="1">
        <v>2</v>
      </c>
      <c r="L1154" s="1">
        <v>1</v>
      </c>
      <c r="S1154" s="1" t="s">
        <v>9907</v>
      </c>
      <c r="T1154">
        <v>1</v>
      </c>
      <c r="U1154" s="19"/>
      <c r="V1154" s="19"/>
      <c r="W1154" s="218">
        <v>0</v>
      </c>
      <c r="X1154" s="218">
        <v>0</v>
      </c>
      <c r="Y1154" s="218">
        <v>0</v>
      </c>
    </row>
    <row r="1155" spans="1:25" x14ac:dyDescent="0.3">
      <c r="A1155" s="1" t="s">
        <v>2916</v>
      </c>
      <c r="B1155" s="102">
        <v>46234</v>
      </c>
      <c r="C1155" s="6">
        <v>0.52083333333333304</v>
      </c>
      <c r="D1155" s="1" t="s">
        <v>18</v>
      </c>
      <c r="E1155" s="1" t="s">
        <v>21</v>
      </c>
      <c r="F1155" s="1" t="s">
        <v>2917</v>
      </c>
      <c r="G1155" s="39" t="s">
        <v>757</v>
      </c>
      <c r="H1155" s="1">
        <v>4</v>
      </c>
      <c r="I1155" s="1">
        <v>4</v>
      </c>
      <c r="J1155" s="39" t="s">
        <v>749</v>
      </c>
      <c r="K1155" s="1">
        <v>4</v>
      </c>
      <c r="L1155" s="1">
        <v>4</v>
      </c>
      <c r="S1155" s="1" t="s">
        <v>9908</v>
      </c>
      <c r="T1155" s="1">
        <v>1</v>
      </c>
      <c r="U1155" s="19"/>
      <c r="V1155" s="19"/>
      <c r="W1155" s="218">
        <v>1</v>
      </c>
      <c r="X1155" s="218">
        <v>1</v>
      </c>
      <c r="Y1155" s="218">
        <v>1</v>
      </c>
    </row>
    <row r="1156" spans="1:25" x14ac:dyDescent="0.3">
      <c r="A1156" s="1" t="s">
        <v>2918</v>
      </c>
      <c r="B1156" s="102">
        <v>46213</v>
      </c>
      <c r="C1156" s="6">
        <v>0.52083333333333304</v>
      </c>
      <c r="D1156" s="1" t="s">
        <v>18</v>
      </c>
      <c r="E1156" s="1" t="s">
        <v>21</v>
      </c>
      <c r="F1156" s="1" t="s">
        <v>2919</v>
      </c>
      <c r="G1156" s="39" t="s">
        <v>749</v>
      </c>
      <c r="H1156" s="1">
        <v>0</v>
      </c>
      <c r="I1156" s="1">
        <v>1</v>
      </c>
      <c r="J1156" s="39" t="s">
        <v>745</v>
      </c>
      <c r="K1156" s="1">
        <v>1</v>
      </c>
      <c r="L1156" s="1">
        <v>0</v>
      </c>
      <c r="S1156" s="1" t="s">
        <v>9909</v>
      </c>
      <c r="T1156" s="1">
        <v>1</v>
      </c>
      <c r="U1156" s="19"/>
      <c r="V1156" s="19"/>
      <c r="W1156" s="218">
        <v>1</v>
      </c>
      <c r="X1156" s="218">
        <v>1</v>
      </c>
      <c r="Y1156" s="218">
        <v>1</v>
      </c>
    </row>
    <row r="1157" spans="1:25" x14ac:dyDescent="0.3">
      <c r="A1157" s="1" t="s">
        <v>2920</v>
      </c>
      <c r="B1157" s="102">
        <v>46179</v>
      </c>
      <c r="C1157" s="6">
        <v>0.41666666666666702</v>
      </c>
      <c r="D1157" s="1" t="s">
        <v>18</v>
      </c>
      <c r="E1157" s="1" t="s">
        <v>21</v>
      </c>
      <c r="F1157" s="1" t="s">
        <v>2936</v>
      </c>
      <c r="G1157" s="39" t="s">
        <v>2926</v>
      </c>
      <c r="H1157" s="1">
        <v>0</v>
      </c>
      <c r="I1157" s="1">
        <v>1</v>
      </c>
      <c r="J1157" s="39" t="s">
        <v>749</v>
      </c>
      <c r="K1157" s="1">
        <v>1</v>
      </c>
      <c r="L1157" s="1">
        <v>0</v>
      </c>
      <c r="S1157" s="1" t="s">
        <v>9910</v>
      </c>
      <c r="T1157" s="1">
        <v>1</v>
      </c>
      <c r="U1157" s="19"/>
      <c r="V1157" s="19"/>
      <c r="W1157" s="218">
        <v>1</v>
      </c>
      <c r="X1157" s="218">
        <v>1</v>
      </c>
      <c r="Y1157" s="218">
        <v>1</v>
      </c>
    </row>
    <row r="1158" spans="1:25" ht="14.4" x14ac:dyDescent="0.3">
      <c r="A1158" s="1" t="s">
        <v>2921</v>
      </c>
      <c r="B1158" s="102">
        <v>46171</v>
      </c>
      <c r="C1158" s="6">
        <v>0.54166666666666696</v>
      </c>
      <c r="D1158" s="1" t="s">
        <v>18</v>
      </c>
      <c r="E1158" s="1" t="s">
        <v>21</v>
      </c>
      <c r="F1158" s="1" t="s">
        <v>2922</v>
      </c>
      <c r="G1158" s="39" t="s">
        <v>763</v>
      </c>
      <c r="H1158" s="1">
        <v>0</v>
      </c>
      <c r="I1158" s="1">
        <v>3</v>
      </c>
      <c r="J1158" s="39" t="s">
        <v>749</v>
      </c>
      <c r="K1158" s="1">
        <v>3</v>
      </c>
      <c r="L1158" s="1">
        <v>0</v>
      </c>
      <c r="S1158" s="1" t="s">
        <v>9911</v>
      </c>
      <c r="T1158">
        <v>1</v>
      </c>
      <c r="U1158" s="19"/>
      <c r="V1158" s="19"/>
      <c r="W1158" s="218">
        <v>1</v>
      </c>
      <c r="X1158" s="218">
        <v>1</v>
      </c>
      <c r="Y1158" s="218">
        <v>1</v>
      </c>
    </row>
    <row r="1159" spans="1:25" x14ac:dyDescent="0.3">
      <c r="A1159" s="1" t="s">
        <v>2923</v>
      </c>
      <c r="B1159" s="102">
        <v>46228</v>
      </c>
      <c r="C1159" s="6">
        <v>0.41666666666666702</v>
      </c>
      <c r="D1159" s="1" t="s">
        <v>18</v>
      </c>
      <c r="E1159" s="1" t="s">
        <v>21</v>
      </c>
      <c r="F1159" s="1" t="s">
        <v>2924</v>
      </c>
      <c r="G1159" s="39" t="s">
        <v>745</v>
      </c>
      <c r="H1159" s="1">
        <v>0</v>
      </c>
      <c r="I1159" s="1">
        <v>1</v>
      </c>
      <c r="J1159" s="39" t="s">
        <v>757</v>
      </c>
      <c r="K1159" s="1">
        <v>1</v>
      </c>
      <c r="L1159" s="1">
        <v>0</v>
      </c>
      <c r="S1159" s="1" t="s">
        <v>9912</v>
      </c>
      <c r="T1159" s="1">
        <v>1</v>
      </c>
      <c r="U1159" s="19"/>
      <c r="V1159" s="19"/>
      <c r="W1159" s="218">
        <v>1</v>
      </c>
      <c r="X1159" s="218">
        <v>1</v>
      </c>
      <c r="Y1159" s="218">
        <v>1</v>
      </c>
    </row>
    <row r="1160" spans="1:25" ht="14.4" x14ac:dyDescent="0.3">
      <c r="A1160" s="1" t="s">
        <v>2925</v>
      </c>
      <c r="B1160" s="102">
        <v>46200</v>
      </c>
      <c r="C1160" s="6">
        <v>0.67708333333333304</v>
      </c>
      <c r="D1160" s="1" t="s">
        <v>18</v>
      </c>
      <c r="E1160" s="1" t="s">
        <v>21</v>
      </c>
      <c r="F1160" s="1" t="s">
        <v>2937</v>
      </c>
      <c r="G1160" s="39" t="s">
        <v>2926</v>
      </c>
      <c r="H1160" s="1">
        <v>2</v>
      </c>
      <c r="I1160" s="1">
        <v>2</v>
      </c>
      <c r="J1160" s="39" t="s">
        <v>745</v>
      </c>
      <c r="K1160" s="1">
        <v>2</v>
      </c>
      <c r="L1160" s="1">
        <v>2</v>
      </c>
      <c r="S1160" s="1" t="s">
        <v>9913</v>
      </c>
      <c r="T1160">
        <v>1</v>
      </c>
      <c r="U1160" s="19"/>
      <c r="V1160" s="19"/>
      <c r="W1160" s="218">
        <v>1</v>
      </c>
      <c r="X1160" s="218">
        <v>1</v>
      </c>
      <c r="Y1160" s="218">
        <v>1</v>
      </c>
    </row>
    <row r="1161" spans="1:25" ht="14.4" x14ac:dyDescent="0.3">
      <c r="A1161" s="1" t="s">
        <v>2938</v>
      </c>
      <c r="B1161" s="102">
        <v>46235</v>
      </c>
      <c r="C1161" s="6">
        <v>0.5</v>
      </c>
      <c r="D1161" s="1" t="s">
        <v>18</v>
      </c>
      <c r="E1161" s="1" t="s">
        <v>21</v>
      </c>
      <c r="F1161" s="1" t="s">
        <v>2939</v>
      </c>
      <c r="G1161" s="39" t="s">
        <v>763</v>
      </c>
      <c r="H1161" s="1">
        <v>6</v>
      </c>
      <c r="I1161" s="1">
        <v>3</v>
      </c>
      <c r="J1161" s="39" t="s">
        <v>2926</v>
      </c>
      <c r="K1161" s="1">
        <v>3</v>
      </c>
      <c r="L1161" s="1">
        <v>6</v>
      </c>
      <c r="S1161" s="1" t="s">
        <v>9914</v>
      </c>
      <c r="T1161">
        <v>1</v>
      </c>
      <c r="U1161" s="19"/>
      <c r="V1161" s="19"/>
      <c r="W1161" s="218">
        <v>1</v>
      </c>
      <c r="X1161" s="218">
        <v>1</v>
      </c>
      <c r="Y1161" s="218">
        <v>1</v>
      </c>
    </row>
    <row r="1162" spans="1:25" ht="14.4" x14ac:dyDescent="0.3">
      <c r="A1162" s="1" t="s">
        <v>2940</v>
      </c>
      <c r="B1162" s="102">
        <v>46208</v>
      </c>
      <c r="C1162" s="6">
        <v>0.41666666666666702</v>
      </c>
      <c r="D1162" s="1" t="s">
        <v>18</v>
      </c>
      <c r="E1162" s="1" t="s">
        <v>21</v>
      </c>
      <c r="F1162" s="1" t="s">
        <v>2941</v>
      </c>
      <c r="G1162" s="39" t="s">
        <v>2926</v>
      </c>
      <c r="H1162" s="1">
        <v>4</v>
      </c>
      <c r="I1162" s="1">
        <v>3</v>
      </c>
      <c r="J1162" s="39" t="s">
        <v>757</v>
      </c>
      <c r="K1162" s="1">
        <v>3</v>
      </c>
      <c r="L1162" s="1">
        <v>4</v>
      </c>
      <c r="S1162" s="1" t="s">
        <v>9915</v>
      </c>
      <c r="T1162">
        <v>1</v>
      </c>
      <c r="U1162" s="19"/>
      <c r="V1162" s="19"/>
      <c r="W1162" s="218">
        <v>1</v>
      </c>
      <c r="X1162" s="218">
        <v>1</v>
      </c>
      <c r="Y1162" s="218">
        <v>1</v>
      </c>
    </row>
    <row r="1163" spans="1:25" x14ac:dyDescent="0.3">
      <c r="A1163" s="1" t="s">
        <v>2942</v>
      </c>
      <c r="B1163" s="102">
        <v>46187</v>
      </c>
      <c r="C1163" s="6">
        <v>0.33333333333333298</v>
      </c>
      <c r="D1163" s="1" t="s">
        <v>18</v>
      </c>
      <c r="E1163" s="1" t="s">
        <v>21</v>
      </c>
      <c r="F1163" s="1" t="s">
        <v>2943</v>
      </c>
      <c r="G1163" s="39" t="s">
        <v>757</v>
      </c>
      <c r="H1163" s="1">
        <v>2</v>
      </c>
      <c r="I1163" s="1">
        <v>2</v>
      </c>
      <c r="J1163" s="39" t="s">
        <v>763</v>
      </c>
      <c r="K1163" s="1">
        <v>2</v>
      </c>
      <c r="L1163" s="1">
        <v>2</v>
      </c>
      <c r="S1163" s="1" t="s">
        <v>9916</v>
      </c>
      <c r="T1163" s="1">
        <v>1</v>
      </c>
      <c r="U1163" s="19"/>
      <c r="V1163" s="19"/>
      <c r="W1163" s="218">
        <v>1</v>
      </c>
      <c r="X1163" s="218">
        <v>1</v>
      </c>
      <c r="Y1163" s="218">
        <v>1</v>
      </c>
    </row>
    <row r="1164" spans="1:25" ht="14.4" x14ac:dyDescent="0.3">
      <c r="A1164" s="1" t="s">
        <v>2944</v>
      </c>
      <c r="B1164" s="102">
        <v>46165</v>
      </c>
      <c r="C1164" s="6">
        <v>0.41666666666666702</v>
      </c>
      <c r="D1164" s="1" t="s">
        <v>18</v>
      </c>
      <c r="E1164" s="1" t="s">
        <v>21</v>
      </c>
      <c r="F1164" s="1" t="s">
        <v>2945</v>
      </c>
      <c r="G1164" s="39" t="s">
        <v>745</v>
      </c>
      <c r="H1164" s="1">
        <v>4</v>
      </c>
      <c r="I1164" s="1">
        <v>2</v>
      </c>
      <c r="J1164" s="39" t="s">
        <v>763</v>
      </c>
      <c r="K1164" s="1">
        <v>2</v>
      </c>
      <c r="L1164" s="1">
        <v>4</v>
      </c>
      <c r="S1164" s="1" t="s">
        <v>9917</v>
      </c>
      <c r="T1164">
        <v>1</v>
      </c>
      <c r="U1164" s="19"/>
      <c r="V1164" s="19"/>
      <c r="W1164" s="218">
        <v>1</v>
      </c>
      <c r="X1164" s="218">
        <v>1</v>
      </c>
      <c r="Y1164" s="218">
        <v>1</v>
      </c>
    </row>
    <row r="1165" spans="1:25" x14ac:dyDescent="0.3">
      <c r="A1165" s="1" t="s">
        <v>2947</v>
      </c>
      <c r="B1165" s="102">
        <v>46221</v>
      </c>
      <c r="C1165" s="6">
        <v>0.29166666666666702</v>
      </c>
      <c r="D1165" s="1" t="s">
        <v>18</v>
      </c>
      <c r="E1165" s="1" t="s">
        <v>23</v>
      </c>
      <c r="F1165" s="1" t="s">
        <v>2948</v>
      </c>
      <c r="G1165" s="39" t="s">
        <v>211</v>
      </c>
      <c r="H1165" s="1">
        <v>5</v>
      </c>
      <c r="I1165" s="1">
        <v>3</v>
      </c>
      <c r="J1165" s="39" t="s">
        <v>565</v>
      </c>
      <c r="K1165" s="1">
        <v>3</v>
      </c>
      <c r="L1165" s="1">
        <v>5</v>
      </c>
      <c r="S1165" s="1" t="s">
        <v>9918</v>
      </c>
      <c r="T1165" s="1">
        <v>1</v>
      </c>
      <c r="U1165" s="19"/>
      <c r="V1165" s="19"/>
      <c r="W1165" s="218">
        <v>1</v>
      </c>
      <c r="X1165" s="218">
        <v>1</v>
      </c>
      <c r="Y1165" s="218">
        <v>1</v>
      </c>
    </row>
    <row r="1166" spans="1:25" x14ac:dyDescent="0.3">
      <c r="A1166" s="1" t="s">
        <v>2949</v>
      </c>
      <c r="B1166" s="102">
        <v>46207</v>
      </c>
      <c r="C1166" s="6">
        <v>0.33333333333333298</v>
      </c>
      <c r="D1166" s="1" t="s">
        <v>18</v>
      </c>
      <c r="E1166" s="1" t="s">
        <v>23</v>
      </c>
      <c r="F1166" s="1" t="s">
        <v>2950</v>
      </c>
      <c r="G1166" s="39" t="s">
        <v>211</v>
      </c>
      <c r="H1166" s="1">
        <v>2</v>
      </c>
      <c r="I1166" s="1">
        <v>2</v>
      </c>
      <c r="J1166" s="39" t="s">
        <v>571</v>
      </c>
      <c r="K1166" s="1">
        <v>2</v>
      </c>
      <c r="L1166" s="1">
        <v>2</v>
      </c>
      <c r="S1166" s="1" t="s">
        <v>9919</v>
      </c>
      <c r="T1166" s="1">
        <v>1</v>
      </c>
      <c r="U1166" s="19"/>
      <c r="V1166" s="19"/>
      <c r="W1166" s="218">
        <v>1</v>
      </c>
      <c r="X1166" s="218">
        <v>1</v>
      </c>
      <c r="Y1166" s="218">
        <v>1</v>
      </c>
    </row>
    <row r="1167" spans="1:25" x14ac:dyDescent="0.3">
      <c r="A1167" s="1" t="s">
        <v>2951</v>
      </c>
      <c r="B1167" s="102">
        <v>46187</v>
      </c>
      <c r="C1167" s="6">
        <v>0.41666666666666702</v>
      </c>
      <c r="D1167" s="1" t="s">
        <v>18</v>
      </c>
      <c r="E1167" s="1" t="s">
        <v>23</v>
      </c>
      <c r="F1167" s="1" t="s">
        <v>2952</v>
      </c>
      <c r="G1167" s="39" t="s">
        <v>2946</v>
      </c>
      <c r="H1167" s="1">
        <v>2</v>
      </c>
      <c r="I1167" s="1">
        <v>1</v>
      </c>
      <c r="J1167" s="39" t="s">
        <v>211</v>
      </c>
      <c r="K1167" s="1">
        <v>1</v>
      </c>
      <c r="L1167" s="1">
        <v>2</v>
      </c>
      <c r="S1167" s="1" t="s">
        <v>9920</v>
      </c>
      <c r="T1167" s="1">
        <v>1</v>
      </c>
      <c r="U1167" s="19"/>
      <c r="V1167" s="19"/>
      <c r="W1167" s="218">
        <v>1</v>
      </c>
      <c r="X1167" s="218">
        <v>1</v>
      </c>
      <c r="Y1167" s="218">
        <v>1</v>
      </c>
    </row>
    <row r="1168" spans="1:25" x14ac:dyDescent="0.3">
      <c r="A1168" s="1" t="s">
        <v>2953</v>
      </c>
      <c r="B1168" s="102">
        <v>46169</v>
      </c>
      <c r="C1168" s="6">
        <v>0.52083333333333304</v>
      </c>
      <c r="D1168" s="1" t="s">
        <v>18</v>
      </c>
      <c r="E1168" s="1" t="s">
        <v>23</v>
      </c>
      <c r="F1168" s="1" t="s">
        <v>2954</v>
      </c>
      <c r="G1168" s="39" t="s">
        <v>582</v>
      </c>
      <c r="H1168" s="1">
        <v>3</v>
      </c>
      <c r="I1168" s="1">
        <v>0</v>
      </c>
      <c r="J1168" s="39" t="s">
        <v>211</v>
      </c>
      <c r="K1168" s="1">
        <v>0</v>
      </c>
      <c r="L1168" s="1">
        <v>3</v>
      </c>
      <c r="S1168" s="1" t="s">
        <v>9921</v>
      </c>
      <c r="T1168" s="1">
        <v>1</v>
      </c>
      <c r="U1168" s="19"/>
      <c r="V1168" s="19"/>
      <c r="W1168" s="218">
        <v>1</v>
      </c>
      <c r="X1168" s="218">
        <v>1</v>
      </c>
      <c r="Y1168" s="218">
        <v>1</v>
      </c>
    </row>
    <row r="1169" spans="1:25" ht="14.4" x14ac:dyDescent="0.3">
      <c r="A1169" s="1" t="s">
        <v>2955</v>
      </c>
      <c r="B1169" s="102">
        <v>46137</v>
      </c>
      <c r="C1169" s="6">
        <v>0.5625</v>
      </c>
      <c r="D1169" s="1" t="s">
        <v>18</v>
      </c>
      <c r="E1169" s="1" t="s">
        <v>23</v>
      </c>
      <c r="F1169" s="1" t="s">
        <v>2956</v>
      </c>
      <c r="G1169" s="39" t="s">
        <v>571</v>
      </c>
      <c r="H1169" s="1">
        <v>3</v>
      </c>
      <c r="I1169" s="1">
        <v>5</v>
      </c>
      <c r="J1169" s="39" t="s">
        <v>211</v>
      </c>
      <c r="K1169" s="1">
        <v>5</v>
      </c>
      <c r="L1169" s="1">
        <v>3</v>
      </c>
      <c r="S1169" s="1" t="s">
        <v>9922</v>
      </c>
      <c r="T1169">
        <v>1</v>
      </c>
      <c r="U1169" s="19"/>
      <c r="V1169" s="19"/>
      <c r="W1169" s="218">
        <v>0</v>
      </c>
      <c r="X1169" s="218">
        <v>0</v>
      </c>
      <c r="Y1169" s="218">
        <v>0</v>
      </c>
    </row>
    <row r="1170" spans="1:25" x14ac:dyDescent="0.3">
      <c r="A1170" s="1" t="s">
        <v>2957</v>
      </c>
      <c r="B1170" s="102">
        <v>46211</v>
      </c>
      <c r="C1170" s="6">
        <v>0.52083333333333304</v>
      </c>
      <c r="D1170" s="1" t="s">
        <v>18</v>
      </c>
      <c r="E1170" s="1" t="s">
        <v>23</v>
      </c>
      <c r="F1170" s="1" t="s">
        <v>2958</v>
      </c>
      <c r="G1170" s="39" t="s">
        <v>2946</v>
      </c>
      <c r="H1170" s="1">
        <v>2</v>
      </c>
      <c r="I1170" s="1">
        <v>3</v>
      </c>
      <c r="J1170" s="39" t="s">
        <v>582</v>
      </c>
      <c r="K1170" s="1">
        <v>3</v>
      </c>
      <c r="L1170" s="1">
        <v>2</v>
      </c>
      <c r="S1170" s="1" t="s">
        <v>9923</v>
      </c>
      <c r="T1170" s="1">
        <v>1</v>
      </c>
      <c r="U1170" s="19"/>
      <c r="V1170" s="19"/>
      <c r="W1170" s="218">
        <v>1</v>
      </c>
      <c r="X1170" s="218">
        <v>1</v>
      </c>
      <c r="Y1170" s="218">
        <v>1</v>
      </c>
    </row>
    <row r="1171" spans="1:25" x14ac:dyDescent="0.3">
      <c r="A1171" s="1" t="s">
        <v>2959</v>
      </c>
      <c r="B1171" s="102">
        <v>46203</v>
      </c>
      <c r="C1171" s="6">
        <v>0.52083333333333304</v>
      </c>
      <c r="D1171" s="1" t="s">
        <v>18</v>
      </c>
      <c r="E1171" s="1" t="s">
        <v>23</v>
      </c>
      <c r="F1171" s="1" t="s">
        <v>2960</v>
      </c>
      <c r="G1171" s="39" t="s">
        <v>582</v>
      </c>
      <c r="H1171" s="1">
        <v>3</v>
      </c>
      <c r="I1171" s="1">
        <v>0</v>
      </c>
      <c r="J1171" s="39" t="s">
        <v>571</v>
      </c>
      <c r="K1171" s="1">
        <v>0</v>
      </c>
      <c r="L1171" s="1">
        <v>3</v>
      </c>
      <c r="S1171" s="1" t="s">
        <v>9924</v>
      </c>
      <c r="T1171" s="1">
        <v>1</v>
      </c>
      <c r="U1171" s="19"/>
      <c r="V1171" s="19"/>
      <c r="W1171" s="218">
        <v>1</v>
      </c>
      <c r="X1171" s="218">
        <v>1</v>
      </c>
      <c r="Y1171" s="218">
        <v>1</v>
      </c>
    </row>
    <row r="1172" spans="1:25" ht="14.4" x14ac:dyDescent="0.3">
      <c r="A1172" s="1" t="s">
        <v>2961</v>
      </c>
      <c r="B1172" s="102">
        <v>46185</v>
      </c>
      <c r="C1172" s="6">
        <v>0.52083333333333304</v>
      </c>
      <c r="D1172" s="1" t="s">
        <v>18</v>
      </c>
      <c r="E1172" s="1" t="s">
        <v>23</v>
      </c>
      <c r="F1172" s="1" t="s">
        <v>2962</v>
      </c>
      <c r="G1172" s="39" t="s">
        <v>565</v>
      </c>
      <c r="H1172" s="1">
        <v>3</v>
      </c>
      <c r="I1172" s="1">
        <v>0</v>
      </c>
      <c r="J1172" s="39" t="s">
        <v>582</v>
      </c>
      <c r="K1172" s="1">
        <v>0</v>
      </c>
      <c r="L1172" s="1">
        <v>3</v>
      </c>
      <c r="S1172" s="1" t="s">
        <v>9925</v>
      </c>
      <c r="T1172">
        <v>1</v>
      </c>
      <c r="U1172" s="19"/>
      <c r="V1172" s="19"/>
      <c r="W1172" s="218">
        <v>1</v>
      </c>
      <c r="X1172" s="218">
        <v>1</v>
      </c>
      <c r="Y1172" s="218">
        <v>1</v>
      </c>
    </row>
    <row r="1173" spans="1:25" x14ac:dyDescent="0.3">
      <c r="A1173" s="1" t="s">
        <v>2963</v>
      </c>
      <c r="B1173" s="102">
        <v>46235</v>
      </c>
      <c r="C1173" s="6">
        <v>0.45833333333333298</v>
      </c>
      <c r="D1173" s="1" t="s">
        <v>18</v>
      </c>
      <c r="E1173" s="1" t="s">
        <v>23</v>
      </c>
      <c r="F1173" s="1" t="s">
        <v>2964</v>
      </c>
      <c r="G1173" s="39" t="s">
        <v>565</v>
      </c>
      <c r="H1173" s="1">
        <v>4</v>
      </c>
      <c r="I1173" s="1">
        <v>0</v>
      </c>
      <c r="J1173" s="39" t="s">
        <v>571</v>
      </c>
      <c r="K1173" s="1">
        <v>0</v>
      </c>
      <c r="L1173" s="1">
        <v>4</v>
      </c>
      <c r="S1173" s="1" t="s">
        <v>9926</v>
      </c>
      <c r="T1173" s="1">
        <v>1</v>
      </c>
      <c r="U1173" s="19"/>
      <c r="V1173" s="19"/>
      <c r="W1173" s="218">
        <v>1</v>
      </c>
      <c r="X1173" s="218">
        <v>1</v>
      </c>
      <c r="Y1173" s="218">
        <v>1</v>
      </c>
    </row>
    <row r="1174" spans="1:25" x14ac:dyDescent="0.3">
      <c r="A1174" s="1" t="s">
        <v>2965</v>
      </c>
      <c r="B1174" s="102">
        <v>46215</v>
      </c>
      <c r="C1174" s="6">
        <v>0.41666666666666702</v>
      </c>
      <c r="D1174" s="1" t="s">
        <v>18</v>
      </c>
      <c r="E1174" s="1" t="s">
        <v>23</v>
      </c>
      <c r="F1174" s="1" t="s">
        <v>2966</v>
      </c>
      <c r="G1174" s="39" t="s">
        <v>571</v>
      </c>
      <c r="H1174" s="1">
        <v>5</v>
      </c>
      <c r="I1174" s="1">
        <v>2</v>
      </c>
      <c r="J1174" s="39" t="s">
        <v>2946</v>
      </c>
      <c r="K1174" s="1">
        <v>2</v>
      </c>
      <c r="L1174" s="1">
        <v>5</v>
      </c>
      <c r="S1174" s="1" t="s">
        <v>9927</v>
      </c>
      <c r="T1174" s="1">
        <v>1</v>
      </c>
      <c r="U1174" s="19"/>
      <c r="V1174" s="19"/>
      <c r="W1174" s="218">
        <v>1</v>
      </c>
      <c r="X1174" s="218">
        <v>1</v>
      </c>
      <c r="Y1174" s="218">
        <v>1</v>
      </c>
    </row>
    <row r="1175" spans="1:25" ht="14.4" x14ac:dyDescent="0.3">
      <c r="A1175" s="1" t="s">
        <v>2967</v>
      </c>
      <c r="B1175" s="102">
        <v>46187</v>
      </c>
      <c r="C1175" s="6">
        <v>0.5</v>
      </c>
      <c r="D1175" s="1" t="s">
        <v>18</v>
      </c>
      <c r="E1175" s="1" t="s">
        <v>23</v>
      </c>
      <c r="F1175" s="1" t="s">
        <v>2968</v>
      </c>
      <c r="G1175" s="39" t="s">
        <v>571</v>
      </c>
      <c r="H1175" s="1">
        <v>3</v>
      </c>
      <c r="I1175" s="1">
        <v>2</v>
      </c>
      <c r="J1175" s="39" t="s">
        <v>579</v>
      </c>
      <c r="K1175" s="1">
        <v>2</v>
      </c>
      <c r="L1175" s="1">
        <v>3</v>
      </c>
      <c r="S1175" s="1" t="s">
        <v>9928</v>
      </c>
      <c r="T1175">
        <v>1</v>
      </c>
      <c r="U1175" s="19"/>
      <c r="V1175" s="19"/>
      <c r="W1175" s="218">
        <v>1</v>
      </c>
      <c r="X1175" s="218">
        <v>1</v>
      </c>
      <c r="Y1175" s="218">
        <v>1</v>
      </c>
    </row>
    <row r="1176" spans="1:25" x14ac:dyDescent="0.3">
      <c r="A1176" s="1" t="s">
        <v>2978</v>
      </c>
      <c r="B1176" s="102">
        <v>46221</v>
      </c>
      <c r="C1176" s="6">
        <v>0.45833333333333298</v>
      </c>
      <c r="D1176" s="1" t="s">
        <v>18</v>
      </c>
      <c r="E1176" s="1" t="s">
        <v>23</v>
      </c>
      <c r="F1176" s="1" t="s">
        <v>2979</v>
      </c>
      <c r="G1176" s="39" t="s">
        <v>2946</v>
      </c>
      <c r="H1176" s="1">
        <v>2</v>
      </c>
      <c r="I1176" s="1">
        <v>0</v>
      </c>
      <c r="J1176" s="39" t="s">
        <v>579</v>
      </c>
      <c r="K1176" s="1">
        <v>0</v>
      </c>
      <c r="L1176" s="1">
        <v>2</v>
      </c>
      <c r="S1176" s="1" t="s">
        <v>9929</v>
      </c>
      <c r="T1176" s="1">
        <v>1</v>
      </c>
      <c r="U1176" s="19"/>
      <c r="V1176" s="19"/>
      <c r="W1176" s="218">
        <v>1</v>
      </c>
      <c r="X1176" s="218">
        <v>1</v>
      </c>
      <c r="Y1176" s="218">
        <v>1</v>
      </c>
    </row>
    <row r="1177" spans="1:25" ht="14.4" x14ac:dyDescent="0.3">
      <c r="A1177" s="1" t="s">
        <v>2980</v>
      </c>
      <c r="B1177" s="102">
        <v>46215</v>
      </c>
      <c r="C1177" s="6">
        <v>0.41666666666666702</v>
      </c>
      <c r="D1177" s="1" t="s">
        <v>18</v>
      </c>
      <c r="E1177" s="1" t="s">
        <v>23</v>
      </c>
      <c r="F1177" s="1" t="s">
        <v>2981</v>
      </c>
      <c r="G1177" s="39" t="s">
        <v>582</v>
      </c>
      <c r="H1177" s="1">
        <v>0</v>
      </c>
      <c r="I1177" s="1">
        <v>0</v>
      </c>
      <c r="J1177" s="39" t="s">
        <v>579</v>
      </c>
      <c r="K1177" s="1">
        <v>0</v>
      </c>
      <c r="L1177" s="1">
        <v>0</v>
      </c>
      <c r="S1177" s="1" t="s">
        <v>9930</v>
      </c>
      <c r="T1177">
        <v>1</v>
      </c>
      <c r="U1177" s="19"/>
      <c r="V1177" s="19"/>
      <c r="W1177" s="218">
        <v>1</v>
      </c>
      <c r="X1177" s="218">
        <v>1</v>
      </c>
      <c r="Y1177" s="218">
        <v>1</v>
      </c>
    </row>
    <row r="1178" spans="1:25" ht="14.4" x14ac:dyDescent="0.3">
      <c r="A1178" s="1" t="s">
        <v>2982</v>
      </c>
      <c r="B1178" s="102">
        <v>46242</v>
      </c>
      <c r="C1178" s="6">
        <v>0.45833333333333298</v>
      </c>
      <c r="D1178" s="1" t="s">
        <v>18</v>
      </c>
      <c r="E1178" s="1" t="s">
        <v>23</v>
      </c>
      <c r="F1178" s="1" t="s">
        <v>2983</v>
      </c>
      <c r="G1178" s="39" t="s">
        <v>574</v>
      </c>
      <c r="H1178" s="1">
        <v>0</v>
      </c>
      <c r="I1178" s="1">
        <v>3</v>
      </c>
      <c r="J1178" s="39" t="s">
        <v>585</v>
      </c>
      <c r="K1178" s="1">
        <v>3</v>
      </c>
      <c r="L1178" s="1">
        <v>0</v>
      </c>
      <c r="S1178" s="1" t="s">
        <v>9931</v>
      </c>
      <c r="T1178">
        <v>1</v>
      </c>
      <c r="U1178" s="19"/>
      <c r="V1178" s="19"/>
      <c r="W1178" s="218">
        <v>1</v>
      </c>
      <c r="X1178" s="218">
        <v>1</v>
      </c>
      <c r="Y1178" s="218">
        <v>1</v>
      </c>
    </row>
    <row r="1179" spans="1:25" ht="14.4" x14ac:dyDescent="0.3">
      <c r="A1179" s="1" t="s">
        <v>2997</v>
      </c>
      <c r="B1179" s="102">
        <v>46158</v>
      </c>
      <c r="C1179" s="6">
        <v>0.45833333333333298</v>
      </c>
      <c r="D1179" s="1" t="s">
        <v>18</v>
      </c>
      <c r="E1179" s="1" t="s">
        <v>22</v>
      </c>
      <c r="F1179" s="1" t="s">
        <v>2998</v>
      </c>
      <c r="G1179" s="39" t="s">
        <v>306</v>
      </c>
      <c r="H1179" s="1">
        <v>4</v>
      </c>
      <c r="I1179" s="1">
        <v>3</v>
      </c>
      <c r="J1179" s="39" t="s">
        <v>2984</v>
      </c>
      <c r="K1179" s="1">
        <v>3</v>
      </c>
      <c r="L1179" s="1">
        <v>4</v>
      </c>
      <c r="S1179" s="1" t="s">
        <v>9932</v>
      </c>
      <c r="T1179">
        <v>1</v>
      </c>
      <c r="U1179" s="19"/>
      <c r="V1179" s="19"/>
      <c r="W1179" s="218">
        <v>1</v>
      </c>
      <c r="X1179" s="218">
        <v>1</v>
      </c>
      <c r="Y1179" s="218">
        <v>1</v>
      </c>
    </row>
    <row r="1180" spans="1:25" ht="14.4" x14ac:dyDescent="0.3">
      <c r="A1180" s="1" t="s">
        <v>3004</v>
      </c>
      <c r="B1180" s="102">
        <v>46242</v>
      </c>
      <c r="C1180" s="6">
        <v>0.375</v>
      </c>
      <c r="D1180" s="1" t="s">
        <v>18</v>
      </c>
      <c r="E1180" s="1" t="s">
        <v>22</v>
      </c>
      <c r="F1180" s="1" t="s">
        <v>3005</v>
      </c>
      <c r="G1180" s="39" t="s">
        <v>295</v>
      </c>
      <c r="H1180" s="1">
        <v>2</v>
      </c>
      <c r="I1180" s="1">
        <v>2</v>
      </c>
      <c r="J1180" s="39" t="s">
        <v>292</v>
      </c>
      <c r="K1180" s="1">
        <v>2</v>
      </c>
      <c r="L1180" s="1">
        <v>2</v>
      </c>
      <c r="S1180" s="1" t="s">
        <v>9933</v>
      </c>
      <c r="T1180">
        <v>1</v>
      </c>
      <c r="U1180" s="19"/>
      <c r="V1180" s="19"/>
      <c r="W1180" s="218">
        <v>1</v>
      </c>
      <c r="X1180" s="218">
        <v>1</v>
      </c>
      <c r="Y1180" s="218">
        <v>1</v>
      </c>
    </row>
    <row r="1181" spans="1:25" x14ac:dyDescent="0.3">
      <c r="A1181" s="1" t="s">
        <v>3008</v>
      </c>
      <c r="B1181" s="102">
        <v>46241</v>
      </c>
      <c r="C1181" s="6">
        <v>0.54166666666666696</v>
      </c>
      <c r="D1181" s="1" t="s">
        <v>18</v>
      </c>
      <c r="E1181" s="1" t="s">
        <v>22</v>
      </c>
      <c r="F1181" s="1" t="s">
        <v>3009</v>
      </c>
      <c r="G1181" s="39" t="s">
        <v>302</v>
      </c>
      <c r="H1181" s="1">
        <v>1</v>
      </c>
      <c r="I1181" s="1">
        <v>0</v>
      </c>
      <c r="J1181" s="39" t="s">
        <v>304</v>
      </c>
      <c r="K1181" s="1">
        <v>0</v>
      </c>
      <c r="L1181" s="1">
        <v>1</v>
      </c>
      <c r="S1181" s="1" t="s">
        <v>9934</v>
      </c>
      <c r="T1181" s="1">
        <v>1</v>
      </c>
      <c r="U1181" s="19"/>
      <c r="V1181" s="19"/>
      <c r="W1181" s="218">
        <v>1</v>
      </c>
      <c r="X1181" s="218">
        <v>1</v>
      </c>
      <c r="Y1181" s="218">
        <v>1</v>
      </c>
    </row>
    <row r="1182" spans="1:25" x14ac:dyDescent="0.3">
      <c r="A1182" s="1" t="s">
        <v>3010</v>
      </c>
      <c r="B1182" s="102">
        <v>46165</v>
      </c>
      <c r="C1182" s="6">
        <v>0.54166666666666696</v>
      </c>
      <c r="D1182" s="1" t="s">
        <v>18</v>
      </c>
      <c r="E1182" s="1" t="s">
        <v>22</v>
      </c>
      <c r="F1182" s="1" t="s">
        <v>3011</v>
      </c>
      <c r="G1182" s="39" t="s">
        <v>302</v>
      </c>
      <c r="H1182" s="1">
        <v>3</v>
      </c>
      <c r="I1182" s="1">
        <v>1</v>
      </c>
      <c r="J1182" s="39" t="s">
        <v>298</v>
      </c>
      <c r="K1182" s="1">
        <v>1</v>
      </c>
      <c r="L1182" s="1">
        <v>3</v>
      </c>
      <c r="S1182" s="1" t="s">
        <v>9935</v>
      </c>
      <c r="T1182" s="1">
        <v>1</v>
      </c>
      <c r="U1182" s="19"/>
      <c r="V1182" s="19"/>
      <c r="W1182" s="218">
        <v>1</v>
      </c>
      <c r="X1182" s="218">
        <v>1</v>
      </c>
      <c r="Y1182" s="218">
        <v>1</v>
      </c>
    </row>
    <row r="1183" spans="1:25" ht="14.4" x14ac:dyDescent="0.3">
      <c r="A1183" s="1" t="s">
        <v>3012</v>
      </c>
      <c r="B1183" s="102">
        <v>46151</v>
      </c>
      <c r="C1183" s="6">
        <v>0.45833333333333298</v>
      </c>
      <c r="D1183" s="1" t="s">
        <v>18</v>
      </c>
      <c r="E1183" s="1" t="s">
        <v>22</v>
      </c>
      <c r="F1183" s="1" t="s">
        <v>3013</v>
      </c>
      <c r="G1183" s="39" t="s">
        <v>300</v>
      </c>
      <c r="H1183" s="1">
        <v>2</v>
      </c>
      <c r="I1183" s="1">
        <v>1</v>
      </c>
      <c r="J1183" s="39" t="s">
        <v>302</v>
      </c>
      <c r="K1183" s="1">
        <v>1</v>
      </c>
      <c r="L1183" s="1">
        <v>2</v>
      </c>
      <c r="S1183" s="1" t="s">
        <v>9936</v>
      </c>
      <c r="T1183">
        <v>1</v>
      </c>
      <c r="U1183" s="19"/>
      <c r="V1183" s="19"/>
      <c r="W1183" s="218">
        <v>0</v>
      </c>
      <c r="X1183" s="218">
        <v>0</v>
      </c>
      <c r="Y1183" s="218">
        <v>0</v>
      </c>
    </row>
    <row r="1184" spans="1:25" x14ac:dyDescent="0.3">
      <c r="A1184" s="1" t="s">
        <v>3014</v>
      </c>
      <c r="B1184" s="102">
        <v>46241</v>
      </c>
      <c r="C1184" s="6">
        <v>0.54166666666666696</v>
      </c>
      <c r="D1184" s="1" t="s">
        <v>18</v>
      </c>
      <c r="E1184" s="1" t="s">
        <v>22</v>
      </c>
      <c r="F1184" s="1" t="s">
        <v>3015</v>
      </c>
      <c r="G1184" s="39" t="s">
        <v>300</v>
      </c>
      <c r="H1184" s="1">
        <v>4</v>
      </c>
      <c r="I1184" s="1">
        <v>1</v>
      </c>
      <c r="J1184" s="39" t="s">
        <v>298</v>
      </c>
      <c r="K1184" s="1">
        <v>1</v>
      </c>
      <c r="L1184" s="1">
        <v>4</v>
      </c>
      <c r="S1184" s="1" t="s">
        <v>9937</v>
      </c>
      <c r="T1184" s="1">
        <v>1</v>
      </c>
      <c r="U1184" s="19"/>
      <c r="V1184" s="19"/>
      <c r="W1184" s="218">
        <v>1</v>
      </c>
      <c r="X1184" s="218">
        <v>1</v>
      </c>
      <c r="Y1184" s="218">
        <v>1</v>
      </c>
    </row>
    <row r="1185" spans="1:25" x14ac:dyDescent="0.3">
      <c r="A1185" s="1" t="s">
        <v>3016</v>
      </c>
      <c r="B1185" s="102">
        <v>46228</v>
      </c>
      <c r="C1185" s="6">
        <v>0.54166666666666696</v>
      </c>
      <c r="D1185" s="1" t="s">
        <v>18</v>
      </c>
      <c r="E1185" s="1" t="s">
        <v>22</v>
      </c>
      <c r="F1185" s="1" t="s">
        <v>3017</v>
      </c>
      <c r="G1185" s="39" t="s">
        <v>2987</v>
      </c>
      <c r="H1185" s="1">
        <v>4</v>
      </c>
      <c r="I1185" s="1">
        <v>2</v>
      </c>
      <c r="J1185" s="39" t="s">
        <v>298</v>
      </c>
      <c r="K1185" s="1">
        <v>2</v>
      </c>
      <c r="L1185" s="1">
        <v>4</v>
      </c>
      <c r="S1185" s="1" t="s">
        <v>9938</v>
      </c>
      <c r="T1185" s="1">
        <v>1</v>
      </c>
      <c r="U1185" s="19"/>
      <c r="V1185" s="19"/>
      <c r="W1185" s="218">
        <v>1</v>
      </c>
      <c r="X1185" s="218">
        <v>1</v>
      </c>
      <c r="Y1185" s="218">
        <v>1</v>
      </c>
    </row>
    <row r="1186" spans="1:25" x14ac:dyDescent="0.3">
      <c r="A1186" s="1" t="s">
        <v>3018</v>
      </c>
      <c r="B1186" s="102">
        <v>46214</v>
      </c>
      <c r="C1186" s="6">
        <v>0.45833333333333298</v>
      </c>
      <c r="D1186" s="1" t="s">
        <v>18</v>
      </c>
      <c r="E1186" s="1" t="s">
        <v>22</v>
      </c>
      <c r="F1186" s="1" t="s">
        <v>3019</v>
      </c>
      <c r="G1186" s="39" t="s">
        <v>298</v>
      </c>
      <c r="H1186" s="1">
        <v>2</v>
      </c>
      <c r="I1186" s="1">
        <v>0</v>
      </c>
      <c r="J1186" s="39" t="s">
        <v>304</v>
      </c>
      <c r="K1186" s="1">
        <v>0</v>
      </c>
      <c r="L1186" s="1">
        <v>2</v>
      </c>
      <c r="S1186" s="1" t="s">
        <v>9939</v>
      </c>
      <c r="T1186" s="1">
        <v>1</v>
      </c>
      <c r="U1186" s="19"/>
      <c r="V1186" s="19"/>
      <c r="W1186" s="218">
        <v>1</v>
      </c>
      <c r="X1186" s="218">
        <v>1</v>
      </c>
      <c r="Y1186" s="218">
        <v>1</v>
      </c>
    </row>
    <row r="1187" spans="1:25" x14ac:dyDescent="0.3">
      <c r="A1187" s="1" t="s">
        <v>3020</v>
      </c>
      <c r="B1187" s="102">
        <v>46171</v>
      </c>
      <c r="C1187" s="6">
        <v>0.52083333333333304</v>
      </c>
      <c r="D1187" s="1" t="s">
        <v>18</v>
      </c>
      <c r="E1187" s="1" t="s">
        <v>22</v>
      </c>
      <c r="F1187" s="1" t="s">
        <v>3021</v>
      </c>
      <c r="G1187" s="39" t="s">
        <v>298</v>
      </c>
      <c r="H1187" s="1">
        <v>0</v>
      </c>
      <c r="I1187" s="1">
        <v>0</v>
      </c>
      <c r="J1187" s="39" t="s">
        <v>300</v>
      </c>
      <c r="K1187" s="1">
        <v>0</v>
      </c>
      <c r="L1187" s="1">
        <v>0</v>
      </c>
      <c r="S1187" s="1" t="s">
        <v>9940</v>
      </c>
      <c r="T1187" s="1">
        <v>1</v>
      </c>
      <c r="U1187" s="19"/>
      <c r="V1187" s="19"/>
      <c r="W1187" s="218">
        <v>1</v>
      </c>
      <c r="X1187" s="218">
        <v>1</v>
      </c>
      <c r="Y1187" s="218">
        <v>1</v>
      </c>
    </row>
    <row r="1188" spans="1:25" ht="14.4" x14ac:dyDescent="0.3">
      <c r="A1188" s="1" t="s">
        <v>3022</v>
      </c>
      <c r="B1188" s="102">
        <v>46158</v>
      </c>
      <c r="C1188" s="6">
        <v>0.45833333333333298</v>
      </c>
      <c r="D1188" s="1" t="s">
        <v>18</v>
      </c>
      <c r="E1188" s="1" t="s">
        <v>22</v>
      </c>
      <c r="F1188" s="1" t="s">
        <v>3023</v>
      </c>
      <c r="G1188" s="39" t="s">
        <v>298</v>
      </c>
      <c r="H1188" s="1">
        <v>0</v>
      </c>
      <c r="I1188" s="1">
        <v>5</v>
      </c>
      <c r="J1188" s="39" t="s">
        <v>2987</v>
      </c>
      <c r="K1188" s="1">
        <v>5</v>
      </c>
      <c r="L1188" s="1">
        <v>0</v>
      </c>
      <c r="S1188" s="1" t="s">
        <v>9941</v>
      </c>
      <c r="T1188">
        <v>1</v>
      </c>
      <c r="U1188" s="19"/>
      <c r="V1188" s="19"/>
      <c r="W1188" s="218">
        <v>0</v>
      </c>
      <c r="X1188" s="218">
        <v>1</v>
      </c>
      <c r="Y1188" s="218">
        <v>1</v>
      </c>
    </row>
    <row r="1189" spans="1:25" x14ac:dyDescent="0.3">
      <c r="A1189" s="1" t="s">
        <v>3024</v>
      </c>
      <c r="B1189" s="102">
        <v>46234</v>
      </c>
      <c r="C1189" s="6">
        <v>0.54166666666666696</v>
      </c>
      <c r="D1189" s="1" t="s">
        <v>18</v>
      </c>
      <c r="E1189" s="1" t="s">
        <v>22</v>
      </c>
      <c r="F1189" s="1" t="s">
        <v>3025</v>
      </c>
      <c r="G1189" s="39" t="s">
        <v>304</v>
      </c>
      <c r="H1189" s="1">
        <v>0</v>
      </c>
      <c r="I1189" s="1">
        <v>2</v>
      </c>
      <c r="J1189" s="39" t="s">
        <v>300</v>
      </c>
      <c r="K1189" s="1">
        <v>2</v>
      </c>
      <c r="L1189" s="1">
        <v>0</v>
      </c>
      <c r="S1189" s="1" t="s">
        <v>9942</v>
      </c>
      <c r="T1189" s="1">
        <v>1</v>
      </c>
      <c r="U1189" s="19"/>
      <c r="V1189" s="19"/>
      <c r="W1189" s="218">
        <v>1</v>
      </c>
      <c r="X1189" s="218">
        <v>1</v>
      </c>
      <c r="Y1189" s="218">
        <v>1</v>
      </c>
    </row>
    <row r="1190" spans="1:25" ht="14.4" x14ac:dyDescent="0.3">
      <c r="A1190" s="1" t="s">
        <v>3026</v>
      </c>
      <c r="B1190" s="102">
        <v>46177</v>
      </c>
      <c r="C1190" s="6">
        <v>0.54166666666666696</v>
      </c>
      <c r="D1190" s="1" t="s">
        <v>18</v>
      </c>
      <c r="E1190" s="1" t="s">
        <v>22</v>
      </c>
      <c r="F1190" s="1" t="s">
        <v>3027</v>
      </c>
      <c r="G1190" s="39" t="s">
        <v>300</v>
      </c>
      <c r="H1190" s="1">
        <v>2</v>
      </c>
      <c r="I1190" s="1">
        <v>1</v>
      </c>
      <c r="J1190" s="39" t="s">
        <v>2987</v>
      </c>
      <c r="K1190" s="1">
        <v>1</v>
      </c>
      <c r="L1190" s="1">
        <v>2</v>
      </c>
      <c r="S1190" s="1" t="s">
        <v>9943</v>
      </c>
      <c r="T1190">
        <v>1</v>
      </c>
      <c r="U1190" s="19"/>
      <c r="V1190" s="19"/>
      <c r="W1190" s="218">
        <v>1</v>
      </c>
      <c r="X1190" s="218">
        <v>1</v>
      </c>
      <c r="Y1190" s="218">
        <v>1</v>
      </c>
    </row>
    <row r="1191" spans="1:25" x14ac:dyDescent="0.3">
      <c r="A1191" s="1" t="s">
        <v>3028</v>
      </c>
      <c r="B1191" s="102">
        <v>46186</v>
      </c>
      <c r="C1191" s="6">
        <v>0.4375</v>
      </c>
      <c r="D1191" s="1" t="s">
        <v>18</v>
      </c>
      <c r="E1191" s="1" t="s">
        <v>22</v>
      </c>
      <c r="F1191" s="1" t="s">
        <v>3029</v>
      </c>
      <c r="G1191" s="39" t="s">
        <v>2987</v>
      </c>
      <c r="H1191" s="1">
        <v>4</v>
      </c>
      <c r="I1191" s="1">
        <v>2</v>
      </c>
      <c r="J1191" s="39" t="s">
        <v>304</v>
      </c>
      <c r="K1191" s="1">
        <v>2</v>
      </c>
      <c r="L1191" s="1">
        <v>4</v>
      </c>
      <c r="S1191" s="1" t="s">
        <v>9944</v>
      </c>
      <c r="T1191" s="1">
        <v>1</v>
      </c>
      <c r="U1191" s="19"/>
      <c r="V1191" s="19"/>
      <c r="W1191" s="218">
        <v>1</v>
      </c>
      <c r="X1191" s="218">
        <v>1</v>
      </c>
      <c r="Y1191" s="218">
        <v>1</v>
      </c>
    </row>
    <row r="1192" spans="1:25" x14ac:dyDescent="0.3">
      <c r="A1192" s="1" t="s">
        <v>3030</v>
      </c>
      <c r="B1192" s="102">
        <v>46165</v>
      </c>
      <c r="C1192" s="6">
        <v>0.45833333333333298</v>
      </c>
      <c r="D1192" s="1" t="s">
        <v>18</v>
      </c>
      <c r="E1192" s="1" t="s">
        <v>22</v>
      </c>
      <c r="F1192" s="1" t="s">
        <v>3031</v>
      </c>
      <c r="G1192" s="39" t="s">
        <v>300</v>
      </c>
      <c r="H1192" s="1">
        <v>1</v>
      </c>
      <c r="I1192" s="1">
        <v>1</v>
      </c>
      <c r="J1192" s="39" t="s">
        <v>304</v>
      </c>
      <c r="K1192" s="1">
        <v>1</v>
      </c>
      <c r="L1192" s="1">
        <v>1</v>
      </c>
      <c r="S1192" s="1" t="s">
        <v>9945</v>
      </c>
      <c r="T1192" s="1">
        <v>1</v>
      </c>
      <c r="U1192" s="19"/>
      <c r="V1192" s="19"/>
      <c r="W1192" s="218">
        <v>1</v>
      </c>
      <c r="X1192" s="218">
        <v>1</v>
      </c>
      <c r="Y1192" s="218">
        <v>1</v>
      </c>
    </row>
    <row r="1193" spans="1:25" ht="14.4" x14ac:dyDescent="0.3">
      <c r="A1193" s="1" t="s">
        <v>3032</v>
      </c>
      <c r="B1193" s="102">
        <v>46171</v>
      </c>
      <c r="C1193" s="6">
        <v>0.54166666666666696</v>
      </c>
      <c r="D1193" s="1" t="s">
        <v>18</v>
      </c>
      <c r="E1193" s="1" t="s">
        <v>22</v>
      </c>
      <c r="F1193" s="1" t="s">
        <v>3033</v>
      </c>
      <c r="G1193" s="39" t="s">
        <v>304</v>
      </c>
      <c r="H1193" s="1">
        <v>0</v>
      </c>
      <c r="I1193" s="1">
        <v>2</v>
      </c>
      <c r="J1193" s="39" t="s">
        <v>302</v>
      </c>
      <c r="K1193" s="1">
        <v>2</v>
      </c>
      <c r="L1193" s="1">
        <v>0</v>
      </c>
      <c r="S1193" s="1" t="s">
        <v>9946</v>
      </c>
      <c r="T1193">
        <v>1</v>
      </c>
      <c r="U1193" s="19"/>
      <c r="V1193" s="19"/>
      <c r="W1193" s="218">
        <v>1</v>
      </c>
      <c r="X1193" s="218">
        <v>1</v>
      </c>
      <c r="Y1193" s="218">
        <v>1</v>
      </c>
    </row>
    <row r="1194" spans="1:25" x14ac:dyDescent="0.3">
      <c r="A1194" s="1" t="s">
        <v>3346</v>
      </c>
      <c r="B1194" s="5">
        <v>46227</v>
      </c>
      <c r="C1194" s="6">
        <v>0.89583333333333304</v>
      </c>
      <c r="D1194" s="1" t="s">
        <v>16</v>
      </c>
      <c r="E1194" s="1" t="s">
        <v>3425</v>
      </c>
      <c r="F1194" s="1" t="s">
        <v>3347</v>
      </c>
      <c r="G1194" s="39" t="s">
        <v>222</v>
      </c>
      <c r="H1194" s="1">
        <v>3</v>
      </c>
      <c r="I1194" s="1">
        <v>1</v>
      </c>
      <c r="J1194" s="39" t="s">
        <v>3348</v>
      </c>
      <c r="K1194" s="1">
        <v>1</v>
      </c>
      <c r="L1194" s="1">
        <v>3</v>
      </c>
      <c r="S1194" s="1" t="s">
        <v>3349</v>
      </c>
      <c r="T1194" s="1">
        <v>1</v>
      </c>
      <c r="U1194" s="19"/>
      <c r="V1194" s="19"/>
      <c r="W1194" s="218">
        <v>1</v>
      </c>
      <c r="X1194" s="218">
        <v>1</v>
      </c>
      <c r="Y1194" s="218">
        <v>1</v>
      </c>
    </row>
    <row r="1195" spans="1:25" x14ac:dyDescent="0.3">
      <c r="A1195" s="1" t="s">
        <v>3350</v>
      </c>
      <c r="B1195" s="5">
        <v>46186</v>
      </c>
      <c r="C1195" s="6">
        <v>0.77083333333333304</v>
      </c>
      <c r="D1195" s="1" t="s">
        <v>16</v>
      </c>
      <c r="E1195" s="1" t="s">
        <v>3425</v>
      </c>
      <c r="F1195" s="1" t="s">
        <v>3351</v>
      </c>
      <c r="G1195" s="39" t="s">
        <v>222</v>
      </c>
      <c r="H1195" s="1">
        <v>3</v>
      </c>
      <c r="I1195" s="1">
        <v>0</v>
      </c>
      <c r="J1195" s="39" t="s">
        <v>3352</v>
      </c>
      <c r="K1195" s="1">
        <v>0</v>
      </c>
      <c r="L1195" s="1">
        <v>3</v>
      </c>
      <c r="S1195" s="1" t="s">
        <v>3353</v>
      </c>
      <c r="T1195" s="1">
        <v>1</v>
      </c>
      <c r="U1195" s="19"/>
      <c r="V1195" s="19"/>
      <c r="W1195" s="218">
        <v>1</v>
      </c>
      <c r="X1195" s="218">
        <v>1</v>
      </c>
      <c r="Y1195" s="218">
        <v>1</v>
      </c>
    </row>
    <row r="1196" spans="1:25" x14ac:dyDescent="0.3">
      <c r="A1196" s="1" t="s">
        <v>3354</v>
      </c>
      <c r="B1196" s="5">
        <v>46172</v>
      </c>
      <c r="C1196" s="6">
        <v>0.66666666666666696</v>
      </c>
      <c r="D1196" s="1" t="s">
        <v>16</v>
      </c>
      <c r="E1196" s="1" t="s">
        <v>3425</v>
      </c>
      <c r="F1196" s="1" t="s">
        <v>3355</v>
      </c>
      <c r="G1196" s="39" t="s">
        <v>3356</v>
      </c>
      <c r="H1196" s="1">
        <v>2</v>
      </c>
      <c r="I1196" s="1">
        <v>4</v>
      </c>
      <c r="J1196" s="39" t="s">
        <v>222</v>
      </c>
      <c r="K1196" s="1">
        <v>4</v>
      </c>
      <c r="L1196" s="1">
        <v>2</v>
      </c>
      <c r="S1196" s="1" t="s">
        <v>3357</v>
      </c>
      <c r="T1196" s="1">
        <v>1</v>
      </c>
      <c r="U1196" s="19"/>
      <c r="V1196" s="19"/>
      <c r="W1196" s="218">
        <v>1</v>
      </c>
      <c r="X1196" s="218">
        <v>1</v>
      </c>
      <c r="Y1196" s="218">
        <v>1</v>
      </c>
    </row>
    <row r="1197" spans="1:25" x14ac:dyDescent="0.3">
      <c r="A1197" s="1" t="s">
        <v>3358</v>
      </c>
      <c r="B1197" s="5">
        <v>46166</v>
      </c>
      <c r="C1197" s="6">
        <v>0.79166666666666696</v>
      </c>
      <c r="D1197" s="1" t="s">
        <v>16</v>
      </c>
      <c r="E1197" s="1" t="s">
        <v>3425</v>
      </c>
      <c r="F1197" s="1" t="s">
        <v>3359</v>
      </c>
      <c r="G1197" s="39" t="s">
        <v>3360</v>
      </c>
      <c r="H1197" s="1">
        <v>1</v>
      </c>
      <c r="I1197" s="1">
        <v>2</v>
      </c>
      <c r="J1197" s="39" t="s">
        <v>222</v>
      </c>
      <c r="K1197" s="1">
        <v>2</v>
      </c>
      <c r="L1197" s="1">
        <v>1</v>
      </c>
      <c r="S1197" s="1" t="s">
        <v>3361</v>
      </c>
      <c r="T1197" s="1">
        <v>1</v>
      </c>
      <c r="U1197" s="19"/>
      <c r="V1197" s="19"/>
      <c r="W1197" s="218">
        <v>1</v>
      </c>
      <c r="X1197" s="218">
        <v>1</v>
      </c>
      <c r="Y1197" s="218">
        <v>1</v>
      </c>
    </row>
    <row r="1198" spans="1:25" x14ac:dyDescent="0.3">
      <c r="A1198" s="1" t="s">
        <v>3362</v>
      </c>
      <c r="B1198" s="5">
        <v>46159</v>
      </c>
      <c r="C1198" s="6">
        <v>0.77083333333333304</v>
      </c>
      <c r="D1198" s="1" t="s">
        <v>16</v>
      </c>
      <c r="E1198" s="1" t="s">
        <v>3425</v>
      </c>
      <c r="F1198" s="1" t="s">
        <v>3363</v>
      </c>
      <c r="G1198" s="39" t="s">
        <v>222</v>
      </c>
      <c r="H1198" s="1">
        <v>6</v>
      </c>
      <c r="I1198" s="1">
        <v>2</v>
      </c>
      <c r="J1198" s="39" t="s">
        <v>3364</v>
      </c>
      <c r="K1198" s="1">
        <v>2</v>
      </c>
      <c r="L1198" s="1">
        <v>6</v>
      </c>
      <c r="S1198" s="1" t="s">
        <v>3365</v>
      </c>
      <c r="T1198" s="1">
        <v>1</v>
      </c>
      <c r="U1198" s="19"/>
      <c r="V1198" s="19"/>
      <c r="W1198" s="218">
        <v>1</v>
      </c>
      <c r="X1198" s="218">
        <v>1</v>
      </c>
      <c r="Y1198" s="218">
        <v>1</v>
      </c>
    </row>
    <row r="1199" spans="1:25" x14ac:dyDescent="0.3">
      <c r="A1199" s="1" t="s">
        <v>3366</v>
      </c>
      <c r="B1199" s="5">
        <v>46145</v>
      </c>
      <c r="C1199" s="6">
        <v>0.77083333333333304</v>
      </c>
      <c r="D1199" s="1" t="s">
        <v>16</v>
      </c>
      <c r="E1199" s="1" t="s">
        <v>3425</v>
      </c>
      <c r="F1199" s="1" t="s">
        <v>3367</v>
      </c>
      <c r="G1199" s="39" t="s">
        <v>222</v>
      </c>
      <c r="H1199" s="1">
        <v>3</v>
      </c>
      <c r="I1199" s="1">
        <v>1</v>
      </c>
      <c r="J1199" s="39" t="s">
        <v>3368</v>
      </c>
      <c r="K1199" s="1">
        <v>1</v>
      </c>
      <c r="L1199" s="1">
        <v>3</v>
      </c>
      <c r="S1199" s="1" t="s">
        <v>3369</v>
      </c>
      <c r="T1199" s="1">
        <v>1</v>
      </c>
      <c r="U1199" s="19"/>
      <c r="V1199" s="19"/>
      <c r="W1199" s="218">
        <v>1</v>
      </c>
      <c r="X1199" s="218">
        <v>1</v>
      </c>
      <c r="Y1199" s="218">
        <v>1</v>
      </c>
    </row>
    <row r="1200" spans="1:25" x14ac:dyDescent="0.3">
      <c r="A1200" s="1" t="s">
        <v>3370</v>
      </c>
      <c r="B1200" s="5">
        <v>46138</v>
      </c>
      <c r="C1200" s="6">
        <v>0.5</v>
      </c>
      <c r="D1200" s="1" t="s">
        <v>16</v>
      </c>
      <c r="E1200" s="1" t="s">
        <v>3425</v>
      </c>
      <c r="F1200" s="1" t="s">
        <v>3371</v>
      </c>
      <c r="G1200" s="39" t="s">
        <v>3372</v>
      </c>
      <c r="H1200" s="1">
        <v>1</v>
      </c>
      <c r="I1200" s="1">
        <v>2</v>
      </c>
      <c r="J1200" s="39" t="s">
        <v>222</v>
      </c>
      <c r="K1200" s="1">
        <v>2</v>
      </c>
      <c r="L1200" s="1">
        <v>1</v>
      </c>
      <c r="S1200" s="1" t="s">
        <v>3373</v>
      </c>
      <c r="T1200" s="1">
        <v>1</v>
      </c>
      <c r="U1200" s="19"/>
      <c r="V1200" s="19"/>
      <c r="W1200" s="218">
        <v>1</v>
      </c>
      <c r="X1200" s="218">
        <v>1</v>
      </c>
      <c r="Y1200" s="218">
        <v>1</v>
      </c>
    </row>
    <row r="1201" spans="1:25" x14ac:dyDescent="0.3">
      <c r="A1201" s="1" t="s">
        <v>3374</v>
      </c>
      <c r="B1201" s="5">
        <v>46131</v>
      </c>
      <c r="C1201" s="6">
        <v>0.64583333333333304</v>
      </c>
      <c r="D1201" s="1" t="s">
        <v>16</v>
      </c>
      <c r="E1201" s="1" t="s">
        <v>3425</v>
      </c>
      <c r="F1201" s="1" t="s">
        <v>3375</v>
      </c>
      <c r="G1201" s="39" t="s">
        <v>222</v>
      </c>
      <c r="H1201" s="1">
        <v>0</v>
      </c>
      <c r="I1201" s="1">
        <v>1</v>
      </c>
      <c r="J1201" s="39" t="s">
        <v>3376</v>
      </c>
      <c r="K1201" s="1">
        <v>1</v>
      </c>
      <c r="L1201" s="1">
        <v>0</v>
      </c>
      <c r="S1201" s="1" t="s">
        <v>3377</v>
      </c>
      <c r="T1201" s="1">
        <v>1</v>
      </c>
      <c r="U1201" s="19"/>
      <c r="V1201" s="19"/>
      <c r="W1201" s="218">
        <v>1</v>
      </c>
      <c r="X1201" s="218">
        <v>1</v>
      </c>
      <c r="Y1201" s="218">
        <v>1</v>
      </c>
    </row>
    <row r="1202" spans="1:25" x14ac:dyDescent="0.3">
      <c r="A1202" s="1" t="s">
        <v>3378</v>
      </c>
      <c r="B1202" s="5">
        <v>46117</v>
      </c>
      <c r="C1202" s="6">
        <v>0.6875</v>
      </c>
      <c r="D1202" s="1" t="s">
        <v>16</v>
      </c>
      <c r="E1202" s="1" t="s">
        <v>3425</v>
      </c>
      <c r="F1202" s="1" t="s">
        <v>3379</v>
      </c>
      <c r="G1202" s="39" t="s">
        <v>3380</v>
      </c>
      <c r="H1202" s="1">
        <v>0</v>
      </c>
      <c r="I1202" s="1">
        <v>1</v>
      </c>
      <c r="J1202" s="39" t="s">
        <v>222</v>
      </c>
      <c r="K1202" s="1">
        <v>1</v>
      </c>
      <c r="L1202" s="1">
        <v>0</v>
      </c>
      <c r="S1202" s="1" t="s">
        <v>3381</v>
      </c>
      <c r="T1202" s="1">
        <v>1</v>
      </c>
      <c r="U1202" s="19"/>
      <c r="V1202" s="19"/>
      <c r="W1202" s="218">
        <v>1</v>
      </c>
      <c r="X1202" s="218">
        <v>1</v>
      </c>
      <c r="Y1202" s="218">
        <v>1</v>
      </c>
    </row>
    <row r="1203" spans="1:25" x14ac:dyDescent="0.3">
      <c r="A1203" s="1" t="s">
        <v>3382</v>
      </c>
      <c r="B1203" s="5">
        <v>46097</v>
      </c>
      <c r="C1203" s="6">
        <v>0.6875</v>
      </c>
      <c r="D1203" s="1" t="s">
        <v>16</v>
      </c>
      <c r="E1203" s="1" t="s">
        <v>3425</v>
      </c>
      <c r="F1203" s="1" t="s">
        <v>3383</v>
      </c>
      <c r="G1203" s="39" t="s">
        <v>222</v>
      </c>
      <c r="H1203" s="1">
        <v>2</v>
      </c>
      <c r="I1203" s="1">
        <v>0</v>
      </c>
      <c r="J1203" s="39" t="s">
        <v>3384</v>
      </c>
      <c r="K1203" s="1">
        <v>0</v>
      </c>
      <c r="L1203" s="1">
        <v>2</v>
      </c>
      <c r="S1203" s="1" t="s">
        <v>3385</v>
      </c>
      <c r="T1203" s="1">
        <v>1</v>
      </c>
      <c r="U1203" s="19"/>
      <c r="V1203" s="19"/>
      <c r="W1203" s="218">
        <v>1</v>
      </c>
      <c r="X1203" s="218">
        <v>1</v>
      </c>
      <c r="Y1203" s="218">
        <v>1</v>
      </c>
    </row>
    <row r="1204" spans="1:25" x14ac:dyDescent="0.3">
      <c r="A1204" s="1" t="s">
        <v>3386</v>
      </c>
      <c r="B1204" s="5">
        <v>46088</v>
      </c>
      <c r="C1204" s="6">
        <v>0.75</v>
      </c>
      <c r="D1204" s="1" t="s">
        <v>16</v>
      </c>
      <c r="E1204" s="1" t="s">
        <v>3425</v>
      </c>
      <c r="F1204" s="1" t="s">
        <v>3387</v>
      </c>
      <c r="G1204" s="39" t="s">
        <v>3388</v>
      </c>
      <c r="H1204" s="1">
        <v>0</v>
      </c>
      <c r="I1204" s="1">
        <v>1</v>
      </c>
      <c r="J1204" s="39" t="s">
        <v>222</v>
      </c>
      <c r="K1204" s="1">
        <v>1</v>
      </c>
      <c r="L1204" s="1">
        <v>0</v>
      </c>
      <c r="S1204" s="1" t="s">
        <v>3389</v>
      </c>
      <c r="T1204" s="1">
        <v>1</v>
      </c>
      <c r="U1204" s="19"/>
      <c r="V1204" s="19"/>
      <c r="W1204" s="218">
        <v>0</v>
      </c>
      <c r="X1204" s="218">
        <v>0</v>
      </c>
      <c r="Y1204" s="218">
        <v>0</v>
      </c>
    </row>
    <row r="1205" spans="1:25" x14ac:dyDescent="0.3">
      <c r="A1205" s="1" t="s">
        <v>3390</v>
      </c>
      <c r="B1205" s="5">
        <v>46241</v>
      </c>
      <c r="C1205" s="6">
        <v>0.89583333333333304</v>
      </c>
      <c r="D1205" s="1" t="s">
        <v>16</v>
      </c>
      <c r="E1205" s="1" t="s">
        <v>3425</v>
      </c>
      <c r="F1205" s="1" t="s">
        <v>3391</v>
      </c>
      <c r="G1205" s="39" t="s">
        <v>3360</v>
      </c>
      <c r="H1205" s="1">
        <v>2</v>
      </c>
      <c r="I1205" s="1">
        <v>0</v>
      </c>
      <c r="J1205" s="39" t="s">
        <v>3352</v>
      </c>
      <c r="K1205" s="1">
        <v>0</v>
      </c>
      <c r="L1205" s="1">
        <v>2</v>
      </c>
      <c r="S1205" s="1" t="s">
        <v>3392</v>
      </c>
      <c r="T1205" s="1">
        <v>1</v>
      </c>
      <c r="U1205" s="19"/>
      <c r="V1205" s="19"/>
      <c r="W1205" s="218">
        <v>1</v>
      </c>
      <c r="X1205" s="218">
        <v>1</v>
      </c>
      <c r="Y1205" s="218">
        <v>1</v>
      </c>
    </row>
    <row r="1206" spans="1:25" x14ac:dyDescent="0.3">
      <c r="A1206" s="1" t="s">
        <v>3393</v>
      </c>
      <c r="B1206" s="5">
        <v>46236</v>
      </c>
      <c r="C1206" s="6">
        <v>0.5625</v>
      </c>
      <c r="D1206" s="1" t="s">
        <v>16</v>
      </c>
      <c r="E1206" s="1" t="s">
        <v>3425</v>
      </c>
      <c r="F1206" s="1" t="s">
        <v>3394</v>
      </c>
      <c r="G1206" s="39" t="s">
        <v>3380</v>
      </c>
      <c r="H1206" s="1">
        <v>3</v>
      </c>
      <c r="I1206" s="1">
        <v>0</v>
      </c>
      <c r="J1206" s="39" t="s">
        <v>3360</v>
      </c>
      <c r="K1206" s="1">
        <v>0</v>
      </c>
      <c r="L1206" s="1">
        <v>3</v>
      </c>
      <c r="S1206" s="1" t="s">
        <v>3395</v>
      </c>
      <c r="T1206" s="1">
        <v>1</v>
      </c>
      <c r="U1206" s="19"/>
      <c r="V1206" s="19"/>
      <c r="W1206" s="218">
        <v>1</v>
      </c>
      <c r="X1206" s="218">
        <v>1</v>
      </c>
      <c r="Y1206" s="218">
        <v>1</v>
      </c>
    </row>
    <row r="1207" spans="1:25" x14ac:dyDescent="0.3">
      <c r="A1207" s="1" t="s">
        <v>3396</v>
      </c>
      <c r="B1207" s="5">
        <v>46228</v>
      </c>
      <c r="C1207" s="6">
        <v>0.875</v>
      </c>
      <c r="D1207" s="1" t="s">
        <v>16</v>
      </c>
      <c r="E1207" s="1" t="s">
        <v>3425</v>
      </c>
      <c r="F1207" s="1" t="s">
        <v>3397</v>
      </c>
      <c r="G1207" s="39" t="s">
        <v>3360</v>
      </c>
      <c r="H1207" s="1">
        <v>3</v>
      </c>
      <c r="I1207" s="1">
        <v>3</v>
      </c>
      <c r="J1207" s="39" t="s">
        <v>3356</v>
      </c>
      <c r="K1207" s="1">
        <v>3</v>
      </c>
      <c r="L1207" s="1">
        <v>3</v>
      </c>
      <c r="S1207" s="1" t="s">
        <v>3398</v>
      </c>
      <c r="T1207" s="1">
        <v>1</v>
      </c>
      <c r="U1207" s="19"/>
      <c r="V1207" s="19"/>
      <c r="W1207" s="218">
        <v>1</v>
      </c>
      <c r="X1207" s="218">
        <v>1</v>
      </c>
      <c r="Y1207" s="218">
        <v>1</v>
      </c>
    </row>
    <row r="1208" spans="1:25" x14ac:dyDescent="0.3">
      <c r="A1208" s="1" t="s">
        <v>3399</v>
      </c>
      <c r="B1208" s="5">
        <v>46187</v>
      </c>
      <c r="C1208" s="6">
        <v>0.77083333333333304</v>
      </c>
      <c r="D1208" s="1" t="s">
        <v>16</v>
      </c>
      <c r="E1208" s="1" t="s">
        <v>3425</v>
      </c>
      <c r="F1208" s="1" t="s">
        <v>3400</v>
      </c>
      <c r="G1208" s="39" t="s">
        <v>3360</v>
      </c>
      <c r="H1208" s="1">
        <v>5</v>
      </c>
      <c r="I1208" s="1">
        <v>1</v>
      </c>
      <c r="J1208" s="39" t="s">
        <v>3372</v>
      </c>
      <c r="K1208" s="1">
        <v>1</v>
      </c>
      <c r="L1208" s="1">
        <v>5</v>
      </c>
      <c r="S1208" s="1" t="s">
        <v>3401</v>
      </c>
      <c r="T1208" s="1">
        <v>1</v>
      </c>
      <c r="U1208" s="19"/>
      <c r="V1208" s="19"/>
      <c r="W1208" s="218">
        <v>1</v>
      </c>
      <c r="X1208" s="218">
        <v>1</v>
      </c>
      <c r="Y1208" s="218">
        <v>1</v>
      </c>
    </row>
    <row r="1209" spans="1:25" x14ac:dyDescent="0.3">
      <c r="A1209" s="1" t="s">
        <v>3402</v>
      </c>
      <c r="B1209" s="5">
        <v>46173</v>
      </c>
      <c r="C1209" s="6">
        <v>0.66666666666666696</v>
      </c>
      <c r="D1209" s="1" t="s">
        <v>16</v>
      </c>
      <c r="E1209" s="1" t="s">
        <v>3425</v>
      </c>
      <c r="F1209" s="1" t="s">
        <v>3403</v>
      </c>
      <c r="G1209" s="39" t="s">
        <v>3384</v>
      </c>
      <c r="H1209" s="1">
        <v>0</v>
      </c>
      <c r="I1209" s="1">
        <v>3</v>
      </c>
      <c r="J1209" s="39" t="s">
        <v>3360</v>
      </c>
      <c r="K1209" s="1">
        <v>3</v>
      </c>
      <c r="L1209" s="1">
        <v>0</v>
      </c>
      <c r="S1209" s="1" t="s">
        <v>3404</v>
      </c>
      <c r="T1209" s="1">
        <v>1</v>
      </c>
      <c r="U1209" s="19"/>
      <c r="V1209" s="19"/>
      <c r="W1209" s="218">
        <v>1</v>
      </c>
      <c r="X1209" s="218">
        <v>1</v>
      </c>
      <c r="Y1209" s="218">
        <v>1</v>
      </c>
    </row>
    <row r="1210" spans="1:25" x14ac:dyDescent="0.3">
      <c r="A1210" s="1" t="s">
        <v>3405</v>
      </c>
      <c r="B1210" s="5">
        <v>46158</v>
      </c>
      <c r="C1210" s="6">
        <v>0.875</v>
      </c>
      <c r="D1210" s="1" t="s">
        <v>16</v>
      </c>
      <c r="E1210" s="1" t="s">
        <v>3425</v>
      </c>
      <c r="F1210" s="1" t="s">
        <v>3406</v>
      </c>
      <c r="G1210" s="39" t="s">
        <v>3348</v>
      </c>
      <c r="H1210" s="1">
        <v>0</v>
      </c>
      <c r="I1210" s="1">
        <v>2</v>
      </c>
      <c r="J1210" s="39" t="s">
        <v>3360</v>
      </c>
      <c r="K1210" s="1">
        <v>2</v>
      </c>
      <c r="L1210" s="1">
        <v>0</v>
      </c>
      <c r="S1210" s="1" t="s">
        <v>3407</v>
      </c>
      <c r="T1210" s="1">
        <v>1</v>
      </c>
      <c r="U1210" s="19"/>
      <c r="V1210" s="19"/>
      <c r="W1210" s="218">
        <v>1</v>
      </c>
      <c r="X1210" s="218">
        <v>1</v>
      </c>
      <c r="Y1210" s="218">
        <v>1</v>
      </c>
    </row>
    <row r="1211" spans="1:25" x14ac:dyDescent="0.3">
      <c r="A1211" s="1" t="s">
        <v>3408</v>
      </c>
      <c r="B1211" s="5">
        <v>46137</v>
      </c>
      <c r="C1211" s="6">
        <v>0.79166666666666696</v>
      </c>
      <c r="D1211" s="1" t="s">
        <v>16</v>
      </c>
      <c r="E1211" s="1" t="s">
        <v>3425</v>
      </c>
      <c r="F1211" s="1" t="s">
        <v>3409</v>
      </c>
      <c r="G1211" s="39" t="s">
        <v>3410</v>
      </c>
      <c r="H1211" s="1">
        <v>1</v>
      </c>
      <c r="I1211" s="1">
        <v>0</v>
      </c>
      <c r="J1211" s="39" t="s">
        <v>3360</v>
      </c>
      <c r="K1211" s="1">
        <v>0</v>
      </c>
      <c r="L1211" s="1">
        <v>1</v>
      </c>
      <c r="S1211" s="1" t="s">
        <v>3411</v>
      </c>
      <c r="T1211" s="1">
        <v>1</v>
      </c>
      <c r="U1211" s="19"/>
      <c r="V1211" s="19"/>
      <c r="W1211" s="218">
        <v>1</v>
      </c>
      <c r="X1211" s="218">
        <v>1</v>
      </c>
      <c r="Y1211" s="218">
        <v>1</v>
      </c>
    </row>
    <row r="1212" spans="1:25" x14ac:dyDescent="0.3">
      <c r="A1212" s="1" t="s">
        <v>3412</v>
      </c>
      <c r="B1212" s="5">
        <v>46132</v>
      </c>
      <c r="C1212" s="6">
        <v>0.89583333333333304</v>
      </c>
      <c r="D1212" s="1" t="s">
        <v>16</v>
      </c>
      <c r="E1212" s="1" t="s">
        <v>3425</v>
      </c>
      <c r="F1212" s="1" t="s">
        <v>3413</v>
      </c>
      <c r="G1212" s="39" t="s">
        <v>3360</v>
      </c>
      <c r="H1212" s="1">
        <v>1</v>
      </c>
      <c r="I1212" s="1">
        <v>2</v>
      </c>
      <c r="J1212" s="39" t="s">
        <v>3414</v>
      </c>
      <c r="K1212" s="1">
        <v>2</v>
      </c>
      <c r="L1212" s="1">
        <v>1</v>
      </c>
      <c r="S1212" s="1" t="s">
        <v>3415</v>
      </c>
      <c r="T1212" s="1">
        <v>1</v>
      </c>
      <c r="U1212" s="19"/>
      <c r="V1212" s="19"/>
      <c r="W1212" s="218">
        <v>1</v>
      </c>
      <c r="X1212" s="218">
        <v>1</v>
      </c>
      <c r="Y1212" s="218">
        <v>1</v>
      </c>
    </row>
    <row r="1213" spans="1:25" x14ac:dyDescent="0.3">
      <c r="A1213" s="1" t="s">
        <v>3416</v>
      </c>
      <c r="B1213" s="5">
        <v>46123</v>
      </c>
      <c r="C1213" s="6">
        <v>0.77083333333333304</v>
      </c>
      <c r="D1213" s="1" t="s">
        <v>16</v>
      </c>
      <c r="E1213" s="1" t="s">
        <v>3425</v>
      </c>
      <c r="F1213" s="1" t="s">
        <v>3417</v>
      </c>
      <c r="G1213" s="39" t="s">
        <v>3388</v>
      </c>
      <c r="H1213" s="1">
        <v>3</v>
      </c>
      <c r="I1213" s="1">
        <v>4</v>
      </c>
      <c r="J1213" s="39" t="s">
        <v>3360</v>
      </c>
      <c r="K1213" s="1">
        <v>4</v>
      </c>
      <c r="L1213" s="1">
        <v>3</v>
      </c>
      <c r="S1213" s="1" t="s">
        <v>3418</v>
      </c>
      <c r="T1213" s="1">
        <v>1</v>
      </c>
      <c r="U1213" s="19"/>
      <c r="V1213" s="19"/>
      <c r="W1213" s="218">
        <v>1</v>
      </c>
      <c r="X1213" s="218">
        <v>1</v>
      </c>
      <c r="Y1213" s="218">
        <v>1</v>
      </c>
    </row>
    <row r="1214" spans="1:25" x14ac:dyDescent="0.3">
      <c r="A1214" s="1" t="s">
        <v>3419</v>
      </c>
      <c r="B1214" s="5">
        <v>46114</v>
      </c>
      <c r="C1214" s="6">
        <v>0.625</v>
      </c>
      <c r="D1214" s="1" t="s">
        <v>16</v>
      </c>
      <c r="E1214" s="1" t="s">
        <v>3425</v>
      </c>
      <c r="F1214" s="1" t="s">
        <v>3420</v>
      </c>
      <c r="G1214" s="39" t="s">
        <v>3360</v>
      </c>
      <c r="H1214" s="1">
        <v>6</v>
      </c>
      <c r="I1214" s="1">
        <v>1</v>
      </c>
      <c r="J1214" s="39" t="s">
        <v>3376</v>
      </c>
      <c r="K1214" s="1">
        <v>1</v>
      </c>
      <c r="L1214" s="1">
        <v>6</v>
      </c>
      <c r="S1214" s="1" t="s">
        <v>3421</v>
      </c>
      <c r="T1214" s="1">
        <v>1</v>
      </c>
      <c r="U1214" s="19"/>
      <c r="V1214" s="19"/>
      <c r="W1214" s="218">
        <v>1</v>
      </c>
      <c r="X1214" s="218">
        <v>1</v>
      </c>
      <c r="Y1214" s="218">
        <v>1</v>
      </c>
    </row>
    <row r="1215" spans="1:25" x14ac:dyDescent="0.3">
      <c r="A1215" s="1" t="s">
        <v>3422</v>
      </c>
      <c r="B1215" s="5">
        <v>46095</v>
      </c>
      <c r="C1215" s="6">
        <v>0.85416666666666696</v>
      </c>
      <c r="D1215" s="1" t="s">
        <v>16</v>
      </c>
      <c r="E1215" s="1" t="s">
        <v>3425</v>
      </c>
      <c r="F1215" s="1" t="s">
        <v>3423</v>
      </c>
      <c r="G1215" s="39" t="s">
        <v>3360</v>
      </c>
      <c r="H1215" s="1">
        <v>2</v>
      </c>
      <c r="I1215" s="1">
        <v>2</v>
      </c>
      <c r="J1215" s="39" t="s">
        <v>221</v>
      </c>
      <c r="K1215" s="1">
        <v>2</v>
      </c>
      <c r="L1215" s="1">
        <v>2</v>
      </c>
      <c r="S1215" s="1" t="s">
        <v>3424</v>
      </c>
      <c r="T1215" s="1">
        <v>1</v>
      </c>
      <c r="U1215" s="19"/>
      <c r="V1215" s="19"/>
      <c r="W1215" s="218">
        <v>1</v>
      </c>
      <c r="X1215" s="218">
        <v>1</v>
      </c>
      <c r="Y1215" s="218">
        <v>1</v>
      </c>
    </row>
    <row r="1216" spans="1:25" x14ac:dyDescent="0.3">
      <c r="A1216" s="1" t="s">
        <v>3427</v>
      </c>
      <c r="B1216" s="5">
        <v>46236</v>
      </c>
      <c r="C1216" s="6">
        <v>0.77083333333333304</v>
      </c>
      <c r="D1216" s="1" t="s">
        <v>16</v>
      </c>
      <c r="E1216" s="1" t="s">
        <v>3425</v>
      </c>
      <c r="F1216" s="1" t="s">
        <v>3428</v>
      </c>
      <c r="G1216" s="39" t="s">
        <v>3410</v>
      </c>
      <c r="H1216" s="1">
        <v>2</v>
      </c>
      <c r="I1216" s="1">
        <v>0</v>
      </c>
      <c r="J1216" s="39" t="s">
        <v>3384</v>
      </c>
      <c r="K1216" s="1">
        <v>0</v>
      </c>
      <c r="L1216" s="1">
        <v>2</v>
      </c>
      <c r="S1216" s="1" t="s">
        <v>3429</v>
      </c>
      <c r="T1216" s="1">
        <v>1</v>
      </c>
      <c r="U1216" s="19"/>
      <c r="V1216" s="19"/>
      <c r="W1216" s="218">
        <v>1</v>
      </c>
      <c r="X1216" s="218">
        <v>1</v>
      </c>
      <c r="Y1216" s="218">
        <v>1</v>
      </c>
    </row>
    <row r="1217" spans="1:25" x14ac:dyDescent="0.3">
      <c r="A1217" s="1" t="s">
        <v>3430</v>
      </c>
      <c r="B1217" s="5">
        <v>46229</v>
      </c>
      <c r="C1217" s="6">
        <v>0.77083333333333304</v>
      </c>
      <c r="D1217" s="1" t="s">
        <v>16</v>
      </c>
      <c r="E1217" s="1" t="s">
        <v>3425</v>
      </c>
      <c r="F1217" s="1" t="s">
        <v>3431</v>
      </c>
      <c r="G1217" s="39" t="s">
        <v>3388</v>
      </c>
      <c r="H1217" s="1">
        <v>1</v>
      </c>
      <c r="I1217" s="1">
        <v>2</v>
      </c>
      <c r="J1217" s="39" t="s">
        <v>3410</v>
      </c>
      <c r="K1217" s="1">
        <v>2</v>
      </c>
      <c r="L1217" s="1">
        <v>1</v>
      </c>
      <c r="S1217" s="1" t="s">
        <v>3432</v>
      </c>
      <c r="T1217" s="1">
        <v>1</v>
      </c>
      <c r="U1217" s="19"/>
      <c r="V1217" s="19"/>
      <c r="W1217" s="218">
        <v>1</v>
      </c>
      <c r="X1217" s="218">
        <v>1</v>
      </c>
      <c r="Y1217" s="218">
        <v>1</v>
      </c>
    </row>
    <row r="1218" spans="1:25" x14ac:dyDescent="0.3">
      <c r="A1218" s="1" t="s">
        <v>3433</v>
      </c>
      <c r="B1218" s="5">
        <v>46191</v>
      </c>
      <c r="C1218" s="6">
        <v>0.875</v>
      </c>
      <c r="D1218" s="1" t="s">
        <v>16</v>
      </c>
      <c r="E1218" s="1" t="s">
        <v>3425</v>
      </c>
      <c r="F1218" s="1" t="s">
        <v>3434</v>
      </c>
      <c r="G1218" s="39" t="s">
        <v>3410</v>
      </c>
      <c r="H1218" s="1">
        <v>2</v>
      </c>
      <c r="I1218" s="1">
        <v>0</v>
      </c>
      <c r="J1218" s="39" t="s">
        <v>3435</v>
      </c>
      <c r="K1218" s="1">
        <v>0</v>
      </c>
      <c r="L1218" s="1">
        <v>2</v>
      </c>
      <c r="S1218" s="1" t="s">
        <v>3436</v>
      </c>
      <c r="T1218" s="1">
        <v>1</v>
      </c>
      <c r="U1218" s="19"/>
      <c r="V1218" s="19"/>
      <c r="W1218" s="218">
        <v>1</v>
      </c>
      <c r="X1218" s="218">
        <v>1</v>
      </c>
      <c r="Y1218" s="218">
        <v>1</v>
      </c>
    </row>
    <row r="1219" spans="1:25" x14ac:dyDescent="0.3">
      <c r="A1219" s="1" t="s">
        <v>3437</v>
      </c>
      <c r="B1219" s="5">
        <v>46187</v>
      </c>
      <c r="C1219" s="6">
        <v>0.66666666666666696</v>
      </c>
      <c r="D1219" s="1" t="s">
        <v>16</v>
      </c>
      <c r="E1219" s="1" t="s">
        <v>3425</v>
      </c>
      <c r="F1219" s="1" t="s">
        <v>3438</v>
      </c>
      <c r="G1219" s="39" t="s">
        <v>3414</v>
      </c>
      <c r="H1219" s="1">
        <v>2</v>
      </c>
      <c r="I1219" s="1">
        <v>2</v>
      </c>
      <c r="J1219" s="39" t="s">
        <v>3410</v>
      </c>
      <c r="K1219" s="1">
        <v>2</v>
      </c>
      <c r="L1219" s="1">
        <v>2</v>
      </c>
      <c r="S1219" s="1" t="s">
        <v>3439</v>
      </c>
      <c r="T1219" s="1">
        <v>1</v>
      </c>
      <c r="U1219" s="19"/>
      <c r="V1219" s="19"/>
      <c r="W1219" s="218">
        <v>1</v>
      </c>
      <c r="X1219" s="218">
        <v>1</v>
      </c>
      <c r="Y1219" s="218">
        <v>1</v>
      </c>
    </row>
    <row r="1220" spans="1:25" x14ac:dyDescent="0.3">
      <c r="A1220" s="1" t="s">
        <v>3440</v>
      </c>
      <c r="B1220" s="5">
        <v>46172</v>
      </c>
      <c r="C1220" s="6">
        <v>0.77083333333333304</v>
      </c>
      <c r="D1220" s="1" t="s">
        <v>16</v>
      </c>
      <c r="E1220" s="1" t="s">
        <v>3425</v>
      </c>
      <c r="F1220" s="1" t="s">
        <v>3441</v>
      </c>
      <c r="G1220" s="39" t="s">
        <v>3410</v>
      </c>
      <c r="H1220" s="1">
        <v>2</v>
      </c>
      <c r="I1220" s="1">
        <v>1</v>
      </c>
      <c r="J1220" s="39" t="s">
        <v>3380</v>
      </c>
      <c r="K1220" s="1">
        <v>1</v>
      </c>
      <c r="L1220" s="1">
        <v>2</v>
      </c>
      <c r="S1220" s="1" t="s">
        <v>3442</v>
      </c>
      <c r="T1220" s="1">
        <v>1</v>
      </c>
      <c r="U1220" s="19"/>
      <c r="V1220" s="19"/>
      <c r="W1220" s="218">
        <v>1</v>
      </c>
      <c r="X1220" s="218">
        <v>1</v>
      </c>
      <c r="Y1220" s="218">
        <v>1</v>
      </c>
    </row>
    <row r="1221" spans="1:25" x14ac:dyDescent="0.3">
      <c r="A1221" s="1" t="s">
        <v>3443</v>
      </c>
      <c r="B1221" s="5">
        <v>46159</v>
      </c>
      <c r="C1221" s="6">
        <v>0.66666666666666696</v>
      </c>
      <c r="D1221" s="1" t="s">
        <v>16</v>
      </c>
      <c r="E1221" s="1" t="s">
        <v>3425</v>
      </c>
      <c r="F1221" s="1" t="s">
        <v>3444</v>
      </c>
      <c r="G1221" s="39" t="s">
        <v>3352</v>
      </c>
      <c r="H1221" s="1">
        <v>1</v>
      </c>
      <c r="I1221" s="1">
        <v>0</v>
      </c>
      <c r="J1221" s="39" t="s">
        <v>3410</v>
      </c>
      <c r="K1221" s="1">
        <v>0</v>
      </c>
      <c r="L1221" s="1">
        <v>1</v>
      </c>
      <c r="S1221" s="1" t="s">
        <v>3445</v>
      </c>
      <c r="T1221" s="1">
        <v>1</v>
      </c>
      <c r="U1221" s="19"/>
      <c r="V1221" s="19"/>
      <c r="W1221" s="218">
        <v>1</v>
      </c>
      <c r="X1221" s="218">
        <v>1</v>
      </c>
      <c r="Y1221" s="218">
        <v>1</v>
      </c>
    </row>
    <row r="1222" spans="1:25" x14ac:dyDescent="0.3">
      <c r="A1222" s="1" t="s">
        <v>3446</v>
      </c>
      <c r="B1222" s="5">
        <v>46130</v>
      </c>
      <c r="C1222" s="6">
        <v>0.77083333333333304</v>
      </c>
      <c r="D1222" s="1" t="s">
        <v>16</v>
      </c>
      <c r="E1222" s="1" t="s">
        <v>3425</v>
      </c>
      <c r="F1222" s="1" t="s">
        <v>3447</v>
      </c>
      <c r="G1222" s="39" t="s">
        <v>221</v>
      </c>
      <c r="H1222" s="1">
        <v>0</v>
      </c>
      <c r="I1222" s="1">
        <v>0</v>
      </c>
      <c r="J1222" s="39" t="s">
        <v>3410</v>
      </c>
      <c r="K1222" s="1">
        <v>0</v>
      </c>
      <c r="L1222" s="1">
        <v>0</v>
      </c>
      <c r="S1222" s="1" t="s">
        <v>3448</v>
      </c>
      <c r="T1222" s="1">
        <v>1</v>
      </c>
      <c r="U1222" s="19"/>
      <c r="V1222" s="19"/>
      <c r="W1222" s="218">
        <v>1</v>
      </c>
      <c r="X1222" s="218">
        <v>1</v>
      </c>
      <c r="Y1222" s="218">
        <v>1</v>
      </c>
    </row>
    <row r="1223" spans="1:25" x14ac:dyDescent="0.3">
      <c r="A1223" s="1" t="s">
        <v>3449</v>
      </c>
      <c r="B1223" s="5">
        <v>46124</v>
      </c>
      <c r="C1223" s="6">
        <v>0.77083333333333304</v>
      </c>
      <c r="D1223" s="1" t="s">
        <v>16</v>
      </c>
      <c r="E1223" s="1" t="s">
        <v>3425</v>
      </c>
      <c r="F1223" s="1" t="s">
        <v>3450</v>
      </c>
      <c r="G1223" s="39" t="s">
        <v>3364</v>
      </c>
      <c r="H1223" s="1">
        <v>1</v>
      </c>
      <c r="I1223" s="1">
        <v>0</v>
      </c>
      <c r="J1223" s="39" t="s">
        <v>3410</v>
      </c>
      <c r="K1223" s="1">
        <v>0</v>
      </c>
      <c r="L1223" s="1">
        <v>1</v>
      </c>
      <c r="S1223" s="1" t="s">
        <v>3451</v>
      </c>
      <c r="T1223" s="1">
        <v>1</v>
      </c>
      <c r="U1223" s="19"/>
      <c r="V1223" s="19"/>
      <c r="W1223" s="218">
        <v>1</v>
      </c>
      <c r="X1223" s="218">
        <v>1</v>
      </c>
      <c r="Y1223" s="218">
        <v>1</v>
      </c>
    </row>
    <row r="1224" spans="1:25" x14ac:dyDescent="0.3">
      <c r="A1224" s="1" t="s">
        <v>3452</v>
      </c>
      <c r="B1224" s="5">
        <v>46117</v>
      </c>
      <c r="C1224" s="6">
        <v>0.79166666666666696</v>
      </c>
      <c r="D1224" s="1" t="s">
        <v>16</v>
      </c>
      <c r="E1224" s="1" t="s">
        <v>3425</v>
      </c>
      <c r="F1224" s="1" t="s">
        <v>3453</v>
      </c>
      <c r="G1224" s="39" t="s">
        <v>3410</v>
      </c>
      <c r="H1224" s="1">
        <v>4</v>
      </c>
      <c r="I1224" s="1">
        <v>0</v>
      </c>
      <c r="J1224" s="39" t="s">
        <v>3356</v>
      </c>
      <c r="K1224" s="1">
        <v>0</v>
      </c>
      <c r="L1224" s="1">
        <v>4</v>
      </c>
      <c r="S1224" s="1" t="s">
        <v>3454</v>
      </c>
      <c r="T1224" s="1">
        <v>1</v>
      </c>
      <c r="U1224" s="19"/>
      <c r="V1224" s="19"/>
      <c r="W1224" s="218">
        <v>1</v>
      </c>
      <c r="X1224" s="218">
        <v>1</v>
      </c>
      <c r="Y1224" s="218">
        <v>1</v>
      </c>
    </row>
    <row r="1225" spans="1:25" x14ac:dyDescent="0.3">
      <c r="A1225" s="1" t="s">
        <v>3455</v>
      </c>
      <c r="B1225" s="5">
        <v>46095</v>
      </c>
      <c r="C1225" s="6">
        <v>0.75</v>
      </c>
      <c r="D1225" s="1" t="s">
        <v>16</v>
      </c>
      <c r="E1225" s="1" t="s">
        <v>3425</v>
      </c>
      <c r="F1225" s="1" t="s">
        <v>3456</v>
      </c>
      <c r="G1225" s="39" t="s">
        <v>3368</v>
      </c>
      <c r="H1225" s="1">
        <v>0</v>
      </c>
      <c r="I1225" s="1">
        <v>1</v>
      </c>
      <c r="J1225" s="39" t="s">
        <v>3410</v>
      </c>
      <c r="K1225" s="1">
        <v>1</v>
      </c>
      <c r="L1225" s="1">
        <v>0</v>
      </c>
      <c r="S1225" s="1" t="s">
        <v>3457</v>
      </c>
      <c r="T1225" s="1">
        <v>1</v>
      </c>
      <c r="U1225" s="19"/>
      <c r="V1225" s="19"/>
      <c r="W1225" s="218">
        <v>1</v>
      </c>
      <c r="X1225" s="218">
        <v>1</v>
      </c>
      <c r="Y1225" s="218">
        <v>1</v>
      </c>
    </row>
    <row r="1226" spans="1:25" x14ac:dyDescent="0.3">
      <c r="A1226" s="1" t="s">
        <v>3458</v>
      </c>
      <c r="B1226" s="5">
        <v>46090</v>
      </c>
      <c r="C1226" s="6">
        <v>0.83333333333333304</v>
      </c>
      <c r="D1226" s="1" t="s">
        <v>16</v>
      </c>
      <c r="E1226" s="1" t="s">
        <v>3425</v>
      </c>
      <c r="F1226" s="1" t="s">
        <v>3459</v>
      </c>
      <c r="G1226" s="39" t="s">
        <v>3410</v>
      </c>
      <c r="H1226" s="1">
        <v>1</v>
      </c>
      <c r="I1226" s="1">
        <v>1</v>
      </c>
      <c r="J1226" s="39" t="s">
        <v>3372</v>
      </c>
      <c r="K1226" s="1">
        <v>1</v>
      </c>
      <c r="L1226" s="1">
        <v>1</v>
      </c>
      <c r="S1226" s="1" t="s">
        <v>3460</v>
      </c>
      <c r="T1226" s="1">
        <v>1</v>
      </c>
      <c r="U1226" s="19"/>
      <c r="V1226" s="19"/>
      <c r="W1226" s="218">
        <v>0</v>
      </c>
      <c r="X1226" s="218">
        <v>1</v>
      </c>
      <c r="Y1226" s="218">
        <v>1</v>
      </c>
    </row>
    <row r="1227" spans="1:25" x14ac:dyDescent="0.3">
      <c r="A1227" s="1" t="s">
        <v>3461</v>
      </c>
      <c r="B1227" s="5">
        <v>46235</v>
      </c>
      <c r="C1227" s="6">
        <v>0.77083333333333304</v>
      </c>
      <c r="D1227" s="1" t="s">
        <v>16</v>
      </c>
      <c r="E1227" s="1" t="s">
        <v>3425</v>
      </c>
      <c r="F1227" s="1" t="s">
        <v>3462</v>
      </c>
      <c r="G1227" s="39" t="s">
        <v>3376</v>
      </c>
      <c r="H1227" s="1">
        <v>2</v>
      </c>
      <c r="I1227" s="1">
        <v>1</v>
      </c>
      <c r="J1227" s="39" t="s">
        <v>3368</v>
      </c>
      <c r="K1227" s="1">
        <v>1</v>
      </c>
      <c r="L1227" s="1">
        <v>2</v>
      </c>
      <c r="S1227" s="1" t="s">
        <v>3463</v>
      </c>
      <c r="T1227" s="1">
        <v>1</v>
      </c>
      <c r="U1227" s="19"/>
      <c r="V1227" s="19"/>
      <c r="W1227" s="218">
        <v>1</v>
      </c>
      <c r="X1227" s="218">
        <v>1</v>
      </c>
      <c r="Y1227" s="218">
        <v>1</v>
      </c>
    </row>
    <row r="1228" spans="1:25" x14ac:dyDescent="0.3">
      <c r="A1228" s="1" t="s">
        <v>3464</v>
      </c>
      <c r="B1228" s="5">
        <v>46229</v>
      </c>
      <c r="C1228" s="6">
        <v>0.66666666666666696</v>
      </c>
      <c r="D1228" s="1" t="s">
        <v>16</v>
      </c>
      <c r="E1228" s="1" t="s">
        <v>3425</v>
      </c>
      <c r="F1228" s="1" t="s">
        <v>3465</v>
      </c>
      <c r="G1228" s="39" t="s">
        <v>3364</v>
      </c>
      <c r="H1228" s="1">
        <v>2</v>
      </c>
      <c r="I1228" s="1">
        <v>0</v>
      </c>
      <c r="J1228" s="39" t="s">
        <v>3376</v>
      </c>
      <c r="K1228" s="1">
        <v>0</v>
      </c>
      <c r="L1228" s="1">
        <v>2</v>
      </c>
      <c r="S1228" s="1" t="s">
        <v>3466</v>
      </c>
      <c r="T1228" s="1">
        <v>1</v>
      </c>
      <c r="U1228" s="19"/>
      <c r="V1228" s="19"/>
      <c r="W1228" s="218">
        <v>1</v>
      </c>
      <c r="X1228" s="218">
        <v>1</v>
      </c>
      <c r="Y1228" s="218">
        <v>1</v>
      </c>
    </row>
    <row r="1229" spans="1:25" x14ac:dyDescent="0.3">
      <c r="A1229" s="1" t="s">
        <v>3467</v>
      </c>
      <c r="B1229" s="5">
        <v>46186</v>
      </c>
      <c r="C1229" s="6">
        <v>0.66666666666666696</v>
      </c>
      <c r="D1229" s="1" t="s">
        <v>16</v>
      </c>
      <c r="E1229" s="1" t="s">
        <v>3425</v>
      </c>
      <c r="F1229" s="1" t="s">
        <v>3468</v>
      </c>
      <c r="G1229" s="39" t="s">
        <v>221</v>
      </c>
      <c r="H1229" s="1">
        <v>1</v>
      </c>
      <c r="I1229" s="1">
        <v>2</v>
      </c>
      <c r="J1229" s="39" t="s">
        <v>3376</v>
      </c>
      <c r="K1229" s="1">
        <v>2</v>
      </c>
      <c r="L1229" s="1">
        <v>1</v>
      </c>
      <c r="S1229" s="1" t="s">
        <v>3469</v>
      </c>
      <c r="T1229" s="1">
        <v>1</v>
      </c>
      <c r="U1229" s="19"/>
      <c r="V1229" s="19"/>
      <c r="W1229" s="218">
        <v>1</v>
      </c>
      <c r="X1229" s="218">
        <v>1</v>
      </c>
      <c r="Y1229" s="218">
        <v>1</v>
      </c>
    </row>
    <row r="1230" spans="1:25" x14ac:dyDescent="0.3">
      <c r="A1230" s="1" t="s">
        <v>3470</v>
      </c>
      <c r="B1230" s="5">
        <v>46173</v>
      </c>
      <c r="C1230" s="6">
        <v>0.875</v>
      </c>
      <c r="D1230" s="1" t="s">
        <v>16</v>
      </c>
      <c r="E1230" s="1" t="s">
        <v>3425</v>
      </c>
      <c r="F1230" s="1" t="s">
        <v>3471</v>
      </c>
      <c r="G1230" s="39" t="s">
        <v>3376</v>
      </c>
      <c r="H1230" s="1">
        <v>0</v>
      </c>
      <c r="I1230" s="1">
        <v>0</v>
      </c>
      <c r="J1230" s="39" t="s">
        <v>3388</v>
      </c>
      <c r="K1230" s="1">
        <v>0</v>
      </c>
      <c r="L1230" s="1">
        <v>0</v>
      </c>
      <c r="S1230" s="1" t="s">
        <v>3472</v>
      </c>
      <c r="T1230" s="1">
        <v>1</v>
      </c>
      <c r="U1230" s="19"/>
      <c r="V1230" s="19"/>
      <c r="W1230" s="218">
        <v>1</v>
      </c>
      <c r="X1230" s="218">
        <v>1</v>
      </c>
      <c r="Y1230" s="218">
        <v>1</v>
      </c>
    </row>
    <row r="1231" spans="1:25" x14ac:dyDescent="0.3">
      <c r="A1231" s="1" t="s">
        <v>3473</v>
      </c>
      <c r="B1231" s="5">
        <v>46165</v>
      </c>
      <c r="C1231" s="6">
        <v>0.875</v>
      </c>
      <c r="D1231" s="1" t="s">
        <v>16</v>
      </c>
      <c r="E1231" s="1" t="s">
        <v>3425</v>
      </c>
      <c r="F1231" s="1" t="s">
        <v>3474</v>
      </c>
      <c r="G1231" s="39" t="s">
        <v>3414</v>
      </c>
      <c r="H1231" s="1">
        <v>1</v>
      </c>
      <c r="I1231" s="1">
        <v>2</v>
      </c>
      <c r="J1231" s="39" t="s">
        <v>3376</v>
      </c>
      <c r="K1231" s="1">
        <v>2</v>
      </c>
      <c r="L1231" s="1">
        <v>1</v>
      </c>
      <c r="S1231" s="1" t="s">
        <v>3475</v>
      </c>
      <c r="T1231" s="1">
        <v>1</v>
      </c>
      <c r="U1231" s="19"/>
      <c r="V1231" s="19"/>
      <c r="W1231" s="218">
        <v>1</v>
      </c>
      <c r="X1231" s="218">
        <v>1</v>
      </c>
      <c r="Y1231" s="218">
        <v>1</v>
      </c>
    </row>
    <row r="1232" spans="1:25" x14ac:dyDescent="0.3">
      <c r="A1232" s="1" t="s">
        <v>3476</v>
      </c>
      <c r="B1232" s="5">
        <v>46157</v>
      </c>
      <c r="C1232" s="6">
        <v>0.875</v>
      </c>
      <c r="D1232" s="1" t="s">
        <v>16</v>
      </c>
      <c r="E1232" s="1" t="s">
        <v>3425</v>
      </c>
      <c r="F1232" s="1" t="s">
        <v>3477</v>
      </c>
      <c r="G1232" s="39" t="s">
        <v>3376</v>
      </c>
      <c r="H1232" s="1">
        <v>5</v>
      </c>
      <c r="I1232" s="1">
        <v>1</v>
      </c>
      <c r="J1232" s="39" t="s">
        <v>3356</v>
      </c>
      <c r="K1232" s="1">
        <v>1</v>
      </c>
      <c r="L1232" s="1">
        <v>5</v>
      </c>
      <c r="S1232" s="1" t="s">
        <v>3478</v>
      </c>
      <c r="T1232" s="1">
        <v>1</v>
      </c>
      <c r="U1232" s="19"/>
      <c r="V1232" s="19"/>
      <c r="W1232" s="218">
        <v>1</v>
      </c>
      <c r="X1232" s="218">
        <v>1</v>
      </c>
      <c r="Y1232" s="218">
        <v>1</v>
      </c>
    </row>
    <row r="1233" spans="1:25" x14ac:dyDescent="0.3">
      <c r="A1233" s="1" t="s">
        <v>3479</v>
      </c>
      <c r="B1233" s="5">
        <v>46135</v>
      </c>
      <c r="C1233" s="6">
        <v>0.875</v>
      </c>
      <c r="D1233" s="1" t="s">
        <v>16</v>
      </c>
      <c r="E1233" s="1" t="s">
        <v>3425</v>
      </c>
      <c r="F1233" s="1" t="s">
        <v>3480</v>
      </c>
      <c r="G1233" s="39" t="s">
        <v>3376</v>
      </c>
      <c r="H1233" s="1">
        <v>0</v>
      </c>
      <c r="I1233" s="1">
        <v>1</v>
      </c>
      <c r="J1233" s="39" t="s">
        <v>3380</v>
      </c>
      <c r="K1233" s="1">
        <v>1</v>
      </c>
      <c r="L1233" s="1">
        <v>0</v>
      </c>
      <c r="S1233" s="1" t="s">
        <v>3481</v>
      </c>
      <c r="T1233" s="1">
        <v>1</v>
      </c>
      <c r="U1233" s="19"/>
      <c r="V1233" s="19"/>
      <c r="W1233" s="218">
        <v>1</v>
      </c>
      <c r="X1233" s="218">
        <v>1</v>
      </c>
      <c r="Y1233" s="218">
        <v>1</v>
      </c>
    </row>
    <row r="1234" spans="1:25" x14ac:dyDescent="0.3">
      <c r="A1234" s="1" t="s">
        <v>3482</v>
      </c>
      <c r="B1234" s="5">
        <v>46123</v>
      </c>
      <c r="C1234" s="6">
        <v>0.875</v>
      </c>
      <c r="D1234" s="1" t="s">
        <v>16</v>
      </c>
      <c r="E1234" s="1" t="s">
        <v>3425</v>
      </c>
      <c r="F1234" s="1" t="s">
        <v>3483</v>
      </c>
      <c r="G1234" s="39" t="s">
        <v>3376</v>
      </c>
      <c r="H1234" s="1">
        <v>1</v>
      </c>
      <c r="I1234" s="1">
        <v>0</v>
      </c>
      <c r="J1234" s="39" t="s">
        <v>3348</v>
      </c>
      <c r="K1234" s="1">
        <v>0</v>
      </c>
      <c r="L1234" s="1">
        <v>1</v>
      </c>
      <c r="S1234" s="1" t="s">
        <v>3484</v>
      </c>
      <c r="T1234" s="1">
        <v>1</v>
      </c>
      <c r="U1234" s="19"/>
      <c r="V1234" s="19"/>
      <c r="W1234" s="218">
        <v>1</v>
      </c>
      <c r="X1234" s="218">
        <v>1</v>
      </c>
      <c r="Y1234" s="218">
        <v>1</v>
      </c>
    </row>
    <row r="1235" spans="1:25" x14ac:dyDescent="0.3">
      <c r="A1235" s="1" t="s">
        <v>3485</v>
      </c>
      <c r="B1235" s="5">
        <v>46096</v>
      </c>
      <c r="C1235" s="6">
        <v>0.5</v>
      </c>
      <c r="D1235" s="1" t="s">
        <v>16</v>
      </c>
      <c r="E1235" s="1" t="s">
        <v>3425</v>
      </c>
      <c r="F1235" s="1" t="s">
        <v>3486</v>
      </c>
      <c r="G1235" s="39" t="s">
        <v>3372</v>
      </c>
      <c r="H1235" s="1">
        <v>1</v>
      </c>
      <c r="I1235" s="1">
        <v>0</v>
      </c>
      <c r="J1235" s="39" t="s">
        <v>3376</v>
      </c>
      <c r="K1235" s="1">
        <v>0</v>
      </c>
      <c r="L1235" s="1">
        <v>1</v>
      </c>
      <c r="S1235" s="1" t="s">
        <v>3487</v>
      </c>
      <c r="T1235" s="1">
        <v>1</v>
      </c>
      <c r="U1235" s="19"/>
      <c r="V1235" s="19"/>
      <c r="W1235" s="218">
        <v>1</v>
      </c>
      <c r="X1235" s="218">
        <v>1</v>
      </c>
      <c r="Y1235" s="218">
        <v>1</v>
      </c>
    </row>
    <row r="1236" spans="1:25" x14ac:dyDescent="0.3">
      <c r="A1236" s="1" t="s">
        <v>3488</v>
      </c>
      <c r="B1236" s="5">
        <v>46089</v>
      </c>
      <c r="C1236" s="6">
        <v>0.85416666666666696</v>
      </c>
      <c r="D1236" s="1" t="s">
        <v>16</v>
      </c>
      <c r="E1236" s="1" t="s">
        <v>3425</v>
      </c>
      <c r="F1236" s="1" t="s">
        <v>3489</v>
      </c>
      <c r="G1236" s="39" t="s">
        <v>3376</v>
      </c>
      <c r="H1236" s="1">
        <v>4</v>
      </c>
      <c r="I1236" s="1">
        <v>2</v>
      </c>
      <c r="J1236" s="39" t="s">
        <v>3352</v>
      </c>
      <c r="K1236" s="1">
        <v>2</v>
      </c>
      <c r="L1236" s="1">
        <v>4</v>
      </c>
      <c r="S1236" s="1" t="s">
        <v>3490</v>
      </c>
      <c r="T1236" s="1">
        <v>1</v>
      </c>
      <c r="U1236" s="19"/>
      <c r="V1236" s="19"/>
      <c r="W1236" s="218">
        <v>0</v>
      </c>
      <c r="X1236" s="218">
        <v>0</v>
      </c>
      <c r="Y1236" s="218">
        <v>0</v>
      </c>
    </row>
    <row r="1237" spans="1:25" x14ac:dyDescent="0.3">
      <c r="A1237" s="1" t="s">
        <v>3491</v>
      </c>
      <c r="B1237" s="5">
        <v>46242</v>
      </c>
      <c r="C1237" s="6">
        <v>0.66666666666666696</v>
      </c>
      <c r="D1237" s="1" t="s">
        <v>16</v>
      </c>
      <c r="E1237" s="1" t="s">
        <v>3425</v>
      </c>
      <c r="F1237" s="1" t="s">
        <v>3492</v>
      </c>
      <c r="G1237" s="39" t="s">
        <v>3384</v>
      </c>
      <c r="H1237" s="1">
        <v>1</v>
      </c>
      <c r="I1237" s="1">
        <v>4</v>
      </c>
      <c r="J1237" s="39" t="s">
        <v>221</v>
      </c>
      <c r="K1237" s="1">
        <v>4</v>
      </c>
      <c r="L1237" s="1">
        <v>1</v>
      </c>
      <c r="S1237" s="1" t="s">
        <v>3493</v>
      </c>
      <c r="T1237" s="1">
        <v>1</v>
      </c>
      <c r="U1237" s="19"/>
      <c r="V1237" s="19"/>
      <c r="W1237" s="218">
        <v>1</v>
      </c>
      <c r="X1237" s="218">
        <v>1</v>
      </c>
      <c r="Y1237" s="218">
        <v>1</v>
      </c>
    </row>
    <row r="1238" spans="1:25" x14ac:dyDescent="0.3">
      <c r="A1238" s="1" t="s">
        <v>3494</v>
      </c>
      <c r="B1238" s="5">
        <v>46230</v>
      </c>
      <c r="C1238" s="6">
        <v>0.83333333333333304</v>
      </c>
      <c r="D1238" s="1" t="s">
        <v>16</v>
      </c>
      <c r="E1238" s="1" t="s">
        <v>3425</v>
      </c>
      <c r="F1238" s="1" t="s">
        <v>3495</v>
      </c>
      <c r="G1238" s="39" t="s">
        <v>3414</v>
      </c>
      <c r="H1238" s="1">
        <v>1</v>
      </c>
      <c r="I1238" s="1">
        <v>1</v>
      </c>
      <c r="J1238" s="39" t="s">
        <v>221</v>
      </c>
      <c r="K1238" s="1">
        <v>1</v>
      </c>
      <c r="L1238" s="1">
        <v>1</v>
      </c>
      <c r="S1238" s="1" t="s">
        <v>3496</v>
      </c>
      <c r="T1238" s="1">
        <v>1</v>
      </c>
      <c r="U1238" s="19"/>
      <c r="V1238" s="19"/>
      <c r="W1238" s="218">
        <v>1</v>
      </c>
      <c r="X1238" s="218">
        <v>1</v>
      </c>
      <c r="Y1238" s="218">
        <v>1</v>
      </c>
    </row>
    <row r="1239" spans="1:25" x14ac:dyDescent="0.3">
      <c r="A1239" s="1" t="s">
        <v>3497</v>
      </c>
      <c r="B1239" s="5">
        <v>46173</v>
      </c>
      <c r="C1239" s="6">
        <v>0.77083333333333304</v>
      </c>
      <c r="D1239" s="1" t="s">
        <v>16</v>
      </c>
      <c r="E1239" s="1" t="s">
        <v>3425</v>
      </c>
      <c r="F1239" s="1" t="s">
        <v>3498</v>
      </c>
      <c r="G1239" s="39" t="s">
        <v>3435</v>
      </c>
      <c r="H1239" s="1">
        <v>2</v>
      </c>
      <c r="I1239" s="1">
        <v>3</v>
      </c>
      <c r="J1239" s="39" t="s">
        <v>221</v>
      </c>
      <c r="K1239" s="1">
        <v>3</v>
      </c>
      <c r="L1239" s="1">
        <v>2</v>
      </c>
      <c r="S1239" s="1" t="s">
        <v>3499</v>
      </c>
      <c r="T1239" s="1">
        <v>1</v>
      </c>
      <c r="U1239" s="19"/>
      <c r="V1239" s="19"/>
      <c r="W1239" s="218">
        <v>1</v>
      </c>
      <c r="X1239" s="218">
        <v>1</v>
      </c>
      <c r="Y1239" s="218">
        <v>1</v>
      </c>
    </row>
    <row r="1240" spans="1:25" x14ac:dyDescent="0.3">
      <c r="A1240" s="1" t="s">
        <v>3500</v>
      </c>
      <c r="B1240" s="5">
        <v>46164</v>
      </c>
      <c r="C1240" s="6">
        <v>0.66666666666666696</v>
      </c>
      <c r="D1240" s="1" t="s">
        <v>16</v>
      </c>
      <c r="E1240" s="1" t="s">
        <v>3425</v>
      </c>
      <c r="F1240" s="1" t="s">
        <v>3501</v>
      </c>
      <c r="G1240" s="39" t="s">
        <v>221</v>
      </c>
      <c r="H1240" s="1">
        <v>1</v>
      </c>
      <c r="I1240" s="1">
        <v>1</v>
      </c>
      <c r="J1240" s="39" t="s">
        <v>3368</v>
      </c>
      <c r="K1240" s="1">
        <v>1</v>
      </c>
      <c r="L1240" s="1">
        <v>1</v>
      </c>
      <c r="S1240" s="1" t="s">
        <v>3502</v>
      </c>
      <c r="T1240" s="1">
        <v>1</v>
      </c>
      <c r="U1240" s="19"/>
      <c r="V1240" s="19"/>
      <c r="W1240" s="218">
        <v>1</v>
      </c>
      <c r="X1240" s="218">
        <v>1</v>
      </c>
      <c r="Y1240" s="218">
        <v>1</v>
      </c>
    </row>
    <row r="1241" spans="1:25" x14ac:dyDescent="0.3">
      <c r="A1241" s="1" t="s">
        <v>3503</v>
      </c>
      <c r="B1241" s="5">
        <v>46159</v>
      </c>
      <c r="C1241" s="6">
        <v>0.875</v>
      </c>
      <c r="D1241" s="1" t="s">
        <v>16</v>
      </c>
      <c r="E1241" s="1" t="s">
        <v>3425</v>
      </c>
      <c r="F1241" s="1" t="s">
        <v>3504</v>
      </c>
      <c r="G1241" s="39" t="s">
        <v>3380</v>
      </c>
      <c r="H1241" s="1">
        <v>0</v>
      </c>
      <c r="I1241" s="1">
        <v>2</v>
      </c>
      <c r="J1241" s="39" t="s">
        <v>221</v>
      </c>
      <c r="K1241" s="1">
        <v>2</v>
      </c>
      <c r="L1241" s="1">
        <v>0</v>
      </c>
      <c r="S1241" s="1" t="s">
        <v>3505</v>
      </c>
      <c r="T1241" s="1">
        <v>1</v>
      </c>
      <c r="U1241" s="19"/>
      <c r="V1241" s="19"/>
      <c r="W1241" s="218">
        <v>1</v>
      </c>
      <c r="X1241" s="218">
        <v>1</v>
      </c>
      <c r="Y1241" s="218">
        <v>1</v>
      </c>
    </row>
    <row r="1242" spans="1:25" x14ac:dyDescent="0.3">
      <c r="A1242" s="1" t="s">
        <v>3506</v>
      </c>
      <c r="B1242" s="5">
        <v>46138</v>
      </c>
      <c r="C1242" s="6">
        <v>0.77083333333333304</v>
      </c>
      <c r="D1242" s="1" t="s">
        <v>16</v>
      </c>
      <c r="E1242" s="1" t="s">
        <v>3425</v>
      </c>
      <c r="F1242" s="1" t="s">
        <v>3507</v>
      </c>
      <c r="G1242" s="39" t="s">
        <v>221</v>
      </c>
      <c r="H1242" s="1">
        <v>3</v>
      </c>
      <c r="I1242" s="1">
        <v>1</v>
      </c>
      <c r="J1242" s="39" t="s">
        <v>3352</v>
      </c>
      <c r="K1242" s="1">
        <v>1</v>
      </c>
      <c r="L1242" s="1">
        <v>3</v>
      </c>
      <c r="S1242" s="1" t="s">
        <v>3508</v>
      </c>
      <c r="T1242" s="1">
        <v>1</v>
      </c>
      <c r="U1242" s="19"/>
      <c r="V1242" s="19"/>
      <c r="W1242" s="218">
        <v>1</v>
      </c>
      <c r="X1242" s="218">
        <v>1</v>
      </c>
      <c r="Y1242" s="218">
        <v>1</v>
      </c>
    </row>
    <row r="1243" spans="1:25" x14ac:dyDescent="0.3">
      <c r="A1243" s="1" t="s">
        <v>3509</v>
      </c>
      <c r="B1243" s="5">
        <v>46123</v>
      </c>
      <c r="C1243" s="6">
        <v>0.66666666666666696</v>
      </c>
      <c r="D1243" s="1" t="s">
        <v>16</v>
      </c>
      <c r="E1243" s="1" t="s">
        <v>3425</v>
      </c>
      <c r="F1243" s="1" t="s">
        <v>3510</v>
      </c>
      <c r="G1243" s="39" t="s">
        <v>3356</v>
      </c>
      <c r="H1243" s="1">
        <v>1</v>
      </c>
      <c r="I1243" s="1">
        <v>0</v>
      </c>
      <c r="J1243" s="39" t="s">
        <v>221</v>
      </c>
      <c r="K1243" s="1">
        <v>0</v>
      </c>
      <c r="L1243" s="1">
        <v>1</v>
      </c>
      <c r="S1243" s="1" t="s">
        <v>3511</v>
      </c>
      <c r="T1243" s="1">
        <v>1</v>
      </c>
      <c r="U1243" s="19"/>
      <c r="V1243" s="19"/>
      <c r="W1243" s="218">
        <v>1</v>
      </c>
      <c r="X1243" s="218">
        <v>1</v>
      </c>
      <c r="Y1243" s="218">
        <v>1</v>
      </c>
    </row>
    <row r="1244" spans="1:25" x14ac:dyDescent="0.3">
      <c r="A1244" s="1" t="s">
        <v>3512</v>
      </c>
      <c r="B1244" s="5">
        <v>46116</v>
      </c>
      <c r="C1244" s="6">
        <v>0.83333333333333304</v>
      </c>
      <c r="D1244" s="1" t="s">
        <v>16</v>
      </c>
      <c r="E1244" s="1" t="s">
        <v>3425</v>
      </c>
      <c r="F1244" s="1" t="s">
        <v>3513</v>
      </c>
      <c r="G1244" s="39" t="s">
        <v>221</v>
      </c>
      <c r="H1244" s="1">
        <v>0</v>
      </c>
      <c r="I1244" s="1">
        <v>0</v>
      </c>
      <c r="J1244" s="39" t="s">
        <v>3364</v>
      </c>
      <c r="K1244" s="1">
        <v>0</v>
      </c>
      <c r="L1244" s="1">
        <v>0</v>
      </c>
      <c r="S1244" s="1" t="s">
        <v>3514</v>
      </c>
      <c r="T1244" s="1">
        <v>1</v>
      </c>
      <c r="U1244" s="19"/>
      <c r="V1244" s="19"/>
      <c r="W1244" s="218">
        <v>1</v>
      </c>
      <c r="X1244" s="218">
        <v>1</v>
      </c>
      <c r="Y1244" s="218">
        <v>1</v>
      </c>
    </row>
    <row r="1245" spans="1:25" x14ac:dyDescent="0.3">
      <c r="A1245" s="1" t="s">
        <v>3515</v>
      </c>
      <c r="B1245" s="5">
        <v>46242</v>
      </c>
      <c r="C1245" s="6">
        <v>0.77083333333333304</v>
      </c>
      <c r="D1245" s="1" t="s">
        <v>16</v>
      </c>
      <c r="E1245" s="1" t="s">
        <v>3425</v>
      </c>
      <c r="F1245" s="1" t="s">
        <v>3516</v>
      </c>
      <c r="G1245" s="39" t="s">
        <v>3368</v>
      </c>
      <c r="H1245" s="1">
        <v>1</v>
      </c>
      <c r="I1245" s="1">
        <v>1</v>
      </c>
      <c r="J1245" s="39" t="s">
        <v>3356</v>
      </c>
      <c r="K1245" s="1">
        <v>1</v>
      </c>
      <c r="L1245" s="1">
        <v>1</v>
      </c>
      <c r="S1245" s="1" t="s">
        <v>3517</v>
      </c>
      <c r="T1245" s="1">
        <v>1</v>
      </c>
      <c r="U1245" s="19"/>
      <c r="V1245" s="19"/>
      <c r="W1245" s="218">
        <v>1</v>
      </c>
      <c r="X1245" s="218">
        <v>1</v>
      </c>
      <c r="Y1245" s="218">
        <v>1</v>
      </c>
    </row>
    <row r="1246" spans="1:25" x14ac:dyDescent="0.3">
      <c r="A1246" s="1" t="s">
        <v>3518</v>
      </c>
      <c r="B1246" s="5">
        <v>46186</v>
      </c>
      <c r="C1246" s="6">
        <v>0.5625</v>
      </c>
      <c r="D1246" s="1" t="s">
        <v>16</v>
      </c>
      <c r="E1246" s="1" t="s">
        <v>3425</v>
      </c>
      <c r="F1246" s="1" t="s">
        <v>3519</v>
      </c>
      <c r="G1246" s="39" t="s">
        <v>3368</v>
      </c>
      <c r="H1246" s="1">
        <v>0</v>
      </c>
      <c r="I1246" s="1">
        <v>0</v>
      </c>
      <c r="J1246" s="39" t="s">
        <v>3435</v>
      </c>
      <c r="K1246" s="1">
        <v>0</v>
      </c>
      <c r="L1246" s="1">
        <v>0</v>
      </c>
      <c r="S1246" s="1" t="s">
        <v>3520</v>
      </c>
      <c r="T1246" s="1">
        <v>1</v>
      </c>
      <c r="U1246" s="19"/>
      <c r="V1246" s="19"/>
      <c r="W1246" s="218">
        <v>1</v>
      </c>
      <c r="X1246" s="218">
        <v>1</v>
      </c>
      <c r="Y1246" s="218">
        <v>1</v>
      </c>
    </row>
    <row r="1247" spans="1:25" x14ac:dyDescent="0.3">
      <c r="A1247" s="1" t="s">
        <v>3521</v>
      </c>
      <c r="B1247" s="5">
        <v>46173</v>
      </c>
      <c r="C1247" s="6">
        <v>0.5625</v>
      </c>
      <c r="D1247" s="1" t="s">
        <v>16</v>
      </c>
      <c r="E1247" s="1" t="s">
        <v>3425</v>
      </c>
      <c r="F1247" s="1" t="s">
        <v>3522</v>
      </c>
      <c r="G1247" s="39" t="s">
        <v>3348</v>
      </c>
      <c r="H1247" s="1">
        <v>2</v>
      </c>
      <c r="I1247" s="1">
        <v>3</v>
      </c>
      <c r="J1247" s="39" t="s">
        <v>3368</v>
      </c>
      <c r="K1247" s="1">
        <v>3</v>
      </c>
      <c r="L1247" s="1">
        <v>2</v>
      </c>
      <c r="S1247" s="1" t="s">
        <v>3523</v>
      </c>
      <c r="T1247" s="1">
        <v>1</v>
      </c>
      <c r="U1247" s="19"/>
      <c r="V1247" s="19"/>
      <c r="W1247" s="218">
        <v>1</v>
      </c>
      <c r="X1247" s="218">
        <v>1</v>
      </c>
      <c r="Y1247" s="218">
        <v>1</v>
      </c>
    </row>
    <row r="1248" spans="1:25" x14ac:dyDescent="0.3">
      <c r="A1248" s="1" t="s">
        <v>3524</v>
      </c>
      <c r="B1248" s="5">
        <v>46157</v>
      </c>
      <c r="C1248" s="6">
        <v>0.875</v>
      </c>
      <c r="D1248" s="1" t="s">
        <v>16</v>
      </c>
      <c r="E1248" s="1" t="s">
        <v>3425</v>
      </c>
      <c r="F1248" s="1" t="s">
        <v>3525</v>
      </c>
      <c r="G1248" s="39" t="s">
        <v>3368</v>
      </c>
      <c r="H1248" s="1">
        <v>3</v>
      </c>
      <c r="I1248" s="1">
        <v>0</v>
      </c>
      <c r="J1248" s="39" t="s">
        <v>3388</v>
      </c>
      <c r="K1248" s="1">
        <v>0</v>
      </c>
      <c r="L1248" s="1">
        <v>3</v>
      </c>
      <c r="S1248" s="1" t="s">
        <v>3526</v>
      </c>
      <c r="T1248" s="1">
        <v>1</v>
      </c>
      <c r="U1248" s="19"/>
      <c r="V1248" s="19"/>
      <c r="W1248" s="218">
        <v>1</v>
      </c>
      <c r="X1248" s="218">
        <v>1</v>
      </c>
      <c r="Y1248" s="218">
        <v>1</v>
      </c>
    </row>
    <row r="1249" spans="1:25" x14ac:dyDescent="0.3">
      <c r="A1249" s="1" t="s">
        <v>3527</v>
      </c>
      <c r="B1249" s="5">
        <v>46136</v>
      </c>
      <c r="C1249" s="6">
        <v>0.79166666666666696</v>
      </c>
      <c r="D1249" s="1" t="s">
        <v>16</v>
      </c>
      <c r="E1249" s="1" t="s">
        <v>3425</v>
      </c>
      <c r="F1249" s="1" t="s">
        <v>3528</v>
      </c>
      <c r="G1249" s="39" t="s">
        <v>3414</v>
      </c>
      <c r="H1249" s="1">
        <v>1</v>
      </c>
      <c r="I1249" s="1">
        <v>2</v>
      </c>
      <c r="J1249" s="39" t="s">
        <v>3368</v>
      </c>
      <c r="K1249" s="1">
        <v>2</v>
      </c>
      <c r="L1249" s="1">
        <v>1</v>
      </c>
      <c r="S1249" s="1" t="s">
        <v>3529</v>
      </c>
      <c r="T1249" s="1">
        <v>1</v>
      </c>
      <c r="U1249" s="19"/>
      <c r="V1249" s="19"/>
      <c r="W1249" s="218">
        <v>1</v>
      </c>
      <c r="X1249" s="218">
        <v>1</v>
      </c>
      <c r="Y1249" s="218">
        <v>1</v>
      </c>
    </row>
    <row r="1250" spans="1:25" x14ac:dyDescent="0.3">
      <c r="A1250" s="1" t="s">
        <v>3530</v>
      </c>
      <c r="B1250" s="5">
        <v>46131</v>
      </c>
      <c r="C1250" s="6">
        <v>0.5625</v>
      </c>
      <c r="D1250" s="1" t="s">
        <v>16</v>
      </c>
      <c r="E1250" s="1" t="s">
        <v>3425</v>
      </c>
      <c r="F1250" s="1" t="s">
        <v>3531</v>
      </c>
      <c r="G1250" s="39" t="s">
        <v>3368</v>
      </c>
      <c r="H1250" s="1">
        <v>1</v>
      </c>
      <c r="I1250" s="1">
        <v>1</v>
      </c>
      <c r="J1250" s="39" t="s">
        <v>3364</v>
      </c>
      <c r="K1250" s="1">
        <v>1</v>
      </c>
      <c r="L1250" s="1">
        <v>1</v>
      </c>
      <c r="S1250" s="1" t="s">
        <v>3532</v>
      </c>
      <c r="T1250" s="1">
        <v>1</v>
      </c>
      <c r="U1250" s="19"/>
      <c r="V1250" s="19"/>
      <c r="W1250" s="218">
        <v>1</v>
      </c>
      <c r="X1250" s="218">
        <v>1</v>
      </c>
      <c r="Y1250" s="218">
        <v>1</v>
      </c>
    </row>
    <row r="1251" spans="1:25" x14ac:dyDescent="0.3">
      <c r="A1251" s="1" t="s">
        <v>3533</v>
      </c>
      <c r="B1251" s="5">
        <v>46115</v>
      </c>
      <c r="C1251" s="6">
        <v>0.72916666666666696</v>
      </c>
      <c r="D1251" s="1" t="s">
        <v>16</v>
      </c>
      <c r="E1251" s="1" t="s">
        <v>3425</v>
      </c>
      <c r="F1251" s="1" t="s">
        <v>3534</v>
      </c>
      <c r="G1251" s="39" t="s">
        <v>3368</v>
      </c>
      <c r="H1251" s="1">
        <v>3</v>
      </c>
      <c r="I1251" s="1">
        <v>2</v>
      </c>
      <c r="J1251" s="39" t="s">
        <v>3352</v>
      </c>
      <c r="K1251" s="1">
        <v>2</v>
      </c>
      <c r="L1251" s="1">
        <v>3</v>
      </c>
      <c r="S1251" s="1" t="s">
        <v>3535</v>
      </c>
      <c r="T1251" s="1">
        <v>1</v>
      </c>
      <c r="U1251" s="19"/>
      <c r="V1251" s="19"/>
      <c r="W1251" s="218">
        <v>1</v>
      </c>
      <c r="X1251" s="218">
        <v>1</v>
      </c>
      <c r="Y1251" s="218">
        <v>1</v>
      </c>
    </row>
    <row r="1252" spans="1:25" x14ac:dyDescent="0.3">
      <c r="A1252" s="1" t="s">
        <v>3536</v>
      </c>
      <c r="B1252" s="5">
        <v>46088</v>
      </c>
      <c r="C1252" s="6">
        <v>0.29166666666666702</v>
      </c>
      <c r="D1252" s="1" t="s">
        <v>16</v>
      </c>
      <c r="E1252" s="1" t="s">
        <v>3425</v>
      </c>
      <c r="F1252" s="1" t="s">
        <v>3537</v>
      </c>
      <c r="G1252" s="39" t="s">
        <v>3384</v>
      </c>
      <c r="H1252" s="1">
        <v>1</v>
      </c>
      <c r="I1252" s="1">
        <v>3</v>
      </c>
      <c r="J1252" s="39" t="s">
        <v>3368</v>
      </c>
      <c r="K1252" s="1">
        <v>3</v>
      </c>
      <c r="L1252" s="1">
        <v>1</v>
      </c>
      <c r="S1252" s="1" t="s">
        <v>3538</v>
      </c>
      <c r="T1252" s="1">
        <v>1</v>
      </c>
      <c r="U1252" s="19"/>
      <c r="V1252" s="19"/>
      <c r="W1252" s="218">
        <v>0</v>
      </c>
      <c r="X1252" s="218">
        <v>1</v>
      </c>
      <c r="Y1252" s="218">
        <v>1</v>
      </c>
    </row>
    <row r="1253" spans="1:25" x14ac:dyDescent="0.3">
      <c r="A1253" s="1" t="s">
        <v>3539</v>
      </c>
      <c r="B1253" s="5">
        <v>46186</v>
      </c>
      <c r="C1253" s="6">
        <v>0.70833333333333304</v>
      </c>
      <c r="D1253" s="1" t="s">
        <v>16</v>
      </c>
      <c r="E1253" s="1" t="s">
        <v>3425</v>
      </c>
      <c r="F1253" s="1" t="s">
        <v>3540</v>
      </c>
      <c r="G1253" s="39" t="s">
        <v>3364</v>
      </c>
      <c r="H1253" s="1">
        <v>2</v>
      </c>
      <c r="I1253" s="1">
        <v>2</v>
      </c>
      <c r="J1253" s="39" t="s">
        <v>3384</v>
      </c>
      <c r="K1253" s="1">
        <v>2</v>
      </c>
      <c r="L1253" s="1">
        <v>2</v>
      </c>
      <c r="S1253" s="1" t="s">
        <v>3541</v>
      </c>
      <c r="T1253" s="1">
        <v>1</v>
      </c>
      <c r="U1253" s="19"/>
      <c r="V1253" s="19"/>
      <c r="W1253" s="218">
        <v>1</v>
      </c>
      <c r="X1253" s="218">
        <v>1</v>
      </c>
      <c r="Y1253" s="218">
        <v>1</v>
      </c>
    </row>
    <row r="1254" spans="1:25" x14ac:dyDescent="0.3">
      <c r="A1254" s="1" t="s">
        <v>3542</v>
      </c>
      <c r="B1254" s="5">
        <v>46171</v>
      </c>
      <c r="C1254" s="6">
        <v>0.79166666666666696</v>
      </c>
      <c r="D1254" s="1" t="s">
        <v>16</v>
      </c>
      <c r="E1254" s="1" t="s">
        <v>3425</v>
      </c>
      <c r="F1254" s="1" t="s">
        <v>3543</v>
      </c>
      <c r="G1254" s="39" t="s">
        <v>3352</v>
      </c>
      <c r="H1254" s="1">
        <v>0</v>
      </c>
      <c r="I1254" s="1">
        <v>1</v>
      </c>
      <c r="J1254" s="39" t="s">
        <v>3364</v>
      </c>
      <c r="K1254" s="1">
        <v>1</v>
      </c>
      <c r="L1254" s="1">
        <v>0</v>
      </c>
      <c r="S1254" s="1" t="s">
        <v>3544</v>
      </c>
      <c r="T1254" s="1">
        <v>1</v>
      </c>
      <c r="U1254" s="19"/>
      <c r="V1254" s="19"/>
      <c r="W1254" s="218">
        <v>1</v>
      </c>
      <c r="X1254" s="218">
        <v>1</v>
      </c>
      <c r="Y1254" s="218">
        <v>1</v>
      </c>
    </row>
    <row r="1255" spans="1:25" x14ac:dyDescent="0.3">
      <c r="A1255" s="1" t="s">
        <v>3545</v>
      </c>
      <c r="B1255" s="5">
        <v>46165</v>
      </c>
      <c r="C1255" s="6">
        <v>0.66666666666666696</v>
      </c>
      <c r="D1255" s="1" t="s">
        <v>16</v>
      </c>
      <c r="E1255" s="1" t="s">
        <v>3425</v>
      </c>
      <c r="F1255" s="1" t="s">
        <v>3546</v>
      </c>
      <c r="G1255" s="39" t="s">
        <v>3364</v>
      </c>
      <c r="H1255" s="1">
        <v>2</v>
      </c>
      <c r="I1255" s="1">
        <v>2</v>
      </c>
      <c r="J1255" s="39" t="s">
        <v>3372</v>
      </c>
      <c r="K1255" s="1">
        <v>2</v>
      </c>
      <c r="L1255" s="1">
        <v>2</v>
      </c>
      <c r="S1255" s="1" t="s">
        <v>3547</v>
      </c>
      <c r="T1255" s="1">
        <v>1</v>
      </c>
      <c r="U1255" s="19"/>
      <c r="V1255" s="19"/>
      <c r="W1255" s="218">
        <v>1</v>
      </c>
      <c r="X1255" s="218">
        <v>1</v>
      </c>
      <c r="Y1255" s="218">
        <v>1</v>
      </c>
    </row>
    <row r="1256" spans="1:25" x14ac:dyDescent="0.3">
      <c r="A1256" s="1" t="s">
        <v>3548</v>
      </c>
      <c r="B1256" s="5">
        <v>46137</v>
      </c>
      <c r="C1256" s="6">
        <v>0.66666666666666696</v>
      </c>
      <c r="D1256" s="1" t="s">
        <v>16</v>
      </c>
      <c r="E1256" s="1" t="s">
        <v>3425</v>
      </c>
      <c r="F1256" s="1" t="s">
        <v>3549</v>
      </c>
      <c r="G1256" s="39" t="s">
        <v>3364</v>
      </c>
      <c r="H1256" s="1">
        <v>0</v>
      </c>
      <c r="I1256" s="1">
        <v>2</v>
      </c>
      <c r="J1256" s="39" t="s">
        <v>3435</v>
      </c>
      <c r="K1256" s="1">
        <v>2</v>
      </c>
      <c r="L1256" s="1">
        <v>0</v>
      </c>
      <c r="S1256" s="1" t="s">
        <v>3550</v>
      </c>
      <c r="T1256" s="1">
        <v>1</v>
      </c>
      <c r="U1256" s="19"/>
      <c r="V1256" s="19"/>
      <c r="W1256" s="218">
        <v>1</v>
      </c>
      <c r="X1256" s="218">
        <v>1</v>
      </c>
      <c r="Y1256" s="218">
        <v>1</v>
      </c>
    </row>
    <row r="1257" spans="1:25" x14ac:dyDescent="0.3">
      <c r="A1257" s="1" t="s">
        <v>3551</v>
      </c>
      <c r="B1257" s="5">
        <v>46096</v>
      </c>
      <c r="C1257" s="6">
        <v>0.6875</v>
      </c>
      <c r="D1257" s="1" t="s">
        <v>16</v>
      </c>
      <c r="E1257" s="1" t="s">
        <v>3425</v>
      </c>
      <c r="F1257" s="1" t="s">
        <v>3552</v>
      </c>
      <c r="G1257" s="39" t="s">
        <v>3364</v>
      </c>
      <c r="H1257" s="1">
        <v>2</v>
      </c>
      <c r="I1257" s="1">
        <v>2</v>
      </c>
      <c r="J1257" s="39" t="s">
        <v>3356</v>
      </c>
      <c r="K1257" s="1">
        <v>2</v>
      </c>
      <c r="L1257" s="1">
        <v>2</v>
      </c>
      <c r="S1257" s="1" t="s">
        <v>3553</v>
      </c>
      <c r="T1257" s="1">
        <v>1</v>
      </c>
      <c r="U1257" s="19"/>
      <c r="V1257" s="19"/>
      <c r="W1257" s="218">
        <v>1</v>
      </c>
      <c r="X1257" s="218">
        <v>1</v>
      </c>
      <c r="Y1257" s="218">
        <v>1</v>
      </c>
    </row>
    <row r="1258" spans="1:25" x14ac:dyDescent="0.3">
      <c r="A1258" s="1" t="s">
        <v>3554</v>
      </c>
      <c r="B1258" s="5">
        <v>46087</v>
      </c>
      <c r="C1258" s="6">
        <v>0.85416666666666696</v>
      </c>
      <c r="D1258" s="1" t="s">
        <v>16</v>
      </c>
      <c r="E1258" s="1" t="s">
        <v>3425</v>
      </c>
      <c r="F1258" s="1" t="s">
        <v>3555</v>
      </c>
      <c r="G1258" s="39" t="s">
        <v>3380</v>
      </c>
      <c r="H1258" s="1">
        <v>0</v>
      </c>
      <c r="I1258" s="1">
        <v>2</v>
      </c>
      <c r="J1258" s="39" t="s">
        <v>3364</v>
      </c>
      <c r="K1258" s="1">
        <v>2</v>
      </c>
      <c r="L1258" s="1">
        <v>0</v>
      </c>
      <c r="S1258" s="1" t="s">
        <v>3556</v>
      </c>
      <c r="T1258" s="1">
        <v>1</v>
      </c>
      <c r="U1258" s="19"/>
      <c r="V1258" s="19"/>
      <c r="W1258" s="218">
        <v>0</v>
      </c>
      <c r="X1258" s="218">
        <v>1</v>
      </c>
      <c r="Y1258" s="218">
        <v>1</v>
      </c>
    </row>
    <row r="1259" spans="1:25" x14ac:dyDescent="0.3">
      <c r="A1259" s="1" t="s">
        <v>3557</v>
      </c>
      <c r="B1259" s="5">
        <v>46082</v>
      </c>
      <c r="C1259" s="6">
        <v>0.85416666666666696</v>
      </c>
      <c r="D1259" s="1" t="s">
        <v>16</v>
      </c>
      <c r="E1259" s="1" t="s">
        <v>3425</v>
      </c>
      <c r="F1259" s="1" t="s">
        <v>3558</v>
      </c>
      <c r="G1259" s="39" t="s">
        <v>3364</v>
      </c>
      <c r="H1259" s="1">
        <v>1</v>
      </c>
      <c r="I1259" s="1">
        <v>2</v>
      </c>
      <c r="J1259" s="39" t="s">
        <v>3360</v>
      </c>
      <c r="K1259" s="1">
        <v>2</v>
      </c>
      <c r="L1259" s="1">
        <v>1</v>
      </c>
      <c r="S1259" s="1" t="s">
        <v>3559</v>
      </c>
      <c r="T1259" s="1">
        <v>1</v>
      </c>
      <c r="U1259" s="19"/>
      <c r="V1259" s="19"/>
      <c r="W1259" s="218">
        <v>0</v>
      </c>
      <c r="X1259" s="218">
        <v>0</v>
      </c>
      <c r="Y1259" s="218">
        <v>0</v>
      </c>
    </row>
    <row r="1260" spans="1:25" x14ac:dyDescent="0.3">
      <c r="A1260" s="1" t="s">
        <v>3560</v>
      </c>
      <c r="B1260" s="5">
        <v>46228</v>
      </c>
      <c r="C1260" s="6">
        <v>0.77083333333333304</v>
      </c>
      <c r="D1260" s="1" t="s">
        <v>16</v>
      </c>
      <c r="E1260" s="1" t="s">
        <v>3425</v>
      </c>
      <c r="F1260" s="1" t="s">
        <v>3561</v>
      </c>
      <c r="G1260" s="39" t="s">
        <v>3384</v>
      </c>
      <c r="H1260" s="1">
        <v>3</v>
      </c>
      <c r="I1260" s="1">
        <v>3</v>
      </c>
      <c r="J1260" s="39" t="s">
        <v>3352</v>
      </c>
      <c r="K1260" s="1">
        <v>3</v>
      </c>
      <c r="L1260" s="1">
        <v>3</v>
      </c>
      <c r="S1260" s="1" t="s">
        <v>3562</v>
      </c>
      <c r="T1260" s="1">
        <v>1</v>
      </c>
      <c r="U1260" s="19"/>
      <c r="V1260" s="19"/>
      <c r="W1260" s="218">
        <v>1</v>
      </c>
      <c r="X1260" s="218">
        <v>1</v>
      </c>
      <c r="Y1260" s="218">
        <v>1</v>
      </c>
    </row>
    <row r="1261" spans="1:25" x14ac:dyDescent="0.3">
      <c r="A1261" s="1" t="s">
        <v>3563</v>
      </c>
      <c r="B1261" s="5">
        <v>46166</v>
      </c>
      <c r="C1261" s="6">
        <v>0.5625</v>
      </c>
      <c r="D1261" s="1" t="s">
        <v>16</v>
      </c>
      <c r="E1261" s="1" t="s">
        <v>3425</v>
      </c>
      <c r="F1261" s="1" t="s">
        <v>3564</v>
      </c>
      <c r="G1261" s="39" t="s">
        <v>3380</v>
      </c>
      <c r="H1261" s="1">
        <v>2</v>
      </c>
      <c r="I1261" s="1">
        <v>0</v>
      </c>
      <c r="J1261" s="39" t="s">
        <v>3384</v>
      </c>
      <c r="K1261" s="1">
        <v>0</v>
      </c>
      <c r="L1261" s="1">
        <v>2</v>
      </c>
      <c r="S1261" s="1" t="s">
        <v>3565</v>
      </c>
      <c r="T1261" s="1">
        <v>1</v>
      </c>
      <c r="U1261" s="19"/>
      <c r="V1261" s="19"/>
      <c r="W1261" s="218">
        <v>1</v>
      </c>
      <c r="X1261" s="218">
        <v>1</v>
      </c>
      <c r="Y1261" s="218">
        <v>1</v>
      </c>
    </row>
    <row r="1262" spans="1:25" x14ac:dyDescent="0.3">
      <c r="A1262" s="1" t="s">
        <v>3566</v>
      </c>
      <c r="B1262" s="5">
        <v>46159</v>
      </c>
      <c r="C1262" s="6">
        <v>0.5625</v>
      </c>
      <c r="D1262" s="1" t="s">
        <v>16</v>
      </c>
      <c r="E1262" s="1" t="s">
        <v>3425</v>
      </c>
      <c r="F1262" s="1" t="s">
        <v>3567</v>
      </c>
      <c r="G1262" s="39" t="s">
        <v>3384</v>
      </c>
      <c r="H1262" s="1">
        <v>3</v>
      </c>
      <c r="I1262" s="1">
        <v>1</v>
      </c>
      <c r="J1262" s="39" t="s">
        <v>3414</v>
      </c>
      <c r="K1262" s="1">
        <v>1</v>
      </c>
      <c r="L1262" s="1">
        <v>3</v>
      </c>
      <c r="S1262" s="1" t="s">
        <v>3568</v>
      </c>
      <c r="T1262" s="1">
        <v>1</v>
      </c>
      <c r="U1262" s="19"/>
      <c r="V1262" s="19"/>
      <c r="W1262" s="218">
        <v>1</v>
      </c>
      <c r="X1262" s="218">
        <v>1</v>
      </c>
      <c r="Y1262" s="218">
        <v>1</v>
      </c>
    </row>
    <row r="1263" spans="1:25" x14ac:dyDescent="0.3">
      <c r="A1263" s="1" t="s">
        <v>3569</v>
      </c>
      <c r="B1263" s="5">
        <v>46138</v>
      </c>
      <c r="C1263" s="6">
        <v>0.5625</v>
      </c>
      <c r="D1263" s="1" t="s">
        <v>16</v>
      </c>
      <c r="E1263" s="1" t="s">
        <v>3425</v>
      </c>
      <c r="F1263" s="1" t="s">
        <v>3570</v>
      </c>
      <c r="G1263" s="39" t="s">
        <v>3356</v>
      </c>
      <c r="H1263" s="1">
        <v>0</v>
      </c>
      <c r="I1263" s="1">
        <v>0</v>
      </c>
      <c r="J1263" s="39" t="s">
        <v>3384</v>
      </c>
      <c r="K1263" s="1">
        <v>0</v>
      </c>
      <c r="L1263" s="1">
        <v>0</v>
      </c>
      <c r="S1263" s="1" t="s">
        <v>3571</v>
      </c>
      <c r="T1263" s="1">
        <v>1</v>
      </c>
      <c r="U1263" s="19"/>
      <c r="V1263" s="19"/>
      <c r="W1263" s="218">
        <v>1</v>
      </c>
      <c r="X1263" s="218">
        <v>1</v>
      </c>
      <c r="Y1263" s="218">
        <v>1</v>
      </c>
    </row>
    <row r="1264" spans="1:25" x14ac:dyDescent="0.3">
      <c r="A1264" s="1" t="s">
        <v>3572</v>
      </c>
      <c r="B1264" s="5">
        <v>46131</v>
      </c>
      <c r="C1264" s="6">
        <v>0.90625</v>
      </c>
      <c r="D1264" s="1" t="s">
        <v>16</v>
      </c>
      <c r="E1264" s="1" t="s">
        <v>3425</v>
      </c>
      <c r="F1264" s="1" t="s">
        <v>3573</v>
      </c>
      <c r="G1264" s="39" t="s">
        <v>3384</v>
      </c>
      <c r="H1264" s="1">
        <v>3</v>
      </c>
      <c r="I1264" s="1">
        <v>2</v>
      </c>
      <c r="J1264" s="39" t="s">
        <v>3388</v>
      </c>
      <c r="K1264" s="1">
        <v>2</v>
      </c>
      <c r="L1264" s="1">
        <v>3</v>
      </c>
      <c r="S1264" s="1" t="s">
        <v>3574</v>
      </c>
      <c r="T1264" s="1">
        <v>1</v>
      </c>
      <c r="U1264" s="19"/>
      <c r="V1264" s="19"/>
      <c r="W1264" s="218">
        <v>1</v>
      </c>
      <c r="X1264" s="218">
        <v>1</v>
      </c>
      <c r="Y1264" s="218">
        <v>1</v>
      </c>
    </row>
    <row r="1265" spans="1:25" x14ac:dyDescent="0.3">
      <c r="A1265" s="1" t="s">
        <v>3575</v>
      </c>
      <c r="B1265" s="5">
        <v>46122</v>
      </c>
      <c r="C1265" s="6">
        <v>0.875</v>
      </c>
      <c r="D1265" s="1" t="s">
        <v>16</v>
      </c>
      <c r="E1265" s="1" t="s">
        <v>3425</v>
      </c>
      <c r="F1265" s="1" t="s">
        <v>3576</v>
      </c>
      <c r="G1265" s="39" t="s">
        <v>3435</v>
      </c>
      <c r="H1265" s="1">
        <v>0</v>
      </c>
      <c r="I1265" s="1">
        <v>2</v>
      </c>
      <c r="J1265" s="39" t="s">
        <v>3384</v>
      </c>
      <c r="K1265" s="1">
        <v>2</v>
      </c>
      <c r="L1265" s="1">
        <v>0</v>
      </c>
      <c r="S1265" s="1" t="s">
        <v>3577</v>
      </c>
      <c r="T1265" s="1">
        <v>1</v>
      </c>
      <c r="U1265" s="19"/>
      <c r="V1265" s="19"/>
      <c r="W1265" s="218">
        <v>1</v>
      </c>
      <c r="X1265" s="218">
        <v>1</v>
      </c>
      <c r="Y1265" s="218">
        <v>1</v>
      </c>
    </row>
    <row r="1266" spans="1:25" x14ac:dyDescent="0.3">
      <c r="A1266" s="1" t="s">
        <v>3578</v>
      </c>
      <c r="B1266" s="5">
        <v>46118</v>
      </c>
      <c r="C1266" s="6">
        <v>0.875</v>
      </c>
      <c r="D1266" s="1" t="s">
        <v>16</v>
      </c>
      <c r="E1266" s="1" t="s">
        <v>3425</v>
      </c>
      <c r="F1266" s="1" t="s">
        <v>3579</v>
      </c>
      <c r="G1266" s="39" t="s">
        <v>3384</v>
      </c>
      <c r="H1266" s="1">
        <v>5</v>
      </c>
      <c r="I1266" s="1">
        <v>1</v>
      </c>
      <c r="J1266" s="39" t="s">
        <v>3372</v>
      </c>
      <c r="K1266" s="1">
        <v>1</v>
      </c>
      <c r="L1266" s="1">
        <v>5</v>
      </c>
      <c r="S1266" s="1" t="s">
        <v>3580</v>
      </c>
      <c r="T1266" s="1">
        <v>1</v>
      </c>
      <c r="U1266" s="19"/>
      <c r="V1266" s="19"/>
      <c r="W1266" s="218">
        <v>1</v>
      </c>
      <c r="X1266" s="218">
        <v>1</v>
      </c>
      <c r="Y1266" s="218">
        <v>1</v>
      </c>
    </row>
    <row r="1267" spans="1:25" x14ac:dyDescent="0.3">
      <c r="A1267" s="1" t="s">
        <v>3581</v>
      </c>
      <c r="B1267" s="5">
        <v>46236</v>
      </c>
      <c r="C1267" s="6">
        <v>0.66666666666666696</v>
      </c>
      <c r="D1267" s="1" t="s">
        <v>16</v>
      </c>
      <c r="E1267" s="1" t="s">
        <v>3425</v>
      </c>
      <c r="F1267" s="1" t="s">
        <v>3582</v>
      </c>
      <c r="G1267" s="39" t="s">
        <v>3356</v>
      </c>
      <c r="H1267" s="1">
        <v>1</v>
      </c>
      <c r="I1267" s="1">
        <v>2</v>
      </c>
      <c r="J1267" s="39" t="s">
        <v>3435</v>
      </c>
      <c r="K1267" s="1">
        <v>2</v>
      </c>
      <c r="L1267" s="1">
        <v>1</v>
      </c>
      <c r="S1267" s="1" t="s">
        <v>3583</v>
      </c>
      <c r="T1267" s="1">
        <v>1</v>
      </c>
      <c r="U1267" s="19"/>
      <c r="V1267" s="19"/>
      <c r="W1267" s="218">
        <v>1</v>
      </c>
      <c r="X1267" s="218">
        <v>1</v>
      </c>
      <c r="Y1267" s="218">
        <v>1</v>
      </c>
    </row>
    <row r="1268" spans="1:25" x14ac:dyDescent="0.3">
      <c r="A1268" s="1" t="s">
        <v>3584</v>
      </c>
      <c r="B1268" s="5">
        <v>46229</v>
      </c>
      <c r="C1268" s="6">
        <v>0.89583333333333304</v>
      </c>
      <c r="D1268" s="1" t="s">
        <v>16</v>
      </c>
      <c r="E1268" s="1" t="s">
        <v>3425</v>
      </c>
      <c r="F1268" s="1" t="s">
        <v>3585</v>
      </c>
      <c r="G1268" s="39" t="s">
        <v>3380</v>
      </c>
      <c r="H1268" s="1">
        <v>2</v>
      </c>
      <c r="I1268" s="1">
        <v>0</v>
      </c>
      <c r="J1268" s="39" t="s">
        <v>3435</v>
      </c>
      <c r="K1268" s="1">
        <v>0</v>
      </c>
      <c r="L1268" s="1">
        <v>2</v>
      </c>
      <c r="S1268" s="1" t="s">
        <v>3586</v>
      </c>
      <c r="T1268" s="1">
        <v>1</v>
      </c>
      <c r="U1268" s="19"/>
      <c r="V1268" s="19"/>
      <c r="W1268" s="218">
        <v>1</v>
      </c>
      <c r="X1268" s="218">
        <v>1</v>
      </c>
      <c r="Y1268" s="218">
        <v>1</v>
      </c>
    </row>
    <row r="1269" spans="1:25" x14ac:dyDescent="0.3">
      <c r="A1269" s="1" t="s">
        <v>3587</v>
      </c>
      <c r="B1269" s="5">
        <v>46158</v>
      </c>
      <c r="C1269" s="6">
        <v>0.77083333333333304</v>
      </c>
      <c r="D1269" s="1" t="s">
        <v>16</v>
      </c>
      <c r="E1269" s="1" t="s">
        <v>3425</v>
      </c>
      <c r="F1269" s="1" t="s">
        <v>3588</v>
      </c>
      <c r="G1269" s="39" t="s">
        <v>3435</v>
      </c>
      <c r="H1269" s="1">
        <v>0</v>
      </c>
      <c r="I1269" s="1">
        <v>1</v>
      </c>
      <c r="J1269" s="39" t="s">
        <v>3372</v>
      </c>
      <c r="K1269" s="1">
        <v>1</v>
      </c>
      <c r="L1269" s="1">
        <v>0</v>
      </c>
      <c r="S1269" s="1" t="s">
        <v>3589</v>
      </c>
      <c r="T1269" s="1">
        <v>1</v>
      </c>
      <c r="U1269" s="19"/>
      <c r="V1269" s="19"/>
      <c r="W1269" s="218">
        <v>1</v>
      </c>
      <c r="X1269" s="218">
        <v>1</v>
      </c>
      <c r="Y1269" s="218">
        <v>1</v>
      </c>
    </row>
    <row r="1270" spans="1:25" x14ac:dyDescent="0.3">
      <c r="A1270" s="1" t="s">
        <v>3590</v>
      </c>
      <c r="B1270" s="5">
        <v>46131</v>
      </c>
      <c r="C1270" s="6">
        <v>0.6875</v>
      </c>
      <c r="D1270" s="1" t="s">
        <v>16</v>
      </c>
      <c r="E1270" s="1" t="s">
        <v>3425</v>
      </c>
      <c r="F1270" s="1" t="s">
        <v>3591</v>
      </c>
      <c r="G1270" s="39" t="s">
        <v>3352</v>
      </c>
      <c r="H1270" s="1">
        <v>2</v>
      </c>
      <c r="I1270" s="1">
        <v>3</v>
      </c>
      <c r="J1270" s="39" t="s">
        <v>3435</v>
      </c>
      <c r="K1270" s="1">
        <v>3</v>
      </c>
      <c r="L1270" s="1">
        <v>2</v>
      </c>
      <c r="S1270" s="1" t="s">
        <v>3592</v>
      </c>
      <c r="T1270" s="1">
        <v>1</v>
      </c>
      <c r="U1270" s="19"/>
      <c r="V1270" s="19"/>
      <c r="W1270" s="218">
        <v>1</v>
      </c>
      <c r="X1270" s="218">
        <v>1</v>
      </c>
      <c r="Y1270" s="218">
        <v>1</v>
      </c>
    </row>
    <row r="1271" spans="1:25" x14ac:dyDescent="0.3">
      <c r="A1271" s="1" t="s">
        <v>3593</v>
      </c>
      <c r="B1271" s="5">
        <v>46115</v>
      </c>
      <c r="C1271" s="6">
        <v>0.83333333333333304</v>
      </c>
      <c r="D1271" s="1" t="s">
        <v>16</v>
      </c>
      <c r="E1271" s="1" t="s">
        <v>3425</v>
      </c>
      <c r="F1271" s="1" t="s">
        <v>3594</v>
      </c>
      <c r="G1271" s="39" t="s">
        <v>3435</v>
      </c>
      <c r="H1271" s="1">
        <v>2</v>
      </c>
      <c r="I1271" s="1">
        <v>1</v>
      </c>
      <c r="J1271" s="39" t="s">
        <v>3388</v>
      </c>
      <c r="K1271" s="1">
        <v>1</v>
      </c>
      <c r="L1271" s="1">
        <v>2</v>
      </c>
      <c r="S1271" s="1" t="s">
        <v>3595</v>
      </c>
      <c r="T1271" s="1">
        <v>1</v>
      </c>
      <c r="U1271" s="19"/>
      <c r="V1271" s="19"/>
      <c r="W1271" s="218">
        <v>1</v>
      </c>
      <c r="X1271" s="218">
        <v>1</v>
      </c>
      <c r="Y1271" s="218">
        <v>1</v>
      </c>
    </row>
    <row r="1272" spans="1:25" x14ac:dyDescent="0.3">
      <c r="A1272" s="1" t="s">
        <v>3596</v>
      </c>
      <c r="B1272" s="5">
        <v>46097</v>
      </c>
      <c r="C1272" s="6">
        <v>0.75</v>
      </c>
      <c r="D1272" s="1" t="s">
        <v>16</v>
      </c>
      <c r="E1272" s="1" t="s">
        <v>3425</v>
      </c>
      <c r="F1272" s="1" t="s">
        <v>3597</v>
      </c>
      <c r="G1272" s="39" t="s">
        <v>3414</v>
      </c>
      <c r="H1272" s="1">
        <v>3</v>
      </c>
      <c r="I1272" s="1">
        <v>3</v>
      </c>
      <c r="J1272" s="39" t="s">
        <v>3435</v>
      </c>
      <c r="K1272" s="1">
        <v>3</v>
      </c>
      <c r="L1272" s="1">
        <v>3</v>
      </c>
      <c r="S1272" s="1" t="s">
        <v>3598</v>
      </c>
      <c r="T1272" s="1">
        <v>1</v>
      </c>
      <c r="U1272" s="19"/>
      <c r="V1272" s="19"/>
      <c r="W1272" s="218">
        <v>1</v>
      </c>
      <c r="X1272" s="218">
        <v>1</v>
      </c>
      <c r="Y1272" s="218">
        <v>1</v>
      </c>
    </row>
    <row r="1273" spans="1:25" x14ac:dyDescent="0.3">
      <c r="A1273" s="1" t="s">
        <v>3599</v>
      </c>
      <c r="B1273" s="5">
        <v>46088</v>
      </c>
      <c r="C1273" s="6">
        <v>0.85416666666666696</v>
      </c>
      <c r="D1273" s="1" t="s">
        <v>16</v>
      </c>
      <c r="E1273" s="1" t="s">
        <v>3425</v>
      </c>
      <c r="F1273" s="1" t="s">
        <v>3600</v>
      </c>
      <c r="G1273" s="39" t="s">
        <v>3435</v>
      </c>
      <c r="H1273" s="1">
        <v>1</v>
      </c>
      <c r="I1273" s="1">
        <v>0</v>
      </c>
      <c r="J1273" s="39" t="s">
        <v>3360</v>
      </c>
      <c r="K1273" s="1">
        <v>0</v>
      </c>
      <c r="L1273" s="1">
        <v>1</v>
      </c>
      <c r="S1273" s="1" t="s">
        <v>3601</v>
      </c>
      <c r="T1273" s="1">
        <v>1</v>
      </c>
      <c r="U1273" s="19"/>
      <c r="V1273" s="19"/>
      <c r="W1273" s="218">
        <v>0</v>
      </c>
      <c r="X1273" s="218">
        <v>0</v>
      </c>
      <c r="Y1273" s="218">
        <v>0</v>
      </c>
    </row>
    <row r="1274" spans="1:25" x14ac:dyDescent="0.3">
      <c r="A1274" s="1" t="s">
        <v>3602</v>
      </c>
      <c r="B1274" s="5">
        <v>46187</v>
      </c>
      <c r="C1274" s="6">
        <v>0.5625</v>
      </c>
      <c r="D1274" s="1" t="s">
        <v>16</v>
      </c>
      <c r="E1274" s="1" t="s">
        <v>3425</v>
      </c>
      <c r="F1274" s="1" t="s">
        <v>3603</v>
      </c>
      <c r="G1274" s="39" t="s">
        <v>3380</v>
      </c>
      <c r="H1274" s="1">
        <v>3</v>
      </c>
      <c r="I1274" s="1">
        <v>2</v>
      </c>
      <c r="J1274" s="39" t="s">
        <v>3348</v>
      </c>
      <c r="K1274" s="1">
        <v>2</v>
      </c>
      <c r="L1274" s="1">
        <v>3</v>
      </c>
      <c r="S1274" s="1" t="s">
        <v>3604</v>
      </c>
      <c r="T1274" s="1">
        <v>1</v>
      </c>
      <c r="U1274" s="19"/>
      <c r="V1274" s="19"/>
      <c r="W1274" s="218">
        <v>1</v>
      </c>
      <c r="X1274" s="218">
        <v>1</v>
      </c>
      <c r="Y1274" s="218">
        <v>1</v>
      </c>
    </row>
    <row r="1275" spans="1:25" x14ac:dyDescent="0.3">
      <c r="A1275" s="1" t="s">
        <v>3605</v>
      </c>
      <c r="B1275" s="5">
        <v>46166</v>
      </c>
      <c r="C1275" s="6">
        <v>0.66666666666666696</v>
      </c>
      <c r="D1275" s="1" t="s">
        <v>16</v>
      </c>
      <c r="E1275" s="1" t="s">
        <v>3425</v>
      </c>
      <c r="F1275" s="1" t="s">
        <v>3606</v>
      </c>
      <c r="G1275" s="39" t="s">
        <v>3356</v>
      </c>
      <c r="H1275" s="1">
        <v>4</v>
      </c>
      <c r="I1275" s="1">
        <v>1</v>
      </c>
      <c r="J1275" s="39" t="s">
        <v>3348</v>
      </c>
      <c r="K1275" s="1">
        <v>1</v>
      </c>
      <c r="L1275" s="1">
        <v>4</v>
      </c>
      <c r="S1275" s="1" t="s">
        <v>3607</v>
      </c>
      <c r="T1275" s="1">
        <v>1</v>
      </c>
      <c r="U1275" s="19"/>
      <c r="V1275" s="19"/>
      <c r="W1275" s="218">
        <v>1</v>
      </c>
      <c r="X1275" s="218">
        <v>1</v>
      </c>
      <c r="Y1275" s="218">
        <v>1</v>
      </c>
    </row>
    <row r="1276" spans="1:25" x14ac:dyDescent="0.3">
      <c r="A1276" s="1" t="s">
        <v>3608</v>
      </c>
      <c r="B1276" s="5">
        <v>46136</v>
      </c>
      <c r="C1276" s="6">
        <v>0.89583333333333304</v>
      </c>
      <c r="D1276" s="1" t="s">
        <v>16</v>
      </c>
      <c r="E1276" s="1" t="s">
        <v>3425</v>
      </c>
      <c r="F1276" s="1" t="s">
        <v>3609</v>
      </c>
      <c r="G1276" s="39" t="s">
        <v>3388</v>
      </c>
      <c r="H1276" s="1">
        <v>2</v>
      </c>
      <c r="I1276" s="1">
        <v>2</v>
      </c>
      <c r="J1276" s="39" t="s">
        <v>3348</v>
      </c>
      <c r="K1276" s="1">
        <v>2</v>
      </c>
      <c r="L1276" s="1">
        <v>2</v>
      </c>
      <c r="S1276" s="1" t="s">
        <v>3610</v>
      </c>
      <c r="T1276" s="1">
        <v>1</v>
      </c>
      <c r="U1276" s="19"/>
      <c r="V1276" s="19"/>
      <c r="W1276" s="218">
        <v>1</v>
      </c>
      <c r="X1276" s="218">
        <v>1</v>
      </c>
      <c r="Y1276" s="218">
        <v>1</v>
      </c>
    </row>
    <row r="1277" spans="1:25" x14ac:dyDescent="0.3">
      <c r="A1277" s="1" t="s">
        <v>3611</v>
      </c>
      <c r="B1277" s="5">
        <v>46129</v>
      </c>
      <c r="C1277" s="6">
        <v>0.875</v>
      </c>
      <c r="D1277" s="1" t="s">
        <v>16</v>
      </c>
      <c r="E1277" s="1" t="s">
        <v>3425</v>
      </c>
      <c r="F1277" s="1" t="s">
        <v>3612</v>
      </c>
      <c r="G1277" s="39" t="s">
        <v>3348</v>
      </c>
      <c r="H1277" s="1">
        <v>3</v>
      </c>
      <c r="I1277" s="1">
        <v>0</v>
      </c>
      <c r="J1277" s="39" t="s">
        <v>3372</v>
      </c>
      <c r="K1277" s="1">
        <v>0</v>
      </c>
      <c r="L1277" s="1">
        <v>3</v>
      </c>
      <c r="S1277" s="1" t="s">
        <v>3613</v>
      </c>
      <c r="T1277" s="1">
        <v>1</v>
      </c>
      <c r="U1277" s="19"/>
      <c r="V1277" s="19"/>
      <c r="W1277" s="218">
        <v>1</v>
      </c>
      <c r="X1277" s="218">
        <v>1</v>
      </c>
      <c r="Y1277" s="218">
        <v>1</v>
      </c>
    </row>
    <row r="1278" spans="1:25" x14ac:dyDescent="0.3">
      <c r="A1278" s="1" t="s">
        <v>3614</v>
      </c>
      <c r="B1278" s="5">
        <v>46116</v>
      </c>
      <c r="C1278" s="6">
        <v>0.72916666666666696</v>
      </c>
      <c r="D1278" s="1" t="s">
        <v>16</v>
      </c>
      <c r="E1278" s="1" t="s">
        <v>3425</v>
      </c>
      <c r="F1278" s="1" t="s">
        <v>3615</v>
      </c>
      <c r="G1278" s="39" t="s">
        <v>3348</v>
      </c>
      <c r="H1278" s="1">
        <v>4</v>
      </c>
      <c r="I1278" s="1">
        <v>0</v>
      </c>
      <c r="J1278" s="39" t="s">
        <v>3414</v>
      </c>
      <c r="K1278" s="1">
        <v>0</v>
      </c>
      <c r="L1278" s="1">
        <v>4</v>
      </c>
      <c r="S1278" s="1" t="s">
        <v>3616</v>
      </c>
      <c r="T1278" s="1">
        <v>1</v>
      </c>
      <c r="U1278" s="19"/>
      <c r="V1278" s="19"/>
      <c r="W1278" s="218">
        <v>1</v>
      </c>
      <c r="X1278" s="218">
        <v>1</v>
      </c>
      <c r="Y1278" s="218">
        <v>1</v>
      </c>
    </row>
    <row r="1279" spans="1:25" x14ac:dyDescent="0.3">
      <c r="A1279" s="1" t="s">
        <v>3617</v>
      </c>
      <c r="B1279" s="5">
        <v>46096</v>
      </c>
      <c r="C1279" s="6">
        <v>0.75</v>
      </c>
      <c r="D1279" s="1" t="s">
        <v>16</v>
      </c>
      <c r="E1279" s="1" t="s">
        <v>3425</v>
      </c>
      <c r="F1279" s="1" t="s">
        <v>3618</v>
      </c>
      <c r="G1279" s="39" t="s">
        <v>3352</v>
      </c>
      <c r="H1279" s="1">
        <v>2</v>
      </c>
      <c r="I1279" s="1">
        <v>5</v>
      </c>
      <c r="J1279" s="39" t="s">
        <v>3348</v>
      </c>
      <c r="K1279" s="1">
        <v>5</v>
      </c>
      <c r="L1279" s="1">
        <v>2</v>
      </c>
      <c r="S1279" s="1" t="s">
        <v>3619</v>
      </c>
      <c r="T1279" s="1">
        <v>1</v>
      </c>
      <c r="U1279" s="19"/>
      <c r="V1279" s="19"/>
      <c r="W1279" s="218">
        <v>1</v>
      </c>
      <c r="X1279" s="218">
        <v>1</v>
      </c>
      <c r="Y1279" s="218">
        <v>1</v>
      </c>
    </row>
    <row r="1280" spans="1:25" x14ac:dyDescent="0.3">
      <c r="A1280" s="1" t="s">
        <v>3620</v>
      </c>
      <c r="B1280" s="5">
        <v>46088</v>
      </c>
      <c r="C1280" s="6">
        <v>0.5</v>
      </c>
      <c r="D1280" s="1" t="s">
        <v>16</v>
      </c>
      <c r="E1280" s="1" t="s">
        <v>3425</v>
      </c>
      <c r="F1280" s="1" t="s">
        <v>3621</v>
      </c>
      <c r="G1280" s="39" t="s">
        <v>221</v>
      </c>
      <c r="H1280" s="1">
        <v>1</v>
      </c>
      <c r="I1280" s="1">
        <v>0</v>
      </c>
      <c r="J1280" s="39" t="s">
        <v>3348</v>
      </c>
      <c r="K1280" s="1">
        <v>0</v>
      </c>
      <c r="L1280" s="1">
        <v>1</v>
      </c>
      <c r="S1280" s="1" t="s">
        <v>3622</v>
      </c>
      <c r="T1280" s="1">
        <v>1</v>
      </c>
      <c r="U1280" s="19"/>
      <c r="V1280" s="19"/>
      <c r="W1280" s="218">
        <v>0</v>
      </c>
      <c r="X1280" s="218">
        <v>1</v>
      </c>
      <c r="Y1280" s="218">
        <v>1</v>
      </c>
    </row>
    <row r="1281" spans="1:25" x14ac:dyDescent="0.3">
      <c r="A1281" s="1" t="s">
        <v>3623</v>
      </c>
      <c r="B1281" s="5">
        <v>46081</v>
      </c>
      <c r="C1281" s="6">
        <v>0.75</v>
      </c>
      <c r="D1281" s="1" t="s">
        <v>16</v>
      </c>
      <c r="E1281" s="1" t="s">
        <v>3425</v>
      </c>
      <c r="F1281" s="1" t="s">
        <v>3624</v>
      </c>
      <c r="G1281" s="39" t="s">
        <v>3348</v>
      </c>
      <c r="H1281" s="1">
        <v>3</v>
      </c>
      <c r="I1281" s="1">
        <v>0</v>
      </c>
      <c r="J1281" s="39" t="s">
        <v>3384</v>
      </c>
      <c r="K1281" s="1">
        <v>0</v>
      </c>
      <c r="L1281" s="1">
        <v>3</v>
      </c>
      <c r="S1281" s="1" t="s">
        <v>3625</v>
      </c>
      <c r="T1281" s="1">
        <v>1</v>
      </c>
      <c r="U1281" s="19"/>
      <c r="V1281" s="19"/>
      <c r="W1281" s="218">
        <v>0</v>
      </c>
      <c r="X1281" s="218">
        <v>0</v>
      </c>
      <c r="Y1281" s="218">
        <v>0</v>
      </c>
    </row>
    <row r="1282" spans="1:25" x14ac:dyDescent="0.3">
      <c r="A1282" s="1" t="s">
        <v>3626</v>
      </c>
      <c r="B1282" s="5">
        <v>46130</v>
      </c>
      <c r="C1282" s="6">
        <v>0.83333333333333304</v>
      </c>
      <c r="D1282" s="1" t="s">
        <v>16</v>
      </c>
      <c r="E1282" s="1" t="s">
        <v>3425</v>
      </c>
      <c r="F1282" s="1" t="s">
        <v>3627</v>
      </c>
      <c r="G1282" s="39" t="s">
        <v>3380</v>
      </c>
      <c r="H1282" s="1">
        <v>3</v>
      </c>
      <c r="I1282" s="1">
        <v>3</v>
      </c>
      <c r="J1282" s="39" t="s">
        <v>3356</v>
      </c>
      <c r="K1282" s="1">
        <v>3</v>
      </c>
      <c r="L1282" s="1">
        <v>3</v>
      </c>
      <c r="S1282" s="1" t="s">
        <v>3628</v>
      </c>
      <c r="T1282" s="1">
        <v>1</v>
      </c>
      <c r="U1282" s="19"/>
      <c r="V1282" s="19"/>
      <c r="W1282" s="218">
        <v>1</v>
      </c>
      <c r="X1282" s="218">
        <v>1</v>
      </c>
      <c r="Y1282" s="218">
        <v>1</v>
      </c>
    </row>
    <row r="1283" spans="1:25" x14ac:dyDescent="0.3">
      <c r="A1283" s="1" t="s">
        <v>3629</v>
      </c>
      <c r="B1283" s="5">
        <v>46125</v>
      </c>
      <c r="C1283" s="6">
        <v>0.83333333333333304</v>
      </c>
      <c r="D1283" s="1" t="s">
        <v>16</v>
      </c>
      <c r="E1283" s="1" t="s">
        <v>3425</v>
      </c>
      <c r="F1283" s="1" t="s">
        <v>3630</v>
      </c>
      <c r="G1283" s="39" t="s">
        <v>3414</v>
      </c>
      <c r="H1283" s="1">
        <v>1</v>
      </c>
      <c r="I1283" s="1">
        <v>0</v>
      </c>
      <c r="J1283" s="39" t="s">
        <v>3380</v>
      </c>
      <c r="K1283" s="1">
        <v>0</v>
      </c>
      <c r="L1283" s="1">
        <v>1</v>
      </c>
      <c r="S1283" s="1" t="s">
        <v>3631</v>
      </c>
      <c r="T1283" s="1">
        <v>1</v>
      </c>
      <c r="U1283" s="19"/>
      <c r="V1283" s="19"/>
      <c r="W1283" s="218">
        <v>1</v>
      </c>
      <c r="X1283" s="218">
        <v>1</v>
      </c>
      <c r="Y1283" s="218">
        <v>1</v>
      </c>
    </row>
    <row r="1284" spans="1:25" x14ac:dyDescent="0.3">
      <c r="A1284" s="1" t="s">
        <v>3632</v>
      </c>
      <c r="B1284" s="5">
        <v>46094</v>
      </c>
      <c r="C1284" s="6">
        <v>0.83333333333333304</v>
      </c>
      <c r="D1284" s="1" t="s">
        <v>16</v>
      </c>
      <c r="E1284" s="1" t="s">
        <v>3425</v>
      </c>
      <c r="F1284" s="1" t="s">
        <v>3633</v>
      </c>
      <c r="G1284" s="39" t="s">
        <v>3388</v>
      </c>
      <c r="H1284" s="1">
        <v>3</v>
      </c>
      <c r="I1284" s="1">
        <v>0</v>
      </c>
      <c r="J1284" s="39" t="s">
        <v>3380</v>
      </c>
      <c r="K1284" s="1">
        <v>0</v>
      </c>
      <c r="L1284" s="1">
        <v>3</v>
      </c>
      <c r="S1284" s="1" t="s">
        <v>3634</v>
      </c>
      <c r="T1284" s="1">
        <v>1</v>
      </c>
      <c r="U1284" s="19"/>
      <c r="V1284" s="19"/>
      <c r="W1284" s="218">
        <v>1</v>
      </c>
      <c r="X1284" s="218">
        <v>1</v>
      </c>
      <c r="Y1284" s="218">
        <v>1</v>
      </c>
    </row>
    <row r="1285" spans="1:25" x14ac:dyDescent="0.3">
      <c r="A1285" s="1" t="s">
        <v>3635</v>
      </c>
      <c r="B1285" s="5">
        <v>46185</v>
      </c>
      <c r="C1285" s="6">
        <v>0.83333333333333304</v>
      </c>
      <c r="D1285" s="1" t="s">
        <v>16</v>
      </c>
      <c r="E1285" s="1" t="s">
        <v>3425</v>
      </c>
      <c r="F1285" s="1" t="s">
        <v>3636</v>
      </c>
      <c r="G1285" s="39" t="s">
        <v>3388</v>
      </c>
      <c r="H1285" s="1">
        <v>1</v>
      </c>
      <c r="I1285" s="1">
        <v>1</v>
      </c>
      <c r="J1285" s="39" t="s">
        <v>3356</v>
      </c>
      <c r="K1285" s="1">
        <v>1</v>
      </c>
      <c r="L1285" s="1">
        <v>1</v>
      </c>
      <c r="S1285" s="1" t="s">
        <v>3637</v>
      </c>
      <c r="T1285" s="1">
        <v>1</v>
      </c>
      <c r="U1285" s="19"/>
      <c r="V1285" s="19"/>
      <c r="W1285" s="218">
        <v>1</v>
      </c>
      <c r="X1285" s="218">
        <v>1</v>
      </c>
      <c r="Y1285" s="218">
        <v>1</v>
      </c>
    </row>
    <row r="1286" spans="1:25" x14ac:dyDescent="0.3">
      <c r="A1286" s="1" t="s">
        <v>3638</v>
      </c>
      <c r="B1286" s="5">
        <v>46234</v>
      </c>
      <c r="C1286" s="6">
        <v>0.83333333333333304</v>
      </c>
      <c r="D1286" s="1" t="s">
        <v>16</v>
      </c>
      <c r="E1286" s="1" t="s">
        <v>3425</v>
      </c>
      <c r="F1286" s="1" t="s">
        <v>3639</v>
      </c>
      <c r="G1286" s="39" t="s">
        <v>3372</v>
      </c>
      <c r="H1286" s="1">
        <v>0</v>
      </c>
      <c r="I1286" s="1">
        <v>1</v>
      </c>
      <c r="J1286" s="39" t="s">
        <v>3388</v>
      </c>
      <c r="K1286" s="1">
        <v>1</v>
      </c>
      <c r="L1286" s="1">
        <v>0</v>
      </c>
      <c r="S1286" s="1" t="s">
        <v>3640</v>
      </c>
      <c r="T1286" s="1">
        <v>1</v>
      </c>
      <c r="U1286" s="19"/>
      <c r="V1286" s="19"/>
      <c r="W1286" s="218">
        <v>1</v>
      </c>
      <c r="X1286" s="218">
        <v>1</v>
      </c>
      <c r="Y1286" s="218">
        <v>1</v>
      </c>
    </row>
    <row r="1287" spans="1:25" x14ac:dyDescent="0.3">
      <c r="A1287" s="1" t="s">
        <v>3641</v>
      </c>
      <c r="B1287" s="5">
        <v>46165</v>
      </c>
      <c r="C1287" s="6">
        <v>0.5625</v>
      </c>
      <c r="D1287" s="1" t="s">
        <v>16</v>
      </c>
      <c r="E1287" s="1" t="s">
        <v>3425</v>
      </c>
      <c r="F1287" s="1" t="s">
        <v>3642</v>
      </c>
      <c r="G1287" s="39" t="s">
        <v>3388</v>
      </c>
      <c r="H1287" s="1">
        <v>2</v>
      </c>
      <c r="I1287" s="1">
        <v>1</v>
      </c>
      <c r="J1287" s="39" t="s">
        <v>3352</v>
      </c>
      <c r="K1287" s="1">
        <v>1</v>
      </c>
      <c r="L1287" s="1">
        <v>2</v>
      </c>
      <c r="S1287" s="1" t="s">
        <v>3643</v>
      </c>
      <c r="T1287" s="1">
        <v>1</v>
      </c>
      <c r="U1287" s="19"/>
      <c r="V1287" s="19"/>
      <c r="W1287" s="218">
        <v>1</v>
      </c>
      <c r="X1287" s="218">
        <v>1</v>
      </c>
      <c r="Y1287" s="218">
        <v>1</v>
      </c>
    </row>
    <row r="1288" spans="1:25" x14ac:dyDescent="0.3">
      <c r="A1288" s="1" t="s">
        <v>3644</v>
      </c>
      <c r="B1288" s="5">
        <v>46243</v>
      </c>
      <c r="C1288" s="6">
        <v>0.52083333333333304</v>
      </c>
      <c r="D1288" s="1" t="s">
        <v>16</v>
      </c>
      <c r="E1288" s="1" t="s">
        <v>3425</v>
      </c>
      <c r="F1288" s="1" t="s">
        <v>3645</v>
      </c>
      <c r="G1288" s="39" t="s">
        <v>3380</v>
      </c>
      <c r="H1288" s="1">
        <v>1</v>
      </c>
      <c r="I1288" s="1">
        <v>0</v>
      </c>
      <c r="J1288" s="39" t="s">
        <v>3372</v>
      </c>
      <c r="K1288" s="1">
        <v>0</v>
      </c>
      <c r="L1288" s="1">
        <v>1</v>
      </c>
      <c r="S1288" s="1" t="s">
        <v>3646</v>
      </c>
      <c r="T1288" s="1">
        <v>1</v>
      </c>
      <c r="U1288" s="19"/>
      <c r="V1288" s="19"/>
      <c r="W1288" s="218">
        <v>1</v>
      </c>
      <c r="X1288" s="218">
        <v>1</v>
      </c>
      <c r="Y1288" s="218">
        <v>1</v>
      </c>
    </row>
    <row r="1289" spans="1:25" x14ac:dyDescent="0.3">
      <c r="A1289" s="1" t="s">
        <v>3647</v>
      </c>
      <c r="B1289" s="5">
        <v>46171</v>
      </c>
      <c r="C1289" s="6">
        <v>0.85416666666666696</v>
      </c>
      <c r="D1289" s="1" t="s">
        <v>16</v>
      </c>
      <c r="E1289" s="1" t="s">
        <v>3425</v>
      </c>
      <c r="F1289" s="1" t="s">
        <v>3648</v>
      </c>
      <c r="G1289" s="39" t="s">
        <v>3372</v>
      </c>
      <c r="H1289" s="1">
        <v>0</v>
      </c>
      <c r="I1289" s="1">
        <v>0</v>
      </c>
      <c r="J1289" s="39" t="s">
        <v>3414</v>
      </c>
      <c r="K1289" s="1">
        <v>0</v>
      </c>
      <c r="L1289" s="1">
        <v>0</v>
      </c>
      <c r="S1289" s="1" t="s">
        <v>3649</v>
      </c>
      <c r="T1289" s="1">
        <v>1</v>
      </c>
      <c r="U1289" s="19"/>
      <c r="V1289" s="19"/>
      <c r="W1289" s="218">
        <v>1</v>
      </c>
      <c r="X1289" s="218">
        <v>1</v>
      </c>
      <c r="Y1289" s="218">
        <v>1</v>
      </c>
    </row>
    <row r="1290" spans="1:25" x14ac:dyDescent="0.3">
      <c r="A1290" s="1" t="s">
        <v>3650</v>
      </c>
      <c r="B1290" s="5">
        <v>46124</v>
      </c>
      <c r="C1290" s="6">
        <v>0.83333333333333304</v>
      </c>
      <c r="D1290" s="1" t="s">
        <v>16</v>
      </c>
      <c r="E1290" s="1" t="s">
        <v>3425</v>
      </c>
      <c r="F1290" s="1" t="s">
        <v>3651</v>
      </c>
      <c r="G1290" s="39" t="s">
        <v>3372</v>
      </c>
      <c r="H1290" s="1">
        <v>1</v>
      </c>
      <c r="I1290" s="1">
        <v>0</v>
      </c>
      <c r="J1290" s="39" t="s">
        <v>3352</v>
      </c>
      <c r="K1290" s="1">
        <v>0</v>
      </c>
      <c r="L1290" s="1">
        <v>1</v>
      </c>
      <c r="S1290" s="1" t="s">
        <v>3652</v>
      </c>
      <c r="T1290" s="1">
        <v>1</v>
      </c>
      <c r="U1290" s="19"/>
      <c r="V1290" s="19"/>
      <c r="W1290" s="218">
        <v>1</v>
      </c>
      <c r="X1290" s="218">
        <v>1</v>
      </c>
      <c r="Y1290" s="218">
        <v>1</v>
      </c>
    </row>
    <row r="1291" spans="1:25" x14ac:dyDescent="0.3">
      <c r="A1291" s="1" t="s">
        <v>3653</v>
      </c>
      <c r="B1291" s="5">
        <v>46235</v>
      </c>
      <c r="C1291" s="6">
        <v>0.5625</v>
      </c>
      <c r="D1291" s="1" t="s">
        <v>16</v>
      </c>
      <c r="E1291" s="1" t="s">
        <v>3425</v>
      </c>
      <c r="F1291" s="1" t="s">
        <v>3654</v>
      </c>
      <c r="G1291" s="39" t="s">
        <v>3352</v>
      </c>
      <c r="H1291" s="1">
        <v>4</v>
      </c>
      <c r="I1291" s="1">
        <v>0</v>
      </c>
      <c r="J1291" s="39" t="s">
        <v>3414</v>
      </c>
      <c r="K1291" s="1">
        <v>0</v>
      </c>
      <c r="L1291" s="1">
        <v>4</v>
      </c>
      <c r="S1291" s="1" t="s">
        <v>3655</v>
      </c>
      <c r="T1291" s="1">
        <v>1</v>
      </c>
      <c r="U1291" s="19"/>
      <c r="V1291" s="19"/>
      <c r="W1291" s="218">
        <v>1</v>
      </c>
      <c r="X1291" s="218">
        <v>1</v>
      </c>
      <c r="Y1291" s="218">
        <v>1</v>
      </c>
    </row>
    <row r="1292" spans="1:25" x14ac:dyDescent="0.3">
      <c r="A1292" s="1" t="s">
        <v>3656</v>
      </c>
      <c r="B1292" s="5">
        <v>46087</v>
      </c>
      <c r="C1292" s="6">
        <v>0.75</v>
      </c>
      <c r="D1292" s="1" t="s">
        <v>16</v>
      </c>
      <c r="E1292" s="1" t="s">
        <v>3425</v>
      </c>
      <c r="F1292" s="1" t="s">
        <v>3657</v>
      </c>
      <c r="G1292" s="39" t="s">
        <v>3356</v>
      </c>
      <c r="H1292" s="1">
        <v>3</v>
      </c>
      <c r="I1292" s="1">
        <v>0</v>
      </c>
      <c r="J1292" s="39" t="s">
        <v>3414</v>
      </c>
      <c r="K1292" s="1">
        <v>0</v>
      </c>
      <c r="L1292" s="1">
        <v>3</v>
      </c>
      <c r="S1292" s="1" t="s">
        <v>3658</v>
      </c>
      <c r="T1292" s="1">
        <v>1</v>
      </c>
      <c r="U1292" s="19"/>
      <c r="V1292" s="19"/>
      <c r="W1292" s="218">
        <v>0</v>
      </c>
      <c r="X1292" s="218">
        <v>0</v>
      </c>
      <c r="Y1292" s="218">
        <v>0</v>
      </c>
    </row>
    <row r="1293" spans="1:25" x14ac:dyDescent="0.3">
      <c r="A1293" s="1" t="s">
        <v>3724</v>
      </c>
      <c r="B1293" s="102">
        <v>46116</v>
      </c>
      <c r="C1293" s="6">
        <v>0.85416666666666696</v>
      </c>
      <c r="D1293" s="1" t="s">
        <v>39</v>
      </c>
      <c r="E1293" s="1" t="s">
        <v>3659</v>
      </c>
      <c r="F1293" s="1" t="s">
        <v>3725</v>
      </c>
      <c r="G1293" s="39" t="s">
        <v>3668</v>
      </c>
      <c r="H1293" s="1">
        <v>1</v>
      </c>
      <c r="I1293" s="1">
        <v>0</v>
      </c>
      <c r="J1293" s="39" t="s">
        <v>3672</v>
      </c>
      <c r="K1293" s="1">
        <v>0</v>
      </c>
      <c r="L1293" s="1">
        <v>1</v>
      </c>
      <c r="S1293" s="1" t="s">
        <v>9947</v>
      </c>
      <c r="T1293" s="1">
        <v>1</v>
      </c>
      <c r="U1293" s="19"/>
      <c r="V1293" s="19"/>
      <c r="W1293" s="218">
        <v>1</v>
      </c>
      <c r="X1293" s="218">
        <v>0</v>
      </c>
      <c r="Y1293" s="218">
        <v>1</v>
      </c>
    </row>
    <row r="1294" spans="1:25" x14ac:dyDescent="0.3">
      <c r="A1294" s="1" t="s">
        <v>3666</v>
      </c>
      <c r="B1294" s="102">
        <v>46123</v>
      </c>
      <c r="C1294" s="6">
        <v>0.89583333333333304</v>
      </c>
      <c r="D1294" s="1" t="s">
        <v>39</v>
      </c>
      <c r="E1294" s="1" t="s">
        <v>3659</v>
      </c>
      <c r="F1294" s="1" t="s">
        <v>3667</v>
      </c>
      <c r="G1294" s="39" t="s">
        <v>3668</v>
      </c>
      <c r="H1294" s="1">
        <v>1</v>
      </c>
      <c r="I1294" s="1">
        <v>0</v>
      </c>
      <c r="J1294" s="39" t="s">
        <v>3669</v>
      </c>
      <c r="K1294" s="1">
        <v>0</v>
      </c>
      <c r="L1294" s="1">
        <v>1</v>
      </c>
      <c r="S1294" s="1" t="s">
        <v>9948</v>
      </c>
      <c r="T1294" s="1">
        <v>1</v>
      </c>
      <c r="U1294" s="19"/>
      <c r="V1294" s="19"/>
      <c r="W1294" s="218">
        <v>1</v>
      </c>
      <c r="X1294" s="218">
        <v>1</v>
      </c>
      <c r="Y1294" s="218">
        <v>1</v>
      </c>
    </row>
    <row r="1295" spans="1:25" x14ac:dyDescent="0.3">
      <c r="A1295" s="1" t="s">
        <v>3699</v>
      </c>
      <c r="B1295" s="102">
        <v>46123</v>
      </c>
      <c r="C1295" s="6">
        <v>0.85416666666666696</v>
      </c>
      <c r="D1295" s="1" t="s">
        <v>39</v>
      </c>
      <c r="E1295" s="1" t="s">
        <v>3659</v>
      </c>
      <c r="F1295" s="1" t="s">
        <v>3700</v>
      </c>
      <c r="G1295" s="39" t="s">
        <v>3690</v>
      </c>
      <c r="H1295" s="1">
        <v>1</v>
      </c>
      <c r="I1295" s="1">
        <v>2</v>
      </c>
      <c r="J1295" s="39" t="s">
        <v>3672</v>
      </c>
      <c r="K1295" s="1">
        <v>2</v>
      </c>
      <c r="L1295" s="1">
        <v>1</v>
      </c>
      <c r="S1295" s="1" t="s">
        <v>9949</v>
      </c>
      <c r="T1295" s="1">
        <v>1</v>
      </c>
      <c r="U1295" s="19"/>
      <c r="V1295" s="19"/>
      <c r="W1295" s="218">
        <v>1</v>
      </c>
      <c r="X1295" s="218">
        <v>1</v>
      </c>
      <c r="Y1295" s="218">
        <v>1</v>
      </c>
    </row>
    <row r="1296" spans="1:25" x14ac:dyDescent="0.3">
      <c r="A1296" s="1" t="s">
        <v>3747</v>
      </c>
      <c r="B1296" s="102">
        <v>46123</v>
      </c>
      <c r="C1296" s="6">
        <v>0.59027777777777801</v>
      </c>
      <c r="D1296" s="1" t="s">
        <v>39</v>
      </c>
      <c r="E1296" s="1" t="s">
        <v>3659</v>
      </c>
      <c r="F1296" s="1" t="s">
        <v>3748</v>
      </c>
      <c r="G1296" s="39" t="s">
        <v>192</v>
      </c>
      <c r="H1296" s="1">
        <v>1</v>
      </c>
      <c r="I1296" s="1">
        <v>1</v>
      </c>
      <c r="J1296" s="39" t="s">
        <v>238</v>
      </c>
      <c r="K1296" s="1">
        <v>1</v>
      </c>
      <c r="L1296" s="1">
        <v>1</v>
      </c>
      <c r="S1296" s="1" t="s">
        <v>9950</v>
      </c>
      <c r="T1296" s="1">
        <v>1</v>
      </c>
      <c r="U1296" s="19"/>
      <c r="V1296" s="19"/>
      <c r="W1296" s="218">
        <v>1</v>
      </c>
      <c r="X1296" s="218">
        <v>1</v>
      </c>
      <c r="Y1296" s="218">
        <v>1</v>
      </c>
    </row>
    <row r="1297" spans="1:25" x14ac:dyDescent="0.3">
      <c r="A1297" s="1" t="s">
        <v>3670</v>
      </c>
      <c r="B1297" s="102">
        <v>46130</v>
      </c>
      <c r="C1297" s="6">
        <v>0.85416666666666696</v>
      </c>
      <c r="D1297" s="1" t="s">
        <v>39</v>
      </c>
      <c r="E1297" s="1" t="s">
        <v>3659</v>
      </c>
      <c r="F1297" s="1" t="s">
        <v>3671</v>
      </c>
      <c r="G1297" s="39" t="s">
        <v>3669</v>
      </c>
      <c r="H1297" s="1">
        <v>0</v>
      </c>
      <c r="I1297" s="1">
        <v>2</v>
      </c>
      <c r="J1297" s="39" t="s">
        <v>3672</v>
      </c>
      <c r="K1297" s="1">
        <v>2</v>
      </c>
      <c r="L1297" s="1">
        <v>0</v>
      </c>
      <c r="S1297" s="1" t="s">
        <v>9951</v>
      </c>
      <c r="T1297" s="1">
        <v>1</v>
      </c>
      <c r="U1297" s="19"/>
      <c r="V1297" s="19"/>
      <c r="W1297" s="218">
        <v>1</v>
      </c>
      <c r="X1297" s="218">
        <v>1</v>
      </c>
      <c r="Y1297" s="218">
        <v>1</v>
      </c>
    </row>
    <row r="1298" spans="1:25" x14ac:dyDescent="0.3">
      <c r="A1298" s="1" t="s">
        <v>3701</v>
      </c>
      <c r="B1298" s="102">
        <v>46130</v>
      </c>
      <c r="C1298" s="6">
        <v>0.85416666666666696</v>
      </c>
      <c r="D1298" s="1" t="s">
        <v>39</v>
      </c>
      <c r="E1298" s="1" t="s">
        <v>3659</v>
      </c>
      <c r="F1298" s="1" t="s">
        <v>3702</v>
      </c>
      <c r="G1298" s="39" t="s">
        <v>3703</v>
      </c>
      <c r="H1298" s="1">
        <v>1</v>
      </c>
      <c r="I1298" s="1">
        <v>2</v>
      </c>
      <c r="J1298" s="39" t="s">
        <v>3690</v>
      </c>
      <c r="K1298" s="1">
        <v>2</v>
      </c>
      <c r="L1298" s="1">
        <v>1</v>
      </c>
      <c r="S1298" s="1" t="s">
        <v>9952</v>
      </c>
      <c r="T1298" s="1">
        <v>1</v>
      </c>
      <c r="U1298" s="19"/>
      <c r="V1298" s="19"/>
      <c r="W1298" s="218">
        <v>1</v>
      </c>
      <c r="X1298" s="218">
        <v>1</v>
      </c>
      <c r="Y1298" s="218">
        <v>1</v>
      </c>
    </row>
    <row r="1299" spans="1:25" x14ac:dyDescent="0.3">
      <c r="A1299" s="1" t="s">
        <v>3726</v>
      </c>
      <c r="B1299" s="102">
        <v>46130</v>
      </c>
      <c r="C1299" s="6">
        <v>0.85416666666666696</v>
      </c>
      <c r="D1299" s="1" t="s">
        <v>39</v>
      </c>
      <c r="E1299" s="1" t="s">
        <v>3659</v>
      </c>
      <c r="F1299" s="1" t="s">
        <v>3727</v>
      </c>
      <c r="G1299" s="39" t="s">
        <v>238</v>
      </c>
      <c r="H1299" s="1">
        <v>3</v>
      </c>
      <c r="I1299" s="1">
        <v>3</v>
      </c>
      <c r="J1299" s="39" t="s">
        <v>3668</v>
      </c>
      <c r="K1299" s="1">
        <v>3</v>
      </c>
      <c r="L1299" s="1">
        <v>3</v>
      </c>
      <c r="S1299" s="1" t="s">
        <v>9953</v>
      </c>
      <c r="T1299" s="1">
        <v>1</v>
      </c>
      <c r="U1299" s="19"/>
      <c r="V1299" s="19"/>
      <c r="W1299" s="218">
        <v>1</v>
      </c>
      <c r="X1299" s="218">
        <v>1</v>
      </c>
      <c r="Y1299" s="218">
        <v>1</v>
      </c>
    </row>
    <row r="1300" spans="1:25" x14ac:dyDescent="0.3">
      <c r="A1300" s="1" t="s">
        <v>3673</v>
      </c>
      <c r="B1300" s="102">
        <v>46134</v>
      </c>
      <c r="C1300" s="6">
        <v>0.85416666666666696</v>
      </c>
      <c r="D1300" s="1" t="s">
        <v>39</v>
      </c>
      <c r="E1300" s="1" t="s">
        <v>3659</v>
      </c>
      <c r="F1300" s="1" t="s">
        <v>3674</v>
      </c>
      <c r="G1300" s="39" t="s">
        <v>3669</v>
      </c>
      <c r="H1300" s="1">
        <v>1</v>
      </c>
      <c r="I1300" s="1">
        <v>2</v>
      </c>
      <c r="J1300" s="39" t="s">
        <v>3675</v>
      </c>
      <c r="K1300" s="1">
        <v>2</v>
      </c>
      <c r="L1300" s="1">
        <v>1</v>
      </c>
      <c r="S1300" s="1" t="s">
        <v>9954</v>
      </c>
      <c r="T1300" s="1">
        <v>1</v>
      </c>
      <c r="U1300" s="19"/>
      <c r="V1300" s="19"/>
      <c r="W1300" s="218">
        <v>1</v>
      </c>
      <c r="X1300" s="218">
        <v>1</v>
      </c>
      <c r="Y1300" s="218">
        <v>1</v>
      </c>
    </row>
    <row r="1301" spans="1:25" x14ac:dyDescent="0.3">
      <c r="A1301" s="1" t="s">
        <v>3704</v>
      </c>
      <c r="B1301" s="102">
        <v>46134</v>
      </c>
      <c r="C1301" s="6">
        <v>0.85416666666666696</v>
      </c>
      <c r="D1301" s="1" t="s">
        <v>39</v>
      </c>
      <c r="E1301" s="1" t="s">
        <v>3659</v>
      </c>
      <c r="F1301" s="1" t="s">
        <v>3705</v>
      </c>
      <c r="G1301" s="39" t="s">
        <v>3683</v>
      </c>
      <c r="H1301" s="1">
        <v>4</v>
      </c>
      <c r="I1301" s="1">
        <v>1</v>
      </c>
      <c r="J1301" s="39" t="s">
        <v>3690</v>
      </c>
      <c r="K1301" s="1">
        <v>1</v>
      </c>
      <c r="L1301" s="1">
        <v>4</v>
      </c>
      <c r="S1301" s="1" t="s">
        <v>9955</v>
      </c>
      <c r="T1301" s="1">
        <v>1</v>
      </c>
      <c r="U1301" s="19"/>
      <c r="V1301" s="19"/>
      <c r="W1301" s="218">
        <v>1</v>
      </c>
      <c r="X1301" s="218">
        <v>1</v>
      </c>
      <c r="Y1301" s="218">
        <v>1</v>
      </c>
    </row>
    <row r="1302" spans="1:25" x14ac:dyDescent="0.3">
      <c r="A1302" s="1" t="s">
        <v>3749</v>
      </c>
      <c r="B1302" s="102">
        <v>46134</v>
      </c>
      <c r="C1302" s="6">
        <v>0.85416666666666696</v>
      </c>
      <c r="D1302" s="1" t="s">
        <v>39</v>
      </c>
      <c r="E1302" s="1" t="s">
        <v>3659</v>
      </c>
      <c r="F1302" s="1" t="s">
        <v>3750</v>
      </c>
      <c r="G1302" s="39" t="s">
        <v>3703</v>
      </c>
      <c r="H1302" s="1">
        <v>4</v>
      </c>
      <c r="I1302" s="1">
        <v>4</v>
      </c>
      <c r="J1302" s="39" t="s">
        <v>238</v>
      </c>
      <c r="K1302" s="1">
        <v>4</v>
      </c>
      <c r="L1302" s="1">
        <v>4</v>
      </c>
      <c r="S1302" s="1" t="s">
        <v>9956</v>
      </c>
      <c r="T1302" s="1">
        <v>1</v>
      </c>
      <c r="U1302" s="19"/>
      <c r="V1302" s="19"/>
      <c r="W1302" s="218">
        <v>1</v>
      </c>
      <c r="X1302" s="218">
        <v>1</v>
      </c>
      <c r="Y1302" s="218">
        <v>1</v>
      </c>
    </row>
    <row r="1303" spans="1:25" x14ac:dyDescent="0.3">
      <c r="A1303" s="1" t="s">
        <v>3676</v>
      </c>
      <c r="B1303" s="102">
        <v>46137</v>
      </c>
      <c r="C1303" s="6">
        <v>0.58333333333333304</v>
      </c>
      <c r="D1303" s="1" t="s">
        <v>39</v>
      </c>
      <c r="E1303" s="1" t="s">
        <v>3659</v>
      </c>
      <c r="F1303" s="1" t="s">
        <v>3677</v>
      </c>
      <c r="G1303" s="39" t="s">
        <v>192</v>
      </c>
      <c r="H1303" s="1">
        <v>1</v>
      </c>
      <c r="I1303" s="1">
        <v>2</v>
      </c>
      <c r="J1303" s="39" t="s">
        <v>3669</v>
      </c>
      <c r="K1303" s="1">
        <v>2</v>
      </c>
      <c r="L1303" s="1">
        <v>1</v>
      </c>
      <c r="S1303" s="1" t="s">
        <v>9957</v>
      </c>
      <c r="T1303" s="1">
        <v>1</v>
      </c>
      <c r="U1303" s="19"/>
      <c r="V1303" s="19"/>
      <c r="W1303" s="218">
        <v>1</v>
      </c>
      <c r="X1303" s="218">
        <v>1</v>
      </c>
      <c r="Y1303" s="218">
        <v>1</v>
      </c>
    </row>
    <row r="1304" spans="1:25" x14ac:dyDescent="0.3">
      <c r="A1304" s="1" t="s">
        <v>3706</v>
      </c>
      <c r="B1304" s="102">
        <v>46137</v>
      </c>
      <c r="C1304" s="6">
        <v>0.89583333333333304</v>
      </c>
      <c r="D1304" s="1" t="s">
        <v>39</v>
      </c>
      <c r="E1304" s="1" t="s">
        <v>3659</v>
      </c>
      <c r="F1304" s="1" t="s">
        <v>3707</v>
      </c>
      <c r="G1304" s="39" t="s">
        <v>3672</v>
      </c>
      <c r="H1304" s="1">
        <v>4</v>
      </c>
      <c r="I1304" s="1">
        <v>2</v>
      </c>
      <c r="J1304" s="39" t="s">
        <v>3690</v>
      </c>
      <c r="K1304" s="1">
        <v>2</v>
      </c>
      <c r="L1304" s="1">
        <v>4</v>
      </c>
      <c r="S1304" s="1" t="s">
        <v>9958</v>
      </c>
      <c r="T1304" s="1">
        <v>1</v>
      </c>
      <c r="U1304" s="19"/>
      <c r="V1304" s="19"/>
      <c r="W1304" s="218">
        <v>1</v>
      </c>
      <c r="X1304" s="218">
        <v>1</v>
      </c>
      <c r="Y1304" s="218">
        <v>1</v>
      </c>
    </row>
    <row r="1305" spans="1:25" x14ac:dyDescent="0.3">
      <c r="A1305" s="1" t="s">
        <v>3751</v>
      </c>
      <c r="B1305" s="102">
        <v>46137</v>
      </c>
      <c r="C1305" s="6">
        <v>0.85416666666666696</v>
      </c>
      <c r="D1305" s="1" t="s">
        <v>39</v>
      </c>
      <c r="E1305" s="1" t="s">
        <v>3659</v>
      </c>
      <c r="F1305" s="1" t="s">
        <v>3752</v>
      </c>
      <c r="G1305" s="39" t="s">
        <v>238</v>
      </c>
      <c r="H1305" s="1">
        <v>2</v>
      </c>
      <c r="I1305" s="1">
        <v>0</v>
      </c>
      <c r="J1305" s="39" t="s">
        <v>3720</v>
      </c>
      <c r="K1305" s="1">
        <v>0</v>
      </c>
      <c r="L1305" s="1">
        <v>2</v>
      </c>
      <c r="S1305" s="1" t="s">
        <v>9959</v>
      </c>
      <c r="T1305" s="1">
        <v>1</v>
      </c>
      <c r="U1305" s="19"/>
      <c r="V1305" s="19"/>
      <c r="W1305" s="218">
        <v>1</v>
      </c>
      <c r="X1305" s="218">
        <v>1</v>
      </c>
      <c r="Y1305" s="218">
        <v>1</v>
      </c>
    </row>
    <row r="1306" spans="1:25" x14ac:dyDescent="0.3">
      <c r="A1306" s="1" t="s">
        <v>3678</v>
      </c>
      <c r="B1306" s="102">
        <v>46144</v>
      </c>
      <c r="C1306" s="6">
        <v>0.85416666666666696</v>
      </c>
      <c r="D1306" s="1" t="s">
        <v>39</v>
      </c>
      <c r="E1306" s="1" t="s">
        <v>3659</v>
      </c>
      <c r="F1306" s="1" t="s">
        <v>3679</v>
      </c>
      <c r="G1306" s="39" t="s">
        <v>3669</v>
      </c>
      <c r="H1306" s="1">
        <v>3</v>
      </c>
      <c r="I1306" s="1">
        <v>1</v>
      </c>
      <c r="J1306" s="39" t="s">
        <v>3680</v>
      </c>
      <c r="K1306" s="1">
        <v>1</v>
      </c>
      <c r="L1306" s="1">
        <v>3</v>
      </c>
      <c r="S1306" s="1" t="s">
        <v>9960</v>
      </c>
      <c r="T1306" s="1">
        <v>1</v>
      </c>
      <c r="U1306" s="19"/>
      <c r="V1306" s="19"/>
      <c r="W1306" s="218">
        <v>1</v>
      </c>
      <c r="X1306" s="218">
        <v>1</v>
      </c>
      <c r="Y1306" s="218">
        <v>1</v>
      </c>
    </row>
    <row r="1307" spans="1:25" x14ac:dyDescent="0.3">
      <c r="A1307" s="1" t="s">
        <v>3708</v>
      </c>
      <c r="B1307" s="102">
        <v>46144</v>
      </c>
      <c r="C1307" s="6">
        <v>0.85416666666666696</v>
      </c>
      <c r="D1307" s="1" t="s">
        <v>39</v>
      </c>
      <c r="E1307" s="1" t="s">
        <v>3659</v>
      </c>
      <c r="F1307" s="1" t="s">
        <v>3709</v>
      </c>
      <c r="G1307" s="39" t="s">
        <v>3675</v>
      </c>
      <c r="H1307" s="1">
        <v>1</v>
      </c>
      <c r="I1307" s="1">
        <v>0</v>
      </c>
      <c r="J1307" s="39" t="s">
        <v>3690</v>
      </c>
      <c r="K1307" s="1">
        <v>0</v>
      </c>
      <c r="L1307" s="1">
        <v>1</v>
      </c>
      <c r="S1307" s="1" t="s">
        <v>9961</v>
      </c>
      <c r="T1307" s="1">
        <v>1</v>
      </c>
      <c r="U1307" s="19"/>
      <c r="V1307" s="19"/>
      <c r="W1307" s="218">
        <v>1</v>
      </c>
      <c r="X1307" s="218">
        <v>1</v>
      </c>
      <c r="Y1307" s="218">
        <v>1</v>
      </c>
    </row>
    <row r="1308" spans="1:25" x14ac:dyDescent="0.3">
      <c r="A1308" s="1" t="s">
        <v>3728</v>
      </c>
      <c r="B1308" s="102">
        <v>46144</v>
      </c>
      <c r="C1308" s="6">
        <v>0.89583333333333304</v>
      </c>
      <c r="D1308" s="1" t="s">
        <v>39</v>
      </c>
      <c r="E1308" s="1" t="s">
        <v>3659</v>
      </c>
      <c r="F1308" s="1" t="s">
        <v>3729</v>
      </c>
      <c r="G1308" s="39" t="s">
        <v>3668</v>
      </c>
      <c r="H1308" s="1">
        <v>2</v>
      </c>
      <c r="I1308" s="1">
        <v>3</v>
      </c>
      <c r="J1308" s="39" t="s">
        <v>238</v>
      </c>
      <c r="K1308" s="1">
        <v>3</v>
      </c>
      <c r="L1308" s="1">
        <v>2</v>
      </c>
      <c r="S1308" s="1" t="s">
        <v>9962</v>
      </c>
      <c r="T1308" s="1">
        <v>1</v>
      </c>
      <c r="U1308" s="19"/>
      <c r="V1308" s="19"/>
      <c r="W1308" s="218">
        <v>1</v>
      </c>
      <c r="X1308" s="218">
        <v>1</v>
      </c>
      <c r="Y1308" s="218">
        <v>1</v>
      </c>
    </row>
    <row r="1309" spans="1:25" x14ac:dyDescent="0.3">
      <c r="A1309" s="1" t="s">
        <v>3710</v>
      </c>
      <c r="B1309" s="102">
        <v>46151</v>
      </c>
      <c r="C1309" s="6">
        <v>0.85416666666666696</v>
      </c>
      <c r="D1309" s="1" t="s">
        <v>39</v>
      </c>
      <c r="E1309" s="1" t="s">
        <v>3659</v>
      </c>
      <c r="F1309" s="1" t="s">
        <v>3711</v>
      </c>
      <c r="G1309" s="39" t="s">
        <v>3690</v>
      </c>
      <c r="H1309" s="1">
        <v>2</v>
      </c>
      <c r="I1309" s="1">
        <v>2</v>
      </c>
      <c r="J1309" s="39" t="s">
        <v>238</v>
      </c>
      <c r="K1309" s="1">
        <v>2</v>
      </c>
      <c r="L1309" s="1">
        <v>2</v>
      </c>
      <c r="S1309" s="1" t="s">
        <v>9963</v>
      </c>
      <c r="T1309" s="1">
        <v>1</v>
      </c>
      <c r="U1309" s="19"/>
      <c r="V1309" s="19"/>
      <c r="W1309" s="218">
        <v>1</v>
      </c>
      <c r="X1309" s="218">
        <v>1</v>
      </c>
      <c r="Y1309" s="218">
        <v>1</v>
      </c>
    </row>
    <row r="1310" spans="1:25" x14ac:dyDescent="0.3">
      <c r="A1310" s="1" t="s">
        <v>3730</v>
      </c>
      <c r="B1310" s="102">
        <v>46151</v>
      </c>
      <c r="C1310" s="6">
        <v>0.64583333333333304</v>
      </c>
      <c r="D1310" s="1" t="s">
        <v>39</v>
      </c>
      <c r="E1310" s="1" t="s">
        <v>3659</v>
      </c>
      <c r="F1310" s="1" t="s">
        <v>3731</v>
      </c>
      <c r="G1310" s="39" t="s">
        <v>3668</v>
      </c>
      <c r="H1310" s="1">
        <v>1</v>
      </c>
      <c r="I1310" s="1">
        <v>3</v>
      </c>
      <c r="J1310" s="39" t="s">
        <v>3720</v>
      </c>
      <c r="K1310" s="1">
        <v>3</v>
      </c>
      <c r="L1310" s="1">
        <v>1</v>
      </c>
      <c r="S1310" s="1" t="s">
        <v>9964</v>
      </c>
      <c r="T1310" s="1">
        <v>1</v>
      </c>
      <c r="U1310" s="19"/>
      <c r="V1310" s="19"/>
      <c r="W1310" s="218">
        <v>1</v>
      </c>
      <c r="X1310" s="218">
        <v>1</v>
      </c>
      <c r="Y1310" s="218">
        <v>1</v>
      </c>
    </row>
    <row r="1311" spans="1:25" x14ac:dyDescent="0.3">
      <c r="A1311" s="1" t="s">
        <v>3712</v>
      </c>
      <c r="B1311" s="102">
        <v>46155</v>
      </c>
      <c r="C1311" s="6">
        <v>0.84375</v>
      </c>
      <c r="D1311" s="1" t="s">
        <v>39</v>
      </c>
      <c r="E1311" s="1" t="s">
        <v>3659</v>
      </c>
      <c r="F1311" s="1" t="s">
        <v>3713</v>
      </c>
      <c r="G1311" s="39" t="s">
        <v>3690</v>
      </c>
      <c r="H1311" s="1">
        <v>0</v>
      </c>
      <c r="I1311" s="1">
        <v>1</v>
      </c>
      <c r="J1311" s="39" t="s">
        <v>3703</v>
      </c>
      <c r="K1311" s="1">
        <v>1</v>
      </c>
      <c r="L1311" s="1">
        <v>0</v>
      </c>
      <c r="S1311" s="1" t="s">
        <v>9965</v>
      </c>
      <c r="T1311" s="1">
        <v>1</v>
      </c>
      <c r="U1311" s="19"/>
      <c r="V1311" s="19"/>
      <c r="W1311" s="218">
        <v>1</v>
      </c>
      <c r="X1311" s="218">
        <v>1</v>
      </c>
      <c r="Y1311" s="218">
        <v>1</v>
      </c>
    </row>
    <row r="1312" spans="1:25" x14ac:dyDescent="0.3">
      <c r="A1312" s="1" t="s">
        <v>3732</v>
      </c>
      <c r="B1312" s="102">
        <v>46155</v>
      </c>
      <c r="C1312" s="6">
        <v>0.85416666666666696</v>
      </c>
      <c r="D1312" s="1" t="s">
        <v>39</v>
      </c>
      <c r="E1312" s="1" t="s">
        <v>3659</v>
      </c>
      <c r="F1312" s="1" t="s">
        <v>3733</v>
      </c>
      <c r="G1312" s="39" t="s">
        <v>3734</v>
      </c>
      <c r="H1312" s="1">
        <v>1</v>
      </c>
      <c r="I1312" s="1">
        <v>3</v>
      </c>
      <c r="J1312" s="39" t="s">
        <v>3668</v>
      </c>
      <c r="K1312" s="1">
        <v>3</v>
      </c>
      <c r="L1312" s="1">
        <v>1</v>
      </c>
      <c r="S1312" s="1" t="s">
        <v>9966</v>
      </c>
      <c r="T1312" s="1">
        <v>1</v>
      </c>
      <c r="U1312" s="19"/>
      <c r="V1312" s="19"/>
      <c r="W1312" s="218">
        <v>1</v>
      </c>
      <c r="X1312" s="218">
        <v>1</v>
      </c>
      <c r="Y1312" s="218">
        <v>1</v>
      </c>
    </row>
    <row r="1313" spans="1:25" x14ac:dyDescent="0.3">
      <c r="A1313" s="1" t="s">
        <v>3753</v>
      </c>
      <c r="B1313" s="102">
        <v>46155</v>
      </c>
      <c r="C1313" s="6">
        <v>0.85416666666666696</v>
      </c>
      <c r="D1313" s="1" t="s">
        <v>39</v>
      </c>
      <c r="E1313" s="1" t="s">
        <v>3659</v>
      </c>
      <c r="F1313" s="1" t="s">
        <v>3754</v>
      </c>
      <c r="G1313" s="39" t="s">
        <v>238</v>
      </c>
      <c r="H1313" s="1">
        <v>3</v>
      </c>
      <c r="I1313" s="1">
        <v>5</v>
      </c>
      <c r="J1313" s="39" t="s">
        <v>3741</v>
      </c>
      <c r="K1313" s="1">
        <v>5</v>
      </c>
      <c r="L1313" s="1">
        <v>3</v>
      </c>
      <c r="S1313" s="1" t="s">
        <v>9967</v>
      </c>
      <c r="T1313" s="1">
        <v>1</v>
      </c>
      <c r="U1313" s="19"/>
      <c r="V1313" s="19"/>
      <c r="W1313" s="218">
        <v>1</v>
      </c>
      <c r="X1313" s="218">
        <v>1</v>
      </c>
      <c r="Y1313" s="218">
        <v>1</v>
      </c>
    </row>
    <row r="1314" spans="1:25" x14ac:dyDescent="0.3">
      <c r="A1314" s="1" t="s">
        <v>3681</v>
      </c>
      <c r="B1314" s="102">
        <v>46158</v>
      </c>
      <c r="C1314" s="6">
        <v>0.85416666666666696</v>
      </c>
      <c r="D1314" s="1" t="s">
        <v>39</v>
      </c>
      <c r="E1314" s="1" t="s">
        <v>3659</v>
      </c>
      <c r="F1314" s="1" t="s">
        <v>3682</v>
      </c>
      <c r="G1314" s="39" t="s">
        <v>3683</v>
      </c>
      <c r="H1314" s="1">
        <v>1</v>
      </c>
      <c r="I1314" s="1">
        <v>1</v>
      </c>
      <c r="J1314" s="39" t="s">
        <v>3669</v>
      </c>
      <c r="K1314" s="1">
        <v>1</v>
      </c>
      <c r="L1314" s="1">
        <v>1</v>
      </c>
      <c r="S1314" s="1" t="s">
        <v>9968</v>
      </c>
      <c r="T1314" s="1">
        <v>1</v>
      </c>
      <c r="U1314" s="19"/>
      <c r="V1314" s="19"/>
      <c r="W1314" s="218">
        <v>1</v>
      </c>
      <c r="X1314" s="218">
        <v>1</v>
      </c>
      <c r="Y1314" s="218">
        <v>1</v>
      </c>
    </row>
    <row r="1315" spans="1:25" x14ac:dyDescent="0.3">
      <c r="A1315" s="1" t="s">
        <v>3714</v>
      </c>
      <c r="B1315" s="102">
        <v>46158</v>
      </c>
      <c r="C1315" s="6">
        <v>0.85416666666666696</v>
      </c>
      <c r="D1315" s="1" t="s">
        <v>39</v>
      </c>
      <c r="E1315" s="1" t="s">
        <v>3659</v>
      </c>
      <c r="F1315" s="1" t="s">
        <v>3715</v>
      </c>
      <c r="G1315" s="39" t="s">
        <v>3690</v>
      </c>
      <c r="H1315" s="1">
        <v>3</v>
      </c>
      <c r="I1315" s="1">
        <v>1</v>
      </c>
      <c r="J1315" s="39" t="s">
        <v>192</v>
      </c>
      <c r="K1315" s="1">
        <v>1</v>
      </c>
      <c r="L1315" s="1">
        <v>3</v>
      </c>
      <c r="S1315" s="1" t="s">
        <v>9969</v>
      </c>
      <c r="T1315" s="1">
        <v>1</v>
      </c>
      <c r="U1315" s="19"/>
      <c r="V1315" s="19"/>
      <c r="W1315" s="218">
        <v>1</v>
      </c>
      <c r="X1315" s="218">
        <v>1</v>
      </c>
      <c r="Y1315" s="218">
        <v>1</v>
      </c>
    </row>
    <row r="1316" spans="1:25" x14ac:dyDescent="0.3">
      <c r="A1316" s="1" t="s">
        <v>3735</v>
      </c>
      <c r="B1316" s="102">
        <v>46158</v>
      </c>
      <c r="C1316" s="6">
        <v>0.6875</v>
      </c>
      <c r="D1316" s="1" t="s">
        <v>39</v>
      </c>
      <c r="E1316" s="1" t="s">
        <v>3659</v>
      </c>
      <c r="F1316" s="1" t="s">
        <v>3736</v>
      </c>
      <c r="G1316" s="39" t="s">
        <v>3680</v>
      </c>
      <c r="H1316" s="1">
        <v>0</v>
      </c>
      <c r="I1316" s="1">
        <v>2</v>
      </c>
      <c r="J1316" s="39" t="s">
        <v>3668</v>
      </c>
      <c r="K1316" s="1">
        <v>2</v>
      </c>
      <c r="L1316" s="1">
        <v>0</v>
      </c>
      <c r="S1316" s="1" t="s">
        <v>9970</v>
      </c>
      <c r="T1316" s="1">
        <v>1</v>
      </c>
      <c r="U1316" s="19"/>
      <c r="V1316" s="19"/>
      <c r="W1316" s="218">
        <v>1</v>
      </c>
      <c r="X1316" s="218">
        <v>1</v>
      </c>
      <c r="Y1316" s="218">
        <v>1</v>
      </c>
    </row>
    <row r="1317" spans="1:25" x14ac:dyDescent="0.3">
      <c r="A1317" s="1" t="s">
        <v>3716</v>
      </c>
      <c r="B1317" s="102">
        <v>46165</v>
      </c>
      <c r="C1317" s="6">
        <v>0.85416666666666696</v>
      </c>
      <c r="D1317" s="1" t="s">
        <v>39</v>
      </c>
      <c r="E1317" s="1" t="s">
        <v>3659</v>
      </c>
      <c r="F1317" s="1" t="s">
        <v>3717</v>
      </c>
      <c r="G1317" s="39" t="s">
        <v>3690</v>
      </c>
      <c r="H1317" s="1">
        <v>1</v>
      </c>
      <c r="I1317" s="1">
        <v>0</v>
      </c>
      <c r="J1317" s="39" t="s">
        <v>3675</v>
      </c>
      <c r="K1317" s="1">
        <v>0</v>
      </c>
      <c r="L1317" s="1">
        <v>1</v>
      </c>
      <c r="S1317" s="1" t="s">
        <v>9971</v>
      </c>
      <c r="T1317" s="1">
        <v>1</v>
      </c>
      <c r="U1317" s="19"/>
      <c r="V1317" s="19"/>
      <c r="W1317" s="218">
        <v>1</v>
      </c>
      <c r="X1317" s="218">
        <v>1</v>
      </c>
      <c r="Y1317" s="218">
        <v>1</v>
      </c>
    </row>
    <row r="1318" spans="1:25" x14ac:dyDescent="0.3">
      <c r="A1318" s="1" t="s">
        <v>3737</v>
      </c>
      <c r="B1318" s="102">
        <v>46165</v>
      </c>
      <c r="C1318" s="6">
        <v>0.89583333333333304</v>
      </c>
      <c r="D1318" s="1" t="s">
        <v>39</v>
      </c>
      <c r="E1318" s="1" t="s">
        <v>3659</v>
      </c>
      <c r="F1318" s="1" t="s">
        <v>3738</v>
      </c>
      <c r="G1318" s="39" t="s">
        <v>3668</v>
      </c>
      <c r="H1318" s="1">
        <v>2</v>
      </c>
      <c r="I1318" s="1">
        <v>1</v>
      </c>
      <c r="J1318" s="39" t="s">
        <v>192</v>
      </c>
      <c r="K1318" s="1">
        <v>1</v>
      </c>
      <c r="L1318" s="1">
        <v>2</v>
      </c>
      <c r="S1318" s="1" t="s">
        <v>9972</v>
      </c>
      <c r="T1318" s="1">
        <v>1</v>
      </c>
      <c r="U1318" s="19"/>
      <c r="V1318" s="19"/>
      <c r="W1318" s="218">
        <v>1</v>
      </c>
      <c r="X1318" s="218">
        <v>1</v>
      </c>
      <c r="Y1318" s="218">
        <v>1</v>
      </c>
    </row>
    <row r="1319" spans="1:25" x14ac:dyDescent="0.3">
      <c r="A1319" s="1" t="s">
        <v>3755</v>
      </c>
      <c r="B1319" s="102">
        <v>46165</v>
      </c>
      <c r="C1319" s="6">
        <v>0.85416666666666696</v>
      </c>
      <c r="D1319" s="1" t="s">
        <v>39</v>
      </c>
      <c r="E1319" s="1" t="s">
        <v>3659</v>
      </c>
      <c r="F1319" s="1" t="s">
        <v>3756</v>
      </c>
      <c r="G1319" s="39" t="s">
        <v>238</v>
      </c>
      <c r="H1319" s="1">
        <v>6</v>
      </c>
      <c r="I1319" s="1">
        <v>2</v>
      </c>
      <c r="J1319" s="39" t="s">
        <v>3683</v>
      </c>
      <c r="K1319" s="1">
        <v>2</v>
      </c>
      <c r="L1319" s="1">
        <v>6</v>
      </c>
      <c r="S1319" s="1" t="s">
        <v>9973</v>
      </c>
      <c r="T1319" s="1">
        <v>1</v>
      </c>
      <c r="U1319" s="19"/>
      <c r="V1319" s="19"/>
      <c r="W1319" s="218">
        <v>1</v>
      </c>
      <c r="X1319" s="218">
        <v>1</v>
      </c>
      <c r="Y1319" s="218">
        <v>1</v>
      </c>
    </row>
    <row r="1320" spans="1:25" x14ac:dyDescent="0.3">
      <c r="A1320" s="1" t="s">
        <v>3684</v>
      </c>
      <c r="B1320" s="102">
        <v>46166</v>
      </c>
      <c r="C1320" s="6">
        <v>0.75</v>
      </c>
      <c r="D1320" s="1" t="s">
        <v>39</v>
      </c>
      <c r="E1320" s="1" t="s">
        <v>3659</v>
      </c>
      <c r="F1320" s="1" t="s">
        <v>3685</v>
      </c>
      <c r="G1320" s="39" t="s">
        <v>235</v>
      </c>
      <c r="H1320" s="1">
        <v>2</v>
      </c>
      <c r="I1320" s="1">
        <v>0</v>
      </c>
      <c r="J1320" s="39" t="s">
        <v>3669</v>
      </c>
      <c r="K1320" s="1">
        <v>0</v>
      </c>
      <c r="L1320" s="1">
        <v>2</v>
      </c>
      <c r="S1320" s="1" t="s">
        <v>9974</v>
      </c>
      <c r="T1320" s="1">
        <v>1</v>
      </c>
      <c r="U1320" s="19"/>
      <c r="V1320" s="19"/>
      <c r="W1320" s="218">
        <v>1</v>
      </c>
      <c r="X1320" s="218">
        <v>1</v>
      </c>
      <c r="Y1320" s="218">
        <v>1</v>
      </c>
    </row>
    <row r="1321" spans="1:25" x14ac:dyDescent="0.3">
      <c r="A1321" s="1" t="s">
        <v>3686</v>
      </c>
      <c r="B1321" s="102">
        <v>46220</v>
      </c>
      <c r="C1321" s="6">
        <v>0.875</v>
      </c>
      <c r="D1321" s="1" t="s">
        <v>39</v>
      </c>
      <c r="E1321" s="1" t="s">
        <v>3659</v>
      </c>
      <c r="F1321" s="1" t="s">
        <v>3687</v>
      </c>
      <c r="G1321" s="39" t="s">
        <v>3672</v>
      </c>
      <c r="H1321" s="1">
        <v>1</v>
      </c>
      <c r="I1321" s="1">
        <v>0</v>
      </c>
      <c r="J1321" s="39" t="s">
        <v>3669</v>
      </c>
      <c r="K1321" s="1">
        <v>0</v>
      </c>
      <c r="L1321" s="1">
        <v>1</v>
      </c>
      <c r="S1321" s="1" t="s">
        <v>9975</v>
      </c>
      <c r="T1321" s="1">
        <v>1</v>
      </c>
      <c r="U1321" s="19"/>
      <c r="V1321" s="19"/>
      <c r="W1321" s="218">
        <v>1</v>
      </c>
      <c r="X1321" s="218">
        <v>1</v>
      </c>
      <c r="Y1321" s="218">
        <v>1</v>
      </c>
    </row>
    <row r="1322" spans="1:25" x14ac:dyDescent="0.3">
      <c r="A1322" s="1" t="s">
        <v>3688</v>
      </c>
      <c r="B1322" s="102">
        <v>46225</v>
      </c>
      <c r="C1322" s="6">
        <v>0.88541666666666696</v>
      </c>
      <c r="D1322" s="1" t="s">
        <v>39</v>
      </c>
      <c r="E1322" s="1" t="s">
        <v>3659</v>
      </c>
      <c r="F1322" s="1" t="s">
        <v>3689</v>
      </c>
      <c r="G1322" s="39" t="s">
        <v>3690</v>
      </c>
      <c r="H1322" s="1">
        <v>2</v>
      </c>
      <c r="I1322" s="1">
        <v>2</v>
      </c>
      <c r="J1322" s="39" t="s">
        <v>3669</v>
      </c>
      <c r="K1322" s="1">
        <v>2</v>
      </c>
      <c r="L1322" s="1">
        <v>2</v>
      </c>
      <c r="S1322" s="1" t="s">
        <v>9976</v>
      </c>
      <c r="T1322" s="1">
        <v>1</v>
      </c>
      <c r="U1322" s="19"/>
      <c r="V1322" s="19"/>
      <c r="W1322" s="218">
        <v>1</v>
      </c>
      <c r="X1322" s="218">
        <v>1</v>
      </c>
      <c r="Y1322" s="218">
        <v>1</v>
      </c>
    </row>
    <row r="1323" spans="1:25" x14ac:dyDescent="0.3">
      <c r="A1323" s="1" t="s">
        <v>3739</v>
      </c>
      <c r="B1323" s="102">
        <v>46225</v>
      </c>
      <c r="C1323" s="6">
        <v>0.85416666666666696</v>
      </c>
      <c r="D1323" s="1" t="s">
        <v>39</v>
      </c>
      <c r="E1323" s="1" t="s">
        <v>3659</v>
      </c>
      <c r="F1323" s="1" t="s">
        <v>3740</v>
      </c>
      <c r="G1323" s="39" t="s">
        <v>3741</v>
      </c>
      <c r="H1323" s="1">
        <v>3</v>
      </c>
      <c r="I1323" s="1">
        <v>2</v>
      </c>
      <c r="J1323" s="39" t="s">
        <v>3668</v>
      </c>
      <c r="K1323" s="1">
        <v>2</v>
      </c>
      <c r="L1323" s="1">
        <v>3</v>
      </c>
      <c r="S1323" s="1" t="s">
        <v>9977</v>
      </c>
      <c r="T1323" s="1">
        <v>1</v>
      </c>
      <c r="U1323" s="19"/>
      <c r="V1323" s="19"/>
      <c r="W1323" s="218">
        <v>1</v>
      </c>
      <c r="X1323" s="218">
        <v>1</v>
      </c>
      <c r="Y1323" s="218">
        <v>1</v>
      </c>
    </row>
    <row r="1324" spans="1:25" x14ac:dyDescent="0.3">
      <c r="A1324" s="1" t="s">
        <v>3691</v>
      </c>
      <c r="B1324" s="102">
        <v>46228</v>
      </c>
      <c r="C1324" s="6">
        <v>0.85416666666666696</v>
      </c>
      <c r="D1324" s="1" t="s">
        <v>39</v>
      </c>
      <c r="E1324" s="1" t="s">
        <v>3659</v>
      </c>
      <c r="F1324" s="1" t="s">
        <v>3692</v>
      </c>
      <c r="G1324" s="39" t="s">
        <v>3675</v>
      </c>
      <c r="H1324" s="1">
        <v>4</v>
      </c>
      <c r="I1324" s="1">
        <v>1</v>
      </c>
      <c r="J1324" s="39" t="s">
        <v>3669</v>
      </c>
      <c r="K1324" s="1">
        <v>1</v>
      </c>
      <c r="L1324" s="1">
        <v>4</v>
      </c>
      <c r="S1324" s="1" t="s">
        <v>9978</v>
      </c>
      <c r="T1324" s="1">
        <v>1</v>
      </c>
      <c r="U1324" s="19"/>
      <c r="V1324" s="19"/>
      <c r="W1324" s="218">
        <v>1</v>
      </c>
      <c r="X1324" s="218">
        <v>1</v>
      </c>
      <c r="Y1324" s="218">
        <v>1</v>
      </c>
    </row>
    <row r="1325" spans="1:25" x14ac:dyDescent="0.3">
      <c r="A1325" s="1" t="s">
        <v>3718</v>
      </c>
      <c r="B1325" s="102">
        <v>46228</v>
      </c>
      <c r="C1325" s="6">
        <v>0.8125</v>
      </c>
      <c r="D1325" s="1" t="s">
        <v>39</v>
      </c>
      <c r="E1325" s="1" t="s">
        <v>3659</v>
      </c>
      <c r="F1325" s="1" t="s">
        <v>3719</v>
      </c>
      <c r="G1325" s="39" t="s">
        <v>3720</v>
      </c>
      <c r="H1325" s="1">
        <v>0</v>
      </c>
      <c r="I1325" s="1">
        <v>2</v>
      </c>
      <c r="J1325" s="39" t="s">
        <v>3690</v>
      </c>
      <c r="K1325" s="1">
        <v>2</v>
      </c>
      <c r="L1325" s="1">
        <v>0</v>
      </c>
      <c r="S1325" s="1" t="s">
        <v>9979</v>
      </c>
      <c r="T1325" s="1">
        <v>1</v>
      </c>
      <c r="U1325" s="19"/>
      <c r="V1325" s="19"/>
      <c r="W1325" s="218">
        <v>1</v>
      </c>
      <c r="X1325" s="218">
        <v>1</v>
      </c>
      <c r="Y1325" s="218">
        <v>1</v>
      </c>
    </row>
    <row r="1326" spans="1:25" x14ac:dyDescent="0.3">
      <c r="A1326" s="1" t="s">
        <v>3742</v>
      </c>
      <c r="B1326" s="102">
        <v>46228</v>
      </c>
      <c r="C1326" s="6">
        <v>0.85416666666666696</v>
      </c>
      <c r="D1326" s="1" t="s">
        <v>39</v>
      </c>
      <c r="E1326" s="1" t="s">
        <v>3659</v>
      </c>
      <c r="F1326" s="1" t="s">
        <v>3743</v>
      </c>
      <c r="G1326" s="39" t="s">
        <v>3703</v>
      </c>
      <c r="H1326" s="1">
        <v>3</v>
      </c>
      <c r="I1326" s="1">
        <v>1</v>
      </c>
      <c r="J1326" s="39" t="s">
        <v>3668</v>
      </c>
      <c r="K1326" s="1">
        <v>1</v>
      </c>
      <c r="L1326" s="1">
        <v>3</v>
      </c>
      <c r="S1326" s="1" t="s">
        <v>9980</v>
      </c>
      <c r="T1326" s="1">
        <v>1</v>
      </c>
      <c r="U1326" s="19"/>
      <c r="V1326" s="19"/>
      <c r="W1326" s="218">
        <v>1</v>
      </c>
      <c r="X1326" s="218">
        <v>1</v>
      </c>
      <c r="Y1326" s="218">
        <v>1</v>
      </c>
    </row>
    <row r="1327" spans="1:25" x14ac:dyDescent="0.3">
      <c r="A1327" s="1" t="s">
        <v>3757</v>
      </c>
      <c r="B1327" s="102">
        <v>46228</v>
      </c>
      <c r="C1327" s="6">
        <v>0.84375</v>
      </c>
      <c r="D1327" s="1" t="s">
        <v>39</v>
      </c>
      <c r="E1327" s="1" t="s">
        <v>3659</v>
      </c>
      <c r="F1327" s="1" t="s">
        <v>3758</v>
      </c>
      <c r="G1327" s="39" t="s">
        <v>235</v>
      </c>
      <c r="H1327" s="1">
        <v>2</v>
      </c>
      <c r="I1327" s="1">
        <v>1</v>
      </c>
      <c r="J1327" s="39" t="s">
        <v>238</v>
      </c>
      <c r="K1327" s="1">
        <v>1</v>
      </c>
      <c r="L1327" s="1">
        <v>2</v>
      </c>
      <c r="S1327" s="1" t="s">
        <v>9981</v>
      </c>
      <c r="T1327" s="1">
        <v>1</v>
      </c>
      <c r="U1327" s="19"/>
      <c r="V1327" s="19"/>
      <c r="W1327" s="218">
        <v>1</v>
      </c>
      <c r="X1327" s="218">
        <v>1</v>
      </c>
      <c r="Y1327" s="218">
        <v>1</v>
      </c>
    </row>
    <row r="1328" spans="1:25" x14ac:dyDescent="0.3">
      <c r="A1328" s="1" t="s">
        <v>3693</v>
      </c>
      <c r="B1328" s="102">
        <v>46235</v>
      </c>
      <c r="C1328" s="6">
        <v>0.85416666666666696</v>
      </c>
      <c r="D1328" s="1" t="s">
        <v>39</v>
      </c>
      <c r="E1328" s="1" t="s">
        <v>3659</v>
      </c>
      <c r="F1328" s="1" t="s">
        <v>3694</v>
      </c>
      <c r="G1328" s="39" t="s">
        <v>3695</v>
      </c>
      <c r="H1328" s="1">
        <v>3</v>
      </c>
      <c r="I1328" s="1">
        <v>2</v>
      </c>
      <c r="J1328" s="39" t="s">
        <v>3669</v>
      </c>
      <c r="K1328" s="1">
        <v>2</v>
      </c>
      <c r="L1328" s="1">
        <v>3</v>
      </c>
      <c r="S1328" s="1" t="s">
        <v>9982</v>
      </c>
      <c r="T1328" s="1">
        <v>1</v>
      </c>
      <c r="U1328" s="19"/>
      <c r="V1328" s="19"/>
      <c r="W1328" s="218">
        <v>1</v>
      </c>
      <c r="X1328" s="218">
        <v>1</v>
      </c>
      <c r="Y1328" s="218">
        <v>1</v>
      </c>
    </row>
    <row r="1329" spans="1:25" x14ac:dyDescent="0.3">
      <c r="A1329" s="1" t="s">
        <v>3721</v>
      </c>
      <c r="B1329" s="102">
        <v>46235</v>
      </c>
      <c r="C1329" s="6">
        <v>0.89583333333333304</v>
      </c>
      <c r="D1329" s="1" t="s">
        <v>39</v>
      </c>
      <c r="E1329" s="1" t="s">
        <v>3659</v>
      </c>
      <c r="F1329" s="1" t="s">
        <v>3722</v>
      </c>
      <c r="G1329" s="39" t="s">
        <v>3668</v>
      </c>
      <c r="H1329" s="1">
        <v>2</v>
      </c>
      <c r="I1329" s="1">
        <v>1</v>
      </c>
      <c r="J1329" s="39" t="s">
        <v>3690</v>
      </c>
      <c r="K1329" s="1">
        <v>1</v>
      </c>
      <c r="L1329" s="1">
        <v>2</v>
      </c>
      <c r="S1329" s="1" t="s">
        <v>9983</v>
      </c>
      <c r="T1329" s="1">
        <v>1</v>
      </c>
      <c r="U1329" s="19"/>
      <c r="V1329" s="19"/>
      <c r="W1329" s="218">
        <v>1</v>
      </c>
      <c r="X1329" s="218">
        <v>1</v>
      </c>
      <c r="Y1329" s="218">
        <v>1</v>
      </c>
    </row>
    <row r="1330" spans="1:25" x14ac:dyDescent="0.3">
      <c r="A1330" s="1" t="s">
        <v>3765</v>
      </c>
      <c r="B1330" s="102">
        <v>46225</v>
      </c>
      <c r="C1330" s="6">
        <v>0.85416666666666696</v>
      </c>
      <c r="D1330" s="1" t="s">
        <v>39</v>
      </c>
      <c r="E1330" s="1" t="s">
        <v>3659</v>
      </c>
      <c r="F1330" s="1" t="s">
        <v>3766</v>
      </c>
      <c r="G1330" s="39" t="s">
        <v>235</v>
      </c>
      <c r="H1330" s="1">
        <v>1</v>
      </c>
      <c r="I1330" s="1">
        <v>2</v>
      </c>
      <c r="J1330" s="39" t="s">
        <v>3703</v>
      </c>
      <c r="K1330" s="1">
        <v>2</v>
      </c>
      <c r="L1330" s="1">
        <v>1</v>
      </c>
      <c r="S1330" s="1" t="s">
        <v>9984</v>
      </c>
      <c r="T1330" s="1">
        <v>1</v>
      </c>
      <c r="U1330" s="19"/>
      <c r="V1330" s="19"/>
      <c r="W1330" s="218">
        <v>1</v>
      </c>
      <c r="X1330" s="218">
        <v>1</v>
      </c>
      <c r="Y1330" s="218">
        <v>1</v>
      </c>
    </row>
    <row r="1331" spans="1:25" x14ac:dyDescent="0.3">
      <c r="A1331" s="1" t="s">
        <v>3767</v>
      </c>
      <c r="B1331" s="102">
        <v>46158</v>
      </c>
      <c r="C1331" s="6">
        <v>0.85416666666666696</v>
      </c>
      <c r="D1331" s="1" t="s">
        <v>39</v>
      </c>
      <c r="E1331" s="1" t="s">
        <v>3659</v>
      </c>
      <c r="F1331" s="1" t="s">
        <v>3768</v>
      </c>
      <c r="G1331" s="39" t="s">
        <v>3695</v>
      </c>
      <c r="H1331" s="1">
        <v>1</v>
      </c>
      <c r="I1331" s="1">
        <v>1</v>
      </c>
      <c r="J1331" s="39" t="s">
        <v>235</v>
      </c>
      <c r="K1331" s="1">
        <v>1</v>
      </c>
      <c r="L1331" s="1">
        <v>1</v>
      </c>
      <c r="S1331" s="1" t="s">
        <v>9985</v>
      </c>
      <c r="T1331" s="1">
        <v>1</v>
      </c>
      <c r="U1331" s="19"/>
      <c r="V1331" s="19"/>
      <c r="W1331" s="218">
        <v>1</v>
      </c>
      <c r="X1331" s="218">
        <v>1</v>
      </c>
      <c r="Y1331" s="218">
        <v>1</v>
      </c>
    </row>
    <row r="1332" spans="1:25" x14ac:dyDescent="0.3">
      <c r="A1332" s="1" t="s">
        <v>3769</v>
      </c>
      <c r="B1332" s="102">
        <v>46155</v>
      </c>
      <c r="C1332" s="6">
        <v>0.85416666666666696</v>
      </c>
      <c r="D1332" s="1" t="s">
        <v>39</v>
      </c>
      <c r="E1332" s="1" t="s">
        <v>3659</v>
      </c>
      <c r="F1332" s="1" t="s">
        <v>3770</v>
      </c>
      <c r="G1332" s="39" t="s">
        <v>3720</v>
      </c>
      <c r="H1332" s="1">
        <v>3</v>
      </c>
      <c r="I1332" s="1">
        <v>2</v>
      </c>
      <c r="J1332" s="39" t="s">
        <v>235</v>
      </c>
      <c r="K1332" s="1">
        <v>2</v>
      </c>
      <c r="L1332" s="1">
        <v>3</v>
      </c>
      <c r="S1332" s="1" t="s">
        <v>9986</v>
      </c>
      <c r="T1332" s="1">
        <v>1</v>
      </c>
      <c r="U1332" s="19"/>
      <c r="V1332" s="19"/>
      <c r="W1332" s="218">
        <v>1</v>
      </c>
      <c r="X1332" s="218">
        <v>1</v>
      </c>
      <c r="Y1332" s="218">
        <v>1</v>
      </c>
    </row>
    <row r="1333" spans="1:25" ht="14.4" x14ac:dyDescent="0.3">
      <c r="A1333" s="1" t="s">
        <v>3771</v>
      </c>
      <c r="B1333" s="102">
        <v>46152</v>
      </c>
      <c r="C1333" s="6">
        <v>0.72916666666666696</v>
      </c>
      <c r="D1333" s="1" t="s">
        <v>39</v>
      </c>
      <c r="E1333" s="1" t="s">
        <v>3659</v>
      </c>
      <c r="F1333" s="1" t="s">
        <v>3772</v>
      </c>
      <c r="G1333" s="39" t="s">
        <v>3703</v>
      </c>
      <c r="H1333" s="1">
        <v>3</v>
      </c>
      <c r="I1333" s="1">
        <v>0</v>
      </c>
      <c r="J1333" s="39" t="s">
        <v>235</v>
      </c>
      <c r="K1333" s="1">
        <v>0</v>
      </c>
      <c r="L1333" s="1">
        <v>3</v>
      </c>
      <c r="S1333" s="1" t="s">
        <v>9987</v>
      </c>
      <c r="T1333">
        <v>1</v>
      </c>
      <c r="U1333" s="19"/>
      <c r="V1333" s="19"/>
      <c r="W1333" s="218">
        <v>1</v>
      </c>
      <c r="X1333" s="218">
        <v>1</v>
      </c>
      <c r="Y1333" s="218">
        <v>1</v>
      </c>
    </row>
    <row r="1334" spans="1:25" ht="14.4" x14ac:dyDescent="0.3">
      <c r="A1334" s="1" t="s">
        <v>3776</v>
      </c>
      <c r="B1334" s="102">
        <v>46137</v>
      </c>
      <c r="C1334" s="6">
        <v>0.85416666666666696</v>
      </c>
      <c r="D1334" s="1" t="s">
        <v>39</v>
      </c>
      <c r="E1334" s="1" t="s">
        <v>3659</v>
      </c>
      <c r="F1334" s="1" t="s">
        <v>3777</v>
      </c>
      <c r="G1334" s="39" t="s">
        <v>235</v>
      </c>
      <c r="H1334" s="1">
        <v>2</v>
      </c>
      <c r="I1334" s="1">
        <v>0</v>
      </c>
      <c r="J1334" s="39" t="s">
        <v>3695</v>
      </c>
      <c r="K1334" s="1">
        <v>0</v>
      </c>
      <c r="L1334" s="1">
        <v>2</v>
      </c>
      <c r="S1334" s="1" t="s">
        <v>9988</v>
      </c>
      <c r="T1334">
        <v>1</v>
      </c>
      <c r="U1334" s="19"/>
      <c r="V1334" s="19"/>
      <c r="W1334" s="218">
        <v>1</v>
      </c>
      <c r="X1334" s="218">
        <v>1</v>
      </c>
      <c r="Y1334" s="218">
        <v>1</v>
      </c>
    </row>
    <row r="1335" spans="1:25" ht="14.4" x14ac:dyDescent="0.3">
      <c r="A1335" s="1" t="s">
        <v>3780</v>
      </c>
      <c r="B1335" s="102">
        <v>46130</v>
      </c>
      <c r="C1335" s="6">
        <v>0.85416666666666696</v>
      </c>
      <c r="D1335" s="1" t="s">
        <v>39</v>
      </c>
      <c r="E1335" s="1" t="s">
        <v>3659</v>
      </c>
      <c r="F1335" s="1" t="s">
        <v>3781</v>
      </c>
      <c r="G1335" s="39" t="s">
        <v>3675</v>
      </c>
      <c r="H1335" s="1">
        <v>2</v>
      </c>
      <c r="I1335" s="1">
        <v>1</v>
      </c>
      <c r="J1335" s="39" t="s">
        <v>235</v>
      </c>
      <c r="K1335" s="1">
        <v>1</v>
      </c>
      <c r="L1335" s="1">
        <v>2</v>
      </c>
      <c r="S1335" s="1" t="s">
        <v>9989</v>
      </c>
      <c r="T1335">
        <v>1</v>
      </c>
      <c r="U1335" s="19"/>
      <c r="V1335" s="19"/>
      <c r="W1335" s="218">
        <v>1</v>
      </c>
      <c r="X1335" s="218">
        <v>1</v>
      </c>
      <c r="Y1335" s="218">
        <v>1</v>
      </c>
    </row>
    <row r="1336" spans="1:25" ht="14.4" x14ac:dyDescent="0.3">
      <c r="A1336" s="1" t="s">
        <v>3782</v>
      </c>
      <c r="B1336" s="102">
        <v>46124</v>
      </c>
      <c r="C1336" s="6">
        <v>0.83333333333333304</v>
      </c>
      <c r="D1336" s="1" t="s">
        <v>39</v>
      </c>
      <c r="E1336" s="1" t="s">
        <v>3659</v>
      </c>
      <c r="F1336" s="1" t="s">
        <v>3783</v>
      </c>
      <c r="G1336" s="39" t="s">
        <v>235</v>
      </c>
      <c r="H1336" s="1">
        <v>1</v>
      </c>
      <c r="I1336" s="1">
        <v>1</v>
      </c>
      <c r="J1336" s="39" t="s">
        <v>3683</v>
      </c>
      <c r="K1336" s="1">
        <v>1</v>
      </c>
      <c r="L1336" s="1">
        <v>1</v>
      </c>
      <c r="S1336" s="1" t="s">
        <v>9990</v>
      </c>
      <c r="T1336">
        <v>1</v>
      </c>
      <c r="U1336" s="19"/>
      <c r="V1336" s="19"/>
      <c r="W1336" s="218">
        <v>1</v>
      </c>
      <c r="X1336" s="218">
        <v>1</v>
      </c>
      <c r="Y1336" s="218">
        <v>1</v>
      </c>
    </row>
    <row r="1337" spans="1:25" ht="14.4" x14ac:dyDescent="0.3">
      <c r="A1337" s="1" t="s">
        <v>3784</v>
      </c>
      <c r="B1337" s="102">
        <v>46235</v>
      </c>
      <c r="C1337" s="6">
        <v>0.85416666666666696</v>
      </c>
      <c r="D1337" s="1" t="s">
        <v>39</v>
      </c>
      <c r="E1337" s="1" t="s">
        <v>3659</v>
      </c>
      <c r="F1337" s="1" t="s">
        <v>3785</v>
      </c>
      <c r="G1337" s="39" t="s">
        <v>3734</v>
      </c>
      <c r="H1337" s="1">
        <v>2</v>
      </c>
      <c r="I1337" s="1">
        <v>2</v>
      </c>
      <c r="J1337" s="39" t="s">
        <v>3672</v>
      </c>
      <c r="K1337" s="1">
        <v>2</v>
      </c>
      <c r="L1337" s="1">
        <v>2</v>
      </c>
      <c r="S1337" s="1" t="s">
        <v>9991</v>
      </c>
      <c r="T1337">
        <v>1</v>
      </c>
      <c r="U1337" s="19"/>
      <c r="V1337" s="19"/>
      <c r="W1337" s="218">
        <v>1</v>
      </c>
      <c r="X1337" s="218">
        <v>1</v>
      </c>
      <c r="Y1337" s="218">
        <v>1</v>
      </c>
    </row>
    <row r="1338" spans="1:25" ht="14.4" x14ac:dyDescent="0.3">
      <c r="A1338" s="1" t="s">
        <v>3786</v>
      </c>
      <c r="B1338" s="102">
        <v>46228</v>
      </c>
      <c r="C1338" s="6">
        <v>0.85416666666666696</v>
      </c>
      <c r="D1338" s="1" t="s">
        <v>39</v>
      </c>
      <c r="E1338" s="1" t="s">
        <v>3659</v>
      </c>
      <c r="F1338" s="1" t="s">
        <v>3787</v>
      </c>
      <c r="G1338" s="39" t="s">
        <v>3734</v>
      </c>
      <c r="H1338" s="1">
        <v>2</v>
      </c>
      <c r="I1338" s="1">
        <v>1</v>
      </c>
      <c r="J1338" s="39" t="s">
        <v>192</v>
      </c>
      <c r="K1338" s="1">
        <v>1</v>
      </c>
      <c r="L1338" s="1">
        <v>2</v>
      </c>
      <c r="S1338" s="1" t="s">
        <v>9992</v>
      </c>
      <c r="T1338">
        <v>1</v>
      </c>
      <c r="U1338" s="19"/>
      <c r="V1338" s="19"/>
      <c r="W1338" s="218">
        <v>1</v>
      </c>
      <c r="X1338" s="218">
        <v>1</v>
      </c>
      <c r="Y1338" s="218">
        <v>1</v>
      </c>
    </row>
    <row r="1339" spans="1:25" ht="14.4" x14ac:dyDescent="0.3">
      <c r="A1339" s="1" t="s">
        <v>3791</v>
      </c>
      <c r="B1339" s="102">
        <v>46165</v>
      </c>
      <c r="C1339" s="6">
        <v>0.85416666666666696</v>
      </c>
      <c r="D1339" s="1" t="s">
        <v>39</v>
      </c>
      <c r="E1339" s="1" t="s">
        <v>3659</v>
      </c>
      <c r="F1339" s="1" t="s">
        <v>3792</v>
      </c>
      <c r="G1339" s="39" t="s">
        <v>3734</v>
      </c>
      <c r="H1339" s="1">
        <v>4</v>
      </c>
      <c r="I1339" s="1">
        <v>4</v>
      </c>
      <c r="J1339" s="39" t="s">
        <v>3680</v>
      </c>
      <c r="K1339" s="1">
        <v>4</v>
      </c>
      <c r="L1339" s="1">
        <v>4</v>
      </c>
      <c r="S1339" s="1" t="s">
        <v>9993</v>
      </c>
      <c r="T1339">
        <v>1</v>
      </c>
      <c r="U1339" s="19"/>
      <c r="V1339" s="19"/>
      <c r="W1339" s="218">
        <v>1</v>
      </c>
      <c r="X1339" s="218">
        <v>1</v>
      </c>
      <c r="Y1339" s="218">
        <v>1</v>
      </c>
    </row>
    <row r="1340" spans="1:25" ht="14.4" x14ac:dyDescent="0.3">
      <c r="A1340" s="1" t="s">
        <v>3796</v>
      </c>
      <c r="B1340" s="102">
        <v>46151</v>
      </c>
      <c r="C1340" s="6">
        <v>0.91666666666666696</v>
      </c>
      <c r="D1340" s="1" t="s">
        <v>39</v>
      </c>
      <c r="E1340" s="1" t="s">
        <v>3659</v>
      </c>
      <c r="F1340" s="1" t="s">
        <v>3797</v>
      </c>
      <c r="G1340" s="39" t="s">
        <v>3672</v>
      </c>
      <c r="H1340" s="1">
        <v>2</v>
      </c>
      <c r="I1340" s="1">
        <v>2</v>
      </c>
      <c r="J1340" s="39" t="s">
        <v>3734</v>
      </c>
      <c r="K1340" s="1">
        <v>2</v>
      </c>
      <c r="L1340" s="1">
        <v>2</v>
      </c>
      <c r="S1340" s="1" t="s">
        <v>9994</v>
      </c>
      <c r="T1340">
        <v>1</v>
      </c>
      <c r="U1340" s="19"/>
      <c r="V1340" s="19"/>
      <c r="W1340" s="218">
        <v>1</v>
      </c>
      <c r="X1340" s="218">
        <v>1</v>
      </c>
      <c r="Y1340" s="218">
        <v>1</v>
      </c>
    </row>
    <row r="1341" spans="1:25" ht="14.4" x14ac:dyDescent="0.3">
      <c r="A1341" s="1" t="s">
        <v>3798</v>
      </c>
      <c r="B1341" s="102">
        <v>46145</v>
      </c>
      <c r="C1341" s="6">
        <v>0.72916666666666696</v>
      </c>
      <c r="D1341" s="1" t="s">
        <v>39</v>
      </c>
      <c r="E1341" s="1" t="s">
        <v>3659</v>
      </c>
      <c r="F1341" s="1" t="s">
        <v>3799</v>
      </c>
      <c r="G1341" s="39" t="s">
        <v>3703</v>
      </c>
      <c r="H1341" s="1">
        <v>0</v>
      </c>
      <c r="I1341" s="1">
        <v>2</v>
      </c>
      <c r="J1341" s="39" t="s">
        <v>3734</v>
      </c>
      <c r="K1341" s="1">
        <v>2</v>
      </c>
      <c r="L1341" s="1">
        <v>0</v>
      </c>
      <c r="S1341" s="1" t="s">
        <v>9995</v>
      </c>
      <c r="T1341">
        <v>1</v>
      </c>
      <c r="U1341" s="19"/>
      <c r="V1341" s="19"/>
      <c r="W1341" s="218">
        <v>1</v>
      </c>
      <c r="X1341" s="218">
        <v>1</v>
      </c>
      <c r="Y1341" s="218">
        <v>1</v>
      </c>
    </row>
    <row r="1342" spans="1:25" ht="14.4" x14ac:dyDescent="0.3">
      <c r="A1342" s="1" t="s">
        <v>3800</v>
      </c>
      <c r="B1342" s="102">
        <v>46137</v>
      </c>
      <c r="C1342" s="6">
        <v>0.85416666666666696</v>
      </c>
      <c r="D1342" s="1" t="s">
        <v>39</v>
      </c>
      <c r="E1342" s="1" t="s">
        <v>3659</v>
      </c>
      <c r="F1342" s="1" t="s">
        <v>3801</v>
      </c>
      <c r="G1342" s="39" t="s">
        <v>3734</v>
      </c>
      <c r="H1342" s="1">
        <v>3</v>
      </c>
      <c r="I1342" s="1">
        <v>2</v>
      </c>
      <c r="J1342" s="39" t="s">
        <v>3683</v>
      </c>
      <c r="K1342" s="1">
        <v>2</v>
      </c>
      <c r="L1342" s="1">
        <v>3</v>
      </c>
      <c r="S1342" s="1" t="s">
        <v>9996</v>
      </c>
      <c r="T1342">
        <v>1</v>
      </c>
      <c r="U1342" s="19"/>
      <c r="V1342" s="19"/>
      <c r="W1342" s="218">
        <v>1</v>
      </c>
      <c r="X1342" s="218">
        <v>1</v>
      </c>
      <c r="Y1342" s="218">
        <v>1</v>
      </c>
    </row>
    <row r="1343" spans="1:25" ht="14.4" x14ac:dyDescent="0.3">
      <c r="A1343" s="1" t="s">
        <v>3802</v>
      </c>
      <c r="B1343" s="102">
        <v>46134</v>
      </c>
      <c r="C1343" s="6">
        <v>0.85416666666666696</v>
      </c>
      <c r="D1343" s="1" t="s">
        <v>39</v>
      </c>
      <c r="E1343" s="1" t="s">
        <v>3659</v>
      </c>
      <c r="F1343" s="1" t="s">
        <v>3803</v>
      </c>
      <c r="G1343" s="39" t="s">
        <v>3720</v>
      </c>
      <c r="H1343" s="1">
        <v>4</v>
      </c>
      <c r="I1343" s="1">
        <v>4</v>
      </c>
      <c r="J1343" s="39" t="s">
        <v>3734</v>
      </c>
      <c r="K1343" s="1">
        <v>4</v>
      </c>
      <c r="L1343" s="1">
        <v>4</v>
      </c>
      <c r="S1343" s="1" t="s">
        <v>9997</v>
      </c>
      <c r="T1343">
        <v>1</v>
      </c>
      <c r="U1343" s="19"/>
      <c r="V1343" s="19"/>
      <c r="W1343" s="218">
        <v>1</v>
      </c>
      <c r="X1343" s="218">
        <v>1</v>
      </c>
      <c r="Y1343" s="218">
        <v>1</v>
      </c>
    </row>
    <row r="1344" spans="1:25" ht="14.4" x14ac:dyDescent="0.3">
      <c r="A1344" s="1" t="s">
        <v>3804</v>
      </c>
      <c r="B1344" s="102">
        <v>46130</v>
      </c>
      <c r="C1344" s="6">
        <v>0.85416666666666696</v>
      </c>
      <c r="D1344" s="1" t="s">
        <v>39</v>
      </c>
      <c r="E1344" s="1" t="s">
        <v>3659</v>
      </c>
      <c r="F1344" s="1" t="s">
        <v>3805</v>
      </c>
      <c r="G1344" s="39" t="s">
        <v>3695</v>
      </c>
      <c r="H1344" s="1">
        <v>0</v>
      </c>
      <c r="I1344" s="1">
        <v>0</v>
      </c>
      <c r="J1344" s="39" t="s">
        <v>3734</v>
      </c>
      <c r="K1344" s="1">
        <v>0</v>
      </c>
      <c r="L1344" s="1">
        <v>0</v>
      </c>
      <c r="S1344" s="1" t="s">
        <v>9998</v>
      </c>
      <c r="T1344">
        <v>1</v>
      </c>
      <c r="U1344" s="19"/>
      <c r="V1344" s="19"/>
      <c r="W1344" s="218">
        <v>1</v>
      </c>
      <c r="X1344" s="218">
        <v>1</v>
      </c>
      <c r="Y1344" s="218">
        <v>1</v>
      </c>
    </row>
    <row r="1345" spans="1:25" ht="14.4" x14ac:dyDescent="0.3">
      <c r="A1345" s="1" t="s">
        <v>3806</v>
      </c>
      <c r="B1345" s="102">
        <v>46123</v>
      </c>
      <c r="C1345" s="6">
        <v>0.85416666666666696</v>
      </c>
      <c r="D1345" s="1" t="s">
        <v>39</v>
      </c>
      <c r="E1345" s="1" t="s">
        <v>3659</v>
      </c>
      <c r="F1345" s="1" t="s">
        <v>3807</v>
      </c>
      <c r="G1345" s="39" t="s">
        <v>3675</v>
      </c>
      <c r="H1345" s="1">
        <v>1</v>
      </c>
      <c r="I1345" s="1">
        <v>0</v>
      </c>
      <c r="J1345" s="39" t="s">
        <v>3734</v>
      </c>
      <c r="K1345" s="1">
        <v>0</v>
      </c>
      <c r="L1345" s="1">
        <v>1</v>
      </c>
      <c r="S1345" s="1" t="s">
        <v>9999</v>
      </c>
      <c r="T1345">
        <v>1</v>
      </c>
      <c r="U1345" s="19"/>
      <c r="V1345" s="19"/>
      <c r="W1345" s="218">
        <v>0</v>
      </c>
      <c r="X1345" s="218">
        <v>1</v>
      </c>
      <c r="Y1345" s="218">
        <v>1</v>
      </c>
    </row>
    <row r="1346" spans="1:25" ht="14.4" x14ac:dyDescent="0.3">
      <c r="A1346" s="1" t="s">
        <v>3809</v>
      </c>
      <c r="B1346" s="102">
        <v>46228</v>
      </c>
      <c r="C1346" s="6">
        <v>0.85416666666666696</v>
      </c>
      <c r="D1346" s="1" t="s">
        <v>39</v>
      </c>
      <c r="E1346" s="1" t="s">
        <v>3659</v>
      </c>
      <c r="F1346" s="1" t="s">
        <v>3810</v>
      </c>
      <c r="G1346" s="39" t="s">
        <v>3680</v>
      </c>
      <c r="H1346" s="1">
        <v>0</v>
      </c>
      <c r="I1346" s="1">
        <v>1</v>
      </c>
      <c r="J1346" s="39" t="s">
        <v>3741</v>
      </c>
      <c r="K1346" s="1">
        <v>1</v>
      </c>
      <c r="L1346" s="1">
        <v>0</v>
      </c>
      <c r="S1346" s="1" t="s">
        <v>10000</v>
      </c>
      <c r="T1346">
        <v>1</v>
      </c>
      <c r="U1346" s="19"/>
      <c r="V1346" s="19"/>
      <c r="W1346" s="218">
        <v>1</v>
      </c>
      <c r="X1346" s="218">
        <v>1</v>
      </c>
      <c r="Y1346" s="218">
        <v>1</v>
      </c>
    </row>
    <row r="1347" spans="1:25" ht="14.4" x14ac:dyDescent="0.3">
      <c r="A1347" s="1" t="s">
        <v>3811</v>
      </c>
      <c r="B1347" s="102">
        <v>46166</v>
      </c>
      <c r="C1347" s="6">
        <v>0.83333333333333304</v>
      </c>
      <c r="D1347" s="1" t="s">
        <v>39</v>
      </c>
      <c r="E1347" s="1" t="s">
        <v>3659</v>
      </c>
      <c r="F1347" s="1" t="s">
        <v>3812</v>
      </c>
      <c r="G1347" s="39" t="s">
        <v>3741</v>
      </c>
      <c r="H1347" s="1">
        <v>6</v>
      </c>
      <c r="I1347" s="1">
        <v>4</v>
      </c>
      <c r="J1347" s="39" t="s">
        <v>3695</v>
      </c>
      <c r="K1347" s="1">
        <v>4</v>
      </c>
      <c r="L1347" s="1">
        <v>6</v>
      </c>
      <c r="S1347" s="1" t="s">
        <v>10001</v>
      </c>
      <c r="T1347">
        <v>1</v>
      </c>
      <c r="U1347" s="19"/>
      <c r="V1347" s="19"/>
      <c r="W1347" s="218">
        <v>1</v>
      </c>
      <c r="X1347" s="218">
        <v>1</v>
      </c>
      <c r="Y1347" s="218">
        <v>1</v>
      </c>
    </row>
    <row r="1348" spans="1:25" ht="14.4" x14ac:dyDescent="0.3">
      <c r="A1348" s="1" t="s">
        <v>3815</v>
      </c>
      <c r="B1348" s="102">
        <v>46151</v>
      </c>
      <c r="C1348" s="6">
        <v>0.85416666666666696</v>
      </c>
      <c r="D1348" s="1" t="s">
        <v>39</v>
      </c>
      <c r="E1348" s="1" t="s">
        <v>3659</v>
      </c>
      <c r="F1348" s="1" t="s">
        <v>3816</v>
      </c>
      <c r="G1348" s="39" t="s">
        <v>192</v>
      </c>
      <c r="H1348" s="1">
        <v>2</v>
      </c>
      <c r="I1348" s="1">
        <v>4</v>
      </c>
      <c r="J1348" s="39" t="s">
        <v>3741</v>
      </c>
      <c r="K1348" s="1">
        <v>4</v>
      </c>
      <c r="L1348" s="1">
        <v>2</v>
      </c>
      <c r="S1348" s="1" t="s">
        <v>10002</v>
      </c>
      <c r="T1348">
        <v>1</v>
      </c>
      <c r="U1348" s="19"/>
      <c r="V1348" s="19"/>
      <c r="W1348" s="218">
        <v>1</v>
      </c>
      <c r="X1348" s="218">
        <v>1</v>
      </c>
      <c r="Y1348" s="218">
        <v>1</v>
      </c>
    </row>
    <row r="1349" spans="1:25" ht="14.4" x14ac:dyDescent="0.3">
      <c r="A1349" s="1" t="s">
        <v>3817</v>
      </c>
      <c r="B1349" s="102">
        <v>46144</v>
      </c>
      <c r="C1349" s="6">
        <v>0.83333333333333304</v>
      </c>
      <c r="D1349" s="1" t="s">
        <v>39</v>
      </c>
      <c r="E1349" s="1" t="s">
        <v>3659</v>
      </c>
      <c r="F1349" s="1" t="s">
        <v>3818</v>
      </c>
      <c r="G1349" s="39" t="s">
        <v>3741</v>
      </c>
      <c r="H1349" s="1">
        <v>3</v>
      </c>
      <c r="I1349" s="1">
        <v>4</v>
      </c>
      <c r="J1349" s="39" t="s">
        <v>3683</v>
      </c>
      <c r="K1349" s="1">
        <v>4</v>
      </c>
      <c r="L1349" s="1">
        <v>3</v>
      </c>
      <c r="S1349" s="1" t="s">
        <v>10003</v>
      </c>
      <c r="T1349">
        <v>1</v>
      </c>
      <c r="U1349" s="19"/>
      <c r="V1349" s="19"/>
      <c r="W1349" s="218">
        <v>1</v>
      </c>
      <c r="X1349" s="218">
        <v>1</v>
      </c>
      <c r="Y1349" s="218">
        <v>1</v>
      </c>
    </row>
    <row r="1350" spans="1:25" ht="14.4" x14ac:dyDescent="0.3">
      <c r="A1350" s="1" t="s">
        <v>3819</v>
      </c>
      <c r="B1350" s="102">
        <v>46137</v>
      </c>
      <c r="C1350" s="6">
        <v>0.85416666666666696</v>
      </c>
      <c r="D1350" s="1" t="s">
        <v>39</v>
      </c>
      <c r="E1350" s="1" t="s">
        <v>3659</v>
      </c>
      <c r="F1350" s="1" t="s">
        <v>3820</v>
      </c>
      <c r="G1350" s="39" t="s">
        <v>3741</v>
      </c>
      <c r="H1350" s="1">
        <v>1</v>
      </c>
      <c r="I1350" s="1">
        <v>1</v>
      </c>
      <c r="J1350" s="39" t="s">
        <v>3675</v>
      </c>
      <c r="K1350" s="1">
        <v>1</v>
      </c>
      <c r="L1350" s="1">
        <v>1</v>
      </c>
      <c r="S1350" s="1" t="s">
        <v>10004</v>
      </c>
      <c r="T1350">
        <v>1</v>
      </c>
      <c r="U1350" s="19"/>
      <c r="V1350" s="19"/>
      <c r="W1350" s="218">
        <v>1</v>
      </c>
      <c r="X1350" s="218">
        <v>1</v>
      </c>
      <c r="Y1350" s="218">
        <v>1</v>
      </c>
    </row>
    <row r="1351" spans="1:25" ht="14.4" x14ac:dyDescent="0.3">
      <c r="A1351" s="1" t="s">
        <v>3827</v>
      </c>
      <c r="B1351" s="102">
        <v>46123</v>
      </c>
      <c r="C1351" s="6">
        <v>0.85416666666666696</v>
      </c>
      <c r="D1351" s="1" t="s">
        <v>39</v>
      </c>
      <c r="E1351" s="1" t="s">
        <v>3659</v>
      </c>
      <c r="F1351" s="1" t="s">
        <v>3828</v>
      </c>
      <c r="G1351" s="39" t="s">
        <v>3741</v>
      </c>
      <c r="H1351" s="1">
        <v>2</v>
      </c>
      <c r="I1351" s="1">
        <v>2</v>
      </c>
      <c r="J1351" s="39" t="s">
        <v>3720</v>
      </c>
      <c r="K1351" s="1">
        <v>2</v>
      </c>
      <c r="L1351" s="1">
        <v>2</v>
      </c>
      <c r="S1351" s="1" t="s">
        <v>10005</v>
      </c>
      <c r="T1351">
        <v>1</v>
      </c>
      <c r="U1351" s="19"/>
      <c r="V1351" s="19"/>
      <c r="W1351" s="218">
        <v>1</v>
      </c>
      <c r="X1351" s="218">
        <v>1</v>
      </c>
      <c r="Y1351" s="218">
        <v>1</v>
      </c>
    </row>
    <row r="1352" spans="1:25" ht="14.4" x14ac:dyDescent="0.3">
      <c r="A1352" s="1" t="s">
        <v>3829</v>
      </c>
      <c r="B1352" s="102">
        <v>46228</v>
      </c>
      <c r="C1352" s="6">
        <v>0.85416666666666696</v>
      </c>
      <c r="D1352" s="1" t="s">
        <v>39</v>
      </c>
      <c r="E1352" s="1" t="s">
        <v>3659</v>
      </c>
      <c r="F1352" s="1" t="s">
        <v>3830</v>
      </c>
      <c r="G1352" s="39" t="s">
        <v>3683</v>
      </c>
      <c r="H1352" s="1">
        <v>1</v>
      </c>
      <c r="I1352" s="1">
        <v>0</v>
      </c>
      <c r="J1352" s="39" t="s">
        <v>3672</v>
      </c>
      <c r="K1352" s="1">
        <v>0</v>
      </c>
      <c r="L1352" s="1">
        <v>1</v>
      </c>
      <c r="S1352" s="1" t="s">
        <v>10006</v>
      </c>
      <c r="T1352">
        <v>1</v>
      </c>
      <c r="U1352" s="19"/>
      <c r="V1352" s="19"/>
      <c r="W1352" s="218">
        <v>1</v>
      </c>
      <c r="X1352" s="218">
        <v>1</v>
      </c>
      <c r="Y1352" s="218">
        <v>1</v>
      </c>
    </row>
    <row r="1353" spans="1:25" ht="14.4" x14ac:dyDescent="0.3">
      <c r="A1353" s="1" t="s">
        <v>3831</v>
      </c>
      <c r="B1353" s="102">
        <v>46225</v>
      </c>
      <c r="C1353" s="6">
        <v>0.89583333333333304</v>
      </c>
      <c r="D1353" s="1" t="s">
        <v>39</v>
      </c>
      <c r="E1353" s="1" t="s">
        <v>3659</v>
      </c>
      <c r="F1353" s="1" t="s">
        <v>3832</v>
      </c>
      <c r="G1353" s="39" t="s">
        <v>3672</v>
      </c>
      <c r="H1353" s="1">
        <v>1</v>
      </c>
      <c r="I1353" s="1">
        <v>0</v>
      </c>
      <c r="J1353" s="39" t="s">
        <v>3680</v>
      </c>
      <c r="K1353" s="1">
        <v>0</v>
      </c>
      <c r="L1353" s="1">
        <v>1</v>
      </c>
      <c r="S1353" s="1" t="s">
        <v>10007</v>
      </c>
      <c r="T1353">
        <v>1</v>
      </c>
      <c r="U1353" s="19"/>
      <c r="V1353" s="19"/>
      <c r="W1353" s="218">
        <v>1</v>
      </c>
      <c r="X1353" s="218">
        <v>1</v>
      </c>
      <c r="Y1353" s="218">
        <v>1</v>
      </c>
    </row>
    <row r="1354" spans="1:25" ht="14.4" x14ac:dyDescent="0.3">
      <c r="A1354" s="1" t="s">
        <v>3833</v>
      </c>
      <c r="B1354" s="102">
        <v>46165</v>
      </c>
      <c r="C1354" s="6">
        <v>0.89583333333333304</v>
      </c>
      <c r="D1354" s="1" t="s">
        <v>39</v>
      </c>
      <c r="E1354" s="1" t="s">
        <v>3659</v>
      </c>
      <c r="F1354" s="1" t="s">
        <v>3834</v>
      </c>
      <c r="G1354" s="39" t="s">
        <v>3672</v>
      </c>
      <c r="H1354" s="1">
        <v>2</v>
      </c>
      <c r="I1354" s="1">
        <v>1</v>
      </c>
      <c r="J1354" s="39" t="s">
        <v>3703</v>
      </c>
      <c r="K1354" s="1">
        <v>1</v>
      </c>
      <c r="L1354" s="1">
        <v>2</v>
      </c>
      <c r="S1354" s="1" t="s">
        <v>10008</v>
      </c>
      <c r="T1354">
        <v>1</v>
      </c>
      <c r="U1354" s="19"/>
      <c r="V1354" s="19"/>
      <c r="W1354" s="218">
        <v>1</v>
      </c>
      <c r="X1354" s="218">
        <v>1</v>
      </c>
      <c r="Y1354" s="218">
        <v>1</v>
      </c>
    </row>
    <row r="1355" spans="1:25" ht="14.4" x14ac:dyDescent="0.3">
      <c r="A1355" s="1" t="s">
        <v>3838</v>
      </c>
      <c r="B1355" s="102">
        <v>46155</v>
      </c>
      <c r="C1355" s="6">
        <v>0.85416666666666696</v>
      </c>
      <c r="D1355" s="1" t="s">
        <v>39</v>
      </c>
      <c r="E1355" s="1" t="s">
        <v>3659</v>
      </c>
      <c r="F1355" s="1" t="s">
        <v>3839</v>
      </c>
      <c r="G1355" s="39" t="s">
        <v>3675</v>
      </c>
      <c r="H1355" s="1">
        <v>0</v>
      </c>
      <c r="I1355" s="1">
        <v>3</v>
      </c>
      <c r="J1355" s="39" t="s">
        <v>3672</v>
      </c>
      <c r="K1355" s="1">
        <v>3</v>
      </c>
      <c r="L1355" s="1">
        <v>0</v>
      </c>
      <c r="S1355" s="1" t="s">
        <v>10009</v>
      </c>
      <c r="T1355">
        <v>1</v>
      </c>
      <c r="U1355" s="19"/>
      <c r="V1355" s="19"/>
      <c r="W1355" s="218">
        <v>1</v>
      </c>
      <c r="X1355" s="218">
        <v>1</v>
      </c>
      <c r="Y1355" s="218">
        <v>1</v>
      </c>
    </row>
    <row r="1356" spans="1:25" ht="14.4" x14ac:dyDescent="0.3">
      <c r="A1356" s="1" t="s">
        <v>3840</v>
      </c>
      <c r="B1356" s="102">
        <v>46144</v>
      </c>
      <c r="C1356" s="6">
        <v>0.77083333333333304</v>
      </c>
      <c r="D1356" s="1" t="s">
        <v>39</v>
      </c>
      <c r="E1356" s="1" t="s">
        <v>3659</v>
      </c>
      <c r="F1356" s="1" t="s">
        <v>3841</v>
      </c>
      <c r="G1356" s="39" t="s">
        <v>3695</v>
      </c>
      <c r="H1356" s="1">
        <v>0</v>
      </c>
      <c r="I1356" s="1">
        <v>0</v>
      </c>
      <c r="J1356" s="39" t="s">
        <v>3672</v>
      </c>
      <c r="K1356" s="1">
        <v>0</v>
      </c>
      <c r="L1356" s="1">
        <v>0</v>
      </c>
      <c r="S1356" s="1" t="s">
        <v>10010</v>
      </c>
      <c r="T1356">
        <v>1</v>
      </c>
      <c r="U1356" s="19"/>
      <c r="V1356" s="19"/>
      <c r="W1356" s="218">
        <v>1</v>
      </c>
      <c r="X1356" s="218">
        <v>1</v>
      </c>
      <c r="Y1356" s="218">
        <v>1</v>
      </c>
    </row>
    <row r="1357" spans="1:25" ht="14.4" x14ac:dyDescent="0.3">
      <c r="A1357" s="1" t="s">
        <v>3844</v>
      </c>
      <c r="B1357" s="102">
        <v>46235</v>
      </c>
      <c r="C1357" s="6">
        <v>0.85416666666666696</v>
      </c>
      <c r="D1357" s="1" t="s">
        <v>39</v>
      </c>
      <c r="E1357" s="1" t="s">
        <v>3659</v>
      </c>
      <c r="F1357" s="1" t="s">
        <v>3845</v>
      </c>
      <c r="G1357" s="39" t="s">
        <v>3680</v>
      </c>
      <c r="H1357" s="1">
        <v>2</v>
      </c>
      <c r="I1357" s="1">
        <v>2</v>
      </c>
      <c r="J1357" s="39" t="s">
        <v>3675</v>
      </c>
      <c r="K1357" s="1">
        <v>2</v>
      </c>
      <c r="L1357" s="1">
        <v>2</v>
      </c>
      <c r="S1357" s="1" t="s">
        <v>10011</v>
      </c>
      <c r="T1357">
        <v>1</v>
      </c>
      <c r="U1357" s="19"/>
      <c r="V1357" s="19"/>
      <c r="W1357" s="218">
        <v>1</v>
      </c>
      <c r="X1357" s="218">
        <v>1</v>
      </c>
      <c r="Y1357" s="218">
        <v>1</v>
      </c>
    </row>
    <row r="1358" spans="1:25" ht="14.4" x14ac:dyDescent="0.3">
      <c r="A1358" s="1" t="s">
        <v>3846</v>
      </c>
      <c r="B1358" s="102">
        <v>46225</v>
      </c>
      <c r="C1358" s="6">
        <v>0.85416666666666696</v>
      </c>
      <c r="D1358" s="1" t="s">
        <v>39</v>
      </c>
      <c r="E1358" s="1" t="s">
        <v>3659</v>
      </c>
      <c r="F1358" s="1" t="s">
        <v>3847</v>
      </c>
      <c r="G1358" s="39" t="s">
        <v>3675</v>
      </c>
      <c r="H1358" s="1">
        <v>0</v>
      </c>
      <c r="I1358" s="1">
        <v>0</v>
      </c>
      <c r="J1358" s="39" t="s">
        <v>192</v>
      </c>
      <c r="K1358" s="1">
        <v>0</v>
      </c>
      <c r="L1358" s="1">
        <v>0</v>
      </c>
      <c r="S1358" s="1" t="s">
        <v>10012</v>
      </c>
      <c r="T1358">
        <v>1</v>
      </c>
      <c r="U1358" s="19"/>
      <c r="V1358" s="19"/>
      <c r="W1358" s="218">
        <v>1</v>
      </c>
      <c r="X1358" s="218">
        <v>1</v>
      </c>
      <c r="Y1358" s="218">
        <v>1</v>
      </c>
    </row>
    <row r="1359" spans="1:25" ht="14.4" x14ac:dyDescent="0.3">
      <c r="A1359" s="1" t="s">
        <v>3850</v>
      </c>
      <c r="B1359" s="102">
        <v>46151</v>
      </c>
      <c r="C1359" s="6">
        <v>0.85416666666666696</v>
      </c>
      <c r="D1359" s="1" t="s">
        <v>39</v>
      </c>
      <c r="E1359" s="1" t="s">
        <v>3659</v>
      </c>
      <c r="F1359" s="1" t="s">
        <v>3851</v>
      </c>
      <c r="G1359" s="39" t="s">
        <v>3675</v>
      </c>
      <c r="H1359" s="1">
        <v>2</v>
      </c>
      <c r="I1359" s="1">
        <v>1</v>
      </c>
      <c r="J1359" s="39" t="s">
        <v>3695</v>
      </c>
      <c r="K1359" s="1">
        <v>1</v>
      </c>
      <c r="L1359" s="1">
        <v>2</v>
      </c>
      <c r="S1359" s="1" t="s">
        <v>10013</v>
      </c>
      <c r="T1359">
        <v>1</v>
      </c>
      <c r="U1359" s="19"/>
      <c r="V1359" s="19"/>
      <c r="W1359" s="218">
        <v>1</v>
      </c>
      <c r="X1359" s="218">
        <v>1</v>
      </c>
      <c r="Y1359" s="218">
        <v>1</v>
      </c>
    </row>
    <row r="1360" spans="1:25" ht="14.4" x14ac:dyDescent="0.3">
      <c r="A1360" s="1" t="s">
        <v>3852</v>
      </c>
      <c r="B1360" s="102">
        <v>46219</v>
      </c>
      <c r="C1360" s="6">
        <v>0.85416666666666696</v>
      </c>
      <c r="D1360" s="1" t="s">
        <v>39</v>
      </c>
      <c r="E1360" s="1" t="s">
        <v>3659</v>
      </c>
      <c r="F1360" s="1" t="s">
        <v>3853</v>
      </c>
      <c r="G1360" s="39" t="s">
        <v>3680</v>
      </c>
      <c r="H1360" s="1">
        <v>0</v>
      </c>
      <c r="I1360" s="1">
        <v>0</v>
      </c>
      <c r="J1360" s="39" t="s">
        <v>192</v>
      </c>
      <c r="K1360" s="1">
        <v>0</v>
      </c>
      <c r="L1360" s="1">
        <v>0</v>
      </c>
      <c r="S1360" s="1" t="s">
        <v>10014</v>
      </c>
      <c r="T1360">
        <v>1</v>
      </c>
      <c r="U1360" s="19"/>
      <c r="V1360" s="19"/>
      <c r="W1360" s="218">
        <v>1</v>
      </c>
      <c r="X1360" s="218">
        <v>1</v>
      </c>
      <c r="Y1360" s="218">
        <v>1</v>
      </c>
    </row>
    <row r="1361" spans="1:25" ht="14.4" x14ac:dyDescent="0.3">
      <c r="A1361" s="1" t="s">
        <v>3856</v>
      </c>
      <c r="B1361" s="102">
        <v>46151</v>
      </c>
      <c r="C1361" s="6">
        <v>0.85416666666666696</v>
      </c>
      <c r="D1361" s="1" t="s">
        <v>39</v>
      </c>
      <c r="E1361" s="1" t="s">
        <v>3659</v>
      </c>
      <c r="F1361" s="1" t="s">
        <v>3857</v>
      </c>
      <c r="G1361" s="39" t="s">
        <v>3680</v>
      </c>
      <c r="H1361" s="1">
        <v>2</v>
      </c>
      <c r="I1361" s="1">
        <v>0</v>
      </c>
      <c r="J1361" s="39" t="s">
        <v>3683</v>
      </c>
      <c r="K1361" s="1">
        <v>0</v>
      </c>
      <c r="L1361" s="1">
        <v>2</v>
      </c>
      <c r="S1361" s="1" t="s">
        <v>10015</v>
      </c>
      <c r="T1361">
        <v>1</v>
      </c>
      <c r="U1361" s="19"/>
      <c r="V1361" s="19"/>
      <c r="W1361" s="218">
        <v>1</v>
      </c>
      <c r="X1361" s="218">
        <v>1</v>
      </c>
      <c r="Y1361" s="218">
        <v>1</v>
      </c>
    </row>
    <row r="1362" spans="1:25" ht="14.4" x14ac:dyDescent="0.3">
      <c r="A1362" s="1" t="s">
        <v>3858</v>
      </c>
      <c r="B1362" s="102">
        <v>46137</v>
      </c>
      <c r="C1362" s="6">
        <v>0.85416666666666696</v>
      </c>
      <c r="D1362" s="1" t="s">
        <v>39</v>
      </c>
      <c r="E1362" s="1" t="s">
        <v>3659</v>
      </c>
      <c r="F1362" s="1" t="s">
        <v>3859</v>
      </c>
      <c r="G1362" s="39" t="s">
        <v>3680</v>
      </c>
      <c r="H1362" s="1">
        <v>1</v>
      </c>
      <c r="I1362" s="1">
        <v>0</v>
      </c>
      <c r="J1362" s="39" t="s">
        <v>3703</v>
      </c>
      <c r="K1362" s="1">
        <v>0</v>
      </c>
      <c r="L1362" s="1">
        <v>1</v>
      </c>
      <c r="S1362" s="1" t="s">
        <v>10016</v>
      </c>
      <c r="T1362">
        <v>1</v>
      </c>
      <c r="U1362" s="19"/>
      <c r="V1362" s="19"/>
      <c r="W1362" s="218">
        <v>1</v>
      </c>
      <c r="X1362" s="218">
        <v>1</v>
      </c>
      <c r="Y1362" s="218">
        <v>1</v>
      </c>
    </row>
    <row r="1363" spans="1:25" ht="14.4" x14ac:dyDescent="0.3">
      <c r="A1363" s="1" t="s">
        <v>3860</v>
      </c>
      <c r="B1363" s="102">
        <v>46130</v>
      </c>
      <c r="C1363" s="6">
        <v>0.85416666666666696</v>
      </c>
      <c r="D1363" s="1" t="s">
        <v>39</v>
      </c>
      <c r="E1363" s="1" t="s">
        <v>3659</v>
      </c>
      <c r="F1363" s="1" t="s">
        <v>3861</v>
      </c>
      <c r="G1363" s="39" t="s">
        <v>3680</v>
      </c>
      <c r="H1363" s="1">
        <v>4</v>
      </c>
      <c r="I1363" s="1">
        <v>1</v>
      </c>
      <c r="J1363" s="39" t="s">
        <v>3720</v>
      </c>
      <c r="K1363" s="1">
        <v>1</v>
      </c>
      <c r="L1363" s="1">
        <v>4</v>
      </c>
      <c r="S1363" s="1" t="s">
        <v>10017</v>
      </c>
      <c r="T1363">
        <v>1</v>
      </c>
      <c r="U1363" s="19"/>
      <c r="V1363" s="19"/>
      <c r="W1363" s="218">
        <v>1</v>
      </c>
      <c r="X1363" s="218">
        <v>1</v>
      </c>
      <c r="Y1363" s="218">
        <v>1</v>
      </c>
    </row>
    <row r="1364" spans="1:25" ht="14.4" x14ac:dyDescent="0.3">
      <c r="A1364" s="1" t="s">
        <v>3862</v>
      </c>
      <c r="B1364" s="102">
        <v>46123</v>
      </c>
      <c r="C1364" s="6">
        <v>0.85416666666666696</v>
      </c>
      <c r="D1364" s="1" t="s">
        <v>39</v>
      </c>
      <c r="E1364" s="1" t="s">
        <v>3659</v>
      </c>
      <c r="F1364" s="1" t="s">
        <v>3863</v>
      </c>
      <c r="G1364" s="39" t="s">
        <v>3680</v>
      </c>
      <c r="H1364" s="1">
        <v>1</v>
      </c>
      <c r="I1364" s="1">
        <v>2</v>
      </c>
      <c r="J1364" s="39" t="s">
        <v>3695</v>
      </c>
      <c r="K1364" s="1">
        <v>2</v>
      </c>
      <c r="L1364" s="1">
        <v>1</v>
      </c>
      <c r="S1364" s="1" t="s">
        <v>10018</v>
      </c>
      <c r="T1364">
        <v>1</v>
      </c>
      <c r="U1364" s="19"/>
      <c r="V1364" s="19"/>
      <c r="W1364" s="218">
        <v>1</v>
      </c>
      <c r="X1364" s="218">
        <v>1</v>
      </c>
      <c r="Y1364" s="218">
        <v>1</v>
      </c>
    </row>
    <row r="1365" spans="1:25" ht="14.4" x14ac:dyDescent="0.3">
      <c r="A1365" s="1" t="s">
        <v>3865</v>
      </c>
      <c r="B1365" s="102">
        <v>46158</v>
      </c>
      <c r="C1365" s="6">
        <v>0.85416666666666696</v>
      </c>
      <c r="D1365" s="1" t="s">
        <v>39</v>
      </c>
      <c r="E1365" s="1" t="s">
        <v>3659</v>
      </c>
      <c r="F1365" s="1" t="s">
        <v>3866</v>
      </c>
      <c r="G1365" s="39" t="s">
        <v>3720</v>
      </c>
      <c r="H1365" s="1">
        <v>1</v>
      </c>
      <c r="I1365" s="1">
        <v>1</v>
      </c>
      <c r="J1365" s="39" t="s">
        <v>3703</v>
      </c>
      <c r="K1365" s="1">
        <v>1</v>
      </c>
      <c r="L1365" s="1">
        <v>1</v>
      </c>
      <c r="S1365" s="1" t="s">
        <v>10019</v>
      </c>
      <c r="T1365">
        <v>1</v>
      </c>
      <c r="U1365" s="19"/>
      <c r="V1365" s="19"/>
      <c r="W1365" s="218">
        <v>1</v>
      </c>
      <c r="X1365" s="218">
        <v>1</v>
      </c>
      <c r="Y1365" s="218">
        <v>1</v>
      </c>
    </row>
    <row r="1366" spans="1:25" ht="14.4" x14ac:dyDescent="0.3">
      <c r="A1366" s="1" t="s">
        <v>3869</v>
      </c>
      <c r="B1366" s="102">
        <v>46235</v>
      </c>
      <c r="C1366" s="6">
        <v>0.85416666666666696</v>
      </c>
      <c r="D1366" s="1" t="s">
        <v>39</v>
      </c>
      <c r="E1366" s="1" t="s">
        <v>3659</v>
      </c>
      <c r="F1366" s="1" t="s">
        <v>3870</v>
      </c>
      <c r="G1366" s="39" t="s">
        <v>3720</v>
      </c>
      <c r="H1366" s="1">
        <v>3</v>
      </c>
      <c r="I1366" s="1">
        <v>2</v>
      </c>
      <c r="J1366" s="39" t="s">
        <v>3683</v>
      </c>
      <c r="K1366" s="1">
        <v>2</v>
      </c>
      <c r="L1366" s="1">
        <v>3</v>
      </c>
      <c r="S1366" s="1" t="s">
        <v>10020</v>
      </c>
      <c r="T1366">
        <v>1</v>
      </c>
      <c r="U1366" s="19"/>
      <c r="V1366" s="19"/>
      <c r="W1366" s="218">
        <v>1</v>
      </c>
      <c r="X1366" s="218">
        <v>1</v>
      </c>
      <c r="Y1366" s="218">
        <v>1</v>
      </c>
    </row>
    <row r="1367" spans="1:25" ht="14.4" x14ac:dyDescent="0.3">
      <c r="A1367" s="1" t="s">
        <v>3871</v>
      </c>
      <c r="B1367" s="102">
        <v>46225</v>
      </c>
      <c r="C1367" s="6">
        <v>0.85416666666666696</v>
      </c>
      <c r="D1367" s="1" t="s">
        <v>39</v>
      </c>
      <c r="E1367" s="1" t="s">
        <v>3659</v>
      </c>
      <c r="F1367" s="1" t="s">
        <v>3872</v>
      </c>
      <c r="G1367" s="39" t="s">
        <v>3695</v>
      </c>
      <c r="H1367" s="1">
        <v>3</v>
      </c>
      <c r="I1367" s="1">
        <v>1</v>
      </c>
      <c r="J1367" s="39" t="s">
        <v>3720</v>
      </c>
      <c r="K1367" s="1">
        <v>1</v>
      </c>
      <c r="L1367" s="1">
        <v>3</v>
      </c>
      <c r="S1367" s="1" t="s">
        <v>10021</v>
      </c>
      <c r="T1367">
        <v>1</v>
      </c>
      <c r="U1367" s="19"/>
      <c r="V1367" s="19"/>
      <c r="W1367" s="218">
        <v>1</v>
      </c>
      <c r="X1367" s="218">
        <v>1</v>
      </c>
      <c r="Y1367" s="218">
        <v>1</v>
      </c>
    </row>
    <row r="1368" spans="1:25" ht="14.4" x14ac:dyDescent="0.3">
      <c r="A1368" s="1" t="s">
        <v>3880</v>
      </c>
      <c r="B1368" s="102">
        <v>46155</v>
      </c>
      <c r="C1368" s="6">
        <v>0.85416666666666696</v>
      </c>
      <c r="D1368" s="1" t="s">
        <v>39</v>
      </c>
      <c r="E1368" s="1" t="s">
        <v>3659</v>
      </c>
      <c r="F1368" s="1" t="s">
        <v>3881</v>
      </c>
      <c r="G1368" s="39" t="s">
        <v>3683</v>
      </c>
      <c r="H1368" s="1">
        <v>4</v>
      </c>
      <c r="I1368" s="1">
        <v>3</v>
      </c>
      <c r="J1368" s="39" t="s">
        <v>3695</v>
      </c>
      <c r="K1368" s="1">
        <v>3</v>
      </c>
      <c r="L1368" s="1">
        <v>4</v>
      </c>
      <c r="S1368" s="1" t="s">
        <v>10022</v>
      </c>
      <c r="T1368">
        <v>1</v>
      </c>
      <c r="U1368" s="19"/>
      <c r="V1368" s="19"/>
      <c r="W1368" s="218">
        <v>1</v>
      </c>
      <c r="X1368" s="218">
        <v>1</v>
      </c>
      <c r="Y1368" s="218">
        <v>1</v>
      </c>
    </row>
    <row r="1369" spans="1:25" ht="14.4" x14ac:dyDescent="0.3">
      <c r="A1369" s="1" t="s">
        <v>3887</v>
      </c>
      <c r="B1369" s="102">
        <v>46134</v>
      </c>
      <c r="C1369" s="6">
        <v>0.85416666666666696</v>
      </c>
      <c r="D1369" s="1" t="s">
        <v>39</v>
      </c>
      <c r="E1369" s="1" t="s">
        <v>3659</v>
      </c>
      <c r="F1369" s="1" t="s">
        <v>3888</v>
      </c>
      <c r="G1369" s="39" t="s">
        <v>192</v>
      </c>
      <c r="H1369" s="1">
        <v>3</v>
      </c>
      <c r="I1369" s="1">
        <v>3</v>
      </c>
      <c r="J1369" s="39" t="s">
        <v>3695</v>
      </c>
      <c r="K1369" s="1">
        <v>3</v>
      </c>
      <c r="L1369" s="1">
        <v>3</v>
      </c>
      <c r="S1369" s="1" t="s">
        <v>10023</v>
      </c>
      <c r="T1369">
        <v>1</v>
      </c>
      <c r="U1369" s="19"/>
      <c r="V1369" s="19"/>
      <c r="W1369" s="218">
        <v>1</v>
      </c>
      <c r="X1369" s="218">
        <v>1</v>
      </c>
      <c r="Y1369" s="218">
        <v>1</v>
      </c>
    </row>
    <row r="1370" spans="1:25" ht="14.4" x14ac:dyDescent="0.3">
      <c r="A1370" s="1" t="s">
        <v>3894</v>
      </c>
      <c r="B1370" s="102">
        <v>46235</v>
      </c>
      <c r="C1370" s="6">
        <v>0.9375</v>
      </c>
      <c r="D1370" s="1" t="s">
        <v>39</v>
      </c>
      <c r="E1370" s="1" t="s">
        <v>3661</v>
      </c>
      <c r="F1370" s="1" t="s">
        <v>3895</v>
      </c>
      <c r="G1370" s="39" t="s">
        <v>3826</v>
      </c>
      <c r="H1370" s="1">
        <v>1</v>
      </c>
      <c r="I1370" s="1">
        <v>0</v>
      </c>
      <c r="J1370" s="39" t="s">
        <v>3893</v>
      </c>
      <c r="K1370" s="1">
        <v>0</v>
      </c>
      <c r="L1370" s="1">
        <v>1</v>
      </c>
      <c r="S1370" s="1" t="s">
        <v>10024</v>
      </c>
      <c r="T1370">
        <v>1</v>
      </c>
      <c r="U1370" s="19"/>
      <c r="V1370" s="19"/>
      <c r="W1370" s="218">
        <v>1</v>
      </c>
      <c r="X1370" s="218">
        <v>1</v>
      </c>
      <c r="Y1370" s="218">
        <v>1</v>
      </c>
    </row>
    <row r="1371" spans="1:25" ht="14.4" x14ac:dyDescent="0.3">
      <c r="A1371" s="1" t="s">
        <v>3896</v>
      </c>
      <c r="B1371" s="102">
        <v>46228</v>
      </c>
      <c r="C1371" s="6">
        <v>0.89583333333333304</v>
      </c>
      <c r="D1371" s="1" t="s">
        <v>39</v>
      </c>
      <c r="E1371" s="1" t="s">
        <v>3661</v>
      </c>
      <c r="F1371" s="1" t="s">
        <v>3897</v>
      </c>
      <c r="G1371" s="39" t="s">
        <v>3790</v>
      </c>
      <c r="H1371" s="1">
        <v>3</v>
      </c>
      <c r="I1371" s="1">
        <v>0</v>
      </c>
      <c r="J1371" s="39" t="s">
        <v>3893</v>
      </c>
      <c r="K1371" s="1">
        <v>0</v>
      </c>
      <c r="L1371" s="1">
        <v>3</v>
      </c>
      <c r="S1371" s="1" t="s">
        <v>10025</v>
      </c>
      <c r="T1371">
        <v>1</v>
      </c>
      <c r="U1371" s="19"/>
      <c r="V1371" s="19"/>
      <c r="W1371" s="218">
        <v>1</v>
      </c>
      <c r="X1371" s="218">
        <v>1</v>
      </c>
      <c r="Y1371" s="218">
        <v>1</v>
      </c>
    </row>
    <row r="1372" spans="1:25" ht="14.4" x14ac:dyDescent="0.3">
      <c r="A1372" s="1" t="s">
        <v>3898</v>
      </c>
      <c r="B1372" s="102">
        <v>46225</v>
      </c>
      <c r="C1372" s="6">
        <v>0.89583333333333304</v>
      </c>
      <c r="D1372" s="1" t="s">
        <v>39</v>
      </c>
      <c r="E1372" s="1" t="s">
        <v>3661</v>
      </c>
      <c r="F1372" s="1" t="s">
        <v>3899</v>
      </c>
      <c r="G1372" s="39" t="s">
        <v>3893</v>
      </c>
      <c r="H1372" s="1">
        <v>3</v>
      </c>
      <c r="I1372" s="1">
        <v>1</v>
      </c>
      <c r="J1372" s="39" t="s">
        <v>3886</v>
      </c>
      <c r="K1372" s="1">
        <v>1</v>
      </c>
      <c r="L1372" s="1">
        <v>3</v>
      </c>
      <c r="S1372" s="1" t="s">
        <v>10026</v>
      </c>
      <c r="T1372">
        <v>1</v>
      </c>
      <c r="U1372" s="19"/>
      <c r="V1372" s="19"/>
      <c r="W1372" s="218">
        <v>1</v>
      </c>
      <c r="X1372" s="218">
        <v>1</v>
      </c>
      <c r="Y1372" s="218">
        <v>1</v>
      </c>
    </row>
    <row r="1373" spans="1:25" ht="14.4" x14ac:dyDescent="0.3">
      <c r="A1373" s="1" t="s">
        <v>3900</v>
      </c>
      <c r="B1373" s="102">
        <v>46165</v>
      </c>
      <c r="C1373" s="6">
        <v>0.85416666666666696</v>
      </c>
      <c r="D1373" s="1" t="s">
        <v>39</v>
      </c>
      <c r="E1373" s="1" t="s">
        <v>3661</v>
      </c>
      <c r="F1373" s="1" t="s">
        <v>3901</v>
      </c>
      <c r="G1373" s="39" t="s">
        <v>3795</v>
      </c>
      <c r="H1373" s="1">
        <v>3</v>
      </c>
      <c r="I1373" s="1">
        <v>0</v>
      </c>
      <c r="J1373" s="39" t="s">
        <v>3893</v>
      </c>
      <c r="K1373" s="1">
        <v>0</v>
      </c>
      <c r="L1373" s="1">
        <v>3</v>
      </c>
      <c r="S1373" s="1" t="s">
        <v>10027</v>
      </c>
      <c r="T1373">
        <v>1</v>
      </c>
      <c r="U1373" s="19"/>
      <c r="V1373" s="19"/>
      <c r="W1373" s="218">
        <v>1</v>
      </c>
      <c r="X1373" s="218">
        <v>1</v>
      </c>
      <c r="Y1373" s="218">
        <v>1</v>
      </c>
    </row>
    <row r="1374" spans="1:25" ht="14.4" x14ac:dyDescent="0.3">
      <c r="A1374" s="1" t="s">
        <v>3902</v>
      </c>
      <c r="B1374" s="102">
        <v>46158</v>
      </c>
      <c r="C1374" s="6">
        <v>0.89583333333333304</v>
      </c>
      <c r="D1374" s="1" t="s">
        <v>39</v>
      </c>
      <c r="E1374" s="1" t="s">
        <v>3661</v>
      </c>
      <c r="F1374" s="1" t="s">
        <v>3903</v>
      </c>
      <c r="G1374" s="39" t="s">
        <v>3893</v>
      </c>
      <c r="H1374" s="1">
        <v>1</v>
      </c>
      <c r="I1374" s="1">
        <v>2</v>
      </c>
      <c r="J1374" s="39" t="s">
        <v>3746</v>
      </c>
      <c r="K1374" s="1">
        <v>2</v>
      </c>
      <c r="L1374" s="1">
        <v>1</v>
      </c>
      <c r="S1374" s="1" t="s">
        <v>10028</v>
      </c>
      <c r="T1374">
        <v>1</v>
      </c>
      <c r="U1374" s="19"/>
      <c r="V1374" s="19"/>
      <c r="W1374" s="218">
        <v>1</v>
      </c>
      <c r="X1374" s="218">
        <v>1</v>
      </c>
      <c r="Y1374" s="218">
        <v>1</v>
      </c>
    </row>
    <row r="1375" spans="1:25" ht="14.4" x14ac:dyDescent="0.3">
      <c r="A1375" s="1" t="s">
        <v>3904</v>
      </c>
      <c r="B1375" s="102">
        <v>46155</v>
      </c>
      <c r="C1375" s="6">
        <v>0.97916666666666696</v>
      </c>
      <c r="D1375" s="1" t="s">
        <v>39</v>
      </c>
      <c r="E1375" s="1" t="s">
        <v>3661</v>
      </c>
      <c r="F1375" s="1" t="s">
        <v>3905</v>
      </c>
      <c r="G1375" s="39" t="s">
        <v>3761</v>
      </c>
      <c r="H1375" s="1">
        <v>5</v>
      </c>
      <c r="I1375" s="1">
        <v>0</v>
      </c>
      <c r="J1375" s="39" t="s">
        <v>3893</v>
      </c>
      <c r="K1375" s="1">
        <v>0</v>
      </c>
      <c r="L1375" s="1">
        <v>5</v>
      </c>
      <c r="S1375" s="1" t="s">
        <v>10029</v>
      </c>
      <c r="T1375">
        <v>1</v>
      </c>
      <c r="U1375" s="19"/>
      <c r="V1375" s="19"/>
      <c r="W1375" s="218">
        <v>1</v>
      </c>
      <c r="X1375" s="218">
        <v>1</v>
      </c>
      <c r="Y1375" s="218">
        <v>1</v>
      </c>
    </row>
    <row r="1376" spans="1:25" ht="14.4" x14ac:dyDescent="0.3">
      <c r="A1376" s="1" t="s">
        <v>3906</v>
      </c>
      <c r="B1376" s="102">
        <v>46152</v>
      </c>
      <c r="C1376" s="6">
        <v>0.83333333333333304</v>
      </c>
      <c r="D1376" s="1" t="s">
        <v>39</v>
      </c>
      <c r="E1376" s="1" t="s">
        <v>3661</v>
      </c>
      <c r="F1376" s="1" t="s">
        <v>3907</v>
      </c>
      <c r="G1376" s="39" t="s">
        <v>3775</v>
      </c>
      <c r="H1376" s="1">
        <v>2</v>
      </c>
      <c r="I1376" s="1">
        <v>2</v>
      </c>
      <c r="J1376" s="39" t="s">
        <v>3893</v>
      </c>
      <c r="K1376" s="1">
        <v>2</v>
      </c>
      <c r="L1376" s="1">
        <v>2</v>
      </c>
      <c r="S1376" s="1" t="s">
        <v>10030</v>
      </c>
      <c r="T1376">
        <v>1</v>
      </c>
      <c r="U1376" s="19"/>
      <c r="V1376" s="19"/>
      <c r="W1376" s="218">
        <v>1</v>
      </c>
      <c r="X1376" s="218">
        <v>1</v>
      </c>
      <c r="Y1376" s="218">
        <v>1</v>
      </c>
    </row>
    <row r="1377" spans="1:25" ht="14.4" x14ac:dyDescent="0.3">
      <c r="A1377" s="1" t="s">
        <v>3908</v>
      </c>
      <c r="B1377" s="102">
        <v>46145</v>
      </c>
      <c r="C1377" s="6">
        <v>0.83333333333333304</v>
      </c>
      <c r="D1377" s="1" t="s">
        <v>39</v>
      </c>
      <c r="E1377" s="1" t="s">
        <v>3661</v>
      </c>
      <c r="F1377" s="1" t="s">
        <v>3909</v>
      </c>
      <c r="G1377" s="39" t="s">
        <v>3893</v>
      </c>
      <c r="H1377" s="1">
        <v>2</v>
      </c>
      <c r="I1377" s="1">
        <v>0</v>
      </c>
      <c r="J1377" s="39" t="s">
        <v>3795</v>
      </c>
      <c r="K1377" s="1">
        <v>0</v>
      </c>
      <c r="L1377" s="1">
        <v>2</v>
      </c>
      <c r="S1377" s="1" t="s">
        <v>10031</v>
      </c>
      <c r="T1377">
        <v>1</v>
      </c>
      <c r="U1377" s="19"/>
      <c r="V1377" s="19"/>
      <c r="W1377" s="218">
        <v>1</v>
      </c>
      <c r="X1377" s="218">
        <v>1</v>
      </c>
      <c r="Y1377" s="218">
        <v>1</v>
      </c>
    </row>
    <row r="1378" spans="1:25" ht="14.4" x14ac:dyDescent="0.3">
      <c r="A1378" s="1" t="s">
        <v>3910</v>
      </c>
      <c r="B1378" s="102">
        <v>46137</v>
      </c>
      <c r="C1378" s="6">
        <v>0.89583333333333304</v>
      </c>
      <c r="D1378" s="1" t="s">
        <v>39</v>
      </c>
      <c r="E1378" s="1" t="s">
        <v>3661</v>
      </c>
      <c r="F1378" s="1" t="s">
        <v>3911</v>
      </c>
      <c r="G1378" s="39" t="s">
        <v>3893</v>
      </c>
      <c r="H1378" s="1">
        <v>2</v>
      </c>
      <c r="I1378" s="1">
        <v>0</v>
      </c>
      <c r="J1378" s="39" t="s">
        <v>3790</v>
      </c>
      <c r="K1378" s="1">
        <v>0</v>
      </c>
      <c r="L1378" s="1">
        <v>2</v>
      </c>
      <c r="S1378" s="1" t="s">
        <v>10032</v>
      </c>
      <c r="T1378">
        <v>1</v>
      </c>
      <c r="U1378" s="19"/>
      <c r="V1378" s="19"/>
      <c r="W1378" s="218">
        <v>1</v>
      </c>
      <c r="X1378" s="218">
        <v>1</v>
      </c>
      <c r="Y1378" s="218">
        <v>1</v>
      </c>
    </row>
    <row r="1379" spans="1:25" ht="14.4" x14ac:dyDescent="0.3">
      <c r="A1379" s="1" t="s">
        <v>3912</v>
      </c>
      <c r="B1379" s="102">
        <v>46134</v>
      </c>
      <c r="C1379" s="6">
        <v>0.97916666666666696</v>
      </c>
      <c r="D1379" s="1" t="s">
        <v>39</v>
      </c>
      <c r="E1379" s="1" t="s">
        <v>3661</v>
      </c>
      <c r="F1379" s="1" t="s">
        <v>3913</v>
      </c>
      <c r="G1379" s="39" t="s">
        <v>239</v>
      </c>
      <c r="H1379" s="1">
        <v>5</v>
      </c>
      <c r="I1379" s="1">
        <v>1</v>
      </c>
      <c r="J1379" s="39" t="s">
        <v>3893</v>
      </c>
      <c r="K1379" s="1">
        <v>1</v>
      </c>
      <c r="L1379" s="1">
        <v>5</v>
      </c>
      <c r="S1379" s="1" t="s">
        <v>10033</v>
      </c>
      <c r="T1379">
        <v>1</v>
      </c>
      <c r="U1379" s="19"/>
      <c r="V1379" s="19"/>
      <c r="W1379" s="218">
        <v>1</v>
      </c>
      <c r="X1379" s="218">
        <v>1</v>
      </c>
      <c r="Y1379" s="218">
        <v>1</v>
      </c>
    </row>
    <row r="1380" spans="1:25" ht="14.4" x14ac:dyDescent="0.3">
      <c r="A1380" s="1" t="s">
        <v>3916</v>
      </c>
      <c r="B1380" s="102">
        <v>46228</v>
      </c>
      <c r="C1380" s="6">
        <v>0.89583333333333304</v>
      </c>
      <c r="D1380" s="1" t="s">
        <v>39</v>
      </c>
      <c r="E1380" s="1" t="s">
        <v>3661</v>
      </c>
      <c r="F1380" s="1" t="s">
        <v>3917</v>
      </c>
      <c r="G1380" s="39" t="s">
        <v>3795</v>
      </c>
      <c r="H1380" s="1">
        <v>1</v>
      </c>
      <c r="I1380" s="1">
        <v>0</v>
      </c>
      <c r="J1380" s="39" t="s">
        <v>3826</v>
      </c>
      <c r="K1380" s="1">
        <v>0</v>
      </c>
      <c r="L1380" s="1">
        <v>1</v>
      </c>
      <c r="S1380" s="1" t="s">
        <v>10034</v>
      </c>
      <c r="T1380">
        <v>1</v>
      </c>
      <c r="U1380" s="19"/>
      <c r="V1380" s="19"/>
      <c r="W1380" s="218">
        <v>1</v>
      </c>
      <c r="X1380" s="218">
        <v>1</v>
      </c>
      <c r="Y1380" s="218">
        <v>1</v>
      </c>
    </row>
    <row r="1381" spans="1:25" ht="14.4" x14ac:dyDescent="0.3">
      <c r="A1381" s="1" t="s">
        <v>3918</v>
      </c>
      <c r="B1381" s="102">
        <v>46225</v>
      </c>
      <c r="C1381" s="6">
        <v>0.9375</v>
      </c>
      <c r="D1381" s="1" t="s">
        <v>39</v>
      </c>
      <c r="E1381" s="1" t="s">
        <v>3661</v>
      </c>
      <c r="F1381" s="1" t="s">
        <v>3919</v>
      </c>
      <c r="G1381" s="39" t="s">
        <v>3826</v>
      </c>
      <c r="H1381" s="1">
        <v>1</v>
      </c>
      <c r="I1381" s="1">
        <v>0</v>
      </c>
      <c r="J1381" s="39" t="s">
        <v>3761</v>
      </c>
      <c r="K1381" s="1">
        <v>0</v>
      </c>
      <c r="L1381" s="1">
        <v>1</v>
      </c>
      <c r="S1381" s="1" t="s">
        <v>10035</v>
      </c>
      <c r="T1381">
        <v>1</v>
      </c>
      <c r="U1381" s="19"/>
      <c r="V1381" s="19"/>
      <c r="W1381" s="218">
        <v>1</v>
      </c>
      <c r="X1381" s="218">
        <v>1</v>
      </c>
      <c r="Y1381" s="218">
        <v>1</v>
      </c>
    </row>
    <row r="1382" spans="1:25" ht="14.4" x14ac:dyDescent="0.3">
      <c r="A1382" s="1" t="s">
        <v>3920</v>
      </c>
      <c r="B1382" s="102">
        <v>46165</v>
      </c>
      <c r="C1382" s="6">
        <v>0.9375</v>
      </c>
      <c r="D1382" s="1" t="s">
        <v>39</v>
      </c>
      <c r="E1382" s="1" t="s">
        <v>3661</v>
      </c>
      <c r="F1382" s="1" t="s">
        <v>3921</v>
      </c>
      <c r="G1382" s="39" t="s">
        <v>3826</v>
      </c>
      <c r="H1382" s="1">
        <v>1</v>
      </c>
      <c r="I1382" s="1">
        <v>2</v>
      </c>
      <c r="J1382" s="39" t="s">
        <v>3877</v>
      </c>
      <c r="K1382" s="1">
        <v>2</v>
      </c>
      <c r="L1382" s="1">
        <v>1</v>
      </c>
      <c r="S1382" s="1" t="s">
        <v>10036</v>
      </c>
      <c r="T1382">
        <v>1</v>
      </c>
      <c r="U1382" s="19"/>
      <c r="V1382" s="19"/>
      <c r="W1382" s="218">
        <v>1</v>
      </c>
      <c r="X1382" s="218">
        <v>1</v>
      </c>
      <c r="Y1382" s="218">
        <v>1</v>
      </c>
    </row>
    <row r="1383" spans="1:25" ht="14.4" x14ac:dyDescent="0.3">
      <c r="A1383" s="1" t="s">
        <v>3922</v>
      </c>
      <c r="B1383" s="102">
        <v>46158</v>
      </c>
      <c r="C1383" s="6">
        <v>0.9375</v>
      </c>
      <c r="D1383" s="1" t="s">
        <v>39</v>
      </c>
      <c r="E1383" s="1" t="s">
        <v>3661</v>
      </c>
      <c r="F1383" s="1" t="s">
        <v>3923</v>
      </c>
      <c r="G1383" s="39" t="s">
        <v>3823</v>
      </c>
      <c r="H1383" s="1">
        <v>2</v>
      </c>
      <c r="I1383" s="1">
        <v>1</v>
      </c>
      <c r="J1383" s="39" t="s">
        <v>3826</v>
      </c>
      <c r="K1383" s="1">
        <v>1</v>
      </c>
      <c r="L1383" s="1">
        <v>2</v>
      </c>
      <c r="S1383" s="1" t="s">
        <v>10037</v>
      </c>
      <c r="T1383">
        <v>1</v>
      </c>
      <c r="U1383" s="19"/>
      <c r="V1383" s="19"/>
      <c r="W1383" s="218">
        <v>1</v>
      </c>
      <c r="X1383" s="218">
        <v>1</v>
      </c>
      <c r="Y1383" s="218">
        <v>1</v>
      </c>
    </row>
    <row r="1384" spans="1:25" ht="14.4" x14ac:dyDescent="0.3">
      <c r="A1384" s="1" t="s">
        <v>3924</v>
      </c>
      <c r="B1384" s="102">
        <v>46155</v>
      </c>
      <c r="C1384" s="6">
        <v>0.89583333333333304</v>
      </c>
      <c r="D1384" s="1" t="s">
        <v>39</v>
      </c>
      <c r="E1384" s="1" t="s">
        <v>3661</v>
      </c>
      <c r="F1384" s="1" t="s">
        <v>3925</v>
      </c>
      <c r="G1384" s="39" t="s">
        <v>3775</v>
      </c>
      <c r="H1384" s="1">
        <v>0</v>
      </c>
      <c r="I1384" s="1">
        <v>1</v>
      </c>
      <c r="J1384" s="39" t="s">
        <v>3826</v>
      </c>
      <c r="K1384" s="1">
        <v>1</v>
      </c>
      <c r="L1384" s="1">
        <v>0</v>
      </c>
      <c r="S1384" s="1" t="s">
        <v>10038</v>
      </c>
      <c r="T1384">
        <v>1</v>
      </c>
      <c r="U1384" s="19"/>
      <c r="V1384" s="19"/>
      <c r="W1384" s="218">
        <v>1</v>
      </c>
      <c r="X1384" s="218">
        <v>1</v>
      </c>
      <c r="Y1384" s="218">
        <v>1</v>
      </c>
    </row>
    <row r="1385" spans="1:25" ht="14.4" x14ac:dyDescent="0.3">
      <c r="A1385" s="1" t="s">
        <v>3926</v>
      </c>
      <c r="B1385" s="102">
        <v>46151</v>
      </c>
      <c r="C1385" s="6">
        <v>0.9375</v>
      </c>
      <c r="D1385" s="1" t="s">
        <v>39</v>
      </c>
      <c r="E1385" s="1" t="s">
        <v>3661</v>
      </c>
      <c r="F1385" s="1" t="s">
        <v>3927</v>
      </c>
      <c r="G1385" s="39" t="s">
        <v>3826</v>
      </c>
      <c r="H1385" s="1">
        <v>0</v>
      </c>
      <c r="I1385" s="1">
        <v>1</v>
      </c>
      <c r="J1385" s="39" t="s">
        <v>3795</v>
      </c>
      <c r="K1385" s="1">
        <v>1</v>
      </c>
      <c r="L1385" s="1">
        <v>0</v>
      </c>
      <c r="S1385" s="1" t="s">
        <v>10039</v>
      </c>
      <c r="T1385">
        <v>1</v>
      </c>
      <c r="U1385" s="19"/>
      <c r="V1385" s="19"/>
      <c r="W1385" s="218">
        <v>1</v>
      </c>
      <c r="X1385" s="218">
        <v>1</v>
      </c>
      <c r="Y1385" s="218">
        <v>1</v>
      </c>
    </row>
    <row r="1386" spans="1:25" ht="14.4" x14ac:dyDescent="0.3">
      <c r="A1386" s="1" t="s">
        <v>3928</v>
      </c>
      <c r="B1386" s="102">
        <v>46144</v>
      </c>
      <c r="C1386" s="6">
        <v>0.89583333333333304</v>
      </c>
      <c r="D1386" s="1" t="s">
        <v>39</v>
      </c>
      <c r="E1386" s="1" t="s">
        <v>3661</v>
      </c>
      <c r="F1386" s="1" t="s">
        <v>3929</v>
      </c>
      <c r="G1386" s="39" t="s">
        <v>3790</v>
      </c>
      <c r="H1386" s="1">
        <v>1</v>
      </c>
      <c r="I1386" s="1">
        <v>0</v>
      </c>
      <c r="J1386" s="39" t="s">
        <v>3826</v>
      </c>
      <c r="K1386" s="1">
        <v>0</v>
      </c>
      <c r="L1386" s="1">
        <v>1</v>
      </c>
      <c r="S1386" s="1" t="s">
        <v>10040</v>
      </c>
      <c r="T1386">
        <v>1</v>
      </c>
      <c r="U1386" s="19"/>
      <c r="V1386" s="19"/>
      <c r="W1386" s="218">
        <v>1</v>
      </c>
      <c r="X1386" s="218">
        <v>1</v>
      </c>
      <c r="Y1386" s="218">
        <v>1</v>
      </c>
    </row>
    <row r="1387" spans="1:25" ht="14.4" x14ac:dyDescent="0.3">
      <c r="A1387" s="1" t="s">
        <v>3930</v>
      </c>
      <c r="B1387" s="102">
        <v>46137</v>
      </c>
      <c r="C1387" s="6">
        <v>0.97916666666666696</v>
      </c>
      <c r="D1387" s="1" t="s">
        <v>39</v>
      </c>
      <c r="E1387" s="1" t="s">
        <v>3661</v>
      </c>
      <c r="F1387" s="1" t="s">
        <v>3931</v>
      </c>
      <c r="G1387" s="39" t="s">
        <v>3764</v>
      </c>
      <c r="H1387" s="1">
        <v>3</v>
      </c>
      <c r="I1387" s="1">
        <v>1</v>
      </c>
      <c r="J1387" s="39" t="s">
        <v>3826</v>
      </c>
      <c r="K1387" s="1">
        <v>1</v>
      </c>
      <c r="L1387" s="1">
        <v>3</v>
      </c>
      <c r="S1387" s="1" t="s">
        <v>10041</v>
      </c>
      <c r="T1387">
        <v>1</v>
      </c>
      <c r="U1387" s="19"/>
      <c r="V1387" s="19"/>
      <c r="W1387" s="218">
        <v>1</v>
      </c>
      <c r="X1387" s="218">
        <v>1</v>
      </c>
      <c r="Y1387" s="218">
        <v>1</v>
      </c>
    </row>
    <row r="1388" spans="1:25" ht="14.4" x14ac:dyDescent="0.3">
      <c r="A1388" s="1" t="s">
        <v>3932</v>
      </c>
      <c r="B1388" s="102">
        <v>46134</v>
      </c>
      <c r="C1388" s="6">
        <v>0.97916666666666696</v>
      </c>
      <c r="D1388" s="1" t="s">
        <v>39</v>
      </c>
      <c r="E1388" s="1" t="s">
        <v>3661</v>
      </c>
      <c r="F1388" s="1" t="s">
        <v>3933</v>
      </c>
      <c r="G1388" s="39" t="s">
        <v>3837</v>
      </c>
      <c r="H1388" s="1">
        <v>0</v>
      </c>
      <c r="I1388" s="1">
        <v>0</v>
      </c>
      <c r="J1388" s="39" t="s">
        <v>3826</v>
      </c>
      <c r="K1388" s="1">
        <v>0</v>
      </c>
      <c r="L1388" s="1">
        <v>0</v>
      </c>
      <c r="S1388" s="1" t="s">
        <v>10042</v>
      </c>
      <c r="T1388">
        <v>1</v>
      </c>
      <c r="U1388" s="19"/>
      <c r="V1388" s="19"/>
      <c r="W1388" s="218">
        <v>1</v>
      </c>
      <c r="X1388" s="218">
        <v>1</v>
      </c>
      <c r="Y1388" s="218">
        <v>1</v>
      </c>
    </row>
    <row r="1389" spans="1:25" ht="14.4" x14ac:dyDescent="0.3">
      <c r="A1389" s="1" t="s">
        <v>3934</v>
      </c>
      <c r="B1389" s="102">
        <v>46123</v>
      </c>
      <c r="C1389" s="6">
        <v>0.9375</v>
      </c>
      <c r="D1389" s="1" t="s">
        <v>39</v>
      </c>
      <c r="E1389" s="1" t="s">
        <v>3661</v>
      </c>
      <c r="F1389" s="1" t="s">
        <v>3935</v>
      </c>
      <c r="G1389" s="39" t="s">
        <v>3826</v>
      </c>
      <c r="H1389" s="1">
        <v>6</v>
      </c>
      <c r="I1389" s="1">
        <v>2</v>
      </c>
      <c r="J1389" s="39" t="s">
        <v>3790</v>
      </c>
      <c r="K1389" s="1">
        <v>2</v>
      </c>
      <c r="L1389" s="1">
        <v>6</v>
      </c>
      <c r="S1389" s="1" t="s">
        <v>10043</v>
      </c>
      <c r="T1389">
        <v>1</v>
      </c>
      <c r="U1389" s="19"/>
      <c r="V1389" s="19"/>
      <c r="W1389" s="218">
        <v>1</v>
      </c>
      <c r="X1389" s="218">
        <v>0</v>
      </c>
      <c r="Y1389" s="218">
        <v>1</v>
      </c>
    </row>
    <row r="1390" spans="1:25" ht="14.4" x14ac:dyDescent="0.3">
      <c r="A1390" s="1" t="s">
        <v>3936</v>
      </c>
      <c r="B1390" s="102">
        <v>46235</v>
      </c>
      <c r="C1390" s="6">
        <v>0.97916666666666696</v>
      </c>
      <c r="D1390" s="1" t="s">
        <v>39</v>
      </c>
      <c r="E1390" s="1" t="s">
        <v>3661</v>
      </c>
      <c r="F1390" s="1" t="s">
        <v>3937</v>
      </c>
      <c r="G1390" s="39" t="s">
        <v>3698</v>
      </c>
      <c r="H1390" s="1">
        <v>0</v>
      </c>
      <c r="I1390" s="1">
        <v>0</v>
      </c>
      <c r="J1390" s="39" t="s">
        <v>3877</v>
      </c>
      <c r="K1390" s="1">
        <v>0</v>
      </c>
      <c r="L1390" s="1">
        <v>0</v>
      </c>
      <c r="S1390" s="1" t="s">
        <v>10044</v>
      </c>
      <c r="T1390">
        <v>1</v>
      </c>
      <c r="U1390" s="19"/>
      <c r="V1390" s="19"/>
      <c r="W1390" s="218">
        <v>1</v>
      </c>
      <c r="X1390" s="218">
        <v>1</v>
      </c>
      <c r="Y1390" s="218">
        <v>1</v>
      </c>
    </row>
    <row r="1391" spans="1:25" ht="14.4" x14ac:dyDescent="0.3">
      <c r="A1391" s="1" t="s">
        <v>3938</v>
      </c>
      <c r="B1391" s="102">
        <v>46228</v>
      </c>
      <c r="C1391" s="6">
        <v>0.9375</v>
      </c>
      <c r="D1391" s="1" t="s">
        <v>39</v>
      </c>
      <c r="E1391" s="1" t="s">
        <v>3661</v>
      </c>
      <c r="F1391" s="1" t="s">
        <v>3939</v>
      </c>
      <c r="G1391" s="39" t="s">
        <v>3761</v>
      </c>
      <c r="H1391" s="1">
        <v>1</v>
      </c>
      <c r="I1391" s="1">
        <v>0</v>
      </c>
      <c r="J1391" s="39" t="s">
        <v>3877</v>
      </c>
      <c r="K1391" s="1">
        <v>0</v>
      </c>
      <c r="L1391" s="1">
        <v>1</v>
      </c>
      <c r="S1391" s="1" t="s">
        <v>10045</v>
      </c>
      <c r="T1391">
        <v>1</v>
      </c>
      <c r="U1391" s="19"/>
      <c r="V1391" s="19"/>
      <c r="W1391" s="218">
        <v>1</v>
      </c>
      <c r="X1391" s="218">
        <v>1</v>
      </c>
      <c r="Y1391" s="218">
        <v>1</v>
      </c>
    </row>
    <row r="1392" spans="1:25" ht="14.4" x14ac:dyDescent="0.3">
      <c r="A1392" s="1" t="s">
        <v>3940</v>
      </c>
      <c r="B1392" s="102">
        <v>46225</v>
      </c>
      <c r="C1392" s="6">
        <v>0.9375</v>
      </c>
      <c r="D1392" s="1" t="s">
        <v>39</v>
      </c>
      <c r="E1392" s="1" t="s">
        <v>3661</v>
      </c>
      <c r="F1392" s="1" t="s">
        <v>3941</v>
      </c>
      <c r="G1392" s="39" t="s">
        <v>245</v>
      </c>
      <c r="H1392" s="1">
        <v>2</v>
      </c>
      <c r="I1392" s="1">
        <v>2</v>
      </c>
      <c r="J1392" s="39" t="s">
        <v>3877</v>
      </c>
      <c r="K1392" s="1">
        <v>2</v>
      </c>
      <c r="L1392" s="1">
        <v>2</v>
      </c>
      <c r="S1392" s="1" t="s">
        <v>10046</v>
      </c>
      <c r="T1392">
        <v>1</v>
      </c>
      <c r="U1392" s="19"/>
      <c r="V1392" s="19"/>
      <c r="W1392" s="218">
        <v>1</v>
      </c>
      <c r="X1392" s="218">
        <v>1</v>
      </c>
      <c r="Y1392" s="218">
        <v>1</v>
      </c>
    </row>
    <row r="1393" spans="1:25" ht="14.4" x14ac:dyDescent="0.3">
      <c r="A1393" s="1" t="s">
        <v>3942</v>
      </c>
      <c r="B1393" s="102">
        <v>46158</v>
      </c>
      <c r="C1393" s="6">
        <v>0.97916666666666696</v>
      </c>
      <c r="D1393" s="1" t="s">
        <v>39</v>
      </c>
      <c r="E1393" s="1" t="s">
        <v>3661</v>
      </c>
      <c r="F1393" s="1" t="s">
        <v>3943</v>
      </c>
      <c r="G1393" s="39" t="s">
        <v>239</v>
      </c>
      <c r="H1393" s="1">
        <v>2</v>
      </c>
      <c r="I1393" s="1">
        <v>3</v>
      </c>
      <c r="J1393" s="39" t="s">
        <v>3877</v>
      </c>
      <c r="K1393" s="1">
        <v>3</v>
      </c>
      <c r="L1393" s="1">
        <v>2</v>
      </c>
      <c r="S1393" s="1" t="s">
        <v>10047</v>
      </c>
      <c r="T1393">
        <v>1</v>
      </c>
      <c r="U1393" s="19"/>
      <c r="V1393" s="19"/>
      <c r="W1393" s="218">
        <v>1</v>
      </c>
      <c r="X1393" s="218">
        <v>1</v>
      </c>
      <c r="Y1393" s="218">
        <v>1</v>
      </c>
    </row>
    <row r="1394" spans="1:25" ht="14.4" x14ac:dyDescent="0.3">
      <c r="A1394" s="1" t="s">
        <v>3944</v>
      </c>
      <c r="B1394" s="102">
        <v>46155</v>
      </c>
      <c r="C1394" s="6">
        <v>0.85416666666666696</v>
      </c>
      <c r="D1394" s="1" t="s">
        <v>39</v>
      </c>
      <c r="E1394" s="1" t="s">
        <v>3661</v>
      </c>
      <c r="F1394" s="1" t="s">
        <v>3945</v>
      </c>
      <c r="G1394" s="39" t="s">
        <v>3877</v>
      </c>
      <c r="H1394" s="1">
        <v>2</v>
      </c>
      <c r="I1394" s="1">
        <v>3</v>
      </c>
      <c r="J1394" s="39" t="s">
        <v>3764</v>
      </c>
      <c r="K1394" s="1">
        <v>3</v>
      </c>
      <c r="L1394" s="1">
        <v>2</v>
      </c>
      <c r="S1394" s="1" t="s">
        <v>10048</v>
      </c>
      <c r="T1394">
        <v>1</v>
      </c>
      <c r="U1394" s="19"/>
      <c r="V1394" s="19"/>
      <c r="W1394" s="218">
        <v>1</v>
      </c>
      <c r="X1394" s="218">
        <v>1</v>
      </c>
      <c r="Y1394" s="218">
        <v>1</v>
      </c>
    </row>
    <row r="1395" spans="1:25" ht="14.4" x14ac:dyDescent="0.3">
      <c r="A1395" s="1" t="s">
        <v>3946</v>
      </c>
      <c r="B1395" s="102">
        <v>46151</v>
      </c>
      <c r="C1395" s="6">
        <v>0.85416666666666696</v>
      </c>
      <c r="D1395" s="1" t="s">
        <v>39</v>
      </c>
      <c r="E1395" s="1" t="s">
        <v>3661</v>
      </c>
      <c r="F1395" s="1" t="s">
        <v>3947</v>
      </c>
      <c r="G1395" s="39" t="s">
        <v>3877</v>
      </c>
      <c r="H1395" s="1">
        <v>3</v>
      </c>
      <c r="I1395" s="1">
        <v>1</v>
      </c>
      <c r="J1395" s="39" t="s">
        <v>3823</v>
      </c>
      <c r="K1395" s="1">
        <v>1</v>
      </c>
      <c r="L1395" s="1">
        <v>3</v>
      </c>
      <c r="S1395" s="1" t="s">
        <v>10049</v>
      </c>
      <c r="T1395">
        <v>1</v>
      </c>
      <c r="U1395" s="19"/>
      <c r="V1395" s="19"/>
      <c r="W1395" s="218">
        <v>1</v>
      </c>
      <c r="X1395" s="218">
        <v>1</v>
      </c>
      <c r="Y1395" s="218">
        <v>1</v>
      </c>
    </row>
    <row r="1396" spans="1:25" ht="14.4" x14ac:dyDescent="0.3">
      <c r="A1396" s="1" t="s">
        <v>3948</v>
      </c>
      <c r="B1396" s="102">
        <v>46137</v>
      </c>
      <c r="C1396" s="6">
        <v>0.97916666666666696</v>
      </c>
      <c r="D1396" s="1" t="s">
        <v>39</v>
      </c>
      <c r="E1396" s="1" t="s">
        <v>3661</v>
      </c>
      <c r="F1396" s="1" t="s">
        <v>3949</v>
      </c>
      <c r="G1396" s="39" t="s">
        <v>3886</v>
      </c>
      <c r="H1396" s="1">
        <v>2</v>
      </c>
      <c r="I1396" s="1">
        <v>1</v>
      </c>
      <c r="J1396" s="39" t="s">
        <v>3877</v>
      </c>
      <c r="K1396" s="1">
        <v>1</v>
      </c>
      <c r="L1396" s="1">
        <v>2</v>
      </c>
      <c r="S1396" s="1" t="s">
        <v>10050</v>
      </c>
      <c r="T1396">
        <v>1</v>
      </c>
      <c r="U1396" s="19"/>
      <c r="V1396" s="19"/>
      <c r="W1396" s="218">
        <v>1</v>
      </c>
      <c r="X1396" s="218">
        <v>1</v>
      </c>
      <c r="Y1396" s="218">
        <v>1</v>
      </c>
    </row>
    <row r="1397" spans="1:25" ht="14.4" x14ac:dyDescent="0.3">
      <c r="A1397" s="1" t="s">
        <v>3950</v>
      </c>
      <c r="B1397" s="102">
        <v>46134</v>
      </c>
      <c r="C1397" s="6">
        <v>0.85416666666666696</v>
      </c>
      <c r="D1397" s="1" t="s">
        <v>39</v>
      </c>
      <c r="E1397" s="1" t="s">
        <v>3661</v>
      </c>
      <c r="F1397" s="1" t="s">
        <v>3951</v>
      </c>
      <c r="G1397" s="39" t="s">
        <v>3877</v>
      </c>
      <c r="H1397" s="1">
        <v>0</v>
      </c>
      <c r="I1397" s="1">
        <v>1</v>
      </c>
      <c r="J1397" s="39" t="s">
        <v>3775</v>
      </c>
      <c r="K1397" s="1">
        <v>1</v>
      </c>
      <c r="L1397" s="1">
        <v>0</v>
      </c>
      <c r="S1397" s="1" t="s">
        <v>10051</v>
      </c>
      <c r="T1397">
        <v>1</v>
      </c>
      <c r="U1397" s="19"/>
      <c r="V1397" s="19"/>
      <c r="W1397" s="218">
        <v>1</v>
      </c>
      <c r="X1397" s="218">
        <v>1</v>
      </c>
      <c r="Y1397" s="218">
        <v>1</v>
      </c>
    </row>
    <row r="1398" spans="1:25" ht="14.4" x14ac:dyDescent="0.3">
      <c r="A1398" s="1" t="s">
        <v>3952</v>
      </c>
      <c r="B1398" s="102">
        <v>46130</v>
      </c>
      <c r="C1398" s="6">
        <v>0.85416666666666696</v>
      </c>
      <c r="D1398" s="1" t="s">
        <v>39</v>
      </c>
      <c r="E1398" s="1" t="s">
        <v>3661</v>
      </c>
      <c r="F1398" s="1" t="s">
        <v>3953</v>
      </c>
      <c r="G1398" s="39" t="s">
        <v>3877</v>
      </c>
      <c r="H1398" s="1">
        <v>2</v>
      </c>
      <c r="I1398" s="1">
        <v>2</v>
      </c>
      <c r="J1398" s="39" t="s">
        <v>3698</v>
      </c>
      <c r="K1398" s="1">
        <v>2</v>
      </c>
      <c r="L1398" s="1">
        <v>2</v>
      </c>
      <c r="S1398" s="1" t="s">
        <v>10052</v>
      </c>
      <c r="T1398">
        <v>1</v>
      </c>
      <c r="U1398" s="19"/>
      <c r="V1398" s="19"/>
      <c r="W1398" s="218">
        <v>1</v>
      </c>
      <c r="X1398" s="218">
        <v>1</v>
      </c>
      <c r="Y1398" s="218">
        <v>1</v>
      </c>
    </row>
    <row r="1399" spans="1:25" ht="14.4" x14ac:dyDescent="0.3">
      <c r="A1399" s="1" t="s">
        <v>3954</v>
      </c>
      <c r="B1399" s="102">
        <v>46123</v>
      </c>
      <c r="C1399" s="6">
        <v>0.85416666666666696</v>
      </c>
      <c r="D1399" s="1" t="s">
        <v>39</v>
      </c>
      <c r="E1399" s="1" t="s">
        <v>3661</v>
      </c>
      <c r="F1399" s="1" t="s">
        <v>3955</v>
      </c>
      <c r="G1399" s="39" t="s">
        <v>3877</v>
      </c>
      <c r="H1399" s="1">
        <v>1</v>
      </c>
      <c r="I1399" s="1">
        <v>1</v>
      </c>
      <c r="J1399" s="39" t="s">
        <v>3795</v>
      </c>
      <c r="K1399" s="1">
        <v>1</v>
      </c>
      <c r="L1399" s="1">
        <v>1</v>
      </c>
      <c r="S1399" s="1" t="s">
        <v>10053</v>
      </c>
      <c r="T1399">
        <v>1</v>
      </c>
      <c r="U1399" s="19"/>
      <c r="V1399" s="19"/>
      <c r="W1399" s="218">
        <v>1</v>
      </c>
      <c r="X1399" s="218">
        <v>1</v>
      </c>
      <c r="Y1399" s="218">
        <v>1</v>
      </c>
    </row>
    <row r="1400" spans="1:25" ht="14.4" x14ac:dyDescent="0.3">
      <c r="A1400" s="1" t="s">
        <v>3956</v>
      </c>
      <c r="B1400" s="102">
        <v>46235</v>
      </c>
      <c r="C1400" s="6">
        <v>0.89583333333333304</v>
      </c>
      <c r="D1400" s="1" t="s">
        <v>39</v>
      </c>
      <c r="E1400" s="1" t="s">
        <v>3661</v>
      </c>
      <c r="F1400" s="1" t="s">
        <v>3957</v>
      </c>
      <c r="G1400" s="39" t="s">
        <v>3746</v>
      </c>
      <c r="H1400" s="1">
        <v>0</v>
      </c>
      <c r="I1400" s="1">
        <v>2</v>
      </c>
      <c r="J1400" s="39" t="s">
        <v>3790</v>
      </c>
      <c r="K1400" s="1">
        <v>2</v>
      </c>
      <c r="L1400" s="1">
        <v>0</v>
      </c>
      <c r="S1400" s="1" t="s">
        <v>10054</v>
      </c>
      <c r="T1400">
        <v>1</v>
      </c>
      <c r="U1400" s="19"/>
      <c r="V1400" s="19"/>
      <c r="W1400" s="218">
        <v>1</v>
      </c>
      <c r="X1400" s="218">
        <v>1</v>
      </c>
      <c r="Y1400" s="218">
        <v>1</v>
      </c>
    </row>
    <row r="1401" spans="1:25" ht="14.4" x14ac:dyDescent="0.3">
      <c r="A1401" s="1" t="s">
        <v>3958</v>
      </c>
      <c r="B1401" s="102">
        <v>46165</v>
      </c>
      <c r="C1401" s="6">
        <v>0.97916666666666696</v>
      </c>
      <c r="D1401" s="1" t="s">
        <v>39</v>
      </c>
      <c r="E1401" s="1" t="s">
        <v>3661</v>
      </c>
      <c r="F1401" s="1" t="s">
        <v>3959</v>
      </c>
      <c r="G1401" s="39" t="s">
        <v>3698</v>
      </c>
      <c r="H1401" s="1">
        <v>1</v>
      </c>
      <c r="I1401" s="1">
        <v>1</v>
      </c>
      <c r="J1401" s="39" t="s">
        <v>3790</v>
      </c>
      <c r="K1401" s="1">
        <v>1</v>
      </c>
      <c r="L1401" s="1">
        <v>1</v>
      </c>
      <c r="S1401" s="1" t="s">
        <v>10055</v>
      </c>
      <c r="T1401">
        <v>1</v>
      </c>
      <c r="U1401" s="19"/>
      <c r="V1401" s="19"/>
      <c r="W1401" s="218">
        <v>1</v>
      </c>
      <c r="X1401" s="218">
        <v>1</v>
      </c>
      <c r="Y1401" s="218">
        <v>1</v>
      </c>
    </row>
    <row r="1402" spans="1:25" ht="14.4" x14ac:dyDescent="0.3">
      <c r="A1402" s="1" t="s">
        <v>3960</v>
      </c>
      <c r="B1402" s="102">
        <v>46158</v>
      </c>
      <c r="C1402" s="6">
        <v>0.89583333333333304</v>
      </c>
      <c r="D1402" s="1" t="s">
        <v>39</v>
      </c>
      <c r="E1402" s="1" t="s">
        <v>3661</v>
      </c>
      <c r="F1402" s="1" t="s">
        <v>3961</v>
      </c>
      <c r="G1402" s="39" t="s">
        <v>3790</v>
      </c>
      <c r="H1402" s="1">
        <v>1</v>
      </c>
      <c r="I1402" s="1">
        <v>0</v>
      </c>
      <c r="J1402" s="39" t="s">
        <v>3764</v>
      </c>
      <c r="K1402" s="1">
        <v>0</v>
      </c>
      <c r="L1402" s="1">
        <v>1</v>
      </c>
      <c r="S1402" s="1" t="s">
        <v>10056</v>
      </c>
      <c r="T1402">
        <v>1</v>
      </c>
      <c r="U1402" s="19"/>
      <c r="V1402" s="19"/>
      <c r="W1402" s="218">
        <v>1</v>
      </c>
      <c r="X1402" s="218">
        <v>1</v>
      </c>
      <c r="Y1402" s="218">
        <v>1</v>
      </c>
    </row>
    <row r="1403" spans="1:25" ht="14.4" x14ac:dyDescent="0.3">
      <c r="A1403" s="1" t="s">
        <v>3962</v>
      </c>
      <c r="B1403" s="102">
        <v>46155</v>
      </c>
      <c r="C1403" s="6">
        <v>0.9375</v>
      </c>
      <c r="D1403" s="1" t="s">
        <v>39</v>
      </c>
      <c r="E1403" s="1" t="s">
        <v>3661</v>
      </c>
      <c r="F1403" s="1" t="s">
        <v>3963</v>
      </c>
      <c r="G1403" s="39" t="s">
        <v>3823</v>
      </c>
      <c r="H1403" s="1">
        <v>3</v>
      </c>
      <c r="I1403" s="1">
        <v>0</v>
      </c>
      <c r="J1403" s="39" t="s">
        <v>3790</v>
      </c>
      <c r="K1403" s="1">
        <v>0</v>
      </c>
      <c r="L1403" s="1">
        <v>3</v>
      </c>
      <c r="S1403" s="1" t="s">
        <v>10057</v>
      </c>
      <c r="T1403">
        <v>1</v>
      </c>
      <c r="U1403" s="19"/>
      <c r="V1403" s="19"/>
      <c r="W1403" s="218">
        <v>1</v>
      </c>
      <c r="X1403" s="218">
        <v>1</v>
      </c>
      <c r="Y1403" s="218">
        <v>1</v>
      </c>
    </row>
    <row r="1404" spans="1:25" ht="14.4" x14ac:dyDescent="0.3">
      <c r="A1404" s="1" t="s">
        <v>3964</v>
      </c>
      <c r="B1404" s="102">
        <v>46152</v>
      </c>
      <c r="C1404" s="6">
        <v>0.91666666666666696</v>
      </c>
      <c r="D1404" s="1" t="s">
        <v>39</v>
      </c>
      <c r="E1404" s="1" t="s">
        <v>3661</v>
      </c>
      <c r="F1404" s="1" t="s">
        <v>3965</v>
      </c>
      <c r="G1404" s="39" t="s">
        <v>3837</v>
      </c>
      <c r="H1404" s="1">
        <v>1</v>
      </c>
      <c r="I1404" s="1">
        <v>4</v>
      </c>
      <c r="J1404" s="39" t="s">
        <v>3790</v>
      </c>
      <c r="K1404" s="1">
        <v>4</v>
      </c>
      <c r="L1404" s="1">
        <v>1</v>
      </c>
      <c r="S1404" s="1" t="s">
        <v>10058</v>
      </c>
      <c r="T1404">
        <v>1</v>
      </c>
      <c r="U1404" s="19"/>
      <c r="V1404" s="19"/>
      <c r="W1404" s="218">
        <v>1</v>
      </c>
      <c r="X1404" s="218">
        <v>1</v>
      </c>
      <c r="Y1404" s="218">
        <v>1</v>
      </c>
    </row>
    <row r="1405" spans="1:25" ht="14.4" x14ac:dyDescent="0.3">
      <c r="A1405" s="1" t="s">
        <v>3966</v>
      </c>
      <c r="B1405" s="102">
        <v>46134</v>
      </c>
      <c r="C1405" s="6">
        <v>0.89583333333333304</v>
      </c>
      <c r="D1405" s="1" t="s">
        <v>39</v>
      </c>
      <c r="E1405" s="1" t="s">
        <v>3661</v>
      </c>
      <c r="F1405" s="1" t="s">
        <v>3967</v>
      </c>
      <c r="G1405" s="39" t="s">
        <v>3790</v>
      </c>
      <c r="H1405" s="1">
        <v>1</v>
      </c>
      <c r="I1405" s="1">
        <v>0</v>
      </c>
      <c r="J1405" s="39" t="s">
        <v>3761</v>
      </c>
      <c r="K1405" s="1">
        <v>0</v>
      </c>
      <c r="L1405" s="1">
        <v>1</v>
      </c>
      <c r="S1405" s="1" t="s">
        <v>10059</v>
      </c>
      <c r="T1405">
        <v>1</v>
      </c>
      <c r="U1405" s="19"/>
      <c r="V1405" s="19"/>
      <c r="W1405" s="218">
        <v>1</v>
      </c>
      <c r="X1405" s="218">
        <v>1</v>
      </c>
      <c r="Y1405" s="218">
        <v>1</v>
      </c>
    </row>
    <row r="1406" spans="1:25" ht="14.4" x14ac:dyDescent="0.3">
      <c r="A1406" s="1" t="s">
        <v>3968</v>
      </c>
      <c r="B1406" s="102">
        <v>46228</v>
      </c>
      <c r="C1406" s="6">
        <v>0.97916666666666696</v>
      </c>
      <c r="D1406" s="1" t="s">
        <v>39</v>
      </c>
      <c r="E1406" s="1" t="s">
        <v>3661</v>
      </c>
      <c r="F1406" s="1" t="s">
        <v>3969</v>
      </c>
      <c r="G1406" s="39" t="s">
        <v>239</v>
      </c>
      <c r="H1406" s="1">
        <v>1</v>
      </c>
      <c r="I1406" s="1">
        <v>1</v>
      </c>
      <c r="J1406" s="39" t="s">
        <v>3698</v>
      </c>
      <c r="K1406" s="1">
        <v>1</v>
      </c>
      <c r="L1406" s="1">
        <v>1</v>
      </c>
      <c r="S1406" s="1" t="s">
        <v>10060</v>
      </c>
      <c r="T1406">
        <v>1</v>
      </c>
      <c r="U1406" s="19"/>
      <c r="V1406" s="19"/>
      <c r="W1406" s="218">
        <v>1</v>
      </c>
      <c r="X1406" s="218">
        <v>1</v>
      </c>
      <c r="Y1406" s="218">
        <v>1</v>
      </c>
    </row>
    <row r="1407" spans="1:25" ht="14.4" x14ac:dyDescent="0.3">
      <c r="A1407" s="1" t="s">
        <v>3970</v>
      </c>
      <c r="B1407" s="102">
        <v>46225</v>
      </c>
      <c r="C1407" s="6">
        <v>0.97916666666666696</v>
      </c>
      <c r="D1407" s="1" t="s">
        <v>39</v>
      </c>
      <c r="E1407" s="1" t="s">
        <v>3661</v>
      </c>
      <c r="F1407" s="1" t="s">
        <v>3971</v>
      </c>
      <c r="G1407" s="39" t="s">
        <v>3698</v>
      </c>
      <c r="H1407" s="1">
        <v>1</v>
      </c>
      <c r="I1407" s="1">
        <v>3</v>
      </c>
      <c r="J1407" s="39" t="s">
        <v>3795</v>
      </c>
      <c r="K1407" s="1">
        <v>3</v>
      </c>
      <c r="L1407" s="1">
        <v>1</v>
      </c>
      <c r="S1407" s="1" t="s">
        <v>10061</v>
      </c>
      <c r="T1407">
        <v>1</v>
      </c>
      <c r="U1407" s="19"/>
      <c r="V1407" s="19"/>
      <c r="W1407" s="218">
        <v>1</v>
      </c>
      <c r="X1407" s="218">
        <v>1</v>
      </c>
      <c r="Y1407" s="218">
        <v>1</v>
      </c>
    </row>
    <row r="1408" spans="1:25" ht="14.4" x14ac:dyDescent="0.3">
      <c r="A1408" s="1" t="s">
        <v>3972</v>
      </c>
      <c r="B1408" s="102">
        <v>46220</v>
      </c>
      <c r="C1408" s="6">
        <v>0.97916666666666696</v>
      </c>
      <c r="D1408" s="1" t="s">
        <v>39</v>
      </c>
      <c r="E1408" s="1" t="s">
        <v>3661</v>
      </c>
      <c r="F1408" s="1" t="s">
        <v>3973</v>
      </c>
      <c r="G1408" s="39" t="s">
        <v>3698</v>
      </c>
      <c r="H1408" s="1">
        <v>0</v>
      </c>
      <c r="I1408" s="1">
        <v>3</v>
      </c>
      <c r="J1408" s="39" t="s">
        <v>3837</v>
      </c>
      <c r="K1408" s="1">
        <v>3</v>
      </c>
      <c r="L1408" s="1">
        <v>0</v>
      </c>
      <c r="S1408" s="1" t="s">
        <v>10062</v>
      </c>
      <c r="T1408">
        <v>1</v>
      </c>
      <c r="U1408" s="19"/>
      <c r="V1408" s="19"/>
      <c r="W1408" s="218">
        <v>1</v>
      </c>
      <c r="X1408" s="218">
        <v>1</v>
      </c>
      <c r="Y1408" s="218">
        <v>1</v>
      </c>
    </row>
    <row r="1409" spans="1:25" ht="14.4" x14ac:dyDescent="0.3">
      <c r="A1409" s="1" t="s">
        <v>3974</v>
      </c>
      <c r="B1409" s="102">
        <v>46158</v>
      </c>
      <c r="C1409" s="6">
        <v>0.97916666666666696</v>
      </c>
      <c r="D1409" s="1" t="s">
        <v>39</v>
      </c>
      <c r="E1409" s="1" t="s">
        <v>3661</v>
      </c>
      <c r="F1409" s="1" t="s">
        <v>3975</v>
      </c>
      <c r="G1409" s="39" t="s">
        <v>3886</v>
      </c>
      <c r="H1409" s="1">
        <v>0</v>
      </c>
      <c r="I1409" s="1">
        <v>2</v>
      </c>
      <c r="J1409" s="39" t="s">
        <v>3698</v>
      </c>
      <c r="K1409" s="1">
        <v>2</v>
      </c>
      <c r="L1409" s="1">
        <v>0</v>
      </c>
      <c r="S1409" s="1" t="s">
        <v>10063</v>
      </c>
      <c r="T1409">
        <v>1</v>
      </c>
      <c r="U1409" s="19"/>
      <c r="V1409" s="19"/>
      <c r="W1409" s="218">
        <v>1</v>
      </c>
      <c r="X1409" s="218">
        <v>1</v>
      </c>
      <c r="Y1409" s="218">
        <v>1</v>
      </c>
    </row>
    <row r="1410" spans="1:25" ht="14.4" x14ac:dyDescent="0.3">
      <c r="A1410" s="1" t="s">
        <v>3976</v>
      </c>
      <c r="B1410" s="102">
        <v>46155</v>
      </c>
      <c r="C1410" s="6">
        <v>0.89583333333333304</v>
      </c>
      <c r="D1410" s="1" t="s">
        <v>39</v>
      </c>
      <c r="E1410" s="1" t="s">
        <v>3661</v>
      </c>
      <c r="F1410" s="1" t="s">
        <v>3977</v>
      </c>
      <c r="G1410" s="39" t="s">
        <v>3746</v>
      </c>
      <c r="H1410" s="1">
        <v>3</v>
      </c>
      <c r="I1410" s="1">
        <v>1</v>
      </c>
      <c r="J1410" s="39" t="s">
        <v>3698</v>
      </c>
      <c r="K1410" s="1">
        <v>1</v>
      </c>
      <c r="L1410" s="1">
        <v>3</v>
      </c>
      <c r="S1410" s="1" t="s">
        <v>10064</v>
      </c>
      <c r="T1410">
        <v>1</v>
      </c>
      <c r="U1410" s="19"/>
      <c r="V1410" s="19"/>
      <c r="W1410" s="218">
        <v>1</v>
      </c>
      <c r="X1410" s="218">
        <v>1</v>
      </c>
      <c r="Y1410" s="218">
        <v>1</v>
      </c>
    </row>
    <row r="1411" spans="1:25" ht="14.4" x14ac:dyDescent="0.3">
      <c r="A1411" s="1" t="s">
        <v>3978</v>
      </c>
      <c r="B1411" s="102">
        <v>46144</v>
      </c>
      <c r="C1411" s="6">
        <v>0.97916666666666696</v>
      </c>
      <c r="D1411" s="1" t="s">
        <v>39</v>
      </c>
      <c r="E1411" s="1" t="s">
        <v>3661</v>
      </c>
      <c r="F1411" s="1" t="s">
        <v>3979</v>
      </c>
      <c r="G1411" s="39" t="s">
        <v>3698</v>
      </c>
      <c r="H1411" s="1">
        <v>1</v>
      </c>
      <c r="I1411" s="1">
        <v>1</v>
      </c>
      <c r="J1411" s="39" t="s">
        <v>3764</v>
      </c>
      <c r="K1411" s="1">
        <v>1</v>
      </c>
      <c r="L1411" s="1">
        <v>1</v>
      </c>
      <c r="S1411" s="1" t="s">
        <v>10065</v>
      </c>
      <c r="T1411">
        <v>1</v>
      </c>
      <c r="U1411" s="19"/>
      <c r="V1411" s="19"/>
      <c r="W1411" s="218">
        <v>1</v>
      </c>
      <c r="X1411" s="218">
        <v>1</v>
      </c>
      <c r="Y1411" s="218">
        <v>1</v>
      </c>
    </row>
    <row r="1412" spans="1:25" ht="14.4" x14ac:dyDescent="0.3">
      <c r="A1412" s="1" t="s">
        <v>3980</v>
      </c>
      <c r="B1412" s="102">
        <v>46138</v>
      </c>
      <c r="C1412" s="6">
        <v>0.97916666666666696</v>
      </c>
      <c r="D1412" s="1" t="s">
        <v>39</v>
      </c>
      <c r="E1412" s="1" t="s">
        <v>3661</v>
      </c>
      <c r="F1412" s="1" t="s">
        <v>3981</v>
      </c>
      <c r="G1412" s="39" t="s">
        <v>3698</v>
      </c>
      <c r="H1412" s="1">
        <v>2</v>
      </c>
      <c r="I1412" s="1">
        <v>1</v>
      </c>
      <c r="J1412" s="39" t="s">
        <v>3823</v>
      </c>
      <c r="K1412" s="1">
        <v>1</v>
      </c>
      <c r="L1412" s="1">
        <v>2</v>
      </c>
      <c r="S1412" s="1" t="s">
        <v>10066</v>
      </c>
      <c r="T1412">
        <v>1</v>
      </c>
      <c r="U1412" s="19"/>
      <c r="V1412" s="19"/>
      <c r="W1412" s="218">
        <v>1</v>
      </c>
      <c r="X1412" s="218">
        <v>1</v>
      </c>
      <c r="Y1412" s="218">
        <v>1</v>
      </c>
    </row>
    <row r="1413" spans="1:25" ht="14.4" x14ac:dyDescent="0.3">
      <c r="A1413" s="1" t="s">
        <v>3982</v>
      </c>
      <c r="B1413" s="102">
        <v>46235</v>
      </c>
      <c r="C1413" s="6">
        <v>0.97916666666666696</v>
      </c>
      <c r="D1413" s="1" t="s">
        <v>39</v>
      </c>
      <c r="E1413" s="1" t="s">
        <v>3661</v>
      </c>
      <c r="F1413" s="1" t="s">
        <v>3983</v>
      </c>
      <c r="G1413" s="39" t="s">
        <v>3764</v>
      </c>
      <c r="H1413" s="1">
        <v>1</v>
      </c>
      <c r="I1413" s="1">
        <v>1</v>
      </c>
      <c r="J1413" s="39" t="s">
        <v>3837</v>
      </c>
      <c r="K1413" s="1">
        <v>1</v>
      </c>
      <c r="L1413" s="1">
        <v>1</v>
      </c>
      <c r="S1413" s="1" t="s">
        <v>10067</v>
      </c>
      <c r="T1413">
        <v>1</v>
      </c>
      <c r="U1413" s="19"/>
      <c r="V1413" s="19"/>
      <c r="W1413" s="218">
        <v>1</v>
      </c>
      <c r="X1413" s="218">
        <v>1</v>
      </c>
      <c r="Y1413" s="218">
        <v>1</v>
      </c>
    </row>
    <row r="1414" spans="1:25" ht="14.4" x14ac:dyDescent="0.3">
      <c r="A1414" s="1" t="s">
        <v>3984</v>
      </c>
      <c r="B1414" s="102">
        <v>46228</v>
      </c>
      <c r="C1414" s="6">
        <v>0.97916666666666696</v>
      </c>
      <c r="D1414" s="1" t="s">
        <v>39</v>
      </c>
      <c r="E1414" s="1" t="s">
        <v>3661</v>
      </c>
      <c r="F1414" s="1" t="s">
        <v>3985</v>
      </c>
      <c r="G1414" s="39" t="s">
        <v>3837</v>
      </c>
      <c r="H1414" s="1">
        <v>4</v>
      </c>
      <c r="I1414" s="1">
        <v>0</v>
      </c>
      <c r="J1414" s="39" t="s">
        <v>3746</v>
      </c>
      <c r="K1414" s="1">
        <v>0</v>
      </c>
      <c r="L1414" s="1">
        <v>4</v>
      </c>
      <c r="S1414" s="1" t="s">
        <v>10068</v>
      </c>
      <c r="T1414">
        <v>1</v>
      </c>
      <c r="U1414" s="19"/>
      <c r="V1414" s="19"/>
      <c r="W1414" s="218">
        <v>1</v>
      </c>
      <c r="X1414" s="218">
        <v>1</v>
      </c>
      <c r="Y1414" s="218">
        <v>1</v>
      </c>
    </row>
    <row r="1415" spans="1:25" ht="14.4" x14ac:dyDescent="0.3">
      <c r="A1415" s="1" t="s">
        <v>3986</v>
      </c>
      <c r="B1415" s="102">
        <v>46225</v>
      </c>
      <c r="C1415" s="6">
        <v>0.97916666666666696</v>
      </c>
      <c r="D1415" s="1" t="s">
        <v>39</v>
      </c>
      <c r="E1415" s="1" t="s">
        <v>3661</v>
      </c>
      <c r="F1415" s="1" t="s">
        <v>3987</v>
      </c>
      <c r="G1415" s="39" t="s">
        <v>3837</v>
      </c>
      <c r="H1415" s="1">
        <v>3</v>
      </c>
      <c r="I1415" s="1">
        <v>1</v>
      </c>
      <c r="J1415" s="39" t="s">
        <v>3823</v>
      </c>
      <c r="K1415" s="1">
        <v>1</v>
      </c>
      <c r="L1415" s="1">
        <v>3</v>
      </c>
      <c r="S1415" s="1" t="s">
        <v>10069</v>
      </c>
      <c r="T1415">
        <v>1</v>
      </c>
      <c r="U1415" s="19"/>
      <c r="V1415" s="19"/>
      <c r="W1415" s="218">
        <v>1</v>
      </c>
      <c r="X1415" s="218">
        <v>1</v>
      </c>
      <c r="Y1415" s="218">
        <v>1</v>
      </c>
    </row>
    <row r="1416" spans="1:25" ht="14.4" x14ac:dyDescent="0.3">
      <c r="A1416" s="1" t="s">
        <v>3988</v>
      </c>
      <c r="B1416" s="102">
        <v>46166</v>
      </c>
      <c r="C1416" s="6">
        <v>0.91666666666666696</v>
      </c>
      <c r="D1416" s="1" t="s">
        <v>39</v>
      </c>
      <c r="E1416" s="1" t="s">
        <v>3661</v>
      </c>
      <c r="F1416" s="1" t="s">
        <v>3989</v>
      </c>
      <c r="G1416" s="39" t="s">
        <v>3837</v>
      </c>
      <c r="H1416" s="1">
        <v>1</v>
      </c>
      <c r="I1416" s="1">
        <v>0</v>
      </c>
      <c r="J1416" s="39" t="s">
        <v>3886</v>
      </c>
      <c r="K1416" s="1">
        <v>0</v>
      </c>
      <c r="L1416" s="1">
        <v>1</v>
      </c>
      <c r="S1416" s="1" t="s">
        <v>10070</v>
      </c>
      <c r="T1416">
        <v>1</v>
      </c>
      <c r="U1416" s="19"/>
      <c r="V1416" s="19"/>
      <c r="W1416" s="218">
        <v>1</v>
      </c>
      <c r="X1416" s="218">
        <v>1</v>
      </c>
      <c r="Y1416" s="218">
        <v>1</v>
      </c>
    </row>
    <row r="1417" spans="1:25" ht="14.4" x14ac:dyDescent="0.3">
      <c r="A1417" s="1" t="s">
        <v>3990</v>
      </c>
      <c r="B1417" s="102">
        <v>46155</v>
      </c>
      <c r="C1417" s="6">
        <v>0.89583333333333304</v>
      </c>
      <c r="D1417" s="1" t="s">
        <v>39</v>
      </c>
      <c r="E1417" s="1" t="s">
        <v>3661</v>
      </c>
      <c r="F1417" s="1" t="s">
        <v>3991</v>
      </c>
      <c r="G1417" s="39" t="s">
        <v>3795</v>
      </c>
      <c r="H1417" s="1">
        <v>2</v>
      </c>
      <c r="I1417" s="1">
        <v>1</v>
      </c>
      <c r="J1417" s="39" t="s">
        <v>3837</v>
      </c>
      <c r="K1417" s="1">
        <v>1</v>
      </c>
      <c r="L1417" s="1">
        <v>2</v>
      </c>
      <c r="S1417" s="1" t="s">
        <v>10071</v>
      </c>
      <c r="T1417">
        <v>1</v>
      </c>
      <c r="U1417" s="19"/>
      <c r="V1417" s="19"/>
      <c r="W1417" s="218">
        <v>1</v>
      </c>
      <c r="X1417" s="218">
        <v>1</v>
      </c>
      <c r="Y1417" s="218">
        <v>1</v>
      </c>
    </row>
    <row r="1418" spans="1:25" ht="14.4" x14ac:dyDescent="0.3">
      <c r="A1418" s="1" t="s">
        <v>3992</v>
      </c>
      <c r="B1418" s="102">
        <v>46144</v>
      </c>
      <c r="C1418" s="6">
        <v>0.97916666666666696</v>
      </c>
      <c r="D1418" s="1" t="s">
        <v>39</v>
      </c>
      <c r="E1418" s="1" t="s">
        <v>3661</v>
      </c>
      <c r="F1418" s="1" t="s">
        <v>3993</v>
      </c>
      <c r="G1418" s="39" t="s">
        <v>3761</v>
      </c>
      <c r="H1418" s="1">
        <v>2</v>
      </c>
      <c r="I1418" s="1">
        <v>2</v>
      </c>
      <c r="J1418" s="39" t="s">
        <v>3837</v>
      </c>
      <c r="K1418" s="1">
        <v>2</v>
      </c>
      <c r="L1418" s="1">
        <v>2</v>
      </c>
      <c r="S1418" s="1" t="s">
        <v>10072</v>
      </c>
      <c r="T1418">
        <v>1</v>
      </c>
      <c r="U1418" s="19"/>
      <c r="V1418" s="19"/>
      <c r="W1418" s="218">
        <v>1</v>
      </c>
      <c r="X1418" s="218">
        <v>1</v>
      </c>
      <c r="Y1418" s="218">
        <v>1</v>
      </c>
    </row>
    <row r="1419" spans="1:25" ht="14.4" x14ac:dyDescent="0.3">
      <c r="A1419" s="1" t="s">
        <v>3994</v>
      </c>
      <c r="B1419" s="102">
        <v>46137</v>
      </c>
      <c r="C1419" s="6">
        <v>0.89583333333333304</v>
      </c>
      <c r="D1419" s="1" t="s">
        <v>39</v>
      </c>
      <c r="E1419" s="1" t="s">
        <v>3661</v>
      </c>
      <c r="F1419" s="1" t="s">
        <v>3995</v>
      </c>
      <c r="G1419" s="39" t="s">
        <v>3775</v>
      </c>
      <c r="H1419" s="1">
        <v>0</v>
      </c>
      <c r="I1419" s="1">
        <v>1</v>
      </c>
      <c r="J1419" s="39" t="s">
        <v>3837</v>
      </c>
      <c r="K1419" s="1">
        <v>1</v>
      </c>
      <c r="L1419" s="1">
        <v>0</v>
      </c>
      <c r="S1419" s="1" t="s">
        <v>10073</v>
      </c>
      <c r="T1419">
        <v>1</v>
      </c>
      <c r="U1419" s="19"/>
      <c r="V1419" s="19"/>
      <c r="W1419" s="218">
        <v>1</v>
      </c>
      <c r="X1419" s="218">
        <v>1</v>
      </c>
      <c r="Y1419" s="218">
        <v>1</v>
      </c>
    </row>
    <row r="1420" spans="1:25" ht="14.4" x14ac:dyDescent="0.3">
      <c r="A1420" s="1" t="s">
        <v>3996</v>
      </c>
      <c r="B1420" s="102">
        <v>46131</v>
      </c>
      <c r="C1420" s="6">
        <v>0.91666666666666696</v>
      </c>
      <c r="D1420" s="1" t="s">
        <v>39</v>
      </c>
      <c r="E1420" s="1" t="s">
        <v>3661</v>
      </c>
      <c r="F1420" s="1" t="s">
        <v>3997</v>
      </c>
      <c r="G1420" s="39" t="s">
        <v>3837</v>
      </c>
      <c r="H1420" s="1">
        <v>1</v>
      </c>
      <c r="I1420" s="1">
        <v>4</v>
      </c>
      <c r="J1420" s="39" t="s">
        <v>239</v>
      </c>
      <c r="K1420" s="1">
        <v>4</v>
      </c>
      <c r="L1420" s="1">
        <v>1</v>
      </c>
      <c r="S1420" s="1" t="s">
        <v>10074</v>
      </c>
      <c r="T1420">
        <v>1</v>
      </c>
      <c r="U1420" s="19"/>
      <c r="V1420" s="19"/>
      <c r="W1420" s="218">
        <v>1</v>
      </c>
      <c r="X1420" s="218">
        <v>1</v>
      </c>
      <c r="Y1420" s="218">
        <v>1</v>
      </c>
    </row>
    <row r="1421" spans="1:25" ht="14.4" x14ac:dyDescent="0.3">
      <c r="A1421" s="1" t="s">
        <v>3998</v>
      </c>
      <c r="B1421" s="102">
        <v>46235</v>
      </c>
      <c r="C1421" s="6">
        <v>0.89583333333333304</v>
      </c>
      <c r="D1421" s="1" t="s">
        <v>39</v>
      </c>
      <c r="E1421" s="1" t="s">
        <v>3661</v>
      </c>
      <c r="F1421" s="1" t="s">
        <v>3999</v>
      </c>
      <c r="G1421" s="39" t="s">
        <v>3775</v>
      </c>
      <c r="H1421" s="1">
        <v>1</v>
      </c>
      <c r="I1421" s="1">
        <v>1</v>
      </c>
      <c r="J1421" s="39" t="s">
        <v>3761</v>
      </c>
      <c r="K1421" s="1">
        <v>1</v>
      </c>
      <c r="L1421" s="1">
        <v>1</v>
      </c>
      <c r="S1421" s="1" t="s">
        <v>10075</v>
      </c>
      <c r="T1421">
        <v>1</v>
      </c>
      <c r="U1421" s="19"/>
      <c r="V1421" s="19"/>
      <c r="W1421" s="218">
        <v>1</v>
      </c>
      <c r="X1421" s="218">
        <v>1</v>
      </c>
      <c r="Y1421" s="218">
        <v>1</v>
      </c>
    </row>
    <row r="1422" spans="1:25" ht="14.4" x14ac:dyDescent="0.3">
      <c r="A1422" s="1" t="s">
        <v>4000</v>
      </c>
      <c r="B1422" s="102">
        <v>46228</v>
      </c>
      <c r="C1422" s="6">
        <v>0.89583333333333304</v>
      </c>
      <c r="D1422" s="1" t="s">
        <v>39</v>
      </c>
      <c r="E1422" s="1" t="s">
        <v>3661</v>
      </c>
      <c r="F1422" s="1" t="s">
        <v>4001</v>
      </c>
      <c r="G1422" s="39" t="s">
        <v>3775</v>
      </c>
      <c r="H1422" s="1">
        <v>0</v>
      </c>
      <c r="I1422" s="1">
        <v>0</v>
      </c>
      <c r="J1422" s="39" t="s">
        <v>3764</v>
      </c>
      <c r="K1422" s="1">
        <v>0</v>
      </c>
      <c r="L1422" s="1">
        <v>0</v>
      </c>
      <c r="S1422" s="1" t="s">
        <v>10076</v>
      </c>
      <c r="T1422">
        <v>1</v>
      </c>
      <c r="U1422" s="19"/>
      <c r="V1422" s="19"/>
      <c r="W1422" s="218">
        <v>1</v>
      </c>
      <c r="X1422" s="218">
        <v>1</v>
      </c>
      <c r="Y1422" s="218">
        <v>1</v>
      </c>
    </row>
    <row r="1423" spans="1:25" ht="14.4" x14ac:dyDescent="0.3">
      <c r="A1423" s="1" t="s">
        <v>4002</v>
      </c>
      <c r="B1423" s="102">
        <v>46225</v>
      </c>
      <c r="C1423" s="6">
        <v>0.89583333333333304</v>
      </c>
      <c r="D1423" s="1" t="s">
        <v>39</v>
      </c>
      <c r="E1423" s="1" t="s">
        <v>3661</v>
      </c>
      <c r="F1423" s="1" t="s">
        <v>4003</v>
      </c>
      <c r="G1423" s="39" t="s">
        <v>3746</v>
      </c>
      <c r="H1423" s="1">
        <v>2</v>
      </c>
      <c r="I1423" s="1">
        <v>1</v>
      </c>
      <c r="J1423" s="39" t="s">
        <v>3775</v>
      </c>
      <c r="K1423" s="1">
        <v>1</v>
      </c>
      <c r="L1423" s="1">
        <v>2</v>
      </c>
      <c r="S1423" s="1" t="s">
        <v>10077</v>
      </c>
      <c r="T1423">
        <v>1</v>
      </c>
      <c r="U1423" s="19"/>
      <c r="V1423" s="19"/>
      <c r="W1423" s="218">
        <v>1</v>
      </c>
      <c r="X1423" s="218">
        <v>1</v>
      </c>
      <c r="Y1423" s="218">
        <v>1</v>
      </c>
    </row>
    <row r="1424" spans="1:25" ht="14.4" x14ac:dyDescent="0.3">
      <c r="A1424" s="1" t="s">
        <v>4004</v>
      </c>
      <c r="B1424" s="102">
        <v>46165</v>
      </c>
      <c r="C1424" s="6">
        <v>0.89583333333333304</v>
      </c>
      <c r="D1424" s="1" t="s">
        <v>39</v>
      </c>
      <c r="E1424" s="1" t="s">
        <v>3661</v>
      </c>
      <c r="F1424" s="1" t="s">
        <v>4005</v>
      </c>
      <c r="G1424" s="39" t="s">
        <v>3775</v>
      </c>
      <c r="H1424" s="1">
        <v>1</v>
      </c>
      <c r="I1424" s="1">
        <v>1</v>
      </c>
      <c r="J1424" s="39" t="s">
        <v>3823</v>
      </c>
      <c r="K1424" s="1">
        <v>1</v>
      </c>
      <c r="L1424" s="1">
        <v>1</v>
      </c>
      <c r="S1424" s="1" t="s">
        <v>10078</v>
      </c>
      <c r="T1424">
        <v>1</v>
      </c>
      <c r="U1424" s="19"/>
      <c r="V1424" s="19"/>
      <c r="W1424" s="218">
        <v>1</v>
      </c>
      <c r="X1424" s="218">
        <v>1</v>
      </c>
      <c r="Y1424" s="218">
        <v>1</v>
      </c>
    </row>
    <row r="1425" spans="1:25" ht="14.4" x14ac:dyDescent="0.3">
      <c r="A1425" s="1" t="s">
        <v>4006</v>
      </c>
      <c r="B1425" s="102">
        <v>46130</v>
      </c>
      <c r="C1425" s="6">
        <v>0.89583333333333304</v>
      </c>
      <c r="D1425" s="1" t="s">
        <v>39</v>
      </c>
      <c r="E1425" s="1" t="s">
        <v>3661</v>
      </c>
      <c r="F1425" s="1" t="s">
        <v>4007</v>
      </c>
      <c r="G1425" s="39" t="s">
        <v>3775</v>
      </c>
      <c r="H1425" s="1">
        <v>2</v>
      </c>
      <c r="I1425" s="1">
        <v>0</v>
      </c>
      <c r="J1425" s="39" t="s">
        <v>245</v>
      </c>
      <c r="K1425" s="1">
        <v>0</v>
      </c>
      <c r="L1425" s="1">
        <v>2</v>
      </c>
      <c r="S1425" s="1" t="s">
        <v>10079</v>
      </c>
      <c r="T1425">
        <v>1</v>
      </c>
      <c r="U1425" s="19"/>
      <c r="V1425" s="19"/>
      <c r="W1425" s="218">
        <v>1</v>
      </c>
      <c r="X1425" s="218">
        <v>1</v>
      </c>
      <c r="Y1425" s="218">
        <v>1</v>
      </c>
    </row>
    <row r="1426" spans="1:25" ht="14.4" x14ac:dyDescent="0.3">
      <c r="A1426" s="1" t="s">
        <v>4008</v>
      </c>
      <c r="B1426" s="102">
        <v>46123</v>
      </c>
      <c r="C1426" s="6">
        <v>0.97916666666666696</v>
      </c>
      <c r="D1426" s="1" t="s">
        <v>39</v>
      </c>
      <c r="E1426" s="1" t="s">
        <v>3661</v>
      </c>
      <c r="F1426" s="1" t="s">
        <v>4009</v>
      </c>
      <c r="G1426" s="39" t="s">
        <v>3761</v>
      </c>
      <c r="H1426" s="1">
        <v>1</v>
      </c>
      <c r="I1426" s="1">
        <v>2</v>
      </c>
      <c r="J1426" s="39" t="s">
        <v>3775</v>
      </c>
      <c r="K1426" s="1">
        <v>2</v>
      </c>
      <c r="L1426" s="1">
        <v>1</v>
      </c>
      <c r="S1426" s="1" t="s">
        <v>10080</v>
      </c>
      <c r="T1426">
        <v>1</v>
      </c>
      <c r="U1426" s="19"/>
      <c r="V1426" s="19"/>
      <c r="W1426" s="218">
        <v>1</v>
      </c>
      <c r="X1426" s="218">
        <v>1</v>
      </c>
      <c r="Y1426" s="218">
        <v>1</v>
      </c>
    </row>
    <row r="1427" spans="1:25" ht="14.4" x14ac:dyDescent="0.3">
      <c r="A1427" s="1" t="s">
        <v>4011</v>
      </c>
      <c r="B1427" s="102">
        <v>46228</v>
      </c>
      <c r="C1427" s="6">
        <v>0.9375</v>
      </c>
      <c r="D1427" s="1" t="s">
        <v>39</v>
      </c>
      <c r="E1427" s="1" t="s">
        <v>3661</v>
      </c>
      <c r="F1427" s="1" t="s">
        <v>4012</v>
      </c>
      <c r="G1427" s="39" t="s">
        <v>245</v>
      </c>
      <c r="H1427" s="1">
        <v>2</v>
      </c>
      <c r="I1427" s="1">
        <v>1</v>
      </c>
      <c r="J1427" s="39" t="s">
        <v>3823</v>
      </c>
      <c r="K1427" s="1">
        <v>1</v>
      </c>
      <c r="L1427" s="1">
        <v>2</v>
      </c>
      <c r="S1427" s="1" t="s">
        <v>10081</v>
      </c>
      <c r="T1427">
        <v>1</v>
      </c>
      <c r="U1427" s="19"/>
      <c r="V1427" s="19"/>
      <c r="W1427" s="218">
        <v>1</v>
      </c>
      <c r="X1427" s="218">
        <v>1</v>
      </c>
      <c r="Y1427" s="218">
        <v>1</v>
      </c>
    </row>
    <row r="1428" spans="1:25" ht="14.4" x14ac:dyDescent="0.3">
      <c r="A1428" s="1" t="s">
        <v>4013</v>
      </c>
      <c r="B1428" s="102">
        <v>46219</v>
      </c>
      <c r="C1428" s="6">
        <v>0.9375</v>
      </c>
      <c r="D1428" s="1" t="s">
        <v>39</v>
      </c>
      <c r="E1428" s="1" t="s">
        <v>3661</v>
      </c>
      <c r="F1428" s="1" t="s">
        <v>4014</v>
      </c>
      <c r="G1428" s="39" t="s">
        <v>3886</v>
      </c>
      <c r="H1428" s="1">
        <v>1</v>
      </c>
      <c r="I1428" s="1">
        <v>5</v>
      </c>
      <c r="J1428" s="39" t="s">
        <v>245</v>
      </c>
      <c r="K1428" s="1">
        <v>5</v>
      </c>
      <c r="L1428" s="1">
        <v>1</v>
      </c>
      <c r="S1428" s="1" t="s">
        <v>10082</v>
      </c>
      <c r="T1428">
        <v>1</v>
      </c>
      <c r="U1428" s="19"/>
      <c r="V1428" s="19"/>
      <c r="W1428" s="218">
        <v>1</v>
      </c>
      <c r="X1428" s="218">
        <v>1</v>
      </c>
      <c r="Y1428" s="218">
        <v>1</v>
      </c>
    </row>
    <row r="1429" spans="1:25" ht="14.4" x14ac:dyDescent="0.3">
      <c r="A1429" s="1" t="s">
        <v>4015</v>
      </c>
      <c r="B1429" s="102">
        <v>46165</v>
      </c>
      <c r="C1429" s="6">
        <v>0.89583333333333304</v>
      </c>
      <c r="D1429" s="1" t="s">
        <v>39</v>
      </c>
      <c r="E1429" s="1" t="s">
        <v>3661</v>
      </c>
      <c r="F1429" s="1" t="s">
        <v>4016</v>
      </c>
      <c r="G1429" s="39" t="s">
        <v>245</v>
      </c>
      <c r="H1429" s="1">
        <v>1</v>
      </c>
      <c r="I1429" s="1">
        <v>3</v>
      </c>
      <c r="J1429" s="39" t="s">
        <v>239</v>
      </c>
      <c r="K1429" s="1">
        <v>3</v>
      </c>
      <c r="L1429" s="1">
        <v>1</v>
      </c>
      <c r="S1429" s="1" t="s">
        <v>10083</v>
      </c>
      <c r="T1429">
        <v>1</v>
      </c>
      <c r="U1429" s="19"/>
      <c r="V1429" s="19"/>
      <c r="W1429" s="218">
        <v>1</v>
      </c>
      <c r="X1429" s="218">
        <v>1</v>
      </c>
      <c r="Y1429" s="218">
        <v>1</v>
      </c>
    </row>
    <row r="1430" spans="1:25" ht="14.4" x14ac:dyDescent="0.3">
      <c r="A1430" s="1" t="s">
        <v>4017</v>
      </c>
      <c r="B1430" s="102">
        <v>46151</v>
      </c>
      <c r="C1430" s="6">
        <v>0.9375</v>
      </c>
      <c r="D1430" s="1" t="s">
        <v>39</v>
      </c>
      <c r="E1430" s="1" t="s">
        <v>3661</v>
      </c>
      <c r="F1430" s="1" t="s">
        <v>4018</v>
      </c>
      <c r="G1430" s="39" t="s">
        <v>245</v>
      </c>
      <c r="H1430" s="1">
        <v>6</v>
      </c>
      <c r="I1430" s="1">
        <v>0</v>
      </c>
      <c r="J1430" s="39" t="s">
        <v>3746</v>
      </c>
      <c r="K1430" s="1">
        <v>0</v>
      </c>
      <c r="L1430" s="1">
        <v>6</v>
      </c>
      <c r="S1430" s="1" t="s">
        <v>10084</v>
      </c>
      <c r="T1430">
        <v>1</v>
      </c>
      <c r="U1430" s="19"/>
      <c r="V1430" s="19"/>
      <c r="W1430" s="218">
        <v>1</v>
      </c>
      <c r="X1430" s="218">
        <v>1</v>
      </c>
      <c r="Y1430" s="218">
        <v>1</v>
      </c>
    </row>
    <row r="1431" spans="1:25" ht="14.4" x14ac:dyDescent="0.3">
      <c r="A1431" s="1" t="s">
        <v>4019</v>
      </c>
      <c r="B1431" s="102">
        <v>46144</v>
      </c>
      <c r="C1431" s="6">
        <v>0.6875</v>
      </c>
      <c r="D1431" s="1" t="s">
        <v>39</v>
      </c>
      <c r="E1431" s="1" t="s">
        <v>3661</v>
      </c>
      <c r="F1431" s="1" t="s">
        <v>4020</v>
      </c>
      <c r="G1431" s="39" t="s">
        <v>3823</v>
      </c>
      <c r="H1431" s="1">
        <v>2</v>
      </c>
      <c r="I1431" s="1">
        <v>0</v>
      </c>
      <c r="J1431" s="39" t="s">
        <v>245</v>
      </c>
      <c r="K1431" s="1">
        <v>0</v>
      </c>
      <c r="L1431" s="1">
        <v>2</v>
      </c>
      <c r="S1431" s="1" t="s">
        <v>10085</v>
      </c>
      <c r="T1431">
        <v>1</v>
      </c>
      <c r="U1431" s="19"/>
      <c r="V1431" s="19"/>
      <c r="W1431" s="218">
        <v>1</v>
      </c>
      <c r="X1431" s="218">
        <v>1</v>
      </c>
      <c r="Y1431" s="218">
        <v>1</v>
      </c>
    </row>
    <row r="1432" spans="1:25" ht="14.4" x14ac:dyDescent="0.3">
      <c r="A1432" s="1" t="s">
        <v>4021</v>
      </c>
      <c r="B1432" s="102">
        <v>46137</v>
      </c>
      <c r="C1432" s="6">
        <v>0.89583333333333304</v>
      </c>
      <c r="D1432" s="1" t="s">
        <v>39</v>
      </c>
      <c r="E1432" s="1" t="s">
        <v>3661</v>
      </c>
      <c r="F1432" s="1" t="s">
        <v>4022</v>
      </c>
      <c r="G1432" s="39" t="s">
        <v>3761</v>
      </c>
      <c r="H1432" s="1">
        <v>1</v>
      </c>
      <c r="I1432" s="1">
        <v>2</v>
      </c>
      <c r="J1432" s="39" t="s">
        <v>245</v>
      </c>
      <c r="K1432" s="1">
        <v>2</v>
      </c>
      <c r="L1432" s="1">
        <v>1</v>
      </c>
      <c r="S1432" s="1" t="s">
        <v>10086</v>
      </c>
      <c r="T1432">
        <v>1</v>
      </c>
      <c r="U1432" s="19"/>
      <c r="V1432" s="19"/>
      <c r="W1432" s="218">
        <v>1</v>
      </c>
      <c r="X1432" s="218">
        <v>1</v>
      </c>
      <c r="Y1432" s="218">
        <v>1</v>
      </c>
    </row>
    <row r="1433" spans="1:25" ht="14.4" x14ac:dyDescent="0.3">
      <c r="A1433" s="1" t="s">
        <v>4023</v>
      </c>
      <c r="B1433" s="102">
        <v>46123</v>
      </c>
      <c r="C1433" s="6">
        <v>0.6875</v>
      </c>
      <c r="D1433" s="1" t="s">
        <v>39</v>
      </c>
      <c r="E1433" s="1" t="s">
        <v>3661</v>
      </c>
      <c r="F1433" s="1" t="s">
        <v>4024</v>
      </c>
      <c r="G1433" s="39" t="s">
        <v>245</v>
      </c>
      <c r="H1433" s="1">
        <v>2</v>
      </c>
      <c r="I1433" s="1">
        <v>1</v>
      </c>
      <c r="J1433" s="39" t="s">
        <v>3837</v>
      </c>
      <c r="K1433" s="1">
        <v>1</v>
      </c>
      <c r="L1433" s="1">
        <v>2</v>
      </c>
      <c r="S1433" s="1" t="s">
        <v>10087</v>
      </c>
      <c r="T1433">
        <v>1</v>
      </c>
      <c r="U1433" s="19"/>
      <c r="V1433" s="19"/>
      <c r="W1433" s="218">
        <v>1</v>
      </c>
      <c r="X1433" s="218">
        <v>0</v>
      </c>
      <c r="Y1433" s="218">
        <v>1</v>
      </c>
    </row>
    <row r="1434" spans="1:25" ht="14.4" x14ac:dyDescent="0.3">
      <c r="A1434" s="1" t="s">
        <v>4025</v>
      </c>
      <c r="B1434" s="102">
        <v>46235</v>
      </c>
      <c r="C1434" s="6">
        <v>0.89583333333333304</v>
      </c>
      <c r="D1434" s="1" t="s">
        <v>39</v>
      </c>
      <c r="E1434" s="1" t="s">
        <v>3661</v>
      </c>
      <c r="F1434" s="1" t="s">
        <v>4026</v>
      </c>
      <c r="G1434" s="39" t="s">
        <v>3795</v>
      </c>
      <c r="H1434" s="1">
        <v>1</v>
      </c>
      <c r="I1434" s="1">
        <v>1</v>
      </c>
      <c r="J1434" s="39" t="s">
        <v>3823</v>
      </c>
      <c r="K1434" s="1">
        <v>1</v>
      </c>
      <c r="L1434" s="1">
        <v>1</v>
      </c>
      <c r="S1434" s="1" t="s">
        <v>10088</v>
      </c>
      <c r="T1434">
        <v>1</v>
      </c>
      <c r="U1434" s="19"/>
      <c r="V1434" s="19"/>
      <c r="W1434" s="218">
        <v>1</v>
      </c>
      <c r="X1434" s="218">
        <v>1</v>
      </c>
      <c r="Y1434" s="218">
        <v>1</v>
      </c>
    </row>
    <row r="1435" spans="1:25" ht="14.4" x14ac:dyDescent="0.3">
      <c r="A1435" s="1" t="s">
        <v>4027</v>
      </c>
      <c r="B1435" s="102">
        <v>46130</v>
      </c>
      <c r="C1435" s="6">
        <v>0.9375</v>
      </c>
      <c r="D1435" s="1" t="s">
        <v>39</v>
      </c>
      <c r="E1435" s="1" t="s">
        <v>3661</v>
      </c>
      <c r="F1435" s="1" t="s">
        <v>4028</v>
      </c>
      <c r="G1435" s="39" t="s">
        <v>3823</v>
      </c>
      <c r="H1435" s="1">
        <v>4</v>
      </c>
      <c r="I1435" s="1">
        <v>2</v>
      </c>
      <c r="J1435" s="39" t="s">
        <v>3761</v>
      </c>
      <c r="K1435" s="1">
        <v>2</v>
      </c>
      <c r="L1435" s="1">
        <v>4</v>
      </c>
      <c r="S1435" s="1" t="s">
        <v>10089</v>
      </c>
      <c r="T1435">
        <v>1</v>
      </c>
      <c r="U1435" s="19"/>
      <c r="V1435" s="19"/>
      <c r="W1435" s="218">
        <v>1</v>
      </c>
      <c r="X1435" s="218">
        <v>1</v>
      </c>
      <c r="Y1435" s="218">
        <v>1</v>
      </c>
    </row>
    <row r="1436" spans="1:25" ht="14.4" x14ac:dyDescent="0.3">
      <c r="A1436" s="1" t="s">
        <v>4029</v>
      </c>
      <c r="B1436" s="102">
        <v>46116</v>
      </c>
      <c r="C1436" s="6">
        <v>0.9375</v>
      </c>
      <c r="D1436" s="1" t="s">
        <v>39</v>
      </c>
      <c r="E1436" s="1" t="s">
        <v>3661</v>
      </c>
      <c r="F1436" s="1" t="s">
        <v>4030</v>
      </c>
      <c r="G1436" s="39" t="s">
        <v>3823</v>
      </c>
      <c r="H1436" s="1">
        <v>3</v>
      </c>
      <c r="I1436" s="1">
        <v>1</v>
      </c>
      <c r="J1436" s="39" t="s">
        <v>3746</v>
      </c>
      <c r="K1436" s="1">
        <v>1</v>
      </c>
      <c r="L1436" s="1">
        <v>3</v>
      </c>
      <c r="S1436" s="1" t="s">
        <v>10090</v>
      </c>
      <c r="T1436">
        <v>1</v>
      </c>
      <c r="U1436" s="19"/>
      <c r="V1436" s="19"/>
      <c r="W1436" s="218">
        <v>1</v>
      </c>
      <c r="X1436" s="218">
        <v>0</v>
      </c>
      <c r="Y1436" s="218">
        <v>1</v>
      </c>
    </row>
    <row r="1437" spans="1:25" ht="14.4" x14ac:dyDescent="0.3">
      <c r="A1437" s="1" t="s">
        <v>4031</v>
      </c>
      <c r="B1437" s="102">
        <v>46165</v>
      </c>
      <c r="C1437" s="6">
        <v>0.97916666666666696</v>
      </c>
      <c r="D1437" s="1" t="s">
        <v>39</v>
      </c>
      <c r="E1437" s="1" t="s">
        <v>3661</v>
      </c>
      <c r="F1437" s="1" t="s">
        <v>4032</v>
      </c>
      <c r="G1437" s="39" t="s">
        <v>3761</v>
      </c>
      <c r="H1437" s="1">
        <v>2</v>
      </c>
      <c r="I1437" s="1">
        <v>4</v>
      </c>
      <c r="J1437" s="39" t="s">
        <v>3764</v>
      </c>
      <c r="K1437" s="1">
        <v>4</v>
      </c>
      <c r="L1437" s="1">
        <v>2</v>
      </c>
      <c r="S1437" s="1" t="s">
        <v>10091</v>
      </c>
      <c r="T1437">
        <v>1</v>
      </c>
      <c r="U1437" s="19"/>
      <c r="V1437" s="19"/>
      <c r="W1437" s="218">
        <v>1</v>
      </c>
      <c r="X1437" s="218">
        <v>1</v>
      </c>
      <c r="Y1437" s="218">
        <v>1</v>
      </c>
    </row>
    <row r="1438" spans="1:25" ht="14.4" x14ac:dyDescent="0.3">
      <c r="A1438" s="1" t="s">
        <v>4033</v>
      </c>
      <c r="B1438" s="102">
        <v>46151</v>
      </c>
      <c r="C1438" s="6">
        <v>0.97916666666666696</v>
      </c>
      <c r="D1438" s="1" t="s">
        <v>39</v>
      </c>
      <c r="E1438" s="1" t="s">
        <v>3661</v>
      </c>
      <c r="F1438" s="1" t="s">
        <v>4034</v>
      </c>
      <c r="G1438" s="39" t="s">
        <v>3886</v>
      </c>
      <c r="H1438" s="1">
        <v>1</v>
      </c>
      <c r="I1438" s="1">
        <v>1</v>
      </c>
      <c r="J1438" s="39" t="s">
        <v>3761</v>
      </c>
      <c r="K1438" s="1">
        <v>1</v>
      </c>
      <c r="L1438" s="1">
        <v>1</v>
      </c>
      <c r="S1438" s="1" t="s">
        <v>10092</v>
      </c>
      <c r="T1438">
        <v>1</v>
      </c>
      <c r="U1438" s="19"/>
      <c r="V1438" s="19"/>
      <c r="W1438" s="218">
        <v>1</v>
      </c>
      <c r="X1438" s="218">
        <v>1</v>
      </c>
      <c r="Y1438" s="218">
        <v>1</v>
      </c>
    </row>
    <row r="1439" spans="1:25" ht="14.4" x14ac:dyDescent="0.3">
      <c r="A1439" s="1" t="s">
        <v>4035</v>
      </c>
      <c r="B1439" s="102">
        <v>46155</v>
      </c>
      <c r="C1439" s="6">
        <v>0.9375</v>
      </c>
      <c r="D1439" s="1" t="s">
        <v>39</v>
      </c>
      <c r="E1439" s="1" t="s">
        <v>3661</v>
      </c>
      <c r="F1439" s="1" t="s">
        <v>4036</v>
      </c>
      <c r="G1439" s="39" t="s">
        <v>3886</v>
      </c>
      <c r="H1439" s="1">
        <v>3</v>
      </c>
      <c r="I1439" s="1">
        <v>2</v>
      </c>
      <c r="J1439" s="39" t="s">
        <v>239</v>
      </c>
      <c r="K1439" s="1">
        <v>2</v>
      </c>
      <c r="L1439" s="1">
        <v>3</v>
      </c>
      <c r="S1439" s="1" t="s">
        <v>10093</v>
      </c>
      <c r="T1439">
        <v>1</v>
      </c>
      <c r="U1439" s="19"/>
      <c r="V1439" s="19"/>
      <c r="W1439" s="218">
        <v>1</v>
      </c>
      <c r="X1439" s="218">
        <v>1</v>
      </c>
      <c r="Y1439" s="218">
        <v>1</v>
      </c>
    </row>
    <row r="1440" spans="1:25" ht="14.4" x14ac:dyDescent="0.3">
      <c r="A1440" s="1" t="s">
        <v>4037</v>
      </c>
      <c r="B1440" s="102">
        <v>46151</v>
      </c>
      <c r="C1440" s="6">
        <v>0.97916666666666696</v>
      </c>
      <c r="D1440" s="1" t="s">
        <v>39</v>
      </c>
      <c r="E1440" s="1" t="s">
        <v>3661</v>
      </c>
      <c r="F1440" s="1" t="s">
        <v>4038</v>
      </c>
      <c r="G1440" s="39" t="s">
        <v>239</v>
      </c>
      <c r="H1440" s="1">
        <v>1</v>
      </c>
      <c r="I1440" s="1">
        <v>1</v>
      </c>
      <c r="J1440" s="39" t="s">
        <v>3764</v>
      </c>
      <c r="K1440" s="1">
        <v>1</v>
      </c>
      <c r="L1440" s="1">
        <v>1</v>
      </c>
      <c r="S1440" s="1" t="s">
        <v>10094</v>
      </c>
      <c r="T1440">
        <v>1</v>
      </c>
      <c r="U1440" s="19"/>
      <c r="V1440" s="19"/>
      <c r="W1440" s="218">
        <v>1</v>
      </c>
      <c r="X1440" s="218">
        <v>1</v>
      </c>
      <c r="Y1440" s="218">
        <v>1</v>
      </c>
    </row>
    <row r="1441" spans="1:25" ht="14.4" x14ac:dyDescent="0.3">
      <c r="A1441" s="1" t="s">
        <v>4039</v>
      </c>
      <c r="B1441" s="102">
        <v>46137</v>
      </c>
      <c r="C1441" s="6">
        <v>0.85416666666666696</v>
      </c>
      <c r="D1441" s="1" t="s">
        <v>39</v>
      </c>
      <c r="E1441" s="1" t="s">
        <v>3661</v>
      </c>
      <c r="F1441" s="1" t="s">
        <v>4040</v>
      </c>
      <c r="G1441" s="39" t="s">
        <v>3795</v>
      </c>
      <c r="H1441" s="1">
        <v>2</v>
      </c>
      <c r="I1441" s="1">
        <v>3</v>
      </c>
      <c r="J1441" s="39" t="s">
        <v>239</v>
      </c>
      <c r="K1441" s="1">
        <v>3</v>
      </c>
      <c r="L1441" s="1">
        <v>2</v>
      </c>
      <c r="S1441" s="1" t="s">
        <v>10095</v>
      </c>
      <c r="T1441">
        <v>1</v>
      </c>
      <c r="U1441" s="19"/>
      <c r="V1441" s="19"/>
      <c r="W1441" s="218">
        <v>1</v>
      </c>
      <c r="X1441" s="218">
        <v>1</v>
      </c>
      <c r="Y1441" s="218">
        <v>1</v>
      </c>
    </row>
    <row r="1442" spans="1:25" ht="14.4" x14ac:dyDescent="0.3">
      <c r="A1442" s="1" t="s">
        <v>4041</v>
      </c>
      <c r="B1442" s="102">
        <v>46123</v>
      </c>
      <c r="C1442" s="6">
        <v>0.85416666666666696</v>
      </c>
      <c r="D1442" s="1" t="s">
        <v>39</v>
      </c>
      <c r="E1442" s="1" t="s">
        <v>3661</v>
      </c>
      <c r="F1442" s="1" t="s">
        <v>4042</v>
      </c>
      <c r="G1442" s="39" t="s">
        <v>3746</v>
      </c>
      <c r="H1442" s="1">
        <v>1</v>
      </c>
      <c r="I1442" s="1">
        <v>3</v>
      </c>
      <c r="J1442" s="39" t="s">
        <v>239</v>
      </c>
      <c r="K1442" s="1">
        <v>3</v>
      </c>
      <c r="L1442" s="1">
        <v>1</v>
      </c>
      <c r="S1442" s="1" t="s">
        <v>10096</v>
      </c>
      <c r="T1442">
        <v>1</v>
      </c>
      <c r="U1442" s="19"/>
      <c r="V1442" s="19"/>
      <c r="W1442" s="218">
        <v>1</v>
      </c>
      <c r="X1442" s="218">
        <v>1</v>
      </c>
      <c r="Y1442" s="218">
        <v>1</v>
      </c>
    </row>
    <row r="1443" spans="1:25" ht="14.4" x14ac:dyDescent="0.3">
      <c r="A1443" s="1" t="s">
        <v>4043</v>
      </c>
      <c r="B1443" s="102">
        <v>46144</v>
      </c>
      <c r="C1443" s="6">
        <v>0.89583333333333304</v>
      </c>
      <c r="D1443" s="1" t="s">
        <v>39</v>
      </c>
      <c r="E1443" s="1" t="s">
        <v>3661</v>
      </c>
      <c r="F1443" s="1" t="s">
        <v>4044</v>
      </c>
      <c r="G1443" s="39" t="s">
        <v>3746</v>
      </c>
      <c r="H1443" s="1">
        <v>1</v>
      </c>
      <c r="I1443" s="1">
        <v>1</v>
      </c>
      <c r="J1443" s="39" t="s">
        <v>3886</v>
      </c>
      <c r="K1443" s="1">
        <v>1</v>
      </c>
      <c r="L1443" s="1">
        <v>1</v>
      </c>
      <c r="S1443" s="1" t="s">
        <v>10097</v>
      </c>
      <c r="T1443">
        <v>1</v>
      </c>
      <c r="U1443" s="19"/>
      <c r="V1443" s="19"/>
      <c r="W1443" s="218">
        <v>1</v>
      </c>
      <c r="X1443" s="218">
        <v>1</v>
      </c>
      <c r="Y1443" s="218">
        <v>1</v>
      </c>
    </row>
    <row r="1444" spans="1:25" ht="14.4" x14ac:dyDescent="0.3">
      <c r="A1444" s="1" t="s">
        <v>4045</v>
      </c>
      <c r="B1444" s="102">
        <v>46130</v>
      </c>
      <c r="C1444" s="6">
        <v>0.97916666666666696</v>
      </c>
      <c r="D1444" s="1" t="s">
        <v>39</v>
      </c>
      <c r="E1444" s="1" t="s">
        <v>3661</v>
      </c>
      <c r="F1444" s="1" t="s">
        <v>4046</v>
      </c>
      <c r="G1444" s="39" t="s">
        <v>3886</v>
      </c>
      <c r="H1444" s="1">
        <v>4</v>
      </c>
      <c r="I1444" s="1">
        <v>1</v>
      </c>
      <c r="J1444" s="39" t="s">
        <v>3795</v>
      </c>
      <c r="K1444" s="1">
        <v>1</v>
      </c>
      <c r="L1444" s="1">
        <v>4</v>
      </c>
      <c r="S1444" s="1" t="s">
        <v>10098</v>
      </c>
      <c r="T1444">
        <v>1</v>
      </c>
      <c r="U1444" s="19"/>
      <c r="V1444" s="19"/>
      <c r="W1444" s="218">
        <v>1</v>
      </c>
      <c r="X1444" s="218">
        <v>1</v>
      </c>
      <c r="Y1444" s="218">
        <v>1</v>
      </c>
    </row>
    <row r="1445" spans="1:25" ht="14.4" x14ac:dyDescent="0.3">
      <c r="A1445" s="1" t="s">
        <v>4047</v>
      </c>
      <c r="B1445" s="102">
        <v>46116</v>
      </c>
      <c r="C1445" s="6">
        <v>0.89583333333333304</v>
      </c>
      <c r="D1445" s="1" t="s">
        <v>39</v>
      </c>
      <c r="E1445" s="1" t="s">
        <v>3661</v>
      </c>
      <c r="F1445" s="1" t="s">
        <v>4048</v>
      </c>
      <c r="G1445" s="39" t="s">
        <v>3790</v>
      </c>
      <c r="H1445" s="1">
        <v>0</v>
      </c>
      <c r="I1445" s="1">
        <v>1</v>
      </c>
      <c r="J1445" s="39" t="s">
        <v>3886</v>
      </c>
      <c r="K1445" s="1">
        <v>1</v>
      </c>
      <c r="L1445" s="1">
        <v>0</v>
      </c>
      <c r="S1445" s="1" t="s">
        <v>10099</v>
      </c>
      <c r="T1445">
        <v>1</v>
      </c>
      <c r="U1445" s="19"/>
      <c r="V1445" s="19"/>
      <c r="W1445" s="218">
        <v>0</v>
      </c>
      <c r="X1445" s="218">
        <v>1</v>
      </c>
      <c r="Y1445" s="218">
        <v>1</v>
      </c>
    </row>
    <row r="1446" spans="1:25" ht="14.4" x14ac:dyDescent="0.3">
      <c r="A1446" s="1" t="s">
        <v>4049</v>
      </c>
      <c r="B1446" s="102">
        <v>46219</v>
      </c>
      <c r="C1446" s="6">
        <v>0.89583333333333304</v>
      </c>
      <c r="D1446" s="1" t="s">
        <v>39</v>
      </c>
      <c r="E1446" s="1" t="s">
        <v>3661</v>
      </c>
      <c r="F1446" s="1" t="s">
        <v>4050</v>
      </c>
      <c r="G1446" s="39" t="s">
        <v>3795</v>
      </c>
      <c r="H1446" s="1">
        <v>3</v>
      </c>
      <c r="I1446" s="1">
        <v>2</v>
      </c>
      <c r="J1446" s="39" t="s">
        <v>3746</v>
      </c>
      <c r="K1446" s="1">
        <v>2</v>
      </c>
      <c r="L1446" s="1">
        <v>3</v>
      </c>
      <c r="S1446" s="1" t="s">
        <v>10100</v>
      </c>
      <c r="T1446">
        <v>1</v>
      </c>
      <c r="U1446" s="19"/>
      <c r="V1446" s="19"/>
      <c r="W1446" s="218">
        <v>1</v>
      </c>
      <c r="X1446" s="218">
        <v>1</v>
      </c>
      <c r="Y1446" s="218">
        <v>1</v>
      </c>
    </row>
    <row r="1447" spans="1:25" ht="14.4" x14ac:dyDescent="0.3">
      <c r="A1447" s="1" t="s">
        <v>4051</v>
      </c>
      <c r="B1447" s="102">
        <v>46129</v>
      </c>
      <c r="C1447" s="6">
        <v>0.97916666666666696</v>
      </c>
      <c r="D1447" s="1" t="s">
        <v>39</v>
      </c>
      <c r="E1447" s="1" t="s">
        <v>3661</v>
      </c>
      <c r="F1447" s="1" t="s">
        <v>4052</v>
      </c>
      <c r="G1447" s="39" t="s">
        <v>3764</v>
      </c>
      <c r="H1447" s="1">
        <v>3</v>
      </c>
      <c r="I1447" s="1">
        <v>0</v>
      </c>
      <c r="J1447" s="39" t="s">
        <v>3746</v>
      </c>
      <c r="K1447" s="1">
        <v>0</v>
      </c>
      <c r="L1447" s="1">
        <v>3</v>
      </c>
      <c r="S1447" s="1" t="s">
        <v>10101</v>
      </c>
      <c r="T1447">
        <v>1</v>
      </c>
      <c r="U1447" s="19"/>
      <c r="V1447" s="19"/>
      <c r="W1447" s="218">
        <v>1</v>
      </c>
      <c r="X1447" s="218">
        <v>1</v>
      </c>
      <c r="Y1447" s="218">
        <v>1</v>
      </c>
    </row>
    <row r="1448" spans="1:25" ht="14.4" x14ac:dyDescent="0.3">
      <c r="A1448" s="1" t="s">
        <v>4053</v>
      </c>
      <c r="B1448" s="102">
        <v>46116</v>
      </c>
      <c r="C1448" s="6">
        <v>0.97916666666666696</v>
      </c>
      <c r="D1448" s="1" t="s">
        <v>39</v>
      </c>
      <c r="E1448" s="1" t="s">
        <v>3661</v>
      </c>
      <c r="F1448" s="1" t="s">
        <v>4054</v>
      </c>
      <c r="G1448" s="39" t="s">
        <v>3764</v>
      </c>
      <c r="H1448" s="1">
        <v>3</v>
      </c>
      <c r="I1448" s="1">
        <v>2</v>
      </c>
      <c r="J1448" s="39" t="s">
        <v>245</v>
      </c>
      <c r="K1448" s="1">
        <v>2</v>
      </c>
      <c r="L1448" s="1">
        <v>3</v>
      </c>
      <c r="S1448" s="1" t="s">
        <v>10102</v>
      </c>
      <c r="T1448">
        <v>1</v>
      </c>
      <c r="U1448" s="19"/>
      <c r="V1448" s="19"/>
      <c r="W1448" s="218">
        <v>1</v>
      </c>
      <c r="X1448" s="218">
        <v>0</v>
      </c>
      <c r="Y1448" s="218">
        <v>1</v>
      </c>
    </row>
    <row r="1449" spans="1:25" ht="14.4" x14ac:dyDescent="0.3">
      <c r="A1449" s="1" t="s">
        <v>3744</v>
      </c>
      <c r="B1449" s="102">
        <v>46137</v>
      </c>
      <c r="C1449" s="6">
        <v>0.89583333333333304</v>
      </c>
      <c r="D1449" s="1" t="s">
        <v>39</v>
      </c>
      <c r="E1449" s="1" t="s">
        <v>3660</v>
      </c>
      <c r="F1449" s="1" t="s">
        <v>3745</v>
      </c>
      <c r="G1449" s="39" t="s">
        <v>3668</v>
      </c>
      <c r="H1449" s="1">
        <v>5</v>
      </c>
      <c r="I1449" s="1">
        <v>0</v>
      </c>
      <c r="J1449" s="39" t="s">
        <v>3746</v>
      </c>
      <c r="K1449" s="1">
        <v>0</v>
      </c>
      <c r="L1449" s="1">
        <v>5</v>
      </c>
      <c r="S1449" s="1" t="s">
        <v>10103</v>
      </c>
      <c r="T1449">
        <v>1</v>
      </c>
      <c r="U1449" s="19"/>
      <c r="V1449" s="19"/>
      <c r="W1449" s="218">
        <v>1</v>
      </c>
      <c r="X1449" s="218">
        <v>1</v>
      </c>
      <c r="Y1449" s="218">
        <v>1</v>
      </c>
    </row>
    <row r="1450" spans="1:25" ht="14.4" x14ac:dyDescent="0.3">
      <c r="A1450" s="1" t="s">
        <v>3696</v>
      </c>
      <c r="B1450" s="102">
        <v>46151</v>
      </c>
      <c r="C1450" s="6">
        <v>0.85416666666666696</v>
      </c>
      <c r="D1450" s="1" t="s">
        <v>39</v>
      </c>
      <c r="E1450" s="1" t="s">
        <v>3660</v>
      </c>
      <c r="F1450" s="1" t="s">
        <v>3697</v>
      </c>
      <c r="G1450" s="39" t="s">
        <v>3669</v>
      </c>
      <c r="H1450" s="1">
        <v>1</v>
      </c>
      <c r="I1450" s="1">
        <v>2</v>
      </c>
      <c r="J1450" s="39" t="s">
        <v>3698</v>
      </c>
      <c r="K1450" s="1">
        <v>2</v>
      </c>
      <c r="L1450" s="1">
        <v>1</v>
      </c>
      <c r="S1450" s="1" t="s">
        <v>10104</v>
      </c>
      <c r="T1450">
        <v>1</v>
      </c>
      <c r="U1450" s="19"/>
      <c r="V1450" s="19"/>
      <c r="W1450" s="218">
        <v>1</v>
      </c>
      <c r="X1450" s="218">
        <v>1</v>
      </c>
      <c r="Y1450" s="218">
        <v>1</v>
      </c>
    </row>
    <row r="1451" spans="1:25" ht="14.4" x14ac:dyDescent="0.3">
      <c r="A1451" s="1" t="s">
        <v>3759</v>
      </c>
      <c r="B1451" s="102">
        <v>46158</v>
      </c>
      <c r="C1451" s="6">
        <v>0.9375</v>
      </c>
      <c r="D1451" s="1" t="s">
        <v>39</v>
      </c>
      <c r="E1451" s="1" t="s">
        <v>3660</v>
      </c>
      <c r="F1451" s="1" t="s">
        <v>3760</v>
      </c>
      <c r="G1451" s="39" t="s">
        <v>3761</v>
      </c>
      <c r="H1451" s="1">
        <v>3</v>
      </c>
      <c r="I1451" s="1">
        <v>3</v>
      </c>
      <c r="J1451" s="39" t="s">
        <v>238</v>
      </c>
      <c r="K1451" s="1">
        <v>3</v>
      </c>
      <c r="L1451" s="1">
        <v>3</v>
      </c>
      <c r="S1451" s="1" t="s">
        <v>10105</v>
      </c>
      <c r="T1451">
        <v>1</v>
      </c>
      <c r="U1451" s="19"/>
      <c r="V1451" s="19"/>
      <c r="W1451" s="218">
        <v>1</v>
      </c>
      <c r="X1451" s="218">
        <v>1</v>
      </c>
      <c r="Y1451" s="218">
        <v>1</v>
      </c>
    </row>
    <row r="1452" spans="1:25" ht="14.4" x14ac:dyDescent="0.3">
      <c r="A1452" s="1" t="s">
        <v>3762</v>
      </c>
      <c r="B1452" s="102">
        <v>46225</v>
      </c>
      <c r="C1452" s="6">
        <v>0.85416666666666696</v>
      </c>
      <c r="D1452" s="1" t="s">
        <v>39</v>
      </c>
      <c r="E1452" s="1" t="s">
        <v>3660</v>
      </c>
      <c r="F1452" s="1" t="s">
        <v>3763</v>
      </c>
      <c r="G1452" s="39" t="s">
        <v>238</v>
      </c>
      <c r="H1452" s="1">
        <v>4</v>
      </c>
      <c r="I1452" s="1">
        <v>3</v>
      </c>
      <c r="J1452" s="39" t="s">
        <v>3764</v>
      </c>
      <c r="K1452" s="1">
        <v>3</v>
      </c>
      <c r="L1452" s="1">
        <v>4</v>
      </c>
      <c r="S1452" s="1" t="s">
        <v>10106</v>
      </c>
      <c r="T1452">
        <v>1</v>
      </c>
      <c r="U1452" s="19"/>
      <c r="V1452" s="19"/>
      <c r="W1452" s="218">
        <v>1</v>
      </c>
      <c r="X1452" s="218">
        <v>1</v>
      </c>
      <c r="Y1452" s="218">
        <v>1</v>
      </c>
    </row>
    <row r="1453" spans="1:25" ht="14.4" x14ac:dyDescent="0.3">
      <c r="A1453" s="1" t="s">
        <v>3773</v>
      </c>
      <c r="B1453" s="102">
        <v>46144</v>
      </c>
      <c r="C1453" s="6">
        <v>0.85416666666666696</v>
      </c>
      <c r="D1453" s="1" t="s">
        <v>39</v>
      </c>
      <c r="E1453" s="1" t="s">
        <v>3660</v>
      </c>
      <c r="F1453" s="1" t="s">
        <v>3774</v>
      </c>
      <c r="G1453" s="39" t="s">
        <v>235</v>
      </c>
      <c r="H1453" s="1">
        <v>2</v>
      </c>
      <c r="I1453" s="1">
        <v>3</v>
      </c>
      <c r="J1453" s="39" t="s">
        <v>3775</v>
      </c>
      <c r="K1453" s="1">
        <v>3</v>
      </c>
      <c r="L1453" s="1">
        <v>2</v>
      </c>
      <c r="S1453" s="1" t="s">
        <v>10107</v>
      </c>
      <c r="T1453">
        <v>1</v>
      </c>
      <c r="U1453" s="19"/>
      <c r="V1453" s="19"/>
      <c r="W1453" s="218">
        <v>1</v>
      </c>
      <c r="X1453" s="218">
        <v>1</v>
      </c>
      <c r="Y1453" s="218">
        <v>1</v>
      </c>
    </row>
    <row r="1454" spans="1:25" ht="14.4" x14ac:dyDescent="0.3">
      <c r="A1454" s="1" t="s">
        <v>3778</v>
      </c>
      <c r="B1454" s="102">
        <v>46134</v>
      </c>
      <c r="C1454" s="6">
        <v>0.85416666666666696</v>
      </c>
      <c r="D1454" s="1" t="s">
        <v>39</v>
      </c>
      <c r="E1454" s="1" t="s">
        <v>3660</v>
      </c>
      <c r="F1454" s="1" t="s">
        <v>3779</v>
      </c>
      <c r="G1454" s="39" t="s">
        <v>235</v>
      </c>
      <c r="H1454" s="1">
        <v>2</v>
      </c>
      <c r="I1454" s="1">
        <v>1</v>
      </c>
      <c r="J1454" s="39" t="s">
        <v>3698</v>
      </c>
      <c r="K1454" s="1">
        <v>1</v>
      </c>
      <c r="L1454" s="1">
        <v>2</v>
      </c>
      <c r="S1454" s="1" t="s">
        <v>10108</v>
      </c>
      <c r="T1454">
        <v>1</v>
      </c>
      <c r="U1454" s="19"/>
      <c r="V1454" s="19"/>
      <c r="W1454" s="218">
        <v>1</v>
      </c>
      <c r="X1454" s="218">
        <v>1</v>
      </c>
      <c r="Y1454" s="218">
        <v>1</v>
      </c>
    </row>
    <row r="1455" spans="1:25" ht="14.4" x14ac:dyDescent="0.3">
      <c r="A1455" s="1" t="s">
        <v>3788</v>
      </c>
      <c r="B1455" s="102">
        <v>46225</v>
      </c>
      <c r="C1455" s="6">
        <v>0.89583333333333304</v>
      </c>
      <c r="D1455" s="1" t="s">
        <v>39</v>
      </c>
      <c r="E1455" s="1" t="s">
        <v>3660</v>
      </c>
      <c r="F1455" s="1" t="s">
        <v>3789</v>
      </c>
      <c r="G1455" s="39" t="s">
        <v>3790</v>
      </c>
      <c r="H1455" s="1">
        <v>1</v>
      </c>
      <c r="I1455" s="1">
        <v>1</v>
      </c>
      <c r="J1455" s="39" t="s">
        <v>3734</v>
      </c>
      <c r="K1455" s="1">
        <v>1</v>
      </c>
      <c r="L1455" s="1">
        <v>1</v>
      </c>
      <c r="S1455" s="1" t="s">
        <v>10109</v>
      </c>
      <c r="T1455">
        <v>1</v>
      </c>
      <c r="U1455" s="19"/>
      <c r="V1455" s="19"/>
      <c r="W1455" s="218">
        <v>1</v>
      </c>
      <c r="X1455" s="218">
        <v>1</v>
      </c>
      <c r="Y1455" s="218">
        <v>1</v>
      </c>
    </row>
    <row r="1456" spans="1:25" ht="14.4" x14ac:dyDescent="0.3">
      <c r="A1456" s="1" t="s">
        <v>3793</v>
      </c>
      <c r="B1456" s="102">
        <v>46158</v>
      </c>
      <c r="C1456" s="6">
        <v>0.85416666666666696</v>
      </c>
      <c r="D1456" s="1" t="s">
        <v>39</v>
      </c>
      <c r="E1456" s="1" t="s">
        <v>3660</v>
      </c>
      <c r="F1456" s="1" t="s">
        <v>3794</v>
      </c>
      <c r="G1456" s="39" t="s">
        <v>3734</v>
      </c>
      <c r="H1456" s="1">
        <v>1</v>
      </c>
      <c r="I1456" s="1">
        <v>1</v>
      </c>
      <c r="J1456" s="39" t="s">
        <v>3795</v>
      </c>
      <c r="K1456" s="1">
        <v>1</v>
      </c>
      <c r="L1456" s="1">
        <v>1</v>
      </c>
      <c r="S1456" s="1" t="s">
        <v>10110</v>
      </c>
      <c r="T1456">
        <v>1</v>
      </c>
      <c r="U1456" s="19"/>
      <c r="V1456" s="19"/>
      <c r="W1456" s="218">
        <v>1</v>
      </c>
      <c r="X1456" s="218">
        <v>1</v>
      </c>
      <c r="Y1456" s="218">
        <v>1</v>
      </c>
    </row>
    <row r="1457" spans="1:25" ht="14.4" x14ac:dyDescent="0.3">
      <c r="A1457" s="1" t="s">
        <v>3813</v>
      </c>
      <c r="B1457" s="102">
        <v>46159</v>
      </c>
      <c r="C1457" s="6">
        <v>0.79166666666666696</v>
      </c>
      <c r="D1457" s="1" t="s">
        <v>39</v>
      </c>
      <c r="E1457" s="1" t="s">
        <v>3660</v>
      </c>
      <c r="F1457" s="1" t="s">
        <v>3814</v>
      </c>
      <c r="G1457" s="39" t="s">
        <v>3741</v>
      </c>
      <c r="H1457" s="1">
        <v>2</v>
      </c>
      <c r="I1457" s="1">
        <v>0</v>
      </c>
      <c r="J1457" s="39" t="s">
        <v>245</v>
      </c>
      <c r="K1457" s="1">
        <v>0</v>
      </c>
      <c r="L1457" s="1">
        <v>2</v>
      </c>
      <c r="S1457" s="1" t="s">
        <v>10111</v>
      </c>
      <c r="T1457">
        <v>1</v>
      </c>
      <c r="U1457" s="19"/>
      <c r="V1457" s="19"/>
      <c r="W1457" s="218">
        <v>1</v>
      </c>
      <c r="X1457" s="218">
        <v>1</v>
      </c>
      <c r="Y1457" s="218">
        <v>1</v>
      </c>
    </row>
    <row r="1458" spans="1:25" ht="14.4" x14ac:dyDescent="0.3">
      <c r="A1458" s="1" t="s">
        <v>3821</v>
      </c>
      <c r="B1458" s="102">
        <v>46134</v>
      </c>
      <c r="C1458" s="6">
        <v>0.9375</v>
      </c>
      <c r="D1458" s="1" t="s">
        <v>39</v>
      </c>
      <c r="E1458" s="1" t="s">
        <v>3660</v>
      </c>
      <c r="F1458" s="1" t="s">
        <v>3822</v>
      </c>
      <c r="G1458" s="39" t="s">
        <v>3823</v>
      </c>
      <c r="H1458" s="1">
        <v>0</v>
      </c>
      <c r="I1458" s="1">
        <v>2</v>
      </c>
      <c r="J1458" s="39" t="s">
        <v>3741</v>
      </c>
      <c r="K1458" s="1">
        <v>2</v>
      </c>
      <c r="L1458" s="1">
        <v>0</v>
      </c>
      <c r="S1458" s="1" t="s">
        <v>10112</v>
      </c>
      <c r="T1458">
        <v>1</v>
      </c>
      <c r="U1458" s="19"/>
      <c r="V1458" s="19"/>
      <c r="W1458" s="218">
        <v>1</v>
      </c>
      <c r="X1458" s="218">
        <v>1</v>
      </c>
      <c r="Y1458" s="218">
        <v>1</v>
      </c>
    </row>
    <row r="1459" spans="1:25" ht="14.4" x14ac:dyDescent="0.3">
      <c r="A1459" s="1" t="s">
        <v>3824</v>
      </c>
      <c r="B1459" s="102">
        <v>46130</v>
      </c>
      <c r="C1459" s="6">
        <v>0.72916666666666696</v>
      </c>
      <c r="D1459" s="1" t="s">
        <v>39</v>
      </c>
      <c r="E1459" s="1" t="s">
        <v>3660</v>
      </c>
      <c r="F1459" s="1" t="s">
        <v>3825</v>
      </c>
      <c r="G1459" s="39" t="s">
        <v>3826</v>
      </c>
      <c r="H1459" s="1">
        <v>2</v>
      </c>
      <c r="I1459" s="1">
        <v>3</v>
      </c>
      <c r="J1459" s="39" t="s">
        <v>3741</v>
      </c>
      <c r="K1459" s="1">
        <v>3</v>
      </c>
      <c r="L1459" s="1">
        <v>2</v>
      </c>
      <c r="S1459" s="1" t="s">
        <v>10113</v>
      </c>
      <c r="T1459">
        <v>1</v>
      </c>
      <c r="U1459" s="19"/>
      <c r="V1459" s="19"/>
      <c r="W1459" s="218">
        <v>1</v>
      </c>
      <c r="X1459" s="218">
        <v>1</v>
      </c>
      <c r="Y1459" s="218">
        <v>1</v>
      </c>
    </row>
    <row r="1460" spans="1:25" ht="14.4" x14ac:dyDescent="0.3">
      <c r="A1460" s="1" t="s">
        <v>3835</v>
      </c>
      <c r="B1460" s="102">
        <v>46159</v>
      </c>
      <c r="C1460" s="6">
        <v>0.875</v>
      </c>
      <c r="D1460" s="1" t="s">
        <v>39</v>
      </c>
      <c r="E1460" s="1" t="s">
        <v>3660</v>
      </c>
      <c r="F1460" s="1" t="s">
        <v>3836</v>
      </c>
      <c r="G1460" s="39" t="s">
        <v>3672</v>
      </c>
      <c r="H1460" s="1">
        <v>3</v>
      </c>
      <c r="I1460" s="1">
        <v>2</v>
      </c>
      <c r="J1460" s="39" t="s">
        <v>3837</v>
      </c>
      <c r="K1460" s="1">
        <v>2</v>
      </c>
      <c r="L1460" s="1">
        <v>3</v>
      </c>
      <c r="S1460" s="1" t="s">
        <v>10114</v>
      </c>
      <c r="T1460">
        <v>1</v>
      </c>
      <c r="U1460" s="19"/>
      <c r="V1460" s="19"/>
      <c r="W1460" s="218">
        <v>1</v>
      </c>
      <c r="X1460" s="218">
        <v>1</v>
      </c>
      <c r="Y1460" s="218">
        <v>1</v>
      </c>
    </row>
    <row r="1461" spans="1:25" ht="14.4" x14ac:dyDescent="0.3">
      <c r="A1461" s="1" t="s">
        <v>3842</v>
      </c>
      <c r="B1461" s="102">
        <v>46242</v>
      </c>
      <c r="C1461" s="6">
        <v>0.72916666666666696</v>
      </c>
      <c r="D1461" s="1" t="s">
        <v>39</v>
      </c>
      <c r="E1461" s="1" t="s">
        <v>3660</v>
      </c>
      <c r="F1461" s="1" t="s">
        <v>3843</v>
      </c>
      <c r="G1461" s="39" t="s">
        <v>3675</v>
      </c>
      <c r="H1461" s="1">
        <v>0</v>
      </c>
      <c r="I1461" s="1">
        <v>2</v>
      </c>
      <c r="J1461" s="39" t="s">
        <v>3790</v>
      </c>
      <c r="K1461" s="1">
        <v>2</v>
      </c>
      <c r="L1461" s="1">
        <v>0</v>
      </c>
      <c r="S1461" s="1" t="s">
        <v>10115</v>
      </c>
      <c r="T1461">
        <v>1</v>
      </c>
      <c r="U1461" s="19"/>
      <c r="V1461" s="19"/>
      <c r="W1461" s="218">
        <v>1</v>
      </c>
      <c r="X1461" s="218">
        <v>1</v>
      </c>
      <c r="Y1461" s="218">
        <v>1</v>
      </c>
    </row>
    <row r="1462" spans="1:25" ht="14.4" x14ac:dyDescent="0.3">
      <c r="A1462" s="1" t="s">
        <v>3848</v>
      </c>
      <c r="B1462" s="102">
        <v>46158</v>
      </c>
      <c r="C1462" s="6">
        <v>0.85416666666666696</v>
      </c>
      <c r="D1462" s="1" t="s">
        <v>39</v>
      </c>
      <c r="E1462" s="1" t="s">
        <v>3660</v>
      </c>
      <c r="F1462" s="1" t="s">
        <v>3849</v>
      </c>
      <c r="G1462" s="39" t="s">
        <v>3675</v>
      </c>
      <c r="H1462" s="1">
        <v>2</v>
      </c>
      <c r="I1462" s="1">
        <v>1</v>
      </c>
      <c r="J1462" s="39" t="s">
        <v>3775</v>
      </c>
      <c r="K1462" s="1">
        <v>1</v>
      </c>
      <c r="L1462" s="1">
        <v>2</v>
      </c>
      <c r="S1462" s="1" t="s">
        <v>10116</v>
      </c>
      <c r="T1462">
        <v>1</v>
      </c>
      <c r="U1462" s="19"/>
      <c r="V1462" s="19"/>
      <c r="W1462" s="218">
        <v>1</v>
      </c>
      <c r="X1462" s="218">
        <v>1</v>
      </c>
      <c r="Y1462" s="218">
        <v>1</v>
      </c>
    </row>
    <row r="1463" spans="1:25" ht="14.4" x14ac:dyDescent="0.3">
      <c r="A1463" s="1" t="s">
        <v>3854</v>
      </c>
      <c r="B1463" s="102">
        <v>46155</v>
      </c>
      <c r="C1463" s="6">
        <v>0.85416666666666696</v>
      </c>
      <c r="D1463" s="1" t="s">
        <v>39</v>
      </c>
      <c r="E1463" s="1" t="s">
        <v>3660</v>
      </c>
      <c r="F1463" s="1" t="s">
        <v>3855</v>
      </c>
      <c r="G1463" s="39" t="s">
        <v>3680</v>
      </c>
      <c r="H1463" s="1">
        <v>2</v>
      </c>
      <c r="I1463" s="1">
        <v>2</v>
      </c>
      <c r="J1463" s="39" t="s">
        <v>245</v>
      </c>
      <c r="K1463" s="1">
        <v>2</v>
      </c>
      <c r="L1463" s="1">
        <v>2</v>
      </c>
      <c r="S1463" s="1" t="s">
        <v>10117</v>
      </c>
      <c r="T1463">
        <v>1</v>
      </c>
      <c r="U1463" s="19"/>
      <c r="V1463" s="19"/>
      <c r="W1463" s="218">
        <v>1</v>
      </c>
      <c r="X1463" s="218">
        <v>1</v>
      </c>
      <c r="Y1463" s="218">
        <v>1</v>
      </c>
    </row>
    <row r="1464" spans="1:25" ht="14.4" x14ac:dyDescent="0.3">
      <c r="A1464" s="1" t="s">
        <v>3867</v>
      </c>
      <c r="B1464" s="102">
        <v>46123</v>
      </c>
      <c r="C1464" s="6">
        <v>0.85416666666666696</v>
      </c>
      <c r="D1464" s="1" t="s">
        <v>39</v>
      </c>
      <c r="E1464" s="1" t="s">
        <v>3660</v>
      </c>
      <c r="F1464" s="1" t="s">
        <v>3868</v>
      </c>
      <c r="G1464" s="39" t="s">
        <v>3764</v>
      </c>
      <c r="H1464" s="1">
        <v>2</v>
      </c>
      <c r="I1464" s="1">
        <v>0</v>
      </c>
      <c r="J1464" s="39" t="s">
        <v>3703</v>
      </c>
      <c r="K1464" s="1">
        <v>0</v>
      </c>
      <c r="L1464" s="1">
        <v>2</v>
      </c>
      <c r="S1464" s="1" t="s">
        <v>10118</v>
      </c>
      <c r="T1464">
        <v>1</v>
      </c>
      <c r="U1464" s="19"/>
      <c r="V1464" s="19"/>
      <c r="W1464" s="218">
        <v>1</v>
      </c>
      <c r="X1464" s="218">
        <v>1</v>
      </c>
      <c r="Y1464" s="218">
        <v>1</v>
      </c>
    </row>
    <row r="1465" spans="1:25" ht="14.4" x14ac:dyDescent="0.3">
      <c r="A1465" s="1" t="s">
        <v>3873</v>
      </c>
      <c r="B1465" s="102">
        <v>46165</v>
      </c>
      <c r="C1465" s="6">
        <v>0.89583333333333304</v>
      </c>
      <c r="D1465" s="1" t="s">
        <v>39</v>
      </c>
      <c r="E1465" s="1" t="s">
        <v>3660</v>
      </c>
      <c r="F1465" s="1" t="s">
        <v>3874</v>
      </c>
      <c r="G1465" s="39" t="s">
        <v>3746</v>
      </c>
      <c r="H1465" s="1">
        <v>1</v>
      </c>
      <c r="I1465" s="1">
        <v>2</v>
      </c>
      <c r="J1465" s="39" t="s">
        <v>3720</v>
      </c>
      <c r="K1465" s="1">
        <v>2</v>
      </c>
      <c r="L1465" s="1">
        <v>1</v>
      </c>
      <c r="S1465" s="1" t="s">
        <v>10119</v>
      </c>
      <c r="T1465">
        <v>1</v>
      </c>
      <c r="U1465" s="19"/>
      <c r="V1465" s="19"/>
      <c r="W1465" s="218">
        <v>1</v>
      </c>
      <c r="X1465" s="218">
        <v>1</v>
      </c>
      <c r="Y1465" s="218">
        <v>1</v>
      </c>
    </row>
    <row r="1466" spans="1:25" ht="14.4" x14ac:dyDescent="0.3">
      <c r="A1466" s="1" t="s">
        <v>3875</v>
      </c>
      <c r="B1466" s="102">
        <v>46144</v>
      </c>
      <c r="C1466" s="6">
        <v>0.85416666666666696</v>
      </c>
      <c r="D1466" s="1" t="s">
        <v>39</v>
      </c>
      <c r="E1466" s="1" t="s">
        <v>3660</v>
      </c>
      <c r="F1466" s="1" t="s">
        <v>3876</v>
      </c>
      <c r="G1466" s="39" t="s">
        <v>3720</v>
      </c>
      <c r="H1466" s="1">
        <v>0</v>
      </c>
      <c r="I1466" s="1">
        <v>2</v>
      </c>
      <c r="J1466" s="39" t="s">
        <v>3877</v>
      </c>
      <c r="K1466" s="1">
        <v>2</v>
      </c>
      <c r="L1466" s="1">
        <v>0</v>
      </c>
      <c r="S1466" s="1" t="s">
        <v>10120</v>
      </c>
      <c r="T1466">
        <v>1</v>
      </c>
      <c r="U1466" s="19"/>
      <c r="V1466" s="19"/>
      <c r="W1466" s="218">
        <v>1</v>
      </c>
      <c r="X1466" s="218">
        <v>1</v>
      </c>
      <c r="Y1466" s="218">
        <v>1</v>
      </c>
    </row>
    <row r="1467" spans="1:25" ht="14.4" x14ac:dyDescent="0.3">
      <c r="A1467" s="1" t="s">
        <v>3878</v>
      </c>
      <c r="B1467" s="102">
        <v>46225</v>
      </c>
      <c r="C1467" s="6">
        <v>0.97916666666666696</v>
      </c>
      <c r="D1467" s="1" t="s">
        <v>39</v>
      </c>
      <c r="E1467" s="1" t="s">
        <v>3660</v>
      </c>
      <c r="F1467" s="1" t="s">
        <v>3879</v>
      </c>
      <c r="G1467" s="39" t="s">
        <v>239</v>
      </c>
      <c r="H1467" s="1">
        <v>0</v>
      </c>
      <c r="I1467" s="1">
        <v>4</v>
      </c>
      <c r="J1467" s="39" t="s">
        <v>3683</v>
      </c>
      <c r="K1467" s="1">
        <v>4</v>
      </c>
      <c r="L1467" s="1">
        <v>0</v>
      </c>
      <c r="S1467" s="1" t="s">
        <v>10121</v>
      </c>
      <c r="T1467">
        <v>1</v>
      </c>
      <c r="U1467" s="19"/>
      <c r="V1467" s="19"/>
      <c r="W1467" s="218">
        <v>1</v>
      </c>
      <c r="X1467" s="218">
        <v>1</v>
      </c>
      <c r="Y1467" s="218">
        <v>1</v>
      </c>
    </row>
    <row r="1468" spans="1:25" ht="14.4" x14ac:dyDescent="0.3">
      <c r="A1468" s="1" t="s">
        <v>3882</v>
      </c>
      <c r="B1468" s="102">
        <v>46130</v>
      </c>
      <c r="C1468" s="6">
        <v>0.85416666666666696</v>
      </c>
      <c r="D1468" s="1" t="s">
        <v>39</v>
      </c>
      <c r="E1468" s="1" t="s">
        <v>3660</v>
      </c>
      <c r="F1468" s="1" t="s">
        <v>3883</v>
      </c>
      <c r="G1468" s="39" t="s">
        <v>3683</v>
      </c>
      <c r="H1468" s="1">
        <v>0</v>
      </c>
      <c r="I1468" s="1">
        <v>1</v>
      </c>
      <c r="J1468" s="39" t="s">
        <v>3790</v>
      </c>
      <c r="K1468" s="1">
        <v>1</v>
      </c>
      <c r="L1468" s="1">
        <v>0</v>
      </c>
      <c r="S1468" s="1" t="s">
        <v>10122</v>
      </c>
      <c r="T1468">
        <v>1</v>
      </c>
      <c r="U1468" s="19"/>
      <c r="V1468" s="19"/>
      <c r="W1468" s="218">
        <v>1</v>
      </c>
      <c r="X1468" s="218">
        <v>1</v>
      </c>
      <c r="Y1468" s="218">
        <v>1</v>
      </c>
    </row>
    <row r="1469" spans="1:25" ht="14.4" x14ac:dyDescent="0.3">
      <c r="A1469" s="1" t="s">
        <v>3884</v>
      </c>
      <c r="B1469" s="102">
        <v>46228</v>
      </c>
      <c r="C1469" s="6">
        <v>0.85416666666666696</v>
      </c>
      <c r="D1469" s="1" t="s">
        <v>39</v>
      </c>
      <c r="E1469" s="1" t="s">
        <v>3660</v>
      </c>
      <c r="F1469" s="1" t="s">
        <v>3885</v>
      </c>
      <c r="G1469" s="39" t="s">
        <v>3695</v>
      </c>
      <c r="H1469" s="1">
        <v>1</v>
      </c>
      <c r="I1469" s="1">
        <v>0</v>
      </c>
      <c r="J1469" s="39" t="s">
        <v>3886</v>
      </c>
      <c r="K1469" s="1">
        <v>0</v>
      </c>
      <c r="L1469" s="1">
        <v>1</v>
      </c>
      <c r="S1469" s="1" t="s">
        <v>10123</v>
      </c>
      <c r="T1469">
        <v>1</v>
      </c>
      <c r="U1469" s="19"/>
      <c r="V1469" s="19"/>
      <c r="W1469" s="218">
        <v>1</v>
      </c>
      <c r="X1469" s="218">
        <v>1</v>
      </c>
      <c r="Y1469" s="218">
        <v>1</v>
      </c>
    </row>
    <row r="1470" spans="1:25" ht="14.4" x14ac:dyDescent="0.3">
      <c r="A1470" s="1" t="s">
        <v>3889</v>
      </c>
      <c r="B1470" s="102">
        <v>46144</v>
      </c>
      <c r="C1470" s="6">
        <v>0.85416666666666696</v>
      </c>
      <c r="D1470" s="1" t="s">
        <v>39</v>
      </c>
      <c r="E1470" s="1" t="s">
        <v>3660</v>
      </c>
      <c r="F1470" s="1" t="s">
        <v>3890</v>
      </c>
      <c r="G1470" s="39" t="s">
        <v>192</v>
      </c>
      <c r="H1470" s="1">
        <v>1</v>
      </c>
      <c r="I1470" s="1">
        <v>1</v>
      </c>
      <c r="J1470" s="39" t="s">
        <v>239</v>
      </c>
      <c r="K1470" s="1">
        <v>1</v>
      </c>
      <c r="L1470" s="1">
        <v>1</v>
      </c>
      <c r="S1470" s="1" t="s">
        <v>10124</v>
      </c>
      <c r="T1470">
        <v>1</v>
      </c>
      <c r="U1470" s="19"/>
      <c r="V1470" s="19"/>
      <c r="W1470" s="218">
        <v>1</v>
      </c>
      <c r="X1470" s="218">
        <v>1</v>
      </c>
      <c r="Y1470" s="218">
        <v>1</v>
      </c>
    </row>
    <row r="1471" spans="1:25" ht="14.4" x14ac:dyDescent="0.3">
      <c r="A1471" s="1" t="s">
        <v>3891</v>
      </c>
      <c r="B1471" s="102">
        <v>46130</v>
      </c>
      <c r="C1471" s="6">
        <v>0.85416666666666696</v>
      </c>
      <c r="D1471" s="1" t="s">
        <v>39</v>
      </c>
      <c r="E1471" s="1" t="s">
        <v>3660</v>
      </c>
      <c r="F1471" s="1" t="s">
        <v>3892</v>
      </c>
      <c r="G1471" s="39" t="s">
        <v>192</v>
      </c>
      <c r="H1471" s="1">
        <v>3</v>
      </c>
      <c r="I1471" s="1">
        <v>3</v>
      </c>
      <c r="J1471" s="39" t="s">
        <v>3893</v>
      </c>
      <c r="K1471" s="1">
        <v>3</v>
      </c>
      <c r="L1471" s="1">
        <v>3</v>
      </c>
      <c r="S1471" s="1" t="s">
        <v>10125</v>
      </c>
      <c r="T1471">
        <v>1</v>
      </c>
      <c r="U1471" s="19"/>
      <c r="V1471" s="19"/>
      <c r="W1471" s="218">
        <v>1</v>
      </c>
      <c r="X1471" s="218">
        <v>1</v>
      </c>
      <c r="Y1471" s="218">
        <v>1</v>
      </c>
    </row>
    <row r="1472" spans="1:25" ht="14.4" x14ac:dyDescent="0.3">
      <c r="A1472" s="1" t="s">
        <v>3914</v>
      </c>
      <c r="B1472" s="102">
        <v>46116</v>
      </c>
      <c r="C1472" s="6">
        <v>0.85416666666666696</v>
      </c>
      <c r="D1472" s="1" t="s">
        <v>39</v>
      </c>
      <c r="E1472" s="1" t="s">
        <v>3660</v>
      </c>
      <c r="F1472" s="1" t="s">
        <v>3915</v>
      </c>
      <c r="G1472" s="39" t="s">
        <v>3741</v>
      </c>
      <c r="H1472" s="1">
        <v>2</v>
      </c>
      <c r="I1472" s="1">
        <v>2</v>
      </c>
      <c r="J1472" s="39" t="s">
        <v>3893</v>
      </c>
      <c r="K1472" s="1">
        <v>2</v>
      </c>
      <c r="L1472" s="1">
        <v>2</v>
      </c>
      <c r="S1472" s="1" t="s">
        <v>10126</v>
      </c>
      <c r="T1472">
        <v>1</v>
      </c>
      <c r="U1472" s="19"/>
      <c r="V1472" s="19"/>
      <c r="W1472" s="218">
        <v>0</v>
      </c>
      <c r="X1472" s="218">
        <v>1</v>
      </c>
      <c r="Y1472" s="218">
        <v>1</v>
      </c>
    </row>
    <row r="1473" spans="1:25" ht="14.4" x14ac:dyDescent="0.3">
      <c r="A1473" s="1" t="s">
        <v>4058</v>
      </c>
      <c r="B1473" s="102">
        <v>46241</v>
      </c>
      <c r="C1473" s="6">
        <v>0.875</v>
      </c>
      <c r="D1473" s="1" t="s">
        <v>17</v>
      </c>
      <c r="E1473" s="1" t="s">
        <v>4056</v>
      </c>
      <c r="F1473" s="1" t="s">
        <v>4059</v>
      </c>
      <c r="G1473" s="39" t="s">
        <v>929</v>
      </c>
      <c r="H1473" s="1">
        <v>0</v>
      </c>
      <c r="I1473" s="1">
        <v>2</v>
      </c>
      <c r="J1473" s="39" t="s">
        <v>146</v>
      </c>
      <c r="K1473" s="1">
        <v>2</v>
      </c>
      <c r="L1473" s="1">
        <v>0</v>
      </c>
      <c r="S1473" s="1" t="s">
        <v>10127</v>
      </c>
      <c r="T1473">
        <v>1</v>
      </c>
      <c r="U1473" s="19"/>
      <c r="V1473" s="19"/>
      <c r="W1473" s="218">
        <v>1</v>
      </c>
      <c r="X1473" s="218">
        <v>1</v>
      </c>
      <c r="Y1473" s="218">
        <v>1</v>
      </c>
    </row>
    <row r="1474" spans="1:25" ht="14.4" x14ac:dyDescent="0.3">
      <c r="A1474" s="1" t="s">
        <v>4060</v>
      </c>
      <c r="B1474" s="102">
        <v>46236</v>
      </c>
      <c r="C1474" s="6">
        <v>0.625</v>
      </c>
      <c r="D1474" s="1" t="s">
        <v>17</v>
      </c>
      <c r="E1474" s="1" t="s">
        <v>4056</v>
      </c>
      <c r="F1474" s="1" t="s">
        <v>4061</v>
      </c>
      <c r="G1474" s="39" t="s">
        <v>146</v>
      </c>
      <c r="H1474" s="1">
        <v>1</v>
      </c>
      <c r="I1474" s="1">
        <v>0</v>
      </c>
      <c r="J1474" s="39" t="s">
        <v>4062</v>
      </c>
      <c r="K1474" s="1">
        <v>0</v>
      </c>
      <c r="L1474" s="1">
        <v>1</v>
      </c>
      <c r="S1474" s="1" t="s">
        <v>10128</v>
      </c>
      <c r="T1474">
        <v>1</v>
      </c>
      <c r="U1474" s="19"/>
      <c r="V1474" s="19"/>
      <c r="W1474" s="218">
        <v>1</v>
      </c>
      <c r="X1474" s="218">
        <v>1</v>
      </c>
      <c r="Y1474" s="218">
        <v>1</v>
      </c>
    </row>
    <row r="1475" spans="1:25" ht="14.4" x14ac:dyDescent="0.3">
      <c r="A1475" s="1" t="s">
        <v>4063</v>
      </c>
      <c r="B1475" s="102">
        <v>46229</v>
      </c>
      <c r="C1475" s="6">
        <v>0.73958333333333304</v>
      </c>
      <c r="D1475" s="1" t="s">
        <v>17</v>
      </c>
      <c r="E1475" s="1" t="s">
        <v>4056</v>
      </c>
      <c r="F1475" s="1" t="s">
        <v>4064</v>
      </c>
      <c r="G1475" s="39" t="s">
        <v>4065</v>
      </c>
      <c r="H1475" s="1">
        <v>2</v>
      </c>
      <c r="I1475" s="1">
        <v>3</v>
      </c>
      <c r="J1475" s="39" t="s">
        <v>146</v>
      </c>
      <c r="K1475" s="1">
        <v>3</v>
      </c>
      <c r="L1475" s="1">
        <v>2</v>
      </c>
      <c r="S1475" s="1" t="s">
        <v>10129</v>
      </c>
      <c r="T1475">
        <v>1</v>
      </c>
      <c r="U1475" s="19"/>
      <c r="V1475" s="19"/>
      <c r="W1475" s="218">
        <v>1</v>
      </c>
      <c r="X1475" s="218">
        <v>1</v>
      </c>
      <c r="Y1475" s="218">
        <v>1</v>
      </c>
    </row>
    <row r="1476" spans="1:25" ht="14.4" x14ac:dyDescent="0.3">
      <c r="A1476" s="1" t="s">
        <v>4066</v>
      </c>
      <c r="B1476" s="102">
        <v>46225</v>
      </c>
      <c r="C1476" s="6">
        <v>0.77083333333333304</v>
      </c>
      <c r="D1476" s="1" t="s">
        <v>17</v>
      </c>
      <c r="E1476" s="1" t="s">
        <v>4056</v>
      </c>
      <c r="F1476" s="1" t="s">
        <v>4067</v>
      </c>
      <c r="G1476" s="39" t="s">
        <v>146</v>
      </c>
      <c r="H1476" s="1">
        <v>3</v>
      </c>
      <c r="I1476" s="1">
        <v>0</v>
      </c>
      <c r="J1476" s="39" t="s">
        <v>4068</v>
      </c>
      <c r="K1476" s="1">
        <v>0</v>
      </c>
      <c r="L1476" s="1">
        <v>3</v>
      </c>
      <c r="S1476" s="1" t="s">
        <v>10130</v>
      </c>
      <c r="T1476">
        <v>1</v>
      </c>
      <c r="U1476" s="19"/>
      <c r="V1476" s="19"/>
      <c r="W1476" s="218">
        <v>1</v>
      </c>
      <c r="X1476" s="218">
        <v>1</v>
      </c>
      <c r="Y1476" s="218">
        <v>1</v>
      </c>
    </row>
    <row r="1477" spans="1:25" ht="14.4" x14ac:dyDescent="0.3">
      <c r="A1477" s="1" t="s">
        <v>4069</v>
      </c>
      <c r="B1477" s="102">
        <v>46222</v>
      </c>
      <c r="C1477" s="6">
        <v>0.88541666666666696</v>
      </c>
      <c r="D1477" s="1" t="s">
        <v>17</v>
      </c>
      <c r="E1477" s="1" t="s">
        <v>4056</v>
      </c>
      <c r="F1477" s="1" t="s">
        <v>4070</v>
      </c>
      <c r="G1477" s="39" t="s">
        <v>146</v>
      </c>
      <c r="H1477" s="1">
        <v>6</v>
      </c>
      <c r="I1477" s="1">
        <v>1</v>
      </c>
      <c r="J1477" s="39" t="s">
        <v>4071</v>
      </c>
      <c r="K1477" s="1">
        <v>1</v>
      </c>
      <c r="L1477" s="1">
        <v>6</v>
      </c>
      <c r="S1477" s="1" t="s">
        <v>10131</v>
      </c>
      <c r="T1477">
        <v>1</v>
      </c>
      <c r="U1477" s="19"/>
      <c r="V1477" s="19"/>
      <c r="W1477" s="218">
        <v>1</v>
      </c>
      <c r="X1477" s="218">
        <v>1</v>
      </c>
      <c r="Y1477" s="218">
        <v>1</v>
      </c>
    </row>
    <row r="1478" spans="1:25" ht="14.4" x14ac:dyDescent="0.3">
      <c r="A1478" s="1" t="s">
        <v>4072</v>
      </c>
      <c r="B1478" s="102">
        <v>46219</v>
      </c>
      <c r="C1478" s="6">
        <v>0.77083333333333304</v>
      </c>
      <c r="D1478" s="1" t="s">
        <v>17</v>
      </c>
      <c r="E1478" s="1" t="s">
        <v>4056</v>
      </c>
      <c r="F1478" s="1" t="s">
        <v>4073</v>
      </c>
      <c r="G1478" s="39" t="s">
        <v>4074</v>
      </c>
      <c r="H1478" s="1">
        <v>0</v>
      </c>
      <c r="I1478" s="1">
        <v>3</v>
      </c>
      <c r="J1478" s="39" t="s">
        <v>146</v>
      </c>
      <c r="K1478" s="1">
        <v>3</v>
      </c>
      <c r="L1478" s="1">
        <v>0</v>
      </c>
      <c r="S1478" s="1" t="s">
        <v>10132</v>
      </c>
      <c r="T1478">
        <v>1</v>
      </c>
      <c r="U1478" s="19"/>
      <c r="V1478" s="19"/>
      <c r="W1478" s="218">
        <v>1</v>
      </c>
      <c r="X1478" s="218">
        <v>1</v>
      </c>
      <c r="Y1478" s="218">
        <v>1</v>
      </c>
    </row>
    <row r="1479" spans="1:25" ht="14.4" x14ac:dyDescent="0.3">
      <c r="A1479" s="1" t="s">
        <v>4075</v>
      </c>
      <c r="B1479" s="102">
        <v>46214</v>
      </c>
      <c r="C1479" s="6">
        <v>0.67361111111111105</v>
      </c>
      <c r="D1479" s="1" t="s">
        <v>17</v>
      </c>
      <c r="E1479" s="1" t="s">
        <v>4056</v>
      </c>
      <c r="F1479" s="1" t="s">
        <v>4076</v>
      </c>
      <c r="G1479" s="39" t="s">
        <v>4077</v>
      </c>
      <c r="H1479" s="1">
        <v>1</v>
      </c>
      <c r="I1479" s="1">
        <v>4</v>
      </c>
      <c r="J1479" s="39" t="s">
        <v>146</v>
      </c>
      <c r="K1479" s="1">
        <v>4</v>
      </c>
      <c r="L1479" s="1">
        <v>1</v>
      </c>
      <c r="S1479" s="1" t="s">
        <v>10133</v>
      </c>
      <c r="T1479">
        <v>1</v>
      </c>
      <c r="U1479" s="19"/>
      <c r="V1479" s="19"/>
      <c r="W1479" s="218">
        <v>1</v>
      </c>
      <c r="X1479" s="218">
        <v>1</v>
      </c>
      <c r="Y1479" s="218">
        <v>1</v>
      </c>
    </row>
    <row r="1480" spans="1:25" ht="14.4" x14ac:dyDescent="0.3">
      <c r="A1480" s="1" t="s">
        <v>4078</v>
      </c>
      <c r="B1480" s="102">
        <v>46173</v>
      </c>
      <c r="C1480" s="6">
        <v>0.72916666666666696</v>
      </c>
      <c r="D1480" s="1" t="s">
        <v>17</v>
      </c>
      <c r="E1480" s="1" t="s">
        <v>4056</v>
      </c>
      <c r="F1480" s="1" t="s">
        <v>4079</v>
      </c>
      <c r="G1480" s="39" t="s">
        <v>4080</v>
      </c>
      <c r="H1480" s="1">
        <v>2</v>
      </c>
      <c r="I1480" s="1">
        <v>4</v>
      </c>
      <c r="J1480" s="39" t="s">
        <v>146</v>
      </c>
      <c r="K1480" s="1">
        <v>4</v>
      </c>
      <c r="L1480" s="1">
        <v>2</v>
      </c>
      <c r="S1480" s="1" t="s">
        <v>10134</v>
      </c>
      <c r="T1480">
        <v>1</v>
      </c>
      <c r="U1480" s="19"/>
      <c r="V1480" s="19"/>
      <c r="W1480" s="218">
        <v>1</v>
      </c>
      <c r="X1480" s="218">
        <v>1</v>
      </c>
      <c r="Y1480" s="218">
        <v>1</v>
      </c>
    </row>
    <row r="1481" spans="1:25" ht="14.4" x14ac:dyDescent="0.3">
      <c r="A1481" s="1" t="s">
        <v>4081</v>
      </c>
      <c r="B1481" s="102">
        <v>46164</v>
      </c>
      <c r="C1481" s="6">
        <v>0.875</v>
      </c>
      <c r="D1481" s="1" t="s">
        <v>17</v>
      </c>
      <c r="E1481" s="1" t="s">
        <v>4056</v>
      </c>
      <c r="F1481" s="1" t="s">
        <v>4205</v>
      </c>
      <c r="G1481" s="39" t="s">
        <v>146</v>
      </c>
      <c r="H1481" s="1">
        <v>2</v>
      </c>
      <c r="I1481" s="1">
        <v>3</v>
      </c>
      <c r="J1481" s="39" t="s">
        <v>4206</v>
      </c>
      <c r="K1481" s="1">
        <v>3</v>
      </c>
      <c r="L1481" s="1">
        <v>2</v>
      </c>
      <c r="S1481" s="1" t="s">
        <v>10135</v>
      </c>
      <c r="T1481">
        <v>1</v>
      </c>
      <c r="U1481" s="19"/>
      <c r="V1481" s="19"/>
      <c r="W1481" s="218">
        <v>1</v>
      </c>
      <c r="X1481" s="218">
        <v>1</v>
      </c>
      <c r="Y1481" s="218">
        <v>1</v>
      </c>
    </row>
    <row r="1482" spans="1:25" ht="14.4" x14ac:dyDescent="0.3">
      <c r="A1482" s="1" t="s">
        <v>4082</v>
      </c>
      <c r="B1482" s="102">
        <v>46158</v>
      </c>
      <c r="C1482" s="6">
        <v>0.66666666666666696</v>
      </c>
      <c r="D1482" s="1" t="s">
        <v>17</v>
      </c>
      <c r="E1482" s="1" t="s">
        <v>4056</v>
      </c>
      <c r="F1482" s="1" t="s">
        <v>4083</v>
      </c>
      <c r="G1482" s="39" t="s">
        <v>4084</v>
      </c>
      <c r="H1482" s="1">
        <v>0</v>
      </c>
      <c r="I1482" s="1">
        <v>3</v>
      </c>
      <c r="J1482" s="39" t="s">
        <v>146</v>
      </c>
      <c r="K1482" s="1">
        <v>3</v>
      </c>
      <c r="L1482" s="1">
        <v>0</v>
      </c>
      <c r="S1482" s="1" t="s">
        <v>10136</v>
      </c>
      <c r="T1482">
        <v>1</v>
      </c>
      <c r="U1482" s="19"/>
      <c r="V1482" s="19"/>
      <c r="W1482" s="218">
        <v>1</v>
      </c>
      <c r="X1482" s="218">
        <v>1</v>
      </c>
      <c r="Y1482" s="218">
        <v>1</v>
      </c>
    </row>
    <row r="1483" spans="1:25" ht="14.4" x14ac:dyDescent="0.3">
      <c r="A1483" s="1" t="s">
        <v>4085</v>
      </c>
      <c r="B1483" s="102">
        <v>46151</v>
      </c>
      <c r="C1483" s="6">
        <v>0.875</v>
      </c>
      <c r="D1483" s="1" t="s">
        <v>17</v>
      </c>
      <c r="E1483" s="1" t="s">
        <v>4056</v>
      </c>
      <c r="F1483" s="1" t="s">
        <v>4086</v>
      </c>
      <c r="G1483" s="39" t="s">
        <v>146</v>
      </c>
      <c r="H1483" s="1">
        <v>1</v>
      </c>
      <c r="I1483" s="1">
        <v>0</v>
      </c>
      <c r="J1483" s="39" t="s">
        <v>4087</v>
      </c>
      <c r="K1483" s="1">
        <v>0</v>
      </c>
      <c r="L1483" s="1">
        <v>1</v>
      </c>
      <c r="S1483" s="1" t="s">
        <v>10137</v>
      </c>
      <c r="T1483">
        <v>1</v>
      </c>
      <c r="U1483" s="19"/>
      <c r="V1483" s="19"/>
      <c r="W1483" s="218">
        <v>1</v>
      </c>
      <c r="X1483" s="218">
        <v>1</v>
      </c>
      <c r="Y1483" s="218">
        <v>1</v>
      </c>
    </row>
    <row r="1484" spans="1:25" ht="14.4" x14ac:dyDescent="0.3">
      <c r="A1484" s="1" t="s">
        <v>4088</v>
      </c>
      <c r="B1484" s="102">
        <v>46235</v>
      </c>
      <c r="C1484" s="6">
        <v>0.77083333333333304</v>
      </c>
      <c r="D1484" s="1" t="s">
        <v>17</v>
      </c>
      <c r="E1484" s="1" t="s">
        <v>4056</v>
      </c>
      <c r="F1484" s="1" t="s">
        <v>4089</v>
      </c>
      <c r="G1484" s="39" t="s">
        <v>4090</v>
      </c>
      <c r="H1484" s="1">
        <v>5</v>
      </c>
      <c r="I1484" s="1">
        <v>0</v>
      </c>
      <c r="J1484" s="39" t="s">
        <v>4068</v>
      </c>
      <c r="K1484" s="1">
        <v>0</v>
      </c>
      <c r="L1484" s="1">
        <v>5</v>
      </c>
      <c r="S1484" s="1" t="s">
        <v>10138</v>
      </c>
      <c r="T1484">
        <v>1</v>
      </c>
      <c r="U1484" s="19"/>
      <c r="V1484" s="19"/>
      <c r="W1484" s="218">
        <v>1</v>
      </c>
      <c r="X1484" s="218">
        <v>1</v>
      </c>
      <c r="Y1484" s="218">
        <v>1</v>
      </c>
    </row>
    <row r="1485" spans="1:25" ht="14.4" x14ac:dyDescent="0.3">
      <c r="A1485" s="1" t="s">
        <v>4091</v>
      </c>
      <c r="B1485" s="102">
        <v>46230</v>
      </c>
      <c r="C1485" s="6">
        <v>0.77083333333333304</v>
      </c>
      <c r="D1485" s="1" t="s">
        <v>17</v>
      </c>
      <c r="E1485" s="1" t="s">
        <v>4056</v>
      </c>
      <c r="F1485" s="1" t="s">
        <v>4092</v>
      </c>
      <c r="G1485" s="39" t="s">
        <v>4080</v>
      </c>
      <c r="H1485" s="1">
        <v>0</v>
      </c>
      <c r="I1485" s="1">
        <v>0</v>
      </c>
      <c r="J1485" s="39" t="s">
        <v>4090</v>
      </c>
      <c r="K1485" s="1">
        <v>0</v>
      </c>
      <c r="L1485" s="1">
        <v>0</v>
      </c>
      <c r="S1485" s="1" t="s">
        <v>10139</v>
      </c>
      <c r="T1485">
        <v>1</v>
      </c>
      <c r="U1485" s="19"/>
      <c r="V1485" s="19"/>
      <c r="W1485" s="218">
        <v>1</v>
      </c>
      <c r="X1485" s="218">
        <v>1</v>
      </c>
      <c r="Y1485" s="218">
        <v>1</v>
      </c>
    </row>
    <row r="1486" spans="1:25" ht="14.4" x14ac:dyDescent="0.3">
      <c r="A1486" s="1" t="s">
        <v>4093</v>
      </c>
      <c r="B1486" s="102">
        <v>46224</v>
      </c>
      <c r="C1486" s="6">
        <v>0.875</v>
      </c>
      <c r="D1486" s="1" t="s">
        <v>17</v>
      </c>
      <c r="E1486" s="1" t="s">
        <v>4056</v>
      </c>
      <c r="F1486" s="1" t="s">
        <v>4094</v>
      </c>
      <c r="G1486" s="39" t="s">
        <v>4090</v>
      </c>
      <c r="H1486" s="1">
        <v>2</v>
      </c>
      <c r="I1486" s="1">
        <v>1</v>
      </c>
      <c r="J1486" s="39" t="s">
        <v>4087</v>
      </c>
      <c r="K1486" s="1">
        <v>1</v>
      </c>
      <c r="L1486" s="1">
        <v>2</v>
      </c>
      <c r="S1486" s="1" t="s">
        <v>10140</v>
      </c>
      <c r="T1486">
        <v>1</v>
      </c>
      <c r="U1486" s="19"/>
      <c r="V1486" s="19"/>
      <c r="W1486" s="218">
        <v>1</v>
      </c>
      <c r="X1486" s="218">
        <v>1</v>
      </c>
      <c r="Y1486" s="218">
        <v>1</v>
      </c>
    </row>
    <row r="1487" spans="1:25" ht="14.4" x14ac:dyDescent="0.3">
      <c r="A1487" s="1" t="s">
        <v>4095</v>
      </c>
      <c r="B1487" s="102">
        <v>46221</v>
      </c>
      <c r="C1487" s="6">
        <v>0.66666666666666696</v>
      </c>
      <c r="D1487" s="1" t="s">
        <v>17</v>
      </c>
      <c r="E1487" s="1" t="s">
        <v>4056</v>
      </c>
      <c r="F1487" s="1" t="s">
        <v>4096</v>
      </c>
      <c r="G1487" s="39" t="s">
        <v>4062</v>
      </c>
      <c r="H1487" s="1">
        <v>0</v>
      </c>
      <c r="I1487" s="1">
        <v>2</v>
      </c>
      <c r="J1487" s="39" t="s">
        <v>4090</v>
      </c>
      <c r="K1487" s="1">
        <v>2</v>
      </c>
      <c r="L1487" s="1">
        <v>0</v>
      </c>
      <c r="S1487" s="1" t="s">
        <v>10141</v>
      </c>
      <c r="T1487">
        <v>1</v>
      </c>
      <c r="U1487" s="19"/>
      <c r="V1487" s="19"/>
      <c r="W1487" s="218">
        <v>1</v>
      </c>
      <c r="X1487" s="218">
        <v>1</v>
      </c>
      <c r="Y1487" s="218">
        <v>1</v>
      </c>
    </row>
    <row r="1488" spans="1:25" ht="14.4" x14ac:dyDescent="0.3">
      <c r="A1488" s="1" t="s">
        <v>4097</v>
      </c>
      <c r="B1488" s="102">
        <v>46218</v>
      </c>
      <c r="C1488" s="6">
        <v>0.79166666666666696</v>
      </c>
      <c r="D1488" s="1" t="s">
        <v>17</v>
      </c>
      <c r="E1488" s="1" t="s">
        <v>4056</v>
      </c>
      <c r="F1488" s="1" t="s">
        <v>4098</v>
      </c>
      <c r="G1488" s="39" t="s">
        <v>4090</v>
      </c>
      <c r="H1488" s="1">
        <v>1</v>
      </c>
      <c r="I1488" s="1">
        <v>0</v>
      </c>
      <c r="J1488" s="39" t="s">
        <v>929</v>
      </c>
      <c r="K1488" s="1">
        <v>0</v>
      </c>
      <c r="L1488" s="1">
        <v>1</v>
      </c>
      <c r="S1488" s="1" t="s">
        <v>10142</v>
      </c>
      <c r="T1488">
        <v>1</v>
      </c>
      <c r="U1488" s="19"/>
      <c r="V1488" s="19"/>
      <c r="W1488" s="218">
        <v>1</v>
      </c>
      <c r="X1488" s="218">
        <v>1</v>
      </c>
      <c r="Y1488" s="218">
        <v>1</v>
      </c>
    </row>
    <row r="1489" spans="1:25" ht="14.4" x14ac:dyDescent="0.3">
      <c r="A1489" s="1" t="s">
        <v>4099</v>
      </c>
      <c r="B1489" s="102">
        <v>46213</v>
      </c>
      <c r="C1489" s="6">
        <v>0.79166666666666696</v>
      </c>
      <c r="D1489" s="1" t="s">
        <v>17</v>
      </c>
      <c r="E1489" s="1" t="s">
        <v>4056</v>
      </c>
      <c r="F1489" s="1" t="s">
        <v>4100</v>
      </c>
      <c r="G1489" s="39" t="s">
        <v>4101</v>
      </c>
      <c r="H1489" s="1">
        <v>1</v>
      </c>
      <c r="I1489" s="1">
        <v>0</v>
      </c>
      <c r="J1489" s="39" t="s">
        <v>4090</v>
      </c>
      <c r="K1489" s="1">
        <v>0</v>
      </c>
      <c r="L1489" s="1">
        <v>1</v>
      </c>
      <c r="S1489" s="1" t="s">
        <v>10143</v>
      </c>
      <c r="T1489">
        <v>1</v>
      </c>
      <c r="U1489" s="19"/>
      <c r="V1489" s="19"/>
      <c r="W1489" s="218">
        <v>1</v>
      </c>
      <c r="X1489" s="218">
        <v>1</v>
      </c>
      <c r="Y1489" s="218">
        <v>1</v>
      </c>
    </row>
    <row r="1490" spans="1:25" ht="14.4" x14ac:dyDescent="0.3">
      <c r="A1490" s="1" t="s">
        <v>4102</v>
      </c>
      <c r="B1490" s="102">
        <v>46209</v>
      </c>
      <c r="C1490" s="6">
        <v>0.77083333333333304</v>
      </c>
      <c r="D1490" s="1" t="s">
        <v>17</v>
      </c>
      <c r="E1490" s="1" t="s">
        <v>4056</v>
      </c>
      <c r="F1490" s="1" t="s">
        <v>4103</v>
      </c>
      <c r="G1490" s="39" t="s">
        <v>4090</v>
      </c>
      <c r="H1490" s="1">
        <v>2</v>
      </c>
      <c r="I1490" s="1">
        <v>3</v>
      </c>
      <c r="J1490" s="39" t="s">
        <v>4077</v>
      </c>
      <c r="K1490" s="1">
        <v>3</v>
      </c>
      <c r="L1490" s="1">
        <v>2</v>
      </c>
      <c r="S1490" s="1" t="s">
        <v>10144</v>
      </c>
      <c r="T1490">
        <v>1</v>
      </c>
      <c r="U1490" s="19"/>
      <c r="V1490" s="19"/>
      <c r="W1490" s="218">
        <v>1</v>
      </c>
      <c r="X1490" s="218">
        <v>1</v>
      </c>
      <c r="Y1490" s="218">
        <v>1</v>
      </c>
    </row>
    <row r="1491" spans="1:25" ht="14.4" x14ac:dyDescent="0.3">
      <c r="A1491" s="1" t="s">
        <v>4104</v>
      </c>
      <c r="B1491" s="102">
        <v>46173</v>
      </c>
      <c r="C1491" s="6">
        <v>0.84027777777777801</v>
      </c>
      <c r="D1491" s="1" t="s">
        <v>17</v>
      </c>
      <c r="E1491" s="1" t="s">
        <v>4056</v>
      </c>
      <c r="F1491" s="1" t="s">
        <v>4105</v>
      </c>
      <c r="G1491" s="39" t="s">
        <v>4071</v>
      </c>
      <c r="H1491" s="1">
        <v>1</v>
      </c>
      <c r="I1491" s="1">
        <v>0</v>
      </c>
      <c r="J1491" s="39" t="s">
        <v>4090</v>
      </c>
      <c r="K1491" s="1">
        <v>0</v>
      </c>
      <c r="L1491" s="1">
        <v>1</v>
      </c>
      <c r="S1491" s="1" t="s">
        <v>10145</v>
      </c>
      <c r="T1491">
        <v>1</v>
      </c>
      <c r="U1491" s="19"/>
      <c r="V1491" s="19"/>
      <c r="W1491" s="218">
        <v>1</v>
      </c>
      <c r="X1491" s="218">
        <v>1</v>
      </c>
      <c r="Y1491" s="218">
        <v>1</v>
      </c>
    </row>
    <row r="1492" spans="1:25" ht="14.4" x14ac:dyDescent="0.3">
      <c r="A1492" s="1" t="s">
        <v>4106</v>
      </c>
      <c r="B1492" s="102">
        <v>46165</v>
      </c>
      <c r="C1492" s="6">
        <v>0.77083333333333304</v>
      </c>
      <c r="D1492" s="1" t="s">
        <v>17</v>
      </c>
      <c r="E1492" s="1" t="s">
        <v>4056</v>
      </c>
      <c r="F1492" s="1" t="s">
        <v>4107</v>
      </c>
      <c r="G1492" s="39" t="s">
        <v>4065</v>
      </c>
      <c r="H1492" s="1">
        <v>1</v>
      </c>
      <c r="I1492" s="1">
        <v>2</v>
      </c>
      <c r="J1492" s="39" t="s">
        <v>4090</v>
      </c>
      <c r="K1492" s="1">
        <v>2</v>
      </c>
      <c r="L1492" s="1">
        <v>1</v>
      </c>
      <c r="S1492" s="1" t="s">
        <v>10146</v>
      </c>
      <c r="T1492">
        <v>1</v>
      </c>
      <c r="U1492" s="19"/>
      <c r="V1492" s="19"/>
      <c r="W1492" s="218">
        <v>1</v>
      </c>
      <c r="X1492" s="218">
        <v>1</v>
      </c>
      <c r="Y1492" s="218">
        <v>1</v>
      </c>
    </row>
    <row r="1493" spans="1:25" ht="14.4" x14ac:dyDescent="0.3">
      <c r="A1493" s="1" t="s">
        <v>4108</v>
      </c>
      <c r="B1493" s="102">
        <v>46158</v>
      </c>
      <c r="C1493" s="6">
        <v>0.77083333333333304</v>
      </c>
      <c r="D1493" s="1" t="s">
        <v>17</v>
      </c>
      <c r="E1493" s="1" t="s">
        <v>4056</v>
      </c>
      <c r="F1493" s="1" t="s">
        <v>4109</v>
      </c>
      <c r="G1493" s="39" t="s">
        <v>4090</v>
      </c>
      <c r="H1493" s="1">
        <v>2</v>
      </c>
      <c r="I1493" s="1">
        <v>2</v>
      </c>
      <c r="J1493" s="39" t="s">
        <v>928</v>
      </c>
      <c r="K1493" s="1">
        <v>2</v>
      </c>
      <c r="L1493" s="1">
        <v>2</v>
      </c>
      <c r="S1493" s="1" t="s">
        <v>10147</v>
      </c>
      <c r="T1493">
        <v>1</v>
      </c>
      <c r="U1493" s="19"/>
      <c r="V1493" s="19"/>
      <c r="W1493" s="218">
        <v>1</v>
      </c>
      <c r="X1493" s="218">
        <v>1</v>
      </c>
      <c r="Y1493" s="218">
        <v>1</v>
      </c>
    </row>
    <row r="1494" spans="1:25" ht="14.4" x14ac:dyDescent="0.3">
      <c r="A1494" s="1" t="s">
        <v>4110</v>
      </c>
      <c r="B1494" s="102">
        <v>46151</v>
      </c>
      <c r="C1494" s="6">
        <v>0.77083333333333304</v>
      </c>
      <c r="D1494" s="1" t="s">
        <v>17</v>
      </c>
      <c r="E1494" s="1" t="s">
        <v>4056</v>
      </c>
      <c r="F1494" s="1" t="s">
        <v>4111</v>
      </c>
      <c r="G1494" s="39" t="s">
        <v>4074</v>
      </c>
      <c r="H1494" s="1">
        <v>2</v>
      </c>
      <c r="I1494" s="1">
        <v>1</v>
      </c>
      <c r="J1494" s="39" t="s">
        <v>4090</v>
      </c>
      <c r="K1494" s="1">
        <v>1</v>
      </c>
      <c r="L1494" s="1">
        <v>2</v>
      </c>
      <c r="S1494" s="1" t="s">
        <v>10148</v>
      </c>
      <c r="T1494">
        <v>1</v>
      </c>
      <c r="U1494" s="19"/>
      <c r="V1494" s="19"/>
      <c r="W1494" s="218">
        <v>1</v>
      </c>
      <c r="X1494" s="218">
        <v>1</v>
      </c>
      <c r="Y1494" s="218">
        <v>1</v>
      </c>
    </row>
    <row r="1495" spans="1:25" ht="14.4" x14ac:dyDescent="0.3">
      <c r="A1495" s="1" t="s">
        <v>4112</v>
      </c>
      <c r="B1495" s="102">
        <v>46143</v>
      </c>
      <c r="C1495" s="6">
        <v>0.6875</v>
      </c>
      <c r="D1495" s="1" t="s">
        <v>17</v>
      </c>
      <c r="E1495" s="1" t="s">
        <v>4056</v>
      </c>
      <c r="F1495" s="1" t="s">
        <v>4113</v>
      </c>
      <c r="G1495" s="39" t="s">
        <v>4090</v>
      </c>
      <c r="H1495" s="1">
        <v>2</v>
      </c>
      <c r="I1495" s="1">
        <v>3</v>
      </c>
      <c r="J1495" s="39" t="s">
        <v>146</v>
      </c>
      <c r="K1495" s="1">
        <v>3</v>
      </c>
      <c r="L1495" s="1">
        <v>2</v>
      </c>
      <c r="S1495" s="1" t="s">
        <v>10149</v>
      </c>
      <c r="T1495">
        <v>1</v>
      </c>
      <c r="U1495" s="19"/>
      <c r="V1495" s="19"/>
      <c r="W1495" s="218">
        <v>0</v>
      </c>
      <c r="X1495" s="218">
        <v>0</v>
      </c>
      <c r="Y1495" s="218">
        <v>0</v>
      </c>
    </row>
    <row r="1496" spans="1:25" ht="14.4" x14ac:dyDescent="0.3">
      <c r="A1496" s="1" t="s">
        <v>4114</v>
      </c>
      <c r="B1496" s="102">
        <v>46242</v>
      </c>
      <c r="C1496" s="6">
        <v>0.875</v>
      </c>
      <c r="D1496" s="1" t="s">
        <v>17</v>
      </c>
      <c r="E1496" s="1" t="s">
        <v>4056</v>
      </c>
      <c r="F1496" s="1" t="s">
        <v>4115</v>
      </c>
      <c r="G1496" s="39" t="s">
        <v>4087</v>
      </c>
      <c r="H1496" s="1">
        <v>1</v>
      </c>
      <c r="I1496" s="1">
        <v>2</v>
      </c>
      <c r="J1496" s="39" t="s">
        <v>4084</v>
      </c>
      <c r="K1496" s="1">
        <v>2</v>
      </c>
      <c r="L1496" s="1">
        <v>1</v>
      </c>
      <c r="S1496" s="1" t="s">
        <v>10150</v>
      </c>
      <c r="T1496">
        <v>1</v>
      </c>
      <c r="U1496" s="19"/>
      <c r="V1496" s="19"/>
      <c r="W1496" s="218">
        <v>1</v>
      </c>
      <c r="X1496" s="218">
        <v>1</v>
      </c>
      <c r="Y1496" s="218">
        <v>1</v>
      </c>
    </row>
    <row r="1497" spans="1:25" ht="14.4" x14ac:dyDescent="0.3">
      <c r="A1497" s="1" t="s">
        <v>4116</v>
      </c>
      <c r="B1497" s="102">
        <v>46236</v>
      </c>
      <c r="C1497" s="6">
        <v>0.72916666666666696</v>
      </c>
      <c r="D1497" s="1" t="s">
        <v>17</v>
      </c>
      <c r="E1497" s="1" t="s">
        <v>4056</v>
      </c>
      <c r="F1497" s="1" t="s">
        <v>4117</v>
      </c>
      <c r="G1497" s="39" t="s">
        <v>4084</v>
      </c>
      <c r="H1497" s="1">
        <v>2</v>
      </c>
      <c r="I1497" s="1">
        <v>1</v>
      </c>
      <c r="J1497" s="39" t="s">
        <v>4080</v>
      </c>
      <c r="K1497" s="1">
        <v>1</v>
      </c>
      <c r="L1497" s="1">
        <v>2</v>
      </c>
      <c r="S1497" s="1" t="s">
        <v>10151</v>
      </c>
      <c r="T1497">
        <v>1</v>
      </c>
      <c r="U1497" s="19"/>
      <c r="V1497" s="19"/>
      <c r="W1497" s="218">
        <v>1</v>
      </c>
      <c r="X1497" s="218">
        <v>1</v>
      </c>
      <c r="Y1497" s="218">
        <v>1</v>
      </c>
    </row>
    <row r="1498" spans="1:25" ht="14.4" x14ac:dyDescent="0.3">
      <c r="A1498" s="1" t="s">
        <v>4118</v>
      </c>
      <c r="B1498" s="102">
        <v>46229</v>
      </c>
      <c r="C1498" s="6">
        <v>0.63541666666666696</v>
      </c>
      <c r="D1498" s="1" t="s">
        <v>17</v>
      </c>
      <c r="E1498" s="1" t="s">
        <v>4056</v>
      </c>
      <c r="F1498" s="1" t="s">
        <v>4119</v>
      </c>
      <c r="G1498" s="39" t="s">
        <v>4074</v>
      </c>
      <c r="H1498" s="1">
        <v>1</v>
      </c>
      <c r="I1498" s="1">
        <v>4</v>
      </c>
      <c r="J1498" s="39" t="s">
        <v>4084</v>
      </c>
      <c r="K1498" s="1">
        <v>4</v>
      </c>
      <c r="L1498" s="1">
        <v>1</v>
      </c>
      <c r="S1498" s="1" t="s">
        <v>10152</v>
      </c>
      <c r="T1498">
        <v>1</v>
      </c>
      <c r="U1498" s="19"/>
      <c r="V1498" s="19"/>
      <c r="W1498" s="218">
        <v>1</v>
      </c>
      <c r="X1498" s="218">
        <v>1</v>
      </c>
      <c r="Y1498" s="218">
        <v>1</v>
      </c>
    </row>
    <row r="1499" spans="1:25" ht="14.4" x14ac:dyDescent="0.3">
      <c r="A1499" s="1" t="s">
        <v>4120</v>
      </c>
      <c r="B1499" s="102">
        <v>46225</v>
      </c>
      <c r="C1499" s="6">
        <v>0.66666666666666696</v>
      </c>
      <c r="D1499" s="1" t="s">
        <v>17</v>
      </c>
      <c r="E1499" s="1" t="s">
        <v>4056</v>
      </c>
      <c r="F1499" s="1" t="s">
        <v>4121</v>
      </c>
      <c r="G1499" s="39" t="s">
        <v>4084</v>
      </c>
      <c r="H1499" s="1">
        <v>3</v>
      </c>
      <c r="I1499" s="1">
        <v>0</v>
      </c>
      <c r="J1499" s="39" t="s">
        <v>4062</v>
      </c>
      <c r="K1499" s="1">
        <v>0</v>
      </c>
      <c r="L1499" s="1">
        <v>3</v>
      </c>
      <c r="S1499" s="1" t="s">
        <v>10153</v>
      </c>
      <c r="T1499">
        <v>1</v>
      </c>
      <c r="U1499" s="19"/>
      <c r="V1499" s="19"/>
      <c r="W1499" s="218">
        <v>1</v>
      </c>
      <c r="X1499" s="218">
        <v>1</v>
      </c>
      <c r="Y1499" s="218">
        <v>1</v>
      </c>
    </row>
    <row r="1500" spans="1:25" ht="14.4" x14ac:dyDescent="0.3">
      <c r="A1500" s="1" t="s">
        <v>4122</v>
      </c>
      <c r="B1500" s="102">
        <v>46220</v>
      </c>
      <c r="C1500" s="6">
        <v>0.875</v>
      </c>
      <c r="D1500" s="1" t="s">
        <v>17</v>
      </c>
      <c r="E1500" s="1" t="s">
        <v>4056</v>
      </c>
      <c r="F1500" s="1" t="s">
        <v>4123</v>
      </c>
      <c r="G1500" s="39" t="s">
        <v>928</v>
      </c>
      <c r="H1500" s="1">
        <v>2</v>
      </c>
      <c r="I1500" s="1">
        <v>1</v>
      </c>
      <c r="J1500" s="39" t="s">
        <v>4084</v>
      </c>
      <c r="K1500" s="1">
        <v>1</v>
      </c>
      <c r="L1500" s="1">
        <v>2</v>
      </c>
      <c r="S1500" s="1" t="s">
        <v>10154</v>
      </c>
      <c r="T1500">
        <v>1</v>
      </c>
      <c r="U1500" s="19"/>
      <c r="V1500" s="19"/>
      <c r="W1500" s="218">
        <v>1</v>
      </c>
      <c r="X1500" s="218">
        <v>1</v>
      </c>
      <c r="Y1500" s="218">
        <v>1</v>
      </c>
    </row>
    <row r="1501" spans="1:25" ht="14.4" x14ac:dyDescent="0.3">
      <c r="A1501" s="1" t="s">
        <v>4124</v>
      </c>
      <c r="B1501" s="102">
        <v>46217</v>
      </c>
      <c r="C1501" s="6">
        <v>0.77083333333333304</v>
      </c>
      <c r="D1501" s="1" t="s">
        <v>17</v>
      </c>
      <c r="E1501" s="1" t="s">
        <v>4056</v>
      </c>
      <c r="F1501" s="1" t="s">
        <v>4125</v>
      </c>
      <c r="G1501" s="39" t="s">
        <v>4084</v>
      </c>
      <c r="H1501" s="1">
        <v>2</v>
      </c>
      <c r="I1501" s="1">
        <v>1</v>
      </c>
      <c r="J1501" s="39" t="s">
        <v>4077</v>
      </c>
      <c r="K1501" s="1">
        <v>1</v>
      </c>
      <c r="L1501" s="1">
        <v>2</v>
      </c>
      <c r="S1501" s="1" t="s">
        <v>10155</v>
      </c>
      <c r="T1501">
        <v>1</v>
      </c>
      <c r="U1501" s="19"/>
      <c r="V1501" s="19"/>
      <c r="W1501" s="218">
        <v>1</v>
      </c>
      <c r="X1501" s="218">
        <v>1</v>
      </c>
      <c r="Y1501" s="218">
        <v>1</v>
      </c>
    </row>
    <row r="1502" spans="1:25" ht="14.4" x14ac:dyDescent="0.3">
      <c r="A1502" s="1" t="s">
        <v>4126</v>
      </c>
      <c r="B1502" s="102">
        <v>46213</v>
      </c>
      <c r="C1502" s="6">
        <v>0.88541666666666696</v>
      </c>
      <c r="D1502" s="1" t="s">
        <v>17</v>
      </c>
      <c r="E1502" s="1" t="s">
        <v>4056</v>
      </c>
      <c r="F1502" s="1" t="s">
        <v>4127</v>
      </c>
      <c r="G1502" s="39" t="s">
        <v>4068</v>
      </c>
      <c r="H1502" s="1">
        <v>0</v>
      </c>
      <c r="I1502" s="1">
        <v>2</v>
      </c>
      <c r="J1502" s="39" t="s">
        <v>4084</v>
      </c>
      <c r="K1502" s="1">
        <v>2</v>
      </c>
      <c r="L1502" s="1">
        <v>0</v>
      </c>
      <c r="S1502" s="1" t="s">
        <v>10156</v>
      </c>
      <c r="T1502">
        <v>1</v>
      </c>
      <c r="U1502" s="19"/>
      <c r="V1502" s="19"/>
      <c r="W1502" s="218">
        <v>1</v>
      </c>
      <c r="X1502" s="218">
        <v>1</v>
      </c>
      <c r="Y1502" s="218">
        <v>1</v>
      </c>
    </row>
    <row r="1503" spans="1:25" ht="14.4" x14ac:dyDescent="0.3">
      <c r="A1503" s="1" t="s">
        <v>4128</v>
      </c>
      <c r="B1503" s="102">
        <v>46208</v>
      </c>
      <c r="C1503" s="6">
        <v>0.625</v>
      </c>
      <c r="D1503" s="1" t="s">
        <v>17</v>
      </c>
      <c r="E1503" s="1" t="s">
        <v>4056</v>
      </c>
      <c r="F1503" s="1" t="s">
        <v>4129</v>
      </c>
      <c r="G1503" s="39" t="s">
        <v>4084</v>
      </c>
      <c r="H1503" s="1">
        <v>1</v>
      </c>
      <c r="I1503" s="1">
        <v>0</v>
      </c>
      <c r="J1503" s="39" t="s">
        <v>929</v>
      </c>
      <c r="K1503" s="1">
        <v>0</v>
      </c>
      <c r="L1503" s="1">
        <v>1</v>
      </c>
      <c r="S1503" s="1" t="s">
        <v>10157</v>
      </c>
      <c r="T1503">
        <v>1</v>
      </c>
      <c r="U1503" s="19"/>
      <c r="V1503" s="19"/>
      <c r="W1503" s="218">
        <v>1</v>
      </c>
      <c r="X1503" s="218">
        <v>1</v>
      </c>
      <c r="Y1503" s="218">
        <v>1</v>
      </c>
    </row>
    <row r="1504" spans="1:25" ht="14.4" x14ac:dyDescent="0.3">
      <c r="A1504" s="1" t="s">
        <v>4130</v>
      </c>
      <c r="B1504" s="102">
        <v>46174</v>
      </c>
      <c r="C1504" s="6">
        <v>0.79166666666666696</v>
      </c>
      <c r="D1504" s="1" t="s">
        <v>17</v>
      </c>
      <c r="E1504" s="1" t="s">
        <v>4056</v>
      </c>
      <c r="F1504" s="1" t="s">
        <v>4131</v>
      </c>
      <c r="G1504" s="39" t="s">
        <v>4101</v>
      </c>
      <c r="H1504" s="1">
        <v>1</v>
      </c>
      <c r="I1504" s="1">
        <v>1</v>
      </c>
      <c r="J1504" s="39" t="s">
        <v>4084</v>
      </c>
      <c r="K1504" s="1">
        <v>1</v>
      </c>
      <c r="L1504" s="1">
        <v>1</v>
      </c>
      <c r="S1504" s="1" t="s">
        <v>10158</v>
      </c>
      <c r="T1504">
        <v>1</v>
      </c>
      <c r="U1504" s="19"/>
      <c r="V1504" s="19"/>
      <c r="W1504" s="218">
        <v>1</v>
      </c>
      <c r="X1504" s="218">
        <v>1</v>
      </c>
      <c r="Y1504" s="218">
        <v>1</v>
      </c>
    </row>
    <row r="1505" spans="1:25" ht="14.4" x14ac:dyDescent="0.3">
      <c r="A1505" s="1" t="s">
        <v>4132</v>
      </c>
      <c r="B1505" s="102">
        <v>46166</v>
      </c>
      <c r="C1505" s="6">
        <v>0.72916666666666696</v>
      </c>
      <c r="D1505" s="1" t="s">
        <v>17</v>
      </c>
      <c r="E1505" s="1" t="s">
        <v>4056</v>
      </c>
      <c r="F1505" s="1" t="s">
        <v>4133</v>
      </c>
      <c r="G1505" s="39" t="s">
        <v>4071</v>
      </c>
      <c r="H1505" s="1">
        <v>2</v>
      </c>
      <c r="I1505" s="1">
        <v>0</v>
      </c>
      <c r="J1505" s="39" t="s">
        <v>4084</v>
      </c>
      <c r="K1505" s="1">
        <v>0</v>
      </c>
      <c r="L1505" s="1">
        <v>2</v>
      </c>
      <c r="S1505" s="1" t="s">
        <v>10159</v>
      </c>
      <c r="T1505">
        <v>1</v>
      </c>
      <c r="U1505" s="19"/>
      <c r="V1505" s="19"/>
      <c r="W1505" s="218">
        <v>1</v>
      </c>
      <c r="X1505" s="218">
        <v>1</v>
      </c>
      <c r="Y1505" s="218">
        <v>1</v>
      </c>
    </row>
    <row r="1506" spans="1:25" ht="14.4" x14ac:dyDescent="0.3">
      <c r="A1506" s="1" t="s">
        <v>4134</v>
      </c>
      <c r="B1506" s="102">
        <v>46152</v>
      </c>
      <c r="C1506" s="6">
        <v>0.84027777777777801</v>
      </c>
      <c r="D1506" s="1" t="s">
        <v>17</v>
      </c>
      <c r="E1506" s="1" t="s">
        <v>4056</v>
      </c>
      <c r="F1506" s="1" t="s">
        <v>4135</v>
      </c>
      <c r="G1506" s="39" t="s">
        <v>147</v>
      </c>
      <c r="H1506" s="1">
        <v>0</v>
      </c>
      <c r="I1506" s="1">
        <v>1</v>
      </c>
      <c r="J1506" s="39" t="s">
        <v>4084</v>
      </c>
      <c r="K1506" s="1">
        <v>1</v>
      </c>
      <c r="L1506" s="1">
        <v>0</v>
      </c>
      <c r="S1506" s="1" t="s">
        <v>10160</v>
      </c>
      <c r="T1506">
        <v>1</v>
      </c>
      <c r="U1506" s="19"/>
      <c r="V1506" s="19"/>
      <c r="W1506" s="218">
        <v>1</v>
      </c>
      <c r="X1506" s="218">
        <v>1</v>
      </c>
      <c r="Y1506" s="218">
        <v>1</v>
      </c>
    </row>
    <row r="1507" spans="1:25" ht="14.4" x14ac:dyDescent="0.3">
      <c r="A1507" s="1" t="s">
        <v>4136</v>
      </c>
      <c r="B1507" s="102">
        <v>46242</v>
      </c>
      <c r="C1507" s="6">
        <v>0.77083333333333304</v>
      </c>
      <c r="D1507" s="1" t="s">
        <v>17</v>
      </c>
      <c r="E1507" s="1" t="s">
        <v>4056</v>
      </c>
      <c r="F1507" s="1" t="s">
        <v>4137</v>
      </c>
      <c r="G1507" s="39" t="s">
        <v>4074</v>
      </c>
      <c r="H1507" s="1">
        <v>3</v>
      </c>
      <c r="I1507" s="1">
        <v>0</v>
      </c>
      <c r="J1507" s="39" t="s">
        <v>4101</v>
      </c>
      <c r="K1507" s="1">
        <v>0</v>
      </c>
      <c r="L1507" s="1">
        <v>3</v>
      </c>
      <c r="S1507" s="1" t="s">
        <v>10161</v>
      </c>
      <c r="T1507">
        <v>1</v>
      </c>
      <c r="U1507" s="19"/>
      <c r="V1507" s="19"/>
      <c r="W1507" s="218">
        <v>1</v>
      </c>
      <c r="X1507" s="218">
        <v>1</v>
      </c>
      <c r="Y1507" s="218">
        <v>1</v>
      </c>
    </row>
    <row r="1508" spans="1:25" ht="14.4" x14ac:dyDescent="0.3">
      <c r="A1508" s="1" t="s">
        <v>4138</v>
      </c>
      <c r="B1508" s="102">
        <v>46235</v>
      </c>
      <c r="C1508" s="6">
        <v>0.875</v>
      </c>
      <c r="D1508" s="1" t="s">
        <v>17</v>
      </c>
      <c r="E1508" s="1" t="s">
        <v>4056</v>
      </c>
      <c r="F1508" s="1" t="s">
        <v>4139</v>
      </c>
      <c r="G1508" s="39" t="s">
        <v>4071</v>
      </c>
      <c r="H1508" s="1">
        <v>0</v>
      </c>
      <c r="I1508" s="1">
        <v>2</v>
      </c>
      <c r="J1508" s="39" t="s">
        <v>4074</v>
      </c>
      <c r="K1508" s="1">
        <v>2</v>
      </c>
      <c r="L1508" s="1">
        <v>0</v>
      </c>
      <c r="S1508" s="1" t="s">
        <v>10162</v>
      </c>
      <c r="T1508">
        <v>1</v>
      </c>
      <c r="U1508" s="19"/>
      <c r="V1508" s="19"/>
      <c r="W1508" s="218">
        <v>1</v>
      </c>
      <c r="X1508" s="218">
        <v>1</v>
      </c>
      <c r="Y1508" s="218">
        <v>1</v>
      </c>
    </row>
    <row r="1509" spans="1:25" ht="14.4" x14ac:dyDescent="0.3">
      <c r="A1509" s="1" t="s">
        <v>4140</v>
      </c>
      <c r="B1509" s="102">
        <v>46226</v>
      </c>
      <c r="C1509" s="6">
        <v>0.77083333333333304</v>
      </c>
      <c r="D1509" s="1" t="s">
        <v>17</v>
      </c>
      <c r="E1509" s="1" t="s">
        <v>4056</v>
      </c>
      <c r="F1509" s="1" t="s">
        <v>4141</v>
      </c>
      <c r="G1509" s="39" t="s">
        <v>4065</v>
      </c>
      <c r="H1509" s="1">
        <v>2</v>
      </c>
      <c r="I1509" s="1">
        <v>1</v>
      </c>
      <c r="J1509" s="39" t="s">
        <v>4074</v>
      </c>
      <c r="K1509" s="1">
        <v>1</v>
      </c>
      <c r="L1509" s="1">
        <v>2</v>
      </c>
      <c r="S1509" s="1" t="s">
        <v>10163</v>
      </c>
      <c r="T1509">
        <v>1</v>
      </c>
      <c r="U1509" s="19"/>
      <c r="V1509" s="19"/>
      <c r="W1509" s="218">
        <v>1</v>
      </c>
      <c r="X1509" s="218">
        <v>1</v>
      </c>
      <c r="Y1509" s="218">
        <v>1</v>
      </c>
    </row>
    <row r="1510" spans="1:25" ht="14.4" x14ac:dyDescent="0.3">
      <c r="A1510" s="1" t="s">
        <v>4142</v>
      </c>
      <c r="B1510" s="102">
        <v>46222</v>
      </c>
      <c r="C1510" s="6">
        <v>0.57291666666666696</v>
      </c>
      <c r="D1510" s="1" t="s">
        <v>17</v>
      </c>
      <c r="E1510" s="1" t="s">
        <v>4056</v>
      </c>
      <c r="F1510" s="1" t="s">
        <v>4143</v>
      </c>
      <c r="G1510" s="39" t="s">
        <v>4068</v>
      </c>
      <c r="H1510" s="1">
        <v>0</v>
      </c>
      <c r="I1510" s="1">
        <v>1</v>
      </c>
      <c r="J1510" s="39" t="s">
        <v>4074</v>
      </c>
      <c r="K1510" s="1">
        <v>1</v>
      </c>
      <c r="L1510" s="1">
        <v>0</v>
      </c>
      <c r="S1510" s="1" t="s">
        <v>10164</v>
      </c>
      <c r="T1510">
        <v>1</v>
      </c>
      <c r="U1510" s="19"/>
      <c r="V1510" s="19"/>
      <c r="W1510" s="218">
        <v>1</v>
      </c>
      <c r="X1510" s="218">
        <v>1</v>
      </c>
      <c r="Y1510" s="218">
        <v>1</v>
      </c>
    </row>
    <row r="1511" spans="1:25" ht="14.4" x14ac:dyDescent="0.3">
      <c r="A1511" s="1" t="s">
        <v>4144</v>
      </c>
      <c r="B1511" s="102">
        <v>46215</v>
      </c>
      <c r="C1511" s="6">
        <v>0.67708333333333304</v>
      </c>
      <c r="D1511" s="1" t="s">
        <v>17</v>
      </c>
      <c r="E1511" s="1" t="s">
        <v>4056</v>
      </c>
      <c r="F1511" s="1" t="s">
        <v>4145</v>
      </c>
      <c r="G1511" s="39" t="s">
        <v>4062</v>
      </c>
      <c r="H1511" s="1">
        <v>0</v>
      </c>
      <c r="I1511" s="1">
        <v>1</v>
      </c>
      <c r="J1511" s="39" t="s">
        <v>4074</v>
      </c>
      <c r="K1511" s="1">
        <v>1</v>
      </c>
      <c r="L1511" s="1">
        <v>0</v>
      </c>
      <c r="S1511" s="1" t="s">
        <v>10165</v>
      </c>
      <c r="T1511">
        <v>1</v>
      </c>
      <c r="U1511" s="19"/>
      <c r="V1511" s="19"/>
      <c r="W1511" s="218">
        <v>1</v>
      </c>
      <c r="X1511" s="218">
        <v>1</v>
      </c>
      <c r="Y1511" s="218">
        <v>1</v>
      </c>
    </row>
    <row r="1512" spans="1:25" ht="14.4" x14ac:dyDescent="0.3">
      <c r="A1512" s="1" t="s">
        <v>4146</v>
      </c>
      <c r="B1512" s="102">
        <v>46210</v>
      </c>
      <c r="C1512" s="6">
        <v>0.875</v>
      </c>
      <c r="D1512" s="1" t="s">
        <v>17</v>
      </c>
      <c r="E1512" s="1" t="s">
        <v>4056</v>
      </c>
      <c r="F1512" s="1" t="s">
        <v>4147</v>
      </c>
      <c r="G1512" s="39" t="s">
        <v>4074</v>
      </c>
      <c r="H1512" s="1">
        <v>1</v>
      </c>
      <c r="I1512" s="1">
        <v>0</v>
      </c>
      <c r="J1512" s="39" t="s">
        <v>4080</v>
      </c>
      <c r="K1512" s="1">
        <v>0</v>
      </c>
      <c r="L1512" s="1">
        <v>1</v>
      </c>
      <c r="S1512" s="1" t="s">
        <v>10166</v>
      </c>
      <c r="T1512">
        <v>1</v>
      </c>
      <c r="U1512" s="19"/>
      <c r="V1512" s="19"/>
      <c r="W1512" s="218">
        <v>1</v>
      </c>
      <c r="X1512" s="218">
        <v>1</v>
      </c>
      <c r="Y1512" s="218">
        <v>1</v>
      </c>
    </row>
    <row r="1513" spans="1:25" ht="14.4" x14ac:dyDescent="0.3">
      <c r="A1513" s="1" t="s">
        <v>4148</v>
      </c>
      <c r="B1513" s="102">
        <v>46173</v>
      </c>
      <c r="C1513" s="6">
        <v>0.625</v>
      </c>
      <c r="D1513" s="1" t="s">
        <v>17</v>
      </c>
      <c r="E1513" s="1" t="s">
        <v>4056</v>
      </c>
      <c r="F1513" s="1" t="s">
        <v>4149</v>
      </c>
      <c r="G1513" s="39" t="s">
        <v>4077</v>
      </c>
      <c r="H1513" s="1">
        <v>0</v>
      </c>
      <c r="I1513" s="1">
        <v>0</v>
      </c>
      <c r="J1513" s="39" t="s">
        <v>4074</v>
      </c>
      <c r="K1513" s="1">
        <v>0</v>
      </c>
      <c r="L1513" s="1">
        <v>0</v>
      </c>
      <c r="S1513" s="1" t="s">
        <v>10167</v>
      </c>
      <c r="T1513">
        <v>1</v>
      </c>
      <c r="U1513" s="19"/>
      <c r="V1513" s="19"/>
      <c r="W1513" s="218">
        <v>1</v>
      </c>
      <c r="X1513" s="218">
        <v>1</v>
      </c>
      <c r="Y1513" s="218">
        <v>1</v>
      </c>
    </row>
    <row r="1514" spans="1:25" ht="14.4" x14ac:dyDescent="0.3">
      <c r="A1514" s="1" t="s">
        <v>4150</v>
      </c>
      <c r="B1514" s="102">
        <v>46167</v>
      </c>
      <c r="C1514" s="6">
        <v>0.875</v>
      </c>
      <c r="D1514" s="1" t="s">
        <v>17</v>
      </c>
      <c r="E1514" s="1" t="s">
        <v>4056</v>
      </c>
      <c r="F1514" s="1" t="s">
        <v>4151</v>
      </c>
      <c r="G1514" s="39" t="s">
        <v>4074</v>
      </c>
      <c r="H1514" s="1">
        <v>3</v>
      </c>
      <c r="I1514" s="1">
        <v>1</v>
      </c>
      <c r="J1514" s="39" t="s">
        <v>147</v>
      </c>
      <c r="K1514" s="1">
        <v>1</v>
      </c>
      <c r="L1514" s="1">
        <v>3</v>
      </c>
      <c r="S1514" s="1" t="s">
        <v>10168</v>
      </c>
      <c r="T1514">
        <v>1</v>
      </c>
      <c r="U1514" s="19"/>
      <c r="V1514" s="19"/>
      <c r="W1514" s="218">
        <v>1</v>
      </c>
      <c r="X1514" s="218">
        <v>1</v>
      </c>
      <c r="Y1514" s="218">
        <v>1</v>
      </c>
    </row>
    <row r="1515" spans="1:25" ht="14.4" x14ac:dyDescent="0.3">
      <c r="A1515" s="1" t="s">
        <v>4152</v>
      </c>
      <c r="B1515" s="102">
        <v>46158</v>
      </c>
      <c r="C1515" s="6">
        <v>0.875</v>
      </c>
      <c r="D1515" s="1" t="s">
        <v>17</v>
      </c>
      <c r="E1515" s="1" t="s">
        <v>4056</v>
      </c>
      <c r="F1515" s="1" t="s">
        <v>4153</v>
      </c>
      <c r="G1515" s="39" t="s">
        <v>4087</v>
      </c>
      <c r="H1515" s="1">
        <v>3</v>
      </c>
      <c r="I1515" s="1">
        <v>0</v>
      </c>
      <c r="J1515" s="39" t="s">
        <v>4074</v>
      </c>
      <c r="K1515" s="1">
        <v>0</v>
      </c>
      <c r="L1515" s="1">
        <v>3</v>
      </c>
      <c r="S1515" s="1" t="s">
        <v>10169</v>
      </c>
      <c r="T1515">
        <v>1</v>
      </c>
      <c r="U1515" s="19"/>
      <c r="V1515" s="19"/>
      <c r="W1515" s="218">
        <v>1</v>
      </c>
      <c r="X1515" s="218">
        <v>1</v>
      </c>
      <c r="Y1515" s="218">
        <v>1</v>
      </c>
    </row>
    <row r="1516" spans="1:25" ht="14.4" x14ac:dyDescent="0.3">
      <c r="A1516" s="1" t="s">
        <v>4154</v>
      </c>
      <c r="B1516" s="102">
        <v>46236</v>
      </c>
      <c r="C1516" s="6">
        <v>0.84027777777777801</v>
      </c>
      <c r="D1516" s="1" t="s">
        <v>17</v>
      </c>
      <c r="E1516" s="1" t="s">
        <v>4056</v>
      </c>
      <c r="F1516" s="1" t="s">
        <v>4155</v>
      </c>
      <c r="G1516" s="39" t="s">
        <v>4101</v>
      </c>
      <c r="H1516" s="1">
        <v>1</v>
      </c>
      <c r="I1516" s="1">
        <v>1</v>
      </c>
      <c r="J1516" s="39" t="s">
        <v>4087</v>
      </c>
      <c r="K1516" s="1">
        <v>1</v>
      </c>
      <c r="L1516" s="1">
        <v>1</v>
      </c>
      <c r="S1516" s="1" t="s">
        <v>10170</v>
      </c>
      <c r="T1516">
        <v>1</v>
      </c>
      <c r="U1516" s="19"/>
      <c r="V1516" s="19"/>
      <c r="W1516" s="218">
        <v>1</v>
      </c>
      <c r="X1516" s="218">
        <v>1</v>
      </c>
      <c r="Y1516" s="218">
        <v>1</v>
      </c>
    </row>
    <row r="1517" spans="1:25" ht="14.4" x14ac:dyDescent="0.3">
      <c r="A1517" s="1" t="s">
        <v>4156</v>
      </c>
      <c r="B1517" s="102">
        <v>46229</v>
      </c>
      <c r="C1517" s="6">
        <v>0.88541666666666696</v>
      </c>
      <c r="D1517" s="1" t="s">
        <v>17</v>
      </c>
      <c r="E1517" s="1" t="s">
        <v>4056</v>
      </c>
      <c r="F1517" s="1" t="s">
        <v>4157</v>
      </c>
      <c r="G1517" s="39" t="s">
        <v>4087</v>
      </c>
      <c r="H1517" s="1">
        <v>0</v>
      </c>
      <c r="I1517" s="1">
        <v>1</v>
      </c>
      <c r="J1517" s="39" t="s">
        <v>929</v>
      </c>
      <c r="K1517" s="1">
        <v>1</v>
      </c>
      <c r="L1517" s="1">
        <v>0</v>
      </c>
      <c r="S1517" s="1" t="s">
        <v>10171</v>
      </c>
      <c r="T1517">
        <v>1</v>
      </c>
      <c r="U1517" s="19"/>
      <c r="V1517" s="19"/>
      <c r="W1517" s="218">
        <v>1</v>
      </c>
      <c r="X1517" s="218">
        <v>1</v>
      </c>
      <c r="Y1517" s="218">
        <v>1</v>
      </c>
    </row>
    <row r="1518" spans="1:25" ht="14.4" x14ac:dyDescent="0.3">
      <c r="A1518" s="1" t="s">
        <v>4158</v>
      </c>
      <c r="B1518" s="102">
        <v>46221</v>
      </c>
      <c r="C1518" s="6">
        <v>0.875</v>
      </c>
      <c r="D1518" s="1" t="s">
        <v>17</v>
      </c>
      <c r="E1518" s="1" t="s">
        <v>4056</v>
      </c>
      <c r="F1518" s="1" t="s">
        <v>4207</v>
      </c>
      <c r="G1518" s="39" t="s">
        <v>4087</v>
      </c>
      <c r="H1518" s="1">
        <v>1</v>
      </c>
      <c r="I1518" s="1">
        <v>0</v>
      </c>
      <c r="J1518" s="39" t="s">
        <v>4206</v>
      </c>
      <c r="K1518" s="1">
        <v>0</v>
      </c>
      <c r="L1518" s="1">
        <v>1</v>
      </c>
      <c r="S1518" s="1" t="s">
        <v>10172</v>
      </c>
      <c r="T1518">
        <v>1</v>
      </c>
      <c r="U1518" s="19"/>
      <c r="V1518" s="19"/>
      <c r="W1518" s="218">
        <v>1</v>
      </c>
      <c r="X1518" s="218">
        <v>1</v>
      </c>
      <c r="Y1518" s="218">
        <v>1</v>
      </c>
    </row>
    <row r="1519" spans="1:25" ht="14.4" x14ac:dyDescent="0.3">
      <c r="A1519" s="1" t="s">
        <v>4159</v>
      </c>
      <c r="B1519" s="102">
        <v>46218</v>
      </c>
      <c r="C1519" s="6">
        <v>0.89583333333333304</v>
      </c>
      <c r="D1519" s="1" t="s">
        <v>17</v>
      </c>
      <c r="E1519" s="1" t="s">
        <v>4056</v>
      </c>
      <c r="F1519" s="1" t="s">
        <v>4160</v>
      </c>
      <c r="G1519" s="39" t="s">
        <v>4087</v>
      </c>
      <c r="H1519" s="1">
        <v>1</v>
      </c>
      <c r="I1519" s="1">
        <v>1</v>
      </c>
      <c r="J1519" s="39" t="s">
        <v>4080</v>
      </c>
      <c r="K1519" s="1">
        <v>1</v>
      </c>
      <c r="L1519" s="1">
        <v>1</v>
      </c>
      <c r="S1519" s="1" t="s">
        <v>10173</v>
      </c>
      <c r="T1519">
        <v>1</v>
      </c>
      <c r="U1519" s="19"/>
      <c r="V1519" s="19"/>
      <c r="W1519" s="218">
        <v>1</v>
      </c>
      <c r="X1519" s="218">
        <v>1</v>
      </c>
      <c r="Y1519" s="218">
        <v>1</v>
      </c>
    </row>
    <row r="1520" spans="1:25" ht="14.4" x14ac:dyDescent="0.3">
      <c r="A1520" s="1" t="s">
        <v>4161</v>
      </c>
      <c r="B1520" s="102">
        <v>46215</v>
      </c>
      <c r="C1520" s="6">
        <v>0.88194444444444398</v>
      </c>
      <c r="D1520" s="1" t="s">
        <v>17</v>
      </c>
      <c r="E1520" s="1" t="s">
        <v>4056</v>
      </c>
      <c r="F1520" s="1" t="s">
        <v>4162</v>
      </c>
      <c r="G1520" s="39" t="s">
        <v>4071</v>
      </c>
      <c r="H1520" s="1">
        <v>0</v>
      </c>
      <c r="I1520" s="1">
        <v>0</v>
      </c>
      <c r="J1520" s="39" t="s">
        <v>4087</v>
      </c>
      <c r="K1520" s="1">
        <v>0</v>
      </c>
      <c r="L1520" s="1">
        <v>0</v>
      </c>
      <c r="S1520" s="1" t="s">
        <v>10174</v>
      </c>
      <c r="T1520">
        <v>1</v>
      </c>
      <c r="U1520" s="19"/>
      <c r="V1520" s="19"/>
      <c r="W1520" s="218">
        <v>1</v>
      </c>
      <c r="X1520" s="218">
        <v>1</v>
      </c>
      <c r="Y1520" s="218">
        <v>1</v>
      </c>
    </row>
    <row r="1521" spans="1:25" ht="14.4" x14ac:dyDescent="0.3">
      <c r="A1521" s="1" t="s">
        <v>4163</v>
      </c>
      <c r="B1521" s="102">
        <v>46207</v>
      </c>
      <c r="C1521" s="6">
        <v>0.875</v>
      </c>
      <c r="D1521" s="1" t="s">
        <v>17</v>
      </c>
      <c r="E1521" s="1" t="s">
        <v>4056</v>
      </c>
      <c r="F1521" s="1" t="s">
        <v>4164</v>
      </c>
      <c r="G1521" s="39" t="s">
        <v>4087</v>
      </c>
      <c r="H1521" s="1">
        <v>2</v>
      </c>
      <c r="I1521" s="1">
        <v>0</v>
      </c>
      <c r="J1521" s="39" t="s">
        <v>4062</v>
      </c>
      <c r="K1521" s="1">
        <v>0</v>
      </c>
      <c r="L1521" s="1">
        <v>2</v>
      </c>
      <c r="S1521" s="1" t="s">
        <v>10175</v>
      </c>
      <c r="T1521">
        <v>1</v>
      </c>
      <c r="U1521" s="19"/>
      <c r="V1521" s="19"/>
      <c r="W1521" s="218">
        <v>1</v>
      </c>
      <c r="X1521" s="218">
        <v>1</v>
      </c>
      <c r="Y1521" s="218">
        <v>1</v>
      </c>
    </row>
    <row r="1522" spans="1:25" ht="14.4" x14ac:dyDescent="0.3">
      <c r="A1522" s="1" t="s">
        <v>4165</v>
      </c>
      <c r="B1522" s="102">
        <v>46174</v>
      </c>
      <c r="C1522" s="6">
        <v>0.89583333333333304</v>
      </c>
      <c r="D1522" s="1" t="s">
        <v>17</v>
      </c>
      <c r="E1522" s="1" t="s">
        <v>4056</v>
      </c>
      <c r="F1522" s="1" t="s">
        <v>4166</v>
      </c>
      <c r="G1522" s="39" t="s">
        <v>4068</v>
      </c>
      <c r="H1522" s="1">
        <v>1</v>
      </c>
      <c r="I1522" s="1">
        <v>0</v>
      </c>
      <c r="J1522" s="39" t="s">
        <v>4087</v>
      </c>
      <c r="K1522" s="1">
        <v>0</v>
      </c>
      <c r="L1522" s="1">
        <v>1</v>
      </c>
      <c r="S1522" s="1" t="s">
        <v>10176</v>
      </c>
      <c r="T1522">
        <v>1</v>
      </c>
      <c r="U1522" s="19"/>
      <c r="V1522" s="19"/>
      <c r="W1522" s="218">
        <v>1</v>
      </c>
      <c r="X1522" s="218">
        <v>1</v>
      </c>
      <c r="Y1522" s="218">
        <v>1</v>
      </c>
    </row>
    <row r="1523" spans="1:25" ht="14.4" x14ac:dyDescent="0.3">
      <c r="A1523" s="1" t="s">
        <v>4167</v>
      </c>
      <c r="B1523" s="102">
        <v>46166</v>
      </c>
      <c r="C1523" s="6">
        <v>0.84027777777777801</v>
      </c>
      <c r="D1523" s="1" t="s">
        <v>17</v>
      </c>
      <c r="E1523" s="1" t="s">
        <v>4056</v>
      </c>
      <c r="F1523" s="1" t="s">
        <v>4168</v>
      </c>
      <c r="G1523" s="39" t="s">
        <v>928</v>
      </c>
      <c r="H1523" s="1">
        <v>1</v>
      </c>
      <c r="I1523" s="1">
        <v>2</v>
      </c>
      <c r="J1523" s="39" t="s">
        <v>4087</v>
      </c>
      <c r="K1523" s="1">
        <v>2</v>
      </c>
      <c r="L1523" s="1">
        <v>1</v>
      </c>
      <c r="S1523" s="1" t="s">
        <v>10177</v>
      </c>
      <c r="T1523">
        <v>1</v>
      </c>
      <c r="U1523" s="19"/>
      <c r="V1523" s="19"/>
      <c r="W1523" s="218">
        <v>1</v>
      </c>
      <c r="X1523" s="218">
        <v>1</v>
      </c>
      <c r="Y1523" s="218">
        <v>1</v>
      </c>
    </row>
    <row r="1524" spans="1:25" ht="14.4" x14ac:dyDescent="0.3">
      <c r="A1524" s="1" t="s">
        <v>4169</v>
      </c>
      <c r="B1524" s="102">
        <v>46225</v>
      </c>
      <c r="C1524" s="6">
        <v>0.875</v>
      </c>
      <c r="D1524" s="1" t="s">
        <v>17</v>
      </c>
      <c r="E1524" s="1" t="s">
        <v>4056</v>
      </c>
      <c r="F1524" s="1" t="s">
        <v>4170</v>
      </c>
      <c r="G1524" s="39" t="s">
        <v>147</v>
      </c>
      <c r="H1524" s="1">
        <v>1</v>
      </c>
      <c r="I1524" s="1">
        <v>1</v>
      </c>
      <c r="J1524" s="39" t="s">
        <v>929</v>
      </c>
      <c r="K1524" s="1">
        <v>1</v>
      </c>
      <c r="L1524" s="1">
        <v>1</v>
      </c>
      <c r="S1524" s="1" t="s">
        <v>10178</v>
      </c>
      <c r="T1524">
        <v>1</v>
      </c>
      <c r="U1524" s="19"/>
      <c r="V1524" s="19"/>
      <c r="W1524" s="218">
        <v>1</v>
      </c>
      <c r="X1524" s="218">
        <v>1</v>
      </c>
      <c r="Y1524" s="218">
        <v>1</v>
      </c>
    </row>
    <row r="1525" spans="1:25" ht="14.4" x14ac:dyDescent="0.3">
      <c r="A1525" s="1" t="s">
        <v>4171</v>
      </c>
      <c r="B1525" s="102">
        <v>46221</v>
      </c>
      <c r="C1525" s="6">
        <v>0.77083333333333304</v>
      </c>
      <c r="D1525" s="1" t="s">
        <v>17</v>
      </c>
      <c r="E1525" s="1" t="s">
        <v>4056</v>
      </c>
      <c r="F1525" s="1" t="s">
        <v>4172</v>
      </c>
      <c r="G1525" s="39" t="s">
        <v>929</v>
      </c>
      <c r="H1525" s="1">
        <v>0</v>
      </c>
      <c r="I1525" s="1">
        <v>1</v>
      </c>
      <c r="J1525" s="39" t="s">
        <v>4101</v>
      </c>
      <c r="K1525" s="1">
        <v>1</v>
      </c>
      <c r="L1525" s="1">
        <v>0</v>
      </c>
      <c r="S1525" s="1" t="s">
        <v>10179</v>
      </c>
      <c r="T1525">
        <v>1</v>
      </c>
      <c r="U1525" s="19"/>
      <c r="V1525" s="19"/>
      <c r="W1525" s="218">
        <v>1</v>
      </c>
      <c r="X1525" s="218">
        <v>1</v>
      </c>
      <c r="Y1525" s="218">
        <v>1</v>
      </c>
    </row>
    <row r="1526" spans="1:25" ht="14.4" x14ac:dyDescent="0.3">
      <c r="A1526" s="1" t="s">
        <v>4173</v>
      </c>
      <c r="B1526" s="102">
        <v>46204</v>
      </c>
      <c r="C1526" s="6">
        <v>0.79166666666666696</v>
      </c>
      <c r="D1526" s="1" t="s">
        <v>17</v>
      </c>
      <c r="E1526" s="1" t="s">
        <v>4056</v>
      </c>
      <c r="F1526" s="1" t="s">
        <v>4174</v>
      </c>
      <c r="G1526" s="39" t="s">
        <v>929</v>
      </c>
      <c r="H1526" s="1">
        <v>3</v>
      </c>
      <c r="I1526" s="1">
        <v>0</v>
      </c>
      <c r="J1526" s="39" t="s">
        <v>4065</v>
      </c>
      <c r="K1526" s="1">
        <v>0</v>
      </c>
      <c r="L1526" s="1">
        <v>3</v>
      </c>
      <c r="S1526" s="1" t="s">
        <v>10180</v>
      </c>
      <c r="T1526">
        <v>1</v>
      </c>
      <c r="U1526" s="19"/>
      <c r="V1526" s="19"/>
      <c r="W1526" s="218">
        <v>1</v>
      </c>
      <c r="X1526" s="218">
        <v>1</v>
      </c>
      <c r="Y1526" s="218">
        <v>1</v>
      </c>
    </row>
    <row r="1527" spans="1:25" ht="14.4" x14ac:dyDescent="0.3">
      <c r="A1527" s="1" t="s">
        <v>4175</v>
      </c>
      <c r="B1527" s="102">
        <v>46165</v>
      </c>
      <c r="C1527" s="6">
        <v>0.875</v>
      </c>
      <c r="D1527" s="1" t="s">
        <v>17</v>
      </c>
      <c r="E1527" s="1" t="s">
        <v>4056</v>
      </c>
      <c r="F1527" s="1" t="s">
        <v>4176</v>
      </c>
      <c r="G1527" s="39" t="s">
        <v>4062</v>
      </c>
      <c r="H1527" s="1">
        <v>1</v>
      </c>
      <c r="I1527" s="1">
        <v>1</v>
      </c>
      <c r="J1527" s="39" t="s">
        <v>929</v>
      </c>
      <c r="K1527" s="1">
        <v>1</v>
      </c>
      <c r="L1527" s="1">
        <v>1</v>
      </c>
      <c r="S1527" s="1" t="s">
        <v>10181</v>
      </c>
      <c r="T1527">
        <v>1</v>
      </c>
      <c r="U1527" s="19"/>
      <c r="V1527" s="19"/>
      <c r="W1527" s="218">
        <v>1</v>
      </c>
      <c r="X1527" s="218">
        <v>1</v>
      </c>
      <c r="Y1527" s="218">
        <v>1</v>
      </c>
    </row>
    <row r="1528" spans="1:25" ht="14.4" x14ac:dyDescent="0.3">
      <c r="A1528" s="1" t="s">
        <v>4177</v>
      </c>
      <c r="B1528" s="102">
        <v>46157</v>
      </c>
      <c r="C1528" s="6">
        <v>0.77083333333333304</v>
      </c>
      <c r="D1528" s="1" t="s">
        <v>17</v>
      </c>
      <c r="E1528" s="1" t="s">
        <v>4056</v>
      </c>
      <c r="F1528" s="1" t="s">
        <v>4178</v>
      </c>
      <c r="G1528" s="39" t="s">
        <v>929</v>
      </c>
      <c r="H1528" s="1">
        <v>2</v>
      </c>
      <c r="I1528" s="1">
        <v>1</v>
      </c>
      <c r="J1528" s="39" t="s">
        <v>4068</v>
      </c>
      <c r="K1528" s="1">
        <v>1</v>
      </c>
      <c r="L1528" s="1">
        <v>2</v>
      </c>
      <c r="S1528" s="1" t="s">
        <v>10182</v>
      </c>
      <c r="T1528">
        <v>1</v>
      </c>
      <c r="U1528" s="19"/>
      <c r="V1528" s="19"/>
      <c r="W1528" s="218">
        <v>1</v>
      </c>
      <c r="X1528" s="218">
        <v>1</v>
      </c>
      <c r="Y1528" s="218">
        <v>1</v>
      </c>
    </row>
    <row r="1529" spans="1:25" ht="14.4" x14ac:dyDescent="0.3">
      <c r="A1529" s="1" t="s">
        <v>4179</v>
      </c>
      <c r="B1529" s="102">
        <v>46153</v>
      </c>
      <c r="C1529" s="6">
        <v>0.875</v>
      </c>
      <c r="D1529" s="1" t="s">
        <v>17</v>
      </c>
      <c r="E1529" s="1" t="s">
        <v>4056</v>
      </c>
      <c r="F1529" s="1" t="s">
        <v>4180</v>
      </c>
      <c r="G1529" s="39" t="s">
        <v>4077</v>
      </c>
      <c r="H1529" s="1">
        <v>1</v>
      </c>
      <c r="I1529" s="1">
        <v>3</v>
      </c>
      <c r="J1529" s="39" t="s">
        <v>929</v>
      </c>
      <c r="K1529" s="1">
        <v>3</v>
      </c>
      <c r="L1529" s="1">
        <v>1</v>
      </c>
      <c r="S1529" s="1" t="s">
        <v>10183</v>
      </c>
      <c r="T1529">
        <v>1</v>
      </c>
      <c r="U1529" s="19"/>
      <c r="V1529" s="19"/>
      <c r="W1529" s="218">
        <v>1</v>
      </c>
      <c r="X1529" s="218">
        <v>1</v>
      </c>
      <c r="Y1529" s="218">
        <v>1</v>
      </c>
    </row>
    <row r="1530" spans="1:25" ht="14.4" x14ac:dyDescent="0.3">
      <c r="A1530" s="1" t="s">
        <v>4181</v>
      </c>
      <c r="B1530" s="102">
        <v>46144</v>
      </c>
      <c r="C1530" s="6">
        <v>0.77083333333333304</v>
      </c>
      <c r="D1530" s="1" t="s">
        <v>17</v>
      </c>
      <c r="E1530" s="1" t="s">
        <v>4056</v>
      </c>
      <c r="F1530" s="1" t="s">
        <v>4182</v>
      </c>
      <c r="G1530" s="39" t="s">
        <v>929</v>
      </c>
      <c r="H1530" s="1">
        <v>1</v>
      </c>
      <c r="I1530" s="1">
        <v>0</v>
      </c>
      <c r="J1530" s="39" t="s">
        <v>4080</v>
      </c>
      <c r="K1530" s="1">
        <v>0</v>
      </c>
      <c r="L1530" s="1">
        <v>1</v>
      </c>
      <c r="S1530" s="1" t="s">
        <v>10184</v>
      </c>
      <c r="T1530">
        <v>1</v>
      </c>
      <c r="U1530" s="19"/>
      <c r="V1530" s="19"/>
      <c r="W1530" s="218">
        <v>0</v>
      </c>
      <c r="X1530" s="218">
        <v>0</v>
      </c>
      <c r="Y1530" s="218">
        <v>0</v>
      </c>
    </row>
    <row r="1531" spans="1:25" ht="14.4" x14ac:dyDescent="0.3">
      <c r="A1531" s="1" t="s">
        <v>4183</v>
      </c>
      <c r="B1531" s="102">
        <v>46229</v>
      </c>
      <c r="C1531" s="6">
        <v>0.63541666666666696</v>
      </c>
      <c r="D1531" s="1" t="s">
        <v>17</v>
      </c>
      <c r="E1531" s="1" t="s">
        <v>4056</v>
      </c>
      <c r="F1531" s="1" t="s">
        <v>4184</v>
      </c>
      <c r="G1531" s="39" t="s">
        <v>928</v>
      </c>
      <c r="H1531" s="1">
        <v>0</v>
      </c>
      <c r="I1531" s="1">
        <v>1</v>
      </c>
      <c r="J1531" s="39" t="s">
        <v>4101</v>
      </c>
      <c r="K1531" s="1">
        <v>1</v>
      </c>
      <c r="L1531" s="1">
        <v>0</v>
      </c>
      <c r="S1531" s="1" t="s">
        <v>10185</v>
      </c>
      <c r="T1531">
        <v>1</v>
      </c>
      <c r="U1531" s="19"/>
      <c r="V1531" s="19"/>
      <c r="W1531" s="218">
        <v>1</v>
      </c>
      <c r="X1531" s="218">
        <v>1</v>
      </c>
      <c r="Y1531" s="218">
        <v>1</v>
      </c>
    </row>
    <row r="1532" spans="1:25" ht="14.4" x14ac:dyDescent="0.3">
      <c r="A1532" s="1" t="s">
        <v>4185</v>
      </c>
      <c r="B1532" s="102">
        <v>46226</v>
      </c>
      <c r="C1532" s="6">
        <v>0.77083333333333304</v>
      </c>
      <c r="D1532" s="1" t="s">
        <v>17</v>
      </c>
      <c r="E1532" s="1" t="s">
        <v>4056</v>
      </c>
      <c r="F1532" s="1" t="s">
        <v>4186</v>
      </c>
      <c r="G1532" s="39" t="s">
        <v>4101</v>
      </c>
      <c r="H1532" s="1">
        <v>1</v>
      </c>
      <c r="I1532" s="1">
        <v>1</v>
      </c>
      <c r="J1532" s="39" t="s">
        <v>4080</v>
      </c>
      <c r="K1532" s="1">
        <v>1</v>
      </c>
      <c r="L1532" s="1">
        <v>1</v>
      </c>
      <c r="S1532" s="1" t="s">
        <v>10186</v>
      </c>
      <c r="T1532">
        <v>1</v>
      </c>
      <c r="U1532" s="19"/>
      <c r="V1532" s="19"/>
      <c r="W1532" s="218">
        <v>1</v>
      </c>
      <c r="X1532" s="218">
        <v>1</v>
      </c>
      <c r="Y1532" s="218">
        <v>1</v>
      </c>
    </row>
    <row r="1533" spans="1:25" ht="14.4" x14ac:dyDescent="0.3">
      <c r="A1533" s="1" t="s">
        <v>4187</v>
      </c>
      <c r="B1533" s="102">
        <v>46218</v>
      </c>
      <c r="C1533" s="6">
        <v>0.79166666666666696</v>
      </c>
      <c r="D1533" s="1" t="s">
        <v>17</v>
      </c>
      <c r="E1533" s="1" t="s">
        <v>4056</v>
      </c>
      <c r="F1533" s="1" t="s">
        <v>4188</v>
      </c>
      <c r="G1533" s="39" t="s">
        <v>4101</v>
      </c>
      <c r="H1533" s="1">
        <v>1</v>
      </c>
      <c r="I1533" s="1">
        <v>1</v>
      </c>
      <c r="J1533" s="39" t="s">
        <v>4062</v>
      </c>
      <c r="K1533" s="1">
        <v>1</v>
      </c>
      <c r="L1533" s="1">
        <v>1</v>
      </c>
      <c r="S1533" s="1" t="s">
        <v>10187</v>
      </c>
      <c r="T1533">
        <v>1</v>
      </c>
      <c r="U1533" s="19"/>
      <c r="V1533" s="19"/>
      <c r="W1533" s="218">
        <v>1</v>
      </c>
      <c r="X1533" s="218">
        <v>1</v>
      </c>
      <c r="Y1533" s="218">
        <v>1</v>
      </c>
    </row>
    <row r="1534" spans="1:25" ht="14.4" x14ac:dyDescent="0.3">
      <c r="A1534" s="1" t="s">
        <v>4189</v>
      </c>
      <c r="B1534" s="102">
        <v>46207</v>
      </c>
      <c r="C1534" s="6">
        <v>0.66666666666666696</v>
      </c>
      <c r="D1534" s="1" t="s">
        <v>17</v>
      </c>
      <c r="E1534" s="1" t="s">
        <v>4056</v>
      </c>
      <c r="F1534" s="1" t="s">
        <v>4208</v>
      </c>
      <c r="G1534" s="39" t="s">
        <v>4206</v>
      </c>
      <c r="H1534" s="1">
        <v>1</v>
      </c>
      <c r="I1534" s="1">
        <v>3</v>
      </c>
      <c r="J1534" s="39" t="s">
        <v>4101</v>
      </c>
      <c r="K1534" s="1">
        <v>3</v>
      </c>
      <c r="L1534" s="1">
        <v>1</v>
      </c>
      <c r="S1534" s="1" t="s">
        <v>10188</v>
      </c>
      <c r="T1534">
        <v>1</v>
      </c>
      <c r="U1534" s="19"/>
      <c r="V1534" s="19"/>
      <c r="W1534" s="218">
        <v>1</v>
      </c>
      <c r="X1534" s="218">
        <v>1</v>
      </c>
      <c r="Y1534" s="218">
        <v>1</v>
      </c>
    </row>
    <row r="1535" spans="1:25" ht="14.4" x14ac:dyDescent="0.3">
      <c r="A1535" s="1" t="s">
        <v>4190</v>
      </c>
      <c r="B1535" s="102">
        <v>46166</v>
      </c>
      <c r="C1535" s="6">
        <v>0.625</v>
      </c>
      <c r="D1535" s="1" t="s">
        <v>17</v>
      </c>
      <c r="E1535" s="1" t="s">
        <v>4056</v>
      </c>
      <c r="F1535" s="1" t="s">
        <v>4191</v>
      </c>
      <c r="G1535" s="39" t="s">
        <v>4068</v>
      </c>
      <c r="H1535" s="1">
        <v>2</v>
      </c>
      <c r="I1535" s="1">
        <v>1</v>
      </c>
      <c r="J1535" s="39" t="s">
        <v>4101</v>
      </c>
      <c r="K1535" s="1">
        <v>1</v>
      </c>
      <c r="L1535" s="1">
        <v>2</v>
      </c>
      <c r="S1535" s="1" t="s">
        <v>10189</v>
      </c>
      <c r="T1535">
        <v>1</v>
      </c>
      <c r="U1535" s="19"/>
      <c r="V1535" s="19"/>
      <c r="W1535" s="218">
        <v>1</v>
      </c>
      <c r="X1535" s="218">
        <v>1</v>
      </c>
      <c r="Y1535" s="218">
        <v>1</v>
      </c>
    </row>
    <row r="1536" spans="1:25" ht="14.4" x14ac:dyDescent="0.3">
      <c r="A1536" s="1" t="s">
        <v>4192</v>
      </c>
      <c r="B1536" s="102">
        <v>46159</v>
      </c>
      <c r="C1536" s="6">
        <v>0.625</v>
      </c>
      <c r="D1536" s="1" t="s">
        <v>17</v>
      </c>
      <c r="E1536" s="1" t="s">
        <v>4056</v>
      </c>
      <c r="F1536" s="1" t="s">
        <v>4193</v>
      </c>
      <c r="G1536" s="39" t="s">
        <v>4101</v>
      </c>
      <c r="H1536" s="1">
        <v>3</v>
      </c>
      <c r="I1536" s="1">
        <v>1</v>
      </c>
      <c r="J1536" s="39" t="s">
        <v>4077</v>
      </c>
      <c r="K1536" s="1">
        <v>1</v>
      </c>
      <c r="L1536" s="1">
        <v>3</v>
      </c>
      <c r="S1536" s="1" t="s">
        <v>10190</v>
      </c>
      <c r="T1536">
        <v>1</v>
      </c>
      <c r="U1536" s="19"/>
      <c r="V1536" s="19"/>
      <c r="W1536" s="218">
        <v>1</v>
      </c>
      <c r="X1536" s="218">
        <v>1</v>
      </c>
      <c r="Y1536" s="218">
        <v>1</v>
      </c>
    </row>
    <row r="1537" spans="1:25" ht="14.4" x14ac:dyDescent="0.3">
      <c r="A1537" s="1" t="s">
        <v>4194</v>
      </c>
      <c r="B1537" s="102">
        <v>46150</v>
      </c>
      <c r="C1537" s="6">
        <v>0.875</v>
      </c>
      <c r="D1537" s="1" t="s">
        <v>17</v>
      </c>
      <c r="E1537" s="1" t="s">
        <v>4056</v>
      </c>
      <c r="F1537" s="1" t="s">
        <v>4195</v>
      </c>
      <c r="G1537" s="39" t="s">
        <v>4065</v>
      </c>
      <c r="H1537" s="1">
        <v>2</v>
      </c>
      <c r="I1537" s="1">
        <v>0</v>
      </c>
      <c r="J1537" s="39" t="s">
        <v>4101</v>
      </c>
      <c r="K1537" s="1">
        <v>0</v>
      </c>
      <c r="L1537" s="1">
        <v>2</v>
      </c>
      <c r="S1537" s="1" t="s">
        <v>10191</v>
      </c>
      <c r="T1537">
        <v>1</v>
      </c>
      <c r="U1537" s="19"/>
      <c r="V1537" s="19"/>
      <c r="W1537" s="218">
        <v>1</v>
      </c>
      <c r="X1537" s="218">
        <v>1</v>
      </c>
      <c r="Y1537" s="218">
        <v>1</v>
      </c>
    </row>
    <row r="1538" spans="1:25" ht="14.4" x14ac:dyDescent="0.3">
      <c r="A1538" s="1" t="s">
        <v>4196</v>
      </c>
      <c r="B1538" s="102">
        <v>46230</v>
      </c>
      <c r="C1538" s="6">
        <v>0.875</v>
      </c>
      <c r="D1538" s="1" t="s">
        <v>17</v>
      </c>
      <c r="E1538" s="1" t="s">
        <v>4056</v>
      </c>
      <c r="F1538" s="1" t="s">
        <v>4197</v>
      </c>
      <c r="G1538" s="39" t="s">
        <v>4062</v>
      </c>
      <c r="H1538" s="1">
        <v>2</v>
      </c>
      <c r="I1538" s="1">
        <v>1</v>
      </c>
      <c r="J1538" s="39" t="s">
        <v>4071</v>
      </c>
      <c r="K1538" s="1">
        <v>1</v>
      </c>
      <c r="L1538" s="1">
        <v>2</v>
      </c>
      <c r="S1538" s="1" t="s">
        <v>10192</v>
      </c>
      <c r="T1538">
        <v>1</v>
      </c>
      <c r="U1538" s="19"/>
      <c r="V1538" s="19"/>
      <c r="W1538" s="218">
        <v>1</v>
      </c>
      <c r="X1538" s="218">
        <v>1</v>
      </c>
      <c r="Y1538" s="218">
        <v>1</v>
      </c>
    </row>
    <row r="1539" spans="1:25" ht="14.4" x14ac:dyDescent="0.3">
      <c r="A1539" s="1" t="s">
        <v>4198</v>
      </c>
      <c r="B1539" s="102">
        <v>46172</v>
      </c>
      <c r="C1539" s="6">
        <v>0.875</v>
      </c>
      <c r="D1539" s="1" t="s">
        <v>17</v>
      </c>
      <c r="E1539" s="1" t="s">
        <v>4056</v>
      </c>
      <c r="F1539" s="1" t="s">
        <v>4199</v>
      </c>
      <c r="G1539" s="39" t="s">
        <v>4062</v>
      </c>
      <c r="H1539" s="1">
        <v>1</v>
      </c>
      <c r="I1539" s="1">
        <v>0</v>
      </c>
      <c r="J1539" s="39" t="s">
        <v>928</v>
      </c>
      <c r="K1539" s="1">
        <v>0</v>
      </c>
      <c r="L1539" s="1">
        <v>1</v>
      </c>
      <c r="S1539" s="1" t="s">
        <v>10193</v>
      </c>
      <c r="T1539">
        <v>1</v>
      </c>
      <c r="U1539" s="19"/>
      <c r="V1539" s="19"/>
      <c r="W1539" s="218">
        <v>1</v>
      </c>
      <c r="X1539" s="218">
        <v>1</v>
      </c>
      <c r="Y1539" s="218">
        <v>1</v>
      </c>
    </row>
    <row r="1540" spans="1:25" ht="14.4" x14ac:dyDescent="0.3">
      <c r="A1540" s="1" t="s">
        <v>4200</v>
      </c>
      <c r="B1540" s="102">
        <v>46157</v>
      </c>
      <c r="C1540" s="6">
        <v>0.875</v>
      </c>
      <c r="D1540" s="1" t="s">
        <v>17</v>
      </c>
      <c r="E1540" s="1" t="s">
        <v>4056</v>
      </c>
      <c r="F1540" s="1" t="s">
        <v>4209</v>
      </c>
      <c r="G1540" s="39" t="s">
        <v>4206</v>
      </c>
      <c r="H1540" s="1">
        <v>0</v>
      </c>
      <c r="I1540" s="1">
        <v>1</v>
      </c>
      <c r="J1540" s="39" t="s">
        <v>4062</v>
      </c>
      <c r="K1540" s="1">
        <v>1</v>
      </c>
      <c r="L1540" s="1">
        <v>0</v>
      </c>
      <c r="S1540" s="1" t="s">
        <v>10194</v>
      </c>
      <c r="T1540">
        <v>1</v>
      </c>
      <c r="U1540" s="19"/>
      <c r="V1540" s="19"/>
      <c r="W1540" s="218">
        <v>1</v>
      </c>
      <c r="X1540" s="218">
        <v>1</v>
      </c>
      <c r="Y1540" s="218">
        <v>1</v>
      </c>
    </row>
    <row r="1541" spans="1:25" ht="14.4" x14ac:dyDescent="0.3">
      <c r="A1541" s="1" t="s">
        <v>4201</v>
      </c>
      <c r="B1541" s="102">
        <v>46151</v>
      </c>
      <c r="C1541" s="6">
        <v>0.75</v>
      </c>
      <c r="D1541" s="1" t="s">
        <v>17</v>
      </c>
      <c r="E1541" s="1" t="s">
        <v>4056</v>
      </c>
      <c r="F1541" s="1" t="s">
        <v>4202</v>
      </c>
      <c r="G1541" s="39" t="s">
        <v>4080</v>
      </c>
      <c r="H1541" s="1">
        <v>0</v>
      </c>
      <c r="I1541" s="1">
        <v>1</v>
      </c>
      <c r="J1541" s="39" t="s">
        <v>4062</v>
      </c>
      <c r="K1541" s="1">
        <v>1</v>
      </c>
      <c r="L1541" s="1">
        <v>0</v>
      </c>
      <c r="S1541" s="1" t="s">
        <v>10195</v>
      </c>
      <c r="T1541">
        <v>1</v>
      </c>
      <c r="U1541" s="19"/>
      <c r="V1541" s="19"/>
      <c r="W1541" s="218">
        <v>1</v>
      </c>
      <c r="X1541" s="218">
        <v>1</v>
      </c>
      <c r="Y1541" s="218">
        <v>1</v>
      </c>
    </row>
    <row r="1542" spans="1:25" ht="14.4" x14ac:dyDescent="0.3">
      <c r="A1542" s="1" t="s">
        <v>4203</v>
      </c>
      <c r="B1542" s="102">
        <v>46144</v>
      </c>
      <c r="C1542" s="6">
        <v>0.66666666666666696</v>
      </c>
      <c r="D1542" s="1" t="s">
        <v>17</v>
      </c>
      <c r="E1542" s="1" t="s">
        <v>4056</v>
      </c>
      <c r="F1542" s="1" t="s">
        <v>4204</v>
      </c>
      <c r="G1542" s="39" t="s">
        <v>4062</v>
      </c>
      <c r="H1542" s="1">
        <v>2</v>
      </c>
      <c r="I1542" s="1">
        <v>1</v>
      </c>
      <c r="J1542" s="39" t="s">
        <v>4068</v>
      </c>
      <c r="K1542" s="1">
        <v>1</v>
      </c>
      <c r="L1542" s="1">
        <v>2</v>
      </c>
      <c r="S1542" s="1" t="s">
        <v>10196</v>
      </c>
      <c r="T1542">
        <v>1</v>
      </c>
      <c r="U1542" s="19"/>
      <c r="V1542" s="19"/>
      <c r="W1542" s="218">
        <v>0</v>
      </c>
      <c r="X1542" s="218">
        <v>0</v>
      </c>
      <c r="Y1542" s="218">
        <v>0</v>
      </c>
    </row>
    <row r="1543" spans="1:25" ht="14.4" x14ac:dyDescent="0.3">
      <c r="A1543" s="1" t="s">
        <v>4210</v>
      </c>
      <c r="B1543" s="102">
        <v>46234</v>
      </c>
      <c r="C1543" s="6">
        <v>0.875</v>
      </c>
      <c r="D1543" s="1" t="s">
        <v>17</v>
      </c>
      <c r="E1543" s="1" t="s">
        <v>4056</v>
      </c>
      <c r="F1543" s="1" t="s">
        <v>4211</v>
      </c>
      <c r="G1543" s="39" t="s">
        <v>4206</v>
      </c>
      <c r="H1543" s="1">
        <v>3</v>
      </c>
      <c r="I1543" s="1">
        <v>0</v>
      </c>
      <c r="J1543" s="39" t="s">
        <v>4065</v>
      </c>
      <c r="K1543" s="1">
        <v>0</v>
      </c>
      <c r="L1543" s="1">
        <v>3</v>
      </c>
      <c r="S1543" s="1" t="s">
        <v>10197</v>
      </c>
      <c r="T1543">
        <v>1</v>
      </c>
      <c r="U1543" s="19"/>
      <c r="V1543" s="19"/>
      <c r="W1543" s="218">
        <v>1</v>
      </c>
      <c r="X1543" s="218">
        <v>1</v>
      </c>
      <c r="Y1543" s="218">
        <v>1</v>
      </c>
    </row>
    <row r="1544" spans="1:25" ht="14.4" x14ac:dyDescent="0.3">
      <c r="A1544" s="1" t="s">
        <v>4212</v>
      </c>
      <c r="B1544" s="102">
        <v>46230</v>
      </c>
      <c r="C1544" s="6">
        <v>0.66666666666666696</v>
      </c>
      <c r="D1544" s="1" t="s">
        <v>17</v>
      </c>
      <c r="E1544" s="1" t="s">
        <v>4056</v>
      </c>
      <c r="F1544" s="1" t="s">
        <v>4213</v>
      </c>
      <c r="G1544" s="39" t="s">
        <v>4077</v>
      </c>
      <c r="H1544" s="1">
        <v>0</v>
      </c>
      <c r="I1544" s="1">
        <v>2</v>
      </c>
      <c r="J1544" s="39" t="s">
        <v>4206</v>
      </c>
      <c r="K1544" s="1">
        <v>2</v>
      </c>
      <c r="L1544" s="1">
        <v>0</v>
      </c>
      <c r="S1544" s="1" t="s">
        <v>10198</v>
      </c>
      <c r="T1544">
        <v>1</v>
      </c>
      <c r="U1544" s="19"/>
      <c r="V1544" s="19"/>
      <c r="W1544" s="218">
        <v>1</v>
      </c>
      <c r="X1544" s="218">
        <v>1</v>
      </c>
      <c r="Y1544" s="218">
        <v>1</v>
      </c>
    </row>
    <row r="1545" spans="1:25" ht="14.4" x14ac:dyDescent="0.3">
      <c r="A1545" s="1" t="s">
        <v>4214</v>
      </c>
      <c r="B1545" s="102">
        <v>46224</v>
      </c>
      <c r="C1545" s="6">
        <v>0.77083333333333304</v>
      </c>
      <c r="D1545" s="1" t="s">
        <v>17</v>
      </c>
      <c r="E1545" s="1" t="s">
        <v>4056</v>
      </c>
      <c r="F1545" s="1" t="s">
        <v>4215</v>
      </c>
      <c r="G1545" s="39" t="s">
        <v>4206</v>
      </c>
      <c r="H1545" s="1">
        <v>1</v>
      </c>
      <c r="I1545" s="1">
        <v>0</v>
      </c>
      <c r="J1545" s="39" t="s">
        <v>928</v>
      </c>
      <c r="K1545" s="1">
        <v>0</v>
      </c>
      <c r="L1545" s="1">
        <v>1</v>
      </c>
      <c r="S1545" s="1" t="s">
        <v>10199</v>
      </c>
      <c r="T1545">
        <v>1</v>
      </c>
      <c r="U1545" s="19"/>
      <c r="V1545" s="19"/>
      <c r="W1545" s="218">
        <v>1</v>
      </c>
      <c r="X1545" s="218">
        <v>1</v>
      </c>
      <c r="Y1545" s="218">
        <v>1</v>
      </c>
    </row>
    <row r="1546" spans="1:25" ht="14.4" x14ac:dyDescent="0.3">
      <c r="A1546" s="1" t="s">
        <v>4216</v>
      </c>
      <c r="B1546" s="102">
        <v>46218</v>
      </c>
      <c r="C1546" s="6">
        <v>0.58333333333333304</v>
      </c>
      <c r="D1546" s="1" t="s">
        <v>17</v>
      </c>
      <c r="E1546" s="1" t="s">
        <v>4056</v>
      </c>
      <c r="F1546" s="1" t="s">
        <v>4217</v>
      </c>
      <c r="G1546" s="39" t="s">
        <v>4206</v>
      </c>
      <c r="H1546" s="1">
        <v>1</v>
      </c>
      <c r="I1546" s="1">
        <v>0</v>
      </c>
      <c r="J1546" s="39" t="s">
        <v>4068</v>
      </c>
      <c r="K1546" s="1">
        <v>0</v>
      </c>
      <c r="L1546" s="1">
        <v>1</v>
      </c>
      <c r="S1546" s="1" t="s">
        <v>10200</v>
      </c>
      <c r="T1546">
        <v>1</v>
      </c>
      <c r="U1546" s="19"/>
      <c r="V1546" s="19"/>
      <c r="W1546" s="218">
        <v>1</v>
      </c>
      <c r="X1546" s="218">
        <v>1</v>
      </c>
      <c r="Y1546" s="218">
        <v>1</v>
      </c>
    </row>
    <row r="1547" spans="1:25" ht="14.4" x14ac:dyDescent="0.3">
      <c r="A1547" s="1" t="s">
        <v>4218</v>
      </c>
      <c r="B1547" s="102">
        <v>46215</v>
      </c>
      <c r="C1547" s="6">
        <v>0.58333333333333304</v>
      </c>
      <c r="D1547" s="1" t="s">
        <v>17</v>
      </c>
      <c r="E1547" s="1" t="s">
        <v>4056</v>
      </c>
      <c r="F1547" s="1" t="s">
        <v>4219</v>
      </c>
      <c r="G1547" s="39" t="s">
        <v>929</v>
      </c>
      <c r="H1547" s="1">
        <v>0</v>
      </c>
      <c r="I1547" s="1">
        <v>0</v>
      </c>
      <c r="J1547" s="39" t="s">
        <v>4206</v>
      </c>
      <c r="K1547" s="1">
        <v>0</v>
      </c>
      <c r="L1547" s="1">
        <v>0</v>
      </c>
      <c r="S1547" s="1" t="s">
        <v>10201</v>
      </c>
      <c r="T1547">
        <v>1</v>
      </c>
      <c r="U1547" s="19"/>
      <c r="V1547" s="19"/>
      <c r="W1547" s="218">
        <v>1</v>
      </c>
      <c r="X1547" s="218">
        <v>1</v>
      </c>
      <c r="Y1547" s="218">
        <v>1</v>
      </c>
    </row>
    <row r="1548" spans="1:25" ht="14.4" x14ac:dyDescent="0.3">
      <c r="A1548" s="1" t="s">
        <v>4220</v>
      </c>
      <c r="B1548" s="102">
        <v>46172</v>
      </c>
      <c r="C1548" s="6">
        <v>0.66666666666666696</v>
      </c>
      <c r="D1548" s="1" t="s">
        <v>17</v>
      </c>
      <c r="E1548" s="1" t="s">
        <v>4056</v>
      </c>
      <c r="F1548" s="1" t="s">
        <v>4221</v>
      </c>
      <c r="G1548" s="39" t="s">
        <v>147</v>
      </c>
      <c r="H1548" s="1">
        <v>2</v>
      </c>
      <c r="I1548" s="1">
        <v>1</v>
      </c>
      <c r="J1548" s="39" t="s">
        <v>4206</v>
      </c>
      <c r="K1548" s="1">
        <v>1</v>
      </c>
      <c r="L1548" s="1">
        <v>2</v>
      </c>
      <c r="S1548" s="1" t="s">
        <v>10202</v>
      </c>
      <c r="T1548">
        <v>1</v>
      </c>
      <c r="U1548" s="19"/>
      <c r="V1548" s="19"/>
      <c r="W1548" s="218">
        <v>1</v>
      </c>
      <c r="X1548" s="218">
        <v>1</v>
      </c>
      <c r="Y1548" s="218">
        <v>1</v>
      </c>
    </row>
    <row r="1549" spans="1:25" ht="14.4" x14ac:dyDescent="0.3">
      <c r="A1549" s="1" t="s">
        <v>4222</v>
      </c>
      <c r="B1549" s="102">
        <v>46152</v>
      </c>
      <c r="C1549" s="6">
        <v>0.72916666666666696</v>
      </c>
      <c r="D1549" s="1" t="s">
        <v>17</v>
      </c>
      <c r="E1549" s="1" t="s">
        <v>4056</v>
      </c>
      <c r="F1549" s="1" t="s">
        <v>4223</v>
      </c>
      <c r="G1549" s="39" t="s">
        <v>4071</v>
      </c>
      <c r="H1549" s="1">
        <v>1</v>
      </c>
      <c r="I1549" s="1">
        <v>1</v>
      </c>
      <c r="J1549" s="39" t="s">
        <v>4206</v>
      </c>
      <c r="K1549" s="1">
        <v>1</v>
      </c>
      <c r="L1549" s="1">
        <v>1</v>
      </c>
      <c r="S1549" s="1" t="s">
        <v>10203</v>
      </c>
      <c r="T1549">
        <v>1</v>
      </c>
      <c r="U1549" s="19"/>
      <c r="V1549" s="19"/>
      <c r="W1549" s="218">
        <v>1</v>
      </c>
      <c r="X1549" s="218">
        <v>1</v>
      </c>
      <c r="Y1549" s="218">
        <v>1</v>
      </c>
    </row>
    <row r="1550" spans="1:25" ht="14.4" x14ac:dyDescent="0.3">
      <c r="A1550" s="1" t="s">
        <v>4224</v>
      </c>
      <c r="B1550" s="102">
        <v>46143</v>
      </c>
      <c r="C1550" s="6">
        <v>0.875</v>
      </c>
      <c r="D1550" s="1" t="s">
        <v>17</v>
      </c>
      <c r="E1550" s="1" t="s">
        <v>4056</v>
      </c>
      <c r="F1550" s="1" t="s">
        <v>4225</v>
      </c>
      <c r="G1550" s="39" t="s">
        <v>4206</v>
      </c>
      <c r="H1550" s="1">
        <v>3</v>
      </c>
      <c r="I1550" s="1">
        <v>2</v>
      </c>
      <c r="J1550" s="39" t="s">
        <v>4074</v>
      </c>
      <c r="K1550" s="1">
        <v>2</v>
      </c>
      <c r="L1550" s="1">
        <v>3</v>
      </c>
      <c r="S1550" s="1" t="s">
        <v>10204</v>
      </c>
      <c r="T1550">
        <v>1</v>
      </c>
      <c r="U1550" s="19"/>
      <c r="V1550" s="19"/>
      <c r="W1550" s="218">
        <v>0</v>
      </c>
      <c r="X1550" s="218">
        <v>0</v>
      </c>
      <c r="Y1550" s="218">
        <v>0</v>
      </c>
    </row>
    <row r="1551" spans="1:25" ht="14.4" x14ac:dyDescent="0.3">
      <c r="A1551" s="1" t="s">
        <v>4226</v>
      </c>
      <c r="B1551" s="102">
        <v>46235</v>
      </c>
      <c r="C1551" s="6">
        <v>0.66666666666666696</v>
      </c>
      <c r="D1551" s="1" t="s">
        <v>17</v>
      </c>
      <c r="E1551" s="1" t="s">
        <v>4056</v>
      </c>
      <c r="F1551" s="1" t="s">
        <v>4227</v>
      </c>
      <c r="G1551" s="39" t="s">
        <v>147</v>
      </c>
      <c r="H1551" s="1">
        <v>1</v>
      </c>
      <c r="I1551" s="1">
        <v>2</v>
      </c>
      <c r="J1551" s="39" t="s">
        <v>4077</v>
      </c>
      <c r="K1551" s="1">
        <v>2</v>
      </c>
      <c r="L1551" s="1">
        <v>1</v>
      </c>
      <c r="S1551" s="1" t="s">
        <v>10205</v>
      </c>
      <c r="T1551">
        <v>1</v>
      </c>
      <c r="U1551" s="19"/>
      <c r="V1551" s="19"/>
      <c r="W1551" s="218">
        <v>1</v>
      </c>
      <c r="X1551" s="218">
        <v>1</v>
      </c>
      <c r="Y1551" s="218">
        <v>1</v>
      </c>
    </row>
    <row r="1552" spans="1:25" ht="14.4" x14ac:dyDescent="0.3">
      <c r="A1552" s="1" t="s">
        <v>4228</v>
      </c>
      <c r="B1552" s="102">
        <v>46226</v>
      </c>
      <c r="C1552" s="6">
        <v>0.875</v>
      </c>
      <c r="D1552" s="1" t="s">
        <v>17</v>
      </c>
      <c r="E1552" s="1" t="s">
        <v>4056</v>
      </c>
      <c r="F1552" s="1" t="s">
        <v>4229</v>
      </c>
      <c r="G1552" s="39" t="s">
        <v>4071</v>
      </c>
      <c r="H1552" s="1">
        <v>1</v>
      </c>
      <c r="I1552" s="1">
        <v>1</v>
      </c>
      <c r="J1552" s="39" t="s">
        <v>4077</v>
      </c>
      <c r="K1552" s="1">
        <v>1</v>
      </c>
      <c r="L1552" s="1">
        <v>1</v>
      </c>
      <c r="S1552" s="1" t="s">
        <v>10206</v>
      </c>
      <c r="T1552">
        <v>1</v>
      </c>
      <c r="U1552" s="19"/>
      <c r="V1552" s="19"/>
      <c r="W1552" s="218">
        <v>1</v>
      </c>
      <c r="X1552" s="218">
        <v>1</v>
      </c>
      <c r="Y1552" s="218">
        <v>1</v>
      </c>
    </row>
    <row r="1553" spans="1:25" ht="14.4" x14ac:dyDescent="0.3">
      <c r="A1553" s="1" t="s">
        <v>4230</v>
      </c>
      <c r="B1553" s="102">
        <v>46223</v>
      </c>
      <c r="C1553" s="6">
        <v>0.66666666666666696</v>
      </c>
      <c r="D1553" s="1" t="s">
        <v>17</v>
      </c>
      <c r="E1553" s="1" t="s">
        <v>4056</v>
      </c>
      <c r="F1553" s="1" t="s">
        <v>4231</v>
      </c>
      <c r="G1553" s="39" t="s">
        <v>4077</v>
      </c>
      <c r="H1553" s="1">
        <v>2</v>
      </c>
      <c r="I1553" s="1">
        <v>1</v>
      </c>
      <c r="J1553" s="39" t="s">
        <v>4065</v>
      </c>
      <c r="K1553" s="1">
        <v>1</v>
      </c>
      <c r="L1553" s="1">
        <v>2</v>
      </c>
      <c r="S1553" s="1" t="s">
        <v>10207</v>
      </c>
      <c r="T1553">
        <v>1</v>
      </c>
      <c r="U1553" s="19"/>
      <c r="V1553" s="19"/>
      <c r="W1553" s="218">
        <v>1</v>
      </c>
      <c r="X1553" s="218">
        <v>1</v>
      </c>
      <c r="Y1553" s="218">
        <v>1</v>
      </c>
    </row>
    <row r="1554" spans="1:25" ht="14.4" x14ac:dyDescent="0.3">
      <c r="A1554" s="1" t="s">
        <v>4232</v>
      </c>
      <c r="B1554" s="102">
        <v>46165</v>
      </c>
      <c r="C1554" s="6">
        <v>0.66666666666666696</v>
      </c>
      <c r="D1554" s="1" t="s">
        <v>17</v>
      </c>
      <c r="E1554" s="1" t="s">
        <v>4056</v>
      </c>
      <c r="F1554" s="1" t="s">
        <v>4233</v>
      </c>
      <c r="G1554" s="39" t="s">
        <v>4077</v>
      </c>
      <c r="H1554" s="1">
        <v>2</v>
      </c>
      <c r="I1554" s="1">
        <v>2</v>
      </c>
      <c r="J1554" s="39" t="s">
        <v>4080</v>
      </c>
      <c r="K1554" s="1">
        <v>2</v>
      </c>
      <c r="L1554" s="1">
        <v>2</v>
      </c>
      <c r="S1554" s="1" t="s">
        <v>10208</v>
      </c>
      <c r="T1554">
        <v>1</v>
      </c>
      <c r="U1554" s="19"/>
      <c r="V1554" s="19"/>
      <c r="W1554" s="218">
        <v>1</v>
      </c>
      <c r="X1554" s="218">
        <v>1</v>
      </c>
      <c r="Y1554" s="218">
        <v>1</v>
      </c>
    </row>
    <row r="1555" spans="1:25" ht="14.4" x14ac:dyDescent="0.3">
      <c r="A1555" s="1" t="s">
        <v>4234</v>
      </c>
      <c r="B1555" s="102">
        <v>46145</v>
      </c>
      <c r="C1555" s="6">
        <v>0.72916666666666696</v>
      </c>
      <c r="D1555" s="1" t="s">
        <v>17</v>
      </c>
      <c r="E1555" s="1" t="s">
        <v>4056</v>
      </c>
      <c r="F1555" s="1" t="s">
        <v>4235</v>
      </c>
      <c r="G1555" s="39" t="s">
        <v>928</v>
      </c>
      <c r="H1555" s="1">
        <v>1</v>
      </c>
      <c r="I1555" s="1">
        <v>0</v>
      </c>
      <c r="J1555" s="39" t="s">
        <v>4077</v>
      </c>
      <c r="K1555" s="1">
        <v>0</v>
      </c>
      <c r="L1555" s="1">
        <v>1</v>
      </c>
      <c r="S1555" s="1" t="s">
        <v>10209</v>
      </c>
      <c r="T1555">
        <v>1</v>
      </c>
      <c r="U1555" s="19"/>
      <c r="V1555" s="19"/>
      <c r="W1555" s="218">
        <v>0</v>
      </c>
      <c r="X1555" s="218">
        <v>0</v>
      </c>
      <c r="Y1555" s="218">
        <v>0</v>
      </c>
    </row>
    <row r="1556" spans="1:25" ht="14.4" x14ac:dyDescent="0.3">
      <c r="A1556" s="1" t="s">
        <v>4236</v>
      </c>
      <c r="B1556" s="102">
        <v>46222</v>
      </c>
      <c r="C1556" s="6">
        <v>0.78125</v>
      </c>
      <c r="D1556" s="1" t="s">
        <v>17</v>
      </c>
      <c r="E1556" s="1" t="s">
        <v>4056</v>
      </c>
      <c r="F1556" s="1" t="s">
        <v>4237</v>
      </c>
      <c r="G1556" s="39" t="s">
        <v>4080</v>
      </c>
      <c r="H1556" s="1">
        <v>1</v>
      </c>
      <c r="I1556" s="1">
        <v>0</v>
      </c>
      <c r="J1556" s="39" t="s">
        <v>147</v>
      </c>
      <c r="K1556" s="1">
        <v>0</v>
      </c>
      <c r="L1556" s="1">
        <v>1</v>
      </c>
      <c r="S1556" s="1" t="s">
        <v>10210</v>
      </c>
      <c r="T1556">
        <v>1</v>
      </c>
      <c r="U1556" s="19"/>
      <c r="V1556" s="19"/>
      <c r="W1556" s="218">
        <v>1</v>
      </c>
      <c r="X1556" s="218">
        <v>1</v>
      </c>
      <c r="Y1556" s="218">
        <v>1</v>
      </c>
    </row>
    <row r="1557" spans="1:25" ht="14.4" x14ac:dyDescent="0.3">
      <c r="A1557" s="1" t="s">
        <v>4238</v>
      </c>
      <c r="B1557" s="102">
        <v>46214</v>
      </c>
      <c r="C1557" s="6">
        <v>0.83333333333333304</v>
      </c>
      <c r="D1557" s="1" t="s">
        <v>17</v>
      </c>
      <c r="E1557" s="1" t="s">
        <v>4056</v>
      </c>
      <c r="F1557" s="1" t="s">
        <v>4239</v>
      </c>
      <c r="G1557" s="39" t="s">
        <v>4080</v>
      </c>
      <c r="H1557" s="1">
        <v>2</v>
      </c>
      <c r="I1557" s="1">
        <v>1</v>
      </c>
      <c r="J1557" s="39" t="s">
        <v>928</v>
      </c>
      <c r="K1557" s="1">
        <v>1</v>
      </c>
      <c r="L1557" s="1">
        <v>2</v>
      </c>
      <c r="S1557" s="1" t="s">
        <v>10211</v>
      </c>
      <c r="T1557">
        <v>1</v>
      </c>
      <c r="U1557" s="19"/>
      <c r="V1557" s="19"/>
      <c r="W1557" s="218">
        <v>1</v>
      </c>
      <c r="X1557" s="218">
        <v>1</v>
      </c>
      <c r="Y1557" s="218">
        <v>1</v>
      </c>
    </row>
    <row r="1558" spans="1:25" ht="14.4" x14ac:dyDescent="0.3">
      <c r="A1558" s="1" t="s">
        <v>4240</v>
      </c>
      <c r="B1558" s="102">
        <v>46160</v>
      </c>
      <c r="C1558" s="6">
        <v>0.875</v>
      </c>
      <c r="D1558" s="1" t="s">
        <v>17</v>
      </c>
      <c r="E1558" s="1" t="s">
        <v>4056</v>
      </c>
      <c r="F1558" s="1" t="s">
        <v>4241</v>
      </c>
      <c r="G1558" s="39" t="s">
        <v>4080</v>
      </c>
      <c r="H1558" s="1">
        <v>0</v>
      </c>
      <c r="I1558" s="1">
        <v>1</v>
      </c>
      <c r="J1558" s="39" t="s">
        <v>4065</v>
      </c>
      <c r="K1558" s="1">
        <v>1</v>
      </c>
      <c r="L1558" s="1">
        <v>0</v>
      </c>
      <c r="S1558" s="1" t="s">
        <v>10212</v>
      </c>
      <c r="T1558">
        <v>1</v>
      </c>
      <c r="U1558" s="19"/>
      <c r="V1558" s="19"/>
      <c r="W1558" s="218">
        <v>1</v>
      </c>
      <c r="X1558" s="218">
        <v>1</v>
      </c>
      <c r="Y1558" s="218">
        <v>1</v>
      </c>
    </row>
    <row r="1559" spans="1:25" x14ac:dyDescent="0.3">
      <c r="A1559" s="1" t="s">
        <v>4242</v>
      </c>
      <c r="B1559" s="102">
        <v>46243</v>
      </c>
      <c r="C1559" s="6">
        <v>0.79166666666666696</v>
      </c>
      <c r="D1559" s="1" t="s">
        <v>17</v>
      </c>
      <c r="E1559" s="1" t="s">
        <v>4056</v>
      </c>
      <c r="F1559" s="1" t="s">
        <v>4243</v>
      </c>
      <c r="G1559" s="39" t="s">
        <v>4080</v>
      </c>
      <c r="H1559" s="1">
        <v>0</v>
      </c>
      <c r="I1559" s="1">
        <v>0</v>
      </c>
      <c r="J1559" s="39" t="s">
        <v>4071</v>
      </c>
      <c r="K1559" s="1">
        <v>0</v>
      </c>
      <c r="L1559" s="1">
        <v>0</v>
      </c>
      <c r="S1559" s="1" t="s">
        <v>10213</v>
      </c>
      <c r="T1559" s="1">
        <v>1</v>
      </c>
      <c r="U1559" s="19"/>
      <c r="V1559" s="19"/>
      <c r="W1559" s="218">
        <v>1</v>
      </c>
      <c r="X1559" s="218">
        <v>1</v>
      </c>
      <c r="Y1559" s="218">
        <v>1</v>
      </c>
    </row>
    <row r="1560" spans="1:25" x14ac:dyDescent="0.3">
      <c r="A1560" s="1" t="s">
        <v>4244</v>
      </c>
      <c r="B1560" s="102">
        <v>46219</v>
      </c>
      <c r="C1560" s="6">
        <v>0.70833333333333304</v>
      </c>
      <c r="D1560" s="1" t="s">
        <v>17</v>
      </c>
      <c r="E1560" s="1" t="s">
        <v>4056</v>
      </c>
      <c r="F1560" s="1" t="s">
        <v>4245</v>
      </c>
      <c r="G1560" s="39" t="s">
        <v>4065</v>
      </c>
      <c r="H1560" s="1">
        <v>0</v>
      </c>
      <c r="I1560" s="1">
        <v>2</v>
      </c>
      <c r="J1560" s="39" t="s">
        <v>4071</v>
      </c>
      <c r="K1560" s="1">
        <v>2</v>
      </c>
      <c r="L1560" s="1">
        <v>0</v>
      </c>
      <c r="S1560" s="1" t="s">
        <v>10214</v>
      </c>
      <c r="T1560" s="1">
        <v>1</v>
      </c>
      <c r="U1560" s="19"/>
      <c r="V1560" s="19"/>
      <c r="W1560" s="218">
        <v>1</v>
      </c>
      <c r="X1560" s="218">
        <v>1</v>
      </c>
      <c r="Y1560" s="218">
        <v>1</v>
      </c>
    </row>
    <row r="1561" spans="1:25" x14ac:dyDescent="0.3">
      <c r="A1561" s="1" t="s">
        <v>4246</v>
      </c>
      <c r="B1561" s="102">
        <v>46208</v>
      </c>
      <c r="C1561" s="6">
        <v>0.625</v>
      </c>
      <c r="D1561" s="1" t="s">
        <v>17</v>
      </c>
      <c r="E1561" s="1" t="s">
        <v>4056</v>
      </c>
      <c r="F1561" s="1" t="s">
        <v>4247</v>
      </c>
      <c r="G1561" s="39" t="s">
        <v>928</v>
      </c>
      <c r="H1561" s="1">
        <v>1</v>
      </c>
      <c r="I1561" s="1">
        <v>1</v>
      </c>
      <c r="J1561" s="39" t="s">
        <v>4071</v>
      </c>
      <c r="K1561" s="1">
        <v>1</v>
      </c>
      <c r="L1561" s="1">
        <v>1</v>
      </c>
      <c r="S1561" s="1" t="s">
        <v>10215</v>
      </c>
      <c r="T1561" s="1">
        <v>1</v>
      </c>
      <c r="U1561" s="19"/>
      <c r="V1561" s="19"/>
      <c r="W1561" s="218">
        <v>1</v>
      </c>
      <c r="X1561" s="218">
        <v>1</v>
      </c>
      <c r="Y1561" s="218">
        <v>1</v>
      </c>
    </row>
    <row r="1562" spans="1:25" x14ac:dyDescent="0.3">
      <c r="A1562" s="1" t="s">
        <v>4248</v>
      </c>
      <c r="B1562" s="102">
        <v>46159</v>
      </c>
      <c r="C1562" s="6">
        <v>0.84027777777777801</v>
      </c>
      <c r="D1562" s="1" t="s">
        <v>17</v>
      </c>
      <c r="E1562" s="1" t="s">
        <v>4056</v>
      </c>
      <c r="F1562" s="1" t="s">
        <v>4249</v>
      </c>
      <c r="G1562" s="39" t="s">
        <v>147</v>
      </c>
      <c r="H1562" s="1">
        <v>0</v>
      </c>
      <c r="I1562" s="1">
        <v>0</v>
      </c>
      <c r="J1562" s="39" t="s">
        <v>4071</v>
      </c>
      <c r="K1562" s="1">
        <v>0</v>
      </c>
      <c r="L1562" s="1">
        <v>0</v>
      </c>
      <c r="S1562" s="1" t="s">
        <v>10216</v>
      </c>
      <c r="T1562" s="1">
        <v>1</v>
      </c>
      <c r="U1562" s="19"/>
      <c r="V1562" s="19"/>
      <c r="W1562" s="218">
        <v>1</v>
      </c>
      <c r="X1562" s="218">
        <v>1</v>
      </c>
      <c r="Y1562" s="218">
        <v>1</v>
      </c>
    </row>
    <row r="1563" spans="1:25" x14ac:dyDescent="0.3">
      <c r="A1563" s="1" t="s">
        <v>4250</v>
      </c>
      <c r="B1563" s="102">
        <v>46217</v>
      </c>
      <c r="C1563" s="6">
        <v>0.875</v>
      </c>
      <c r="D1563" s="1" t="s">
        <v>17</v>
      </c>
      <c r="E1563" s="1" t="s">
        <v>4056</v>
      </c>
      <c r="F1563" s="1" t="s">
        <v>4251</v>
      </c>
      <c r="G1563" s="39" t="s">
        <v>147</v>
      </c>
      <c r="H1563" s="1">
        <v>0</v>
      </c>
      <c r="I1563" s="1">
        <v>1</v>
      </c>
      <c r="J1563" s="39" t="s">
        <v>928</v>
      </c>
      <c r="K1563" s="1">
        <v>1</v>
      </c>
      <c r="L1563" s="1">
        <v>0</v>
      </c>
      <c r="S1563" s="1" t="s">
        <v>10217</v>
      </c>
      <c r="T1563" s="1">
        <v>1</v>
      </c>
      <c r="U1563" s="19"/>
      <c r="V1563" s="19"/>
      <c r="W1563" s="218">
        <v>1</v>
      </c>
      <c r="X1563" s="218">
        <v>1</v>
      </c>
      <c r="Y1563" s="218">
        <v>1</v>
      </c>
    </row>
    <row r="1564" spans="1:25" x14ac:dyDescent="0.3">
      <c r="A1564" s="1" t="s">
        <v>4252</v>
      </c>
      <c r="B1564" s="102">
        <v>46151</v>
      </c>
      <c r="C1564" s="6">
        <v>0.64583333333333304</v>
      </c>
      <c r="D1564" s="1" t="s">
        <v>17</v>
      </c>
      <c r="E1564" s="1" t="s">
        <v>4056</v>
      </c>
      <c r="F1564" s="1" t="s">
        <v>4253</v>
      </c>
      <c r="G1564" s="39" t="s">
        <v>4068</v>
      </c>
      <c r="H1564" s="1">
        <v>4</v>
      </c>
      <c r="I1564" s="1">
        <v>0</v>
      </c>
      <c r="J1564" s="39" t="s">
        <v>928</v>
      </c>
      <c r="K1564" s="1">
        <v>0</v>
      </c>
      <c r="L1564" s="1">
        <v>4</v>
      </c>
      <c r="S1564" s="1" t="s">
        <v>10218</v>
      </c>
      <c r="T1564" s="1">
        <v>1</v>
      </c>
      <c r="U1564" s="19"/>
      <c r="V1564" s="19"/>
      <c r="W1564" s="218">
        <v>1</v>
      </c>
      <c r="X1564" s="218">
        <v>1</v>
      </c>
      <c r="Y1564" s="218">
        <v>1</v>
      </c>
    </row>
    <row r="1565" spans="1:25" x14ac:dyDescent="0.3">
      <c r="A1565" s="1" t="s">
        <v>4254</v>
      </c>
      <c r="B1565" s="102">
        <v>46228</v>
      </c>
      <c r="C1565" s="6">
        <v>0.875</v>
      </c>
      <c r="D1565" s="1" t="s">
        <v>17</v>
      </c>
      <c r="E1565" s="1" t="s">
        <v>4056</v>
      </c>
      <c r="F1565" s="1" t="s">
        <v>4255</v>
      </c>
      <c r="G1565" s="39" t="s">
        <v>4068</v>
      </c>
      <c r="H1565" s="1">
        <v>1</v>
      </c>
      <c r="I1565" s="1">
        <v>0</v>
      </c>
      <c r="J1565" s="39" t="s">
        <v>147</v>
      </c>
      <c r="K1565" s="1">
        <v>0</v>
      </c>
      <c r="L1565" s="1">
        <v>1</v>
      </c>
      <c r="S1565" s="1" t="s">
        <v>10219</v>
      </c>
      <c r="T1565" s="1">
        <v>1</v>
      </c>
      <c r="U1565" s="19"/>
      <c r="V1565" s="19"/>
      <c r="W1565" s="218">
        <v>1</v>
      </c>
      <c r="X1565" s="218">
        <v>1</v>
      </c>
      <c r="Y1565" s="218">
        <v>1</v>
      </c>
    </row>
    <row r="1566" spans="1:25" x14ac:dyDescent="0.3">
      <c r="A1566" s="1" t="s">
        <v>4256</v>
      </c>
      <c r="B1566" s="102">
        <v>46209</v>
      </c>
      <c r="C1566" s="6">
        <v>0.875</v>
      </c>
      <c r="D1566" s="1" t="s">
        <v>17</v>
      </c>
      <c r="E1566" s="1" t="s">
        <v>4056</v>
      </c>
      <c r="F1566" s="1" t="s">
        <v>4257</v>
      </c>
      <c r="G1566" s="39" t="s">
        <v>4065</v>
      </c>
      <c r="H1566" s="1">
        <v>1</v>
      </c>
      <c r="I1566" s="1">
        <v>2</v>
      </c>
      <c r="J1566" s="39" t="s">
        <v>4068</v>
      </c>
      <c r="K1566" s="1">
        <v>2</v>
      </c>
      <c r="L1566" s="1">
        <v>1</v>
      </c>
      <c r="S1566" s="1" t="s">
        <v>10220</v>
      </c>
      <c r="T1566" s="1">
        <v>1</v>
      </c>
      <c r="U1566" s="19"/>
      <c r="V1566" s="19"/>
      <c r="W1566" s="218">
        <v>1</v>
      </c>
      <c r="X1566" s="218">
        <v>1</v>
      </c>
      <c r="Y1566" s="218">
        <v>1</v>
      </c>
    </row>
    <row r="1567" spans="1:25" x14ac:dyDescent="0.3">
      <c r="A1567" s="1" t="s">
        <v>4258</v>
      </c>
      <c r="B1567" s="102">
        <v>46243</v>
      </c>
      <c r="C1567" s="6">
        <v>0.75</v>
      </c>
      <c r="D1567" s="1" t="s">
        <v>17</v>
      </c>
      <c r="E1567" s="1" t="s">
        <v>4056</v>
      </c>
      <c r="F1567" s="1" t="s">
        <v>4259</v>
      </c>
      <c r="G1567" s="39" t="s">
        <v>928</v>
      </c>
      <c r="H1567" s="1">
        <v>1</v>
      </c>
      <c r="I1567" s="1">
        <v>1</v>
      </c>
      <c r="J1567" s="39" t="s">
        <v>4065</v>
      </c>
      <c r="K1567" s="1">
        <v>1</v>
      </c>
      <c r="L1567" s="1">
        <v>1</v>
      </c>
      <c r="S1567" s="1" t="s">
        <v>10221</v>
      </c>
      <c r="T1567" s="1">
        <v>1</v>
      </c>
      <c r="U1567" s="19"/>
      <c r="V1567" s="19"/>
      <c r="W1567" s="218">
        <v>1</v>
      </c>
      <c r="X1567" s="218">
        <v>1</v>
      </c>
      <c r="Y1567" s="218">
        <v>1</v>
      </c>
    </row>
    <row r="1568" spans="1:25" x14ac:dyDescent="0.3">
      <c r="A1568" s="1" t="s">
        <v>4260</v>
      </c>
      <c r="B1568" s="102">
        <v>46214</v>
      </c>
      <c r="C1568" s="6">
        <v>0.58333333333333304</v>
      </c>
      <c r="D1568" s="1" t="s">
        <v>17</v>
      </c>
      <c r="E1568" s="1" t="s">
        <v>4056</v>
      </c>
      <c r="F1568" s="1" t="s">
        <v>4261</v>
      </c>
      <c r="G1568" s="39" t="s">
        <v>147</v>
      </c>
      <c r="H1568" s="1">
        <v>0</v>
      </c>
      <c r="I1568" s="1">
        <v>0</v>
      </c>
      <c r="J1568" s="39" t="s">
        <v>4065</v>
      </c>
      <c r="K1568" s="1">
        <v>0</v>
      </c>
      <c r="L1568" s="1">
        <v>0</v>
      </c>
      <c r="S1568" s="1" t="s">
        <v>10222</v>
      </c>
      <c r="T1568" s="1">
        <v>1</v>
      </c>
      <c r="U1568" s="19"/>
      <c r="V1568" s="19"/>
      <c r="W1568" s="218">
        <v>1</v>
      </c>
      <c r="X1568" s="218">
        <v>1</v>
      </c>
      <c r="Y1568" s="218">
        <v>1</v>
      </c>
    </row>
    <row r="1569" spans="1:25" x14ac:dyDescent="0.3">
      <c r="A1569" s="1" t="s">
        <v>4262</v>
      </c>
      <c r="B1569" s="102">
        <v>46144</v>
      </c>
      <c r="C1569" s="6">
        <v>0.875</v>
      </c>
      <c r="D1569" s="1" t="s">
        <v>17</v>
      </c>
      <c r="E1569" s="1" t="s">
        <v>4056</v>
      </c>
      <c r="F1569" s="1" t="s">
        <v>4263</v>
      </c>
      <c r="G1569" s="39" t="s">
        <v>4087</v>
      </c>
      <c r="H1569" s="1">
        <v>1</v>
      </c>
      <c r="I1569" s="1">
        <v>1</v>
      </c>
      <c r="J1569" s="39" t="s">
        <v>147</v>
      </c>
      <c r="K1569" s="1">
        <v>1</v>
      </c>
      <c r="L1569" s="1">
        <v>1</v>
      </c>
      <c r="S1569" s="1" t="s">
        <v>10223</v>
      </c>
      <c r="T1569" s="1">
        <v>1</v>
      </c>
      <c r="U1569" s="19"/>
      <c r="V1569" s="19"/>
      <c r="W1569" s="218">
        <v>0</v>
      </c>
      <c r="X1569" s="218">
        <v>0</v>
      </c>
      <c r="Y1569" s="218">
        <v>0</v>
      </c>
    </row>
    <row r="1570" spans="1:25" x14ac:dyDescent="0.3">
      <c r="A1570" s="1" t="s">
        <v>4297</v>
      </c>
      <c r="B1570" s="102">
        <v>46242</v>
      </c>
      <c r="C1570" s="6">
        <v>0.45833333333333298</v>
      </c>
      <c r="D1570" s="1" t="s">
        <v>24</v>
      </c>
      <c r="E1570" s="1" t="s">
        <v>4289</v>
      </c>
      <c r="F1570" s="1" t="s">
        <v>4298</v>
      </c>
      <c r="G1570" s="39" t="s">
        <v>734</v>
      </c>
      <c r="H1570" s="1">
        <v>1</v>
      </c>
      <c r="I1570" s="1">
        <v>1</v>
      </c>
      <c r="J1570" s="39" t="s">
        <v>4293</v>
      </c>
      <c r="K1570" s="1">
        <v>1</v>
      </c>
      <c r="L1570" s="1">
        <v>1</v>
      </c>
      <c r="S1570" s="1" t="s">
        <v>10224</v>
      </c>
      <c r="T1570" s="1">
        <v>1</v>
      </c>
      <c r="U1570" s="19"/>
      <c r="V1570" s="19"/>
      <c r="W1570" s="218">
        <v>1</v>
      </c>
      <c r="X1570" s="218">
        <v>1</v>
      </c>
      <c r="Y1570" s="218">
        <v>1</v>
      </c>
    </row>
    <row r="1571" spans="1:25" x14ac:dyDescent="0.3">
      <c r="A1571" s="1" t="s">
        <v>4299</v>
      </c>
      <c r="B1571" s="102">
        <v>46226</v>
      </c>
      <c r="C1571" s="6">
        <v>0.67708333333333304</v>
      </c>
      <c r="D1571" s="1" t="s">
        <v>24</v>
      </c>
      <c r="E1571" s="1" t="s">
        <v>4289</v>
      </c>
      <c r="F1571" s="1" t="s">
        <v>4300</v>
      </c>
      <c r="G1571" s="39" t="s">
        <v>702</v>
      </c>
      <c r="H1571" s="1">
        <v>1</v>
      </c>
      <c r="I1571" s="1">
        <v>5</v>
      </c>
      <c r="J1571" s="39" t="s">
        <v>4293</v>
      </c>
      <c r="K1571" s="1">
        <v>5</v>
      </c>
      <c r="L1571" s="1">
        <v>1</v>
      </c>
      <c r="S1571" s="1" t="s">
        <v>10225</v>
      </c>
      <c r="T1571" s="1">
        <v>1</v>
      </c>
      <c r="U1571" s="19"/>
      <c r="V1571" s="19"/>
      <c r="W1571" s="218">
        <v>1</v>
      </c>
      <c r="X1571" s="218">
        <v>1</v>
      </c>
      <c r="Y1571" s="218">
        <v>1</v>
      </c>
    </row>
    <row r="1572" spans="1:25" x14ac:dyDescent="0.3">
      <c r="A1572" s="1" t="s">
        <v>4301</v>
      </c>
      <c r="B1572" s="102">
        <v>46221</v>
      </c>
      <c r="C1572" s="6">
        <v>0.54166666666666696</v>
      </c>
      <c r="D1572" s="1" t="s">
        <v>24</v>
      </c>
      <c r="E1572" s="1" t="s">
        <v>4289</v>
      </c>
      <c r="F1572" s="1" t="s">
        <v>4302</v>
      </c>
      <c r="G1572" s="39" t="s">
        <v>4293</v>
      </c>
      <c r="H1572" s="1">
        <v>1</v>
      </c>
      <c r="I1572" s="1">
        <v>0</v>
      </c>
      <c r="J1572" s="39" t="s">
        <v>718</v>
      </c>
      <c r="K1572" s="1">
        <v>0</v>
      </c>
      <c r="L1572" s="1">
        <v>1</v>
      </c>
      <c r="S1572" s="1" t="s">
        <v>10226</v>
      </c>
      <c r="T1572" s="1">
        <v>1</v>
      </c>
      <c r="U1572" s="19"/>
      <c r="V1572" s="19"/>
      <c r="W1572" s="218">
        <v>1</v>
      </c>
      <c r="X1572" s="218">
        <v>1</v>
      </c>
      <c r="Y1572" s="218">
        <v>1</v>
      </c>
    </row>
    <row r="1573" spans="1:25" x14ac:dyDescent="0.3">
      <c r="A1573" s="1" t="s">
        <v>4303</v>
      </c>
      <c r="B1573" s="102">
        <v>46206</v>
      </c>
      <c r="C1573" s="6">
        <v>0.67708333333333304</v>
      </c>
      <c r="D1573" s="1" t="s">
        <v>24</v>
      </c>
      <c r="E1573" s="1" t="s">
        <v>4289</v>
      </c>
      <c r="F1573" s="1" t="s">
        <v>4304</v>
      </c>
      <c r="G1573" s="39" t="s">
        <v>97</v>
      </c>
      <c r="H1573" s="1">
        <v>1</v>
      </c>
      <c r="I1573" s="1">
        <v>0</v>
      </c>
      <c r="J1573" s="39" t="s">
        <v>4293</v>
      </c>
      <c r="K1573" s="1">
        <v>0</v>
      </c>
      <c r="L1573" s="1">
        <v>1</v>
      </c>
      <c r="S1573" s="1" t="s">
        <v>10227</v>
      </c>
      <c r="T1573" s="1">
        <v>1</v>
      </c>
      <c r="U1573" s="19"/>
      <c r="V1573" s="19"/>
      <c r="W1573" s="218">
        <v>1</v>
      </c>
      <c r="X1573" s="218">
        <v>1</v>
      </c>
      <c r="Y1573" s="218">
        <v>1</v>
      </c>
    </row>
    <row r="1574" spans="1:25" x14ac:dyDescent="0.3">
      <c r="A1574" s="1" t="s">
        <v>4305</v>
      </c>
      <c r="B1574" s="102">
        <v>46200</v>
      </c>
      <c r="C1574" s="6">
        <v>0.45833333333333298</v>
      </c>
      <c r="D1574" s="1" t="s">
        <v>24</v>
      </c>
      <c r="E1574" s="1" t="s">
        <v>4289</v>
      </c>
      <c r="F1574" s="1" t="s">
        <v>4306</v>
      </c>
      <c r="G1574" s="39" t="s">
        <v>4293</v>
      </c>
      <c r="H1574" s="1">
        <v>1</v>
      </c>
      <c r="I1574" s="1">
        <v>1</v>
      </c>
      <c r="J1574" s="39" t="s">
        <v>696</v>
      </c>
      <c r="K1574" s="1">
        <v>1</v>
      </c>
      <c r="L1574" s="1">
        <v>1</v>
      </c>
      <c r="S1574" s="1" t="s">
        <v>10228</v>
      </c>
      <c r="T1574" s="1">
        <v>1</v>
      </c>
      <c r="U1574" s="19"/>
      <c r="V1574" s="19"/>
      <c r="W1574" s="218">
        <v>1</v>
      </c>
      <c r="X1574" s="218">
        <v>1</v>
      </c>
      <c r="Y1574" s="218">
        <v>1</v>
      </c>
    </row>
    <row r="1575" spans="1:25" x14ac:dyDescent="0.3">
      <c r="A1575" s="1" t="s">
        <v>4307</v>
      </c>
      <c r="B1575" s="102">
        <v>46185</v>
      </c>
      <c r="C1575" s="6">
        <v>0.67708333333333304</v>
      </c>
      <c r="D1575" s="1" t="s">
        <v>24</v>
      </c>
      <c r="E1575" s="1" t="s">
        <v>4289</v>
      </c>
      <c r="F1575" s="1" t="s">
        <v>4308</v>
      </c>
      <c r="G1575" s="39" t="s">
        <v>4293</v>
      </c>
      <c r="H1575" s="1">
        <v>2</v>
      </c>
      <c r="I1575" s="1">
        <v>0</v>
      </c>
      <c r="J1575" s="39" t="s">
        <v>692</v>
      </c>
      <c r="K1575" s="1">
        <v>0</v>
      </c>
      <c r="L1575" s="1">
        <v>2</v>
      </c>
      <c r="S1575" s="1" t="s">
        <v>10229</v>
      </c>
      <c r="T1575" s="1">
        <v>1</v>
      </c>
      <c r="U1575" s="19"/>
      <c r="V1575" s="19"/>
      <c r="W1575" s="218">
        <v>1</v>
      </c>
      <c r="X1575" s="218">
        <v>1</v>
      </c>
      <c r="Y1575" s="218">
        <v>1</v>
      </c>
    </row>
    <row r="1576" spans="1:25" x14ac:dyDescent="0.3">
      <c r="A1576" s="1" t="s">
        <v>4309</v>
      </c>
      <c r="B1576" s="102">
        <v>46179</v>
      </c>
      <c r="C1576" s="6">
        <v>0.45833333333333298</v>
      </c>
      <c r="D1576" s="1" t="s">
        <v>24</v>
      </c>
      <c r="E1576" s="1" t="s">
        <v>4289</v>
      </c>
      <c r="F1576" s="1" t="s">
        <v>4310</v>
      </c>
      <c r="G1576" s="39" t="s">
        <v>689</v>
      </c>
      <c r="H1576" s="1">
        <v>1</v>
      </c>
      <c r="I1576" s="1">
        <v>3</v>
      </c>
      <c r="J1576" s="39" t="s">
        <v>4293</v>
      </c>
      <c r="K1576" s="1">
        <v>3</v>
      </c>
      <c r="L1576" s="1">
        <v>1</v>
      </c>
      <c r="S1576" s="1" t="s">
        <v>10230</v>
      </c>
      <c r="T1576" s="1">
        <v>1</v>
      </c>
      <c r="U1576" s="19"/>
      <c r="V1576" s="19"/>
      <c r="W1576" s="218">
        <v>1</v>
      </c>
      <c r="X1576" s="218">
        <v>1</v>
      </c>
      <c r="Y1576" s="218">
        <v>1</v>
      </c>
    </row>
    <row r="1577" spans="1:25" x14ac:dyDescent="0.3">
      <c r="A1577" s="1" t="s">
        <v>4311</v>
      </c>
      <c r="B1577" s="102">
        <v>46174</v>
      </c>
      <c r="C1577" s="6">
        <v>0.67708333333333304</v>
      </c>
      <c r="D1577" s="1" t="s">
        <v>24</v>
      </c>
      <c r="E1577" s="1" t="s">
        <v>4289</v>
      </c>
      <c r="F1577" s="1" t="s">
        <v>4312</v>
      </c>
      <c r="G1577" s="39" t="s">
        <v>4293</v>
      </c>
      <c r="H1577" s="1">
        <v>2</v>
      </c>
      <c r="I1577" s="1">
        <v>0</v>
      </c>
      <c r="J1577" s="39" t="s">
        <v>132</v>
      </c>
      <c r="K1577" s="1">
        <v>0</v>
      </c>
      <c r="L1577" s="1">
        <v>2</v>
      </c>
      <c r="S1577" s="1" t="s">
        <v>10231</v>
      </c>
      <c r="T1577" s="1">
        <v>1</v>
      </c>
      <c r="U1577" s="19"/>
      <c r="V1577" s="19"/>
      <c r="W1577" s="218">
        <v>1</v>
      </c>
      <c r="X1577" s="218">
        <v>1</v>
      </c>
      <c r="Y1577" s="218">
        <v>1</v>
      </c>
    </row>
    <row r="1578" spans="1:25" x14ac:dyDescent="0.3">
      <c r="A1578" s="1" t="s">
        <v>4313</v>
      </c>
      <c r="B1578" s="102">
        <v>46169</v>
      </c>
      <c r="C1578" s="6">
        <v>0.67708333333333304</v>
      </c>
      <c r="D1578" s="1" t="s">
        <v>24</v>
      </c>
      <c r="E1578" s="1" t="s">
        <v>4289</v>
      </c>
      <c r="F1578" s="1" t="s">
        <v>4314</v>
      </c>
      <c r="G1578" s="39" t="s">
        <v>4293</v>
      </c>
      <c r="H1578" s="1">
        <v>2</v>
      </c>
      <c r="I1578" s="1">
        <v>3</v>
      </c>
      <c r="J1578" s="39" t="s">
        <v>734</v>
      </c>
      <c r="K1578" s="1">
        <v>3</v>
      </c>
      <c r="L1578" s="1">
        <v>2</v>
      </c>
      <c r="S1578" s="1" t="s">
        <v>10232</v>
      </c>
      <c r="T1578" s="1">
        <v>1</v>
      </c>
      <c r="U1578" s="19"/>
      <c r="V1578" s="19"/>
      <c r="W1578" s="218">
        <v>1</v>
      </c>
      <c r="X1578" s="218">
        <v>1</v>
      </c>
      <c r="Y1578" s="218">
        <v>1</v>
      </c>
    </row>
    <row r="1579" spans="1:25" x14ac:dyDescent="0.3">
      <c r="A1579" s="1" t="s">
        <v>4315</v>
      </c>
      <c r="B1579" s="102">
        <v>46241</v>
      </c>
      <c r="C1579" s="6">
        <v>0.67708333333333304</v>
      </c>
      <c r="D1579" s="1" t="s">
        <v>24</v>
      </c>
      <c r="E1579" s="1" t="s">
        <v>4289</v>
      </c>
      <c r="F1579" s="1" t="s">
        <v>4316</v>
      </c>
      <c r="G1579" s="39" t="s">
        <v>702</v>
      </c>
      <c r="H1579" s="1">
        <v>3</v>
      </c>
      <c r="I1579" s="1">
        <v>0</v>
      </c>
      <c r="J1579" s="39" t="s">
        <v>689</v>
      </c>
      <c r="K1579" s="1">
        <v>0</v>
      </c>
      <c r="L1579" s="1">
        <v>3</v>
      </c>
      <c r="S1579" s="1" t="s">
        <v>10233</v>
      </c>
      <c r="T1579" s="1">
        <v>1</v>
      </c>
      <c r="U1579" s="19"/>
      <c r="V1579" s="19"/>
      <c r="W1579" s="218">
        <v>1</v>
      </c>
      <c r="X1579" s="218">
        <v>1</v>
      </c>
      <c r="Y1579" s="218">
        <v>1</v>
      </c>
    </row>
    <row r="1580" spans="1:25" x14ac:dyDescent="0.3">
      <c r="A1580" s="1" t="s">
        <v>4317</v>
      </c>
      <c r="B1580" s="102">
        <v>46232</v>
      </c>
      <c r="C1580" s="6">
        <v>0.625</v>
      </c>
      <c r="D1580" s="1" t="s">
        <v>24</v>
      </c>
      <c r="E1580" s="1" t="s">
        <v>4289</v>
      </c>
      <c r="F1580" s="1" t="s">
        <v>4318</v>
      </c>
      <c r="G1580" s="39" t="s">
        <v>689</v>
      </c>
      <c r="H1580" s="1">
        <v>3</v>
      </c>
      <c r="I1580" s="1">
        <v>1</v>
      </c>
      <c r="J1580" s="39" t="s">
        <v>718</v>
      </c>
      <c r="K1580" s="1">
        <v>1</v>
      </c>
      <c r="L1580" s="1">
        <v>3</v>
      </c>
      <c r="S1580" s="1" t="s">
        <v>10234</v>
      </c>
      <c r="T1580" s="1">
        <v>1</v>
      </c>
      <c r="U1580" s="19"/>
      <c r="V1580" s="19"/>
      <c r="W1580" s="218">
        <v>1</v>
      </c>
      <c r="X1580" s="218">
        <v>1</v>
      </c>
      <c r="Y1580" s="218">
        <v>1</v>
      </c>
    </row>
    <row r="1581" spans="1:25" x14ac:dyDescent="0.3">
      <c r="A1581" s="1" t="s">
        <v>4319</v>
      </c>
      <c r="B1581" s="102">
        <v>46220</v>
      </c>
      <c r="C1581" s="6">
        <v>0.67708333333333304</v>
      </c>
      <c r="D1581" s="1" t="s">
        <v>24</v>
      </c>
      <c r="E1581" s="1" t="s">
        <v>4289</v>
      </c>
      <c r="F1581" s="1" t="s">
        <v>4320</v>
      </c>
      <c r="G1581" s="39" t="s">
        <v>689</v>
      </c>
      <c r="H1581" s="1">
        <v>4</v>
      </c>
      <c r="I1581" s="1">
        <v>1</v>
      </c>
      <c r="J1581" s="39" t="s">
        <v>97</v>
      </c>
      <c r="K1581" s="1">
        <v>1</v>
      </c>
      <c r="L1581" s="1">
        <v>4</v>
      </c>
      <c r="S1581" s="1" t="s">
        <v>10235</v>
      </c>
      <c r="T1581" s="1">
        <v>1</v>
      </c>
      <c r="U1581" s="19"/>
      <c r="V1581" s="19"/>
      <c r="W1581" s="218">
        <v>1</v>
      </c>
      <c r="X1581" s="218">
        <v>1</v>
      </c>
      <c r="Y1581" s="218">
        <v>1</v>
      </c>
    </row>
    <row r="1582" spans="1:25" x14ac:dyDescent="0.3">
      <c r="A1582" s="1" t="s">
        <v>4321</v>
      </c>
      <c r="B1582" s="102">
        <v>46216</v>
      </c>
      <c r="C1582" s="6">
        <v>0.71875</v>
      </c>
      <c r="D1582" s="1" t="s">
        <v>24</v>
      </c>
      <c r="E1582" s="1" t="s">
        <v>4289</v>
      </c>
      <c r="F1582" s="1" t="s">
        <v>4322</v>
      </c>
      <c r="G1582" s="39" t="s">
        <v>696</v>
      </c>
      <c r="H1582" s="1">
        <v>2</v>
      </c>
      <c r="I1582" s="1">
        <v>5</v>
      </c>
      <c r="J1582" s="39" t="s">
        <v>689</v>
      </c>
      <c r="K1582" s="1">
        <v>5</v>
      </c>
      <c r="L1582" s="1">
        <v>2</v>
      </c>
      <c r="S1582" s="1" t="s">
        <v>10236</v>
      </c>
      <c r="T1582" s="1">
        <v>1</v>
      </c>
      <c r="U1582" s="19"/>
      <c r="V1582" s="19"/>
      <c r="W1582" s="218">
        <v>1</v>
      </c>
      <c r="X1582" s="218">
        <v>1</v>
      </c>
      <c r="Y1582" s="218">
        <v>1</v>
      </c>
    </row>
    <row r="1583" spans="1:25" x14ac:dyDescent="0.3">
      <c r="A1583" s="1" t="s">
        <v>4323</v>
      </c>
      <c r="B1583" s="102">
        <v>46199</v>
      </c>
      <c r="C1583" s="6">
        <v>0.67708333333333304</v>
      </c>
      <c r="D1583" s="1" t="s">
        <v>24</v>
      </c>
      <c r="E1583" s="1" t="s">
        <v>4289</v>
      </c>
      <c r="F1583" s="1" t="s">
        <v>4324</v>
      </c>
      <c r="G1583" s="39" t="s">
        <v>689</v>
      </c>
      <c r="H1583" s="1">
        <v>0</v>
      </c>
      <c r="I1583" s="1">
        <v>2</v>
      </c>
      <c r="J1583" s="39" t="s">
        <v>692</v>
      </c>
      <c r="K1583" s="1">
        <v>2</v>
      </c>
      <c r="L1583" s="1">
        <v>0</v>
      </c>
      <c r="S1583" s="1" t="s">
        <v>10237</v>
      </c>
      <c r="T1583" s="1">
        <v>1</v>
      </c>
      <c r="U1583" s="19"/>
      <c r="V1583" s="19"/>
      <c r="W1583" s="218">
        <v>1</v>
      </c>
      <c r="X1583" s="218">
        <v>1</v>
      </c>
      <c r="Y1583" s="218">
        <v>1</v>
      </c>
    </row>
    <row r="1584" spans="1:25" x14ac:dyDescent="0.3">
      <c r="A1584" s="1" t="s">
        <v>4325</v>
      </c>
      <c r="B1584" s="102">
        <v>46194</v>
      </c>
      <c r="C1584" s="6">
        <v>0.67708333333333304</v>
      </c>
      <c r="D1584" s="1" t="s">
        <v>24</v>
      </c>
      <c r="E1584" s="1" t="s">
        <v>4289</v>
      </c>
      <c r="F1584" s="1" t="s">
        <v>4326</v>
      </c>
      <c r="G1584" s="39" t="s">
        <v>734</v>
      </c>
      <c r="H1584" s="1">
        <v>2</v>
      </c>
      <c r="I1584" s="1">
        <v>5</v>
      </c>
      <c r="J1584" s="39" t="s">
        <v>689</v>
      </c>
      <c r="K1584" s="1">
        <v>5</v>
      </c>
      <c r="L1584" s="1">
        <v>2</v>
      </c>
      <c r="S1584" s="1" t="s">
        <v>10238</v>
      </c>
      <c r="T1584" s="1">
        <v>1</v>
      </c>
      <c r="U1584" s="19"/>
      <c r="V1584" s="19"/>
      <c r="W1584" s="218">
        <v>1</v>
      </c>
      <c r="X1584" s="218">
        <v>1</v>
      </c>
      <c r="Y1584" s="218">
        <v>1</v>
      </c>
    </row>
    <row r="1585" spans="1:25" x14ac:dyDescent="0.3">
      <c r="A1585" s="1" t="s">
        <v>4327</v>
      </c>
      <c r="B1585" s="102">
        <v>46190</v>
      </c>
      <c r="C1585" s="6">
        <v>0.45833333333333298</v>
      </c>
      <c r="D1585" s="1" t="s">
        <v>24</v>
      </c>
      <c r="E1585" s="1" t="s">
        <v>4289</v>
      </c>
      <c r="F1585" s="1" t="s">
        <v>4328</v>
      </c>
      <c r="G1585" s="39" t="s">
        <v>132</v>
      </c>
      <c r="H1585" s="1">
        <v>0</v>
      </c>
      <c r="I1585" s="1">
        <v>1</v>
      </c>
      <c r="J1585" s="39" t="s">
        <v>689</v>
      </c>
      <c r="K1585" s="1">
        <v>1</v>
      </c>
      <c r="L1585" s="1">
        <v>0</v>
      </c>
      <c r="S1585" s="1" t="s">
        <v>10239</v>
      </c>
      <c r="T1585" s="1">
        <v>1</v>
      </c>
      <c r="U1585" s="19"/>
      <c r="V1585" s="19"/>
      <c r="W1585" s="218">
        <v>1</v>
      </c>
      <c r="X1585" s="218">
        <v>1</v>
      </c>
      <c r="Y1585" s="218">
        <v>1</v>
      </c>
    </row>
    <row r="1586" spans="1:25" x14ac:dyDescent="0.3">
      <c r="A1586" s="1" t="s">
        <v>4329</v>
      </c>
      <c r="B1586" s="102">
        <v>46173</v>
      </c>
      <c r="C1586" s="6">
        <v>0.67708333333333304</v>
      </c>
      <c r="D1586" s="1" t="s">
        <v>24</v>
      </c>
      <c r="E1586" s="1" t="s">
        <v>4289</v>
      </c>
      <c r="F1586" s="1" t="s">
        <v>4330</v>
      </c>
      <c r="G1586" s="39" t="s">
        <v>126</v>
      </c>
      <c r="H1586" s="1">
        <v>5</v>
      </c>
      <c r="I1586" s="1">
        <v>1</v>
      </c>
      <c r="J1586" s="39" t="s">
        <v>689</v>
      </c>
      <c r="K1586" s="1">
        <v>1</v>
      </c>
      <c r="L1586" s="1">
        <v>5</v>
      </c>
      <c r="S1586" s="1" t="s">
        <v>10240</v>
      </c>
      <c r="T1586" s="1">
        <v>1</v>
      </c>
      <c r="U1586" s="19"/>
      <c r="V1586" s="19"/>
      <c r="W1586" s="218">
        <v>1</v>
      </c>
      <c r="X1586" s="218">
        <v>1</v>
      </c>
      <c r="Y1586" s="218">
        <v>1</v>
      </c>
    </row>
    <row r="1587" spans="1:25" x14ac:dyDescent="0.3">
      <c r="A1587" s="1" t="s">
        <v>4331</v>
      </c>
      <c r="B1587" s="102">
        <v>46169</v>
      </c>
      <c r="C1587" s="6">
        <v>0.67708333333333304</v>
      </c>
      <c r="D1587" s="1" t="s">
        <v>24</v>
      </c>
      <c r="E1587" s="1" t="s">
        <v>4289</v>
      </c>
      <c r="F1587" s="1" t="s">
        <v>4332</v>
      </c>
      <c r="G1587" s="39" t="s">
        <v>689</v>
      </c>
      <c r="H1587" s="1">
        <v>3</v>
      </c>
      <c r="I1587" s="1">
        <v>0</v>
      </c>
      <c r="J1587" s="39" t="s">
        <v>702</v>
      </c>
      <c r="K1587" s="1">
        <v>0</v>
      </c>
      <c r="L1587" s="1">
        <v>3</v>
      </c>
      <c r="S1587" s="1" t="s">
        <v>10241</v>
      </c>
      <c r="T1587" s="1">
        <v>1</v>
      </c>
      <c r="U1587" s="19"/>
      <c r="V1587" s="19"/>
      <c r="W1587" s="218">
        <v>1</v>
      </c>
      <c r="X1587" s="218">
        <v>1</v>
      </c>
      <c r="Y1587" s="218">
        <v>1</v>
      </c>
    </row>
    <row r="1588" spans="1:25" x14ac:dyDescent="0.3">
      <c r="A1588" s="1" t="s">
        <v>4333</v>
      </c>
      <c r="B1588" s="102">
        <v>46219</v>
      </c>
      <c r="C1588" s="6">
        <v>0.67708333333333304</v>
      </c>
      <c r="D1588" s="1" t="s">
        <v>24</v>
      </c>
      <c r="E1588" s="1" t="s">
        <v>4289</v>
      </c>
      <c r="F1588" s="1" t="s">
        <v>4334</v>
      </c>
      <c r="G1588" s="39" t="s">
        <v>126</v>
      </c>
      <c r="H1588" s="1">
        <v>3</v>
      </c>
      <c r="I1588" s="1">
        <v>2</v>
      </c>
      <c r="J1588" s="39" t="s">
        <v>702</v>
      </c>
      <c r="K1588" s="1">
        <v>2</v>
      </c>
      <c r="L1588" s="1">
        <v>3</v>
      </c>
      <c r="S1588" s="1" t="s">
        <v>10242</v>
      </c>
      <c r="T1588" s="1">
        <v>1</v>
      </c>
      <c r="U1588" s="19"/>
      <c r="V1588" s="19"/>
      <c r="W1588" s="218">
        <v>1</v>
      </c>
      <c r="X1588" s="218">
        <v>1</v>
      </c>
      <c r="Y1588" s="218">
        <v>1</v>
      </c>
    </row>
    <row r="1589" spans="1:25" x14ac:dyDescent="0.3">
      <c r="A1589" s="1" t="s">
        <v>4335</v>
      </c>
      <c r="B1589" s="102">
        <v>46214</v>
      </c>
      <c r="C1589" s="6">
        <v>0.45833333333333298</v>
      </c>
      <c r="D1589" s="1" t="s">
        <v>24</v>
      </c>
      <c r="E1589" s="1" t="s">
        <v>4289</v>
      </c>
      <c r="F1589" s="1" t="s">
        <v>4336</v>
      </c>
      <c r="G1589" s="39" t="s">
        <v>718</v>
      </c>
      <c r="H1589" s="1">
        <v>1</v>
      </c>
      <c r="I1589" s="1">
        <v>6</v>
      </c>
      <c r="J1589" s="39" t="s">
        <v>126</v>
      </c>
      <c r="K1589" s="1">
        <v>6</v>
      </c>
      <c r="L1589" s="1">
        <v>1</v>
      </c>
      <c r="S1589" s="1" t="s">
        <v>10243</v>
      </c>
      <c r="T1589" s="1">
        <v>1</v>
      </c>
      <c r="U1589" s="19"/>
      <c r="V1589" s="19"/>
      <c r="W1589" s="218">
        <v>1</v>
      </c>
      <c r="X1589" s="218">
        <v>1</v>
      </c>
      <c r="Y1589" s="218">
        <v>1</v>
      </c>
    </row>
    <row r="1590" spans="1:25" x14ac:dyDescent="0.3">
      <c r="A1590" s="1" t="s">
        <v>4337</v>
      </c>
      <c r="B1590" s="102">
        <v>46199</v>
      </c>
      <c r="C1590" s="6">
        <v>0.67708333333333304</v>
      </c>
      <c r="D1590" s="1" t="s">
        <v>24</v>
      </c>
      <c r="E1590" s="1" t="s">
        <v>4289</v>
      </c>
      <c r="F1590" s="1" t="s">
        <v>4338</v>
      </c>
      <c r="G1590" s="39" t="s">
        <v>126</v>
      </c>
      <c r="H1590" s="1">
        <v>2</v>
      </c>
      <c r="I1590" s="1">
        <v>0</v>
      </c>
      <c r="J1590" s="39" t="s">
        <v>97</v>
      </c>
      <c r="K1590" s="1">
        <v>0</v>
      </c>
      <c r="L1590" s="1">
        <v>2</v>
      </c>
      <c r="S1590" s="1" t="s">
        <v>10244</v>
      </c>
      <c r="T1590" s="1">
        <v>1</v>
      </c>
      <c r="U1590" s="19"/>
      <c r="V1590" s="19"/>
      <c r="W1590" s="218">
        <v>1</v>
      </c>
      <c r="X1590" s="218">
        <v>1</v>
      </c>
      <c r="Y1590" s="218">
        <v>1</v>
      </c>
    </row>
    <row r="1591" spans="1:25" x14ac:dyDescent="0.3">
      <c r="A1591" s="1" t="s">
        <v>4339</v>
      </c>
      <c r="B1591" s="102">
        <v>46194</v>
      </c>
      <c r="C1591" s="6">
        <v>0.45833333333333298</v>
      </c>
      <c r="D1591" s="1" t="s">
        <v>24</v>
      </c>
      <c r="E1591" s="1" t="s">
        <v>4289</v>
      </c>
      <c r="F1591" s="1" t="s">
        <v>4340</v>
      </c>
      <c r="G1591" s="39" t="s">
        <v>696</v>
      </c>
      <c r="H1591" s="1">
        <v>2</v>
      </c>
      <c r="I1591" s="1">
        <v>0</v>
      </c>
      <c r="J1591" s="39" t="s">
        <v>126</v>
      </c>
      <c r="K1591" s="1">
        <v>0</v>
      </c>
      <c r="L1591" s="1">
        <v>2</v>
      </c>
      <c r="S1591" s="1" t="s">
        <v>10245</v>
      </c>
      <c r="T1591" s="1">
        <v>1</v>
      </c>
      <c r="U1591" s="19"/>
      <c r="V1591" s="19"/>
      <c r="W1591" s="218">
        <v>1</v>
      </c>
      <c r="X1591" s="218">
        <v>1</v>
      </c>
      <c r="Y1591" s="218">
        <v>1</v>
      </c>
    </row>
    <row r="1592" spans="1:25" x14ac:dyDescent="0.3">
      <c r="A1592" s="1" t="s">
        <v>4341</v>
      </c>
      <c r="B1592" s="102">
        <v>46178</v>
      </c>
      <c r="C1592" s="6">
        <v>0.67708333333333304</v>
      </c>
      <c r="D1592" s="1" t="s">
        <v>24</v>
      </c>
      <c r="E1592" s="1" t="s">
        <v>4289</v>
      </c>
      <c r="F1592" s="1" t="s">
        <v>4342</v>
      </c>
      <c r="G1592" s="39" t="s">
        <v>692</v>
      </c>
      <c r="H1592" s="1">
        <v>2</v>
      </c>
      <c r="I1592" s="1">
        <v>1</v>
      </c>
      <c r="J1592" s="39" t="s">
        <v>126</v>
      </c>
      <c r="K1592" s="1">
        <v>1</v>
      </c>
      <c r="L1592" s="1">
        <v>2</v>
      </c>
      <c r="S1592" s="1" t="s">
        <v>10246</v>
      </c>
      <c r="T1592" s="1">
        <v>1</v>
      </c>
      <c r="U1592" s="19"/>
      <c r="V1592" s="19"/>
      <c r="W1592" s="218">
        <v>1</v>
      </c>
      <c r="X1592" s="218">
        <v>1</v>
      </c>
      <c r="Y1592" s="218">
        <v>1</v>
      </c>
    </row>
    <row r="1593" spans="1:25" x14ac:dyDescent="0.3">
      <c r="A1593" s="1" t="s">
        <v>4343</v>
      </c>
      <c r="B1593" s="102">
        <v>46169</v>
      </c>
      <c r="C1593" s="6">
        <v>0.67708333333333304</v>
      </c>
      <c r="D1593" s="1" t="s">
        <v>24</v>
      </c>
      <c r="E1593" s="1" t="s">
        <v>4289</v>
      </c>
      <c r="F1593" s="1" t="s">
        <v>4344</v>
      </c>
      <c r="G1593" s="39" t="s">
        <v>132</v>
      </c>
      <c r="H1593" s="1">
        <v>1</v>
      </c>
      <c r="I1593" s="1">
        <v>3</v>
      </c>
      <c r="J1593" s="39" t="s">
        <v>126</v>
      </c>
      <c r="K1593" s="1">
        <v>3</v>
      </c>
      <c r="L1593" s="1">
        <v>1</v>
      </c>
      <c r="S1593" s="1" t="s">
        <v>10247</v>
      </c>
      <c r="T1593" s="1">
        <v>1</v>
      </c>
      <c r="U1593" s="19"/>
      <c r="V1593" s="19"/>
      <c r="W1593" s="218">
        <v>1</v>
      </c>
      <c r="X1593" s="218">
        <v>1</v>
      </c>
      <c r="Y1593" s="218">
        <v>1</v>
      </c>
    </row>
    <row r="1594" spans="1:25" x14ac:dyDescent="0.3">
      <c r="A1594" s="1" t="s">
        <v>4345</v>
      </c>
      <c r="B1594" s="102">
        <v>46164</v>
      </c>
      <c r="C1594" s="6">
        <v>0.67708333333333304</v>
      </c>
      <c r="D1594" s="1" t="s">
        <v>24</v>
      </c>
      <c r="E1594" s="1" t="s">
        <v>4289</v>
      </c>
      <c r="F1594" s="1" t="s">
        <v>4346</v>
      </c>
      <c r="G1594" s="39" t="s">
        <v>126</v>
      </c>
      <c r="H1594" s="1">
        <v>4</v>
      </c>
      <c r="I1594" s="1">
        <v>3</v>
      </c>
      <c r="J1594" s="39" t="s">
        <v>4293</v>
      </c>
      <c r="K1594" s="1">
        <v>3</v>
      </c>
      <c r="L1594" s="1">
        <v>4</v>
      </c>
      <c r="S1594" s="1" t="s">
        <v>10248</v>
      </c>
      <c r="T1594" s="1">
        <v>1</v>
      </c>
      <c r="U1594" s="19"/>
      <c r="V1594" s="19"/>
      <c r="W1594" s="218">
        <v>1</v>
      </c>
      <c r="X1594" s="218">
        <v>0</v>
      </c>
      <c r="Y1594" s="218">
        <v>1</v>
      </c>
    </row>
    <row r="1595" spans="1:25" x14ac:dyDescent="0.3">
      <c r="A1595" s="1" t="s">
        <v>4347</v>
      </c>
      <c r="B1595" s="102">
        <v>46243</v>
      </c>
      <c r="C1595" s="6">
        <v>0.54166666666666696</v>
      </c>
      <c r="D1595" s="1" t="s">
        <v>24</v>
      </c>
      <c r="E1595" s="1" t="s">
        <v>4289</v>
      </c>
      <c r="F1595" s="1" t="s">
        <v>4348</v>
      </c>
      <c r="G1595" s="39" t="s">
        <v>718</v>
      </c>
      <c r="H1595" s="1">
        <v>3</v>
      </c>
      <c r="I1595" s="1">
        <v>2</v>
      </c>
      <c r="J1595" s="39" t="s">
        <v>692</v>
      </c>
      <c r="K1595" s="1">
        <v>2</v>
      </c>
      <c r="L1595" s="1">
        <v>3</v>
      </c>
      <c r="S1595" s="1" t="s">
        <v>10249</v>
      </c>
      <c r="T1595" s="1">
        <v>1</v>
      </c>
      <c r="U1595" s="19"/>
      <c r="V1595" s="19"/>
      <c r="W1595" s="218">
        <v>1</v>
      </c>
      <c r="X1595" s="218">
        <v>1</v>
      </c>
      <c r="Y1595" s="218">
        <v>1</v>
      </c>
    </row>
    <row r="1596" spans="1:25" x14ac:dyDescent="0.3">
      <c r="A1596" s="1" t="s">
        <v>4349</v>
      </c>
      <c r="B1596" s="102">
        <v>46227</v>
      </c>
      <c r="C1596" s="6">
        <v>0.67708333333333304</v>
      </c>
      <c r="D1596" s="1" t="s">
        <v>24</v>
      </c>
      <c r="E1596" s="1" t="s">
        <v>4289</v>
      </c>
      <c r="F1596" s="1" t="s">
        <v>4350</v>
      </c>
      <c r="G1596" s="39" t="s">
        <v>97</v>
      </c>
      <c r="H1596" s="1">
        <v>3</v>
      </c>
      <c r="I1596" s="1">
        <v>2</v>
      </c>
      <c r="J1596" s="39" t="s">
        <v>692</v>
      </c>
      <c r="K1596" s="1">
        <v>2</v>
      </c>
      <c r="L1596" s="1">
        <v>3</v>
      </c>
      <c r="S1596" s="1" t="s">
        <v>10250</v>
      </c>
      <c r="T1596" s="1">
        <v>1</v>
      </c>
      <c r="U1596" s="19"/>
      <c r="V1596" s="19"/>
      <c r="W1596" s="218">
        <v>1</v>
      </c>
      <c r="X1596" s="218">
        <v>1</v>
      </c>
      <c r="Y1596" s="218">
        <v>1</v>
      </c>
    </row>
    <row r="1597" spans="1:25" x14ac:dyDescent="0.3">
      <c r="A1597" s="1" t="s">
        <v>4351</v>
      </c>
      <c r="B1597" s="102">
        <v>46223</v>
      </c>
      <c r="C1597" s="6">
        <v>0.67708333333333304</v>
      </c>
      <c r="D1597" s="1" t="s">
        <v>24</v>
      </c>
      <c r="E1597" s="1" t="s">
        <v>4289</v>
      </c>
      <c r="F1597" s="1" t="s">
        <v>4352</v>
      </c>
      <c r="G1597" s="39" t="s">
        <v>692</v>
      </c>
      <c r="H1597" s="1">
        <v>6</v>
      </c>
      <c r="I1597" s="1">
        <v>2</v>
      </c>
      <c r="J1597" s="39" t="s">
        <v>696</v>
      </c>
      <c r="K1597" s="1">
        <v>2</v>
      </c>
      <c r="L1597" s="1">
        <v>6</v>
      </c>
      <c r="S1597" s="1" t="s">
        <v>10251</v>
      </c>
      <c r="T1597" s="1">
        <v>1</v>
      </c>
      <c r="U1597" s="19"/>
      <c r="V1597" s="19"/>
      <c r="W1597" s="218">
        <v>1</v>
      </c>
      <c r="X1597" s="218">
        <v>1</v>
      </c>
      <c r="Y1597" s="218">
        <v>1</v>
      </c>
    </row>
    <row r="1598" spans="1:25" x14ac:dyDescent="0.3">
      <c r="A1598" s="1" t="s">
        <v>4353</v>
      </c>
      <c r="B1598" s="102">
        <v>46206</v>
      </c>
      <c r="C1598" s="6">
        <v>0.67708333333333304</v>
      </c>
      <c r="D1598" s="1" t="s">
        <v>24</v>
      </c>
      <c r="E1598" s="1" t="s">
        <v>4289</v>
      </c>
      <c r="F1598" s="1" t="s">
        <v>4354</v>
      </c>
      <c r="G1598" s="39" t="s">
        <v>734</v>
      </c>
      <c r="H1598" s="1">
        <v>2</v>
      </c>
      <c r="I1598" s="1">
        <v>1</v>
      </c>
      <c r="J1598" s="39" t="s">
        <v>692</v>
      </c>
      <c r="K1598" s="1">
        <v>1</v>
      </c>
      <c r="L1598" s="1">
        <v>2</v>
      </c>
      <c r="S1598" s="1" t="s">
        <v>10252</v>
      </c>
      <c r="T1598" s="1">
        <v>1</v>
      </c>
      <c r="U1598" s="19"/>
      <c r="V1598" s="19"/>
      <c r="W1598" s="218">
        <v>1</v>
      </c>
      <c r="X1598" s="218">
        <v>1</v>
      </c>
      <c r="Y1598" s="218">
        <v>1</v>
      </c>
    </row>
    <row r="1599" spans="1:25" x14ac:dyDescent="0.3">
      <c r="A1599" s="1" t="s">
        <v>4355</v>
      </c>
      <c r="B1599" s="102">
        <v>46194</v>
      </c>
      <c r="C1599" s="6">
        <v>0.67708333333333304</v>
      </c>
      <c r="D1599" s="1" t="s">
        <v>24</v>
      </c>
      <c r="E1599" s="1" t="s">
        <v>4289</v>
      </c>
      <c r="F1599" s="1" t="s">
        <v>4356</v>
      </c>
      <c r="G1599" s="39" t="s">
        <v>692</v>
      </c>
      <c r="H1599" s="1">
        <v>2</v>
      </c>
      <c r="I1599" s="1">
        <v>2</v>
      </c>
      <c r="J1599" s="39" t="s">
        <v>132</v>
      </c>
      <c r="K1599" s="1">
        <v>2</v>
      </c>
      <c r="L1599" s="1">
        <v>2</v>
      </c>
      <c r="S1599" s="1" t="s">
        <v>10253</v>
      </c>
      <c r="T1599" s="1">
        <v>1</v>
      </c>
      <c r="U1599" s="19"/>
      <c r="V1599" s="19"/>
      <c r="W1599" s="218">
        <v>1</v>
      </c>
      <c r="X1599" s="218">
        <v>1</v>
      </c>
      <c r="Y1599" s="218">
        <v>1</v>
      </c>
    </row>
    <row r="1600" spans="1:25" x14ac:dyDescent="0.3">
      <c r="A1600" s="1" t="s">
        <v>4357</v>
      </c>
      <c r="B1600" s="102">
        <v>46173</v>
      </c>
      <c r="C1600" s="6">
        <v>0.58333333333333304</v>
      </c>
      <c r="D1600" s="1" t="s">
        <v>24</v>
      </c>
      <c r="E1600" s="1" t="s">
        <v>4289</v>
      </c>
      <c r="F1600" s="1" t="s">
        <v>4358</v>
      </c>
      <c r="G1600" s="39" t="s">
        <v>702</v>
      </c>
      <c r="H1600" s="1">
        <v>4</v>
      </c>
      <c r="I1600" s="1">
        <v>1</v>
      </c>
      <c r="J1600" s="39" t="s">
        <v>692</v>
      </c>
      <c r="K1600" s="1">
        <v>1</v>
      </c>
      <c r="L1600" s="1">
        <v>4</v>
      </c>
      <c r="S1600" s="1" t="s">
        <v>10254</v>
      </c>
      <c r="T1600" s="1">
        <v>1</v>
      </c>
      <c r="U1600" s="19"/>
      <c r="V1600" s="19"/>
      <c r="W1600" s="218">
        <v>1</v>
      </c>
      <c r="X1600" s="218">
        <v>1</v>
      </c>
      <c r="Y1600" s="218">
        <v>1</v>
      </c>
    </row>
    <row r="1601" spans="1:25" x14ac:dyDescent="0.3">
      <c r="A1601" s="1" t="s">
        <v>4359</v>
      </c>
      <c r="B1601" s="102">
        <v>46169</v>
      </c>
      <c r="C1601" s="6">
        <v>0.625</v>
      </c>
      <c r="D1601" s="1" t="s">
        <v>24</v>
      </c>
      <c r="E1601" s="1" t="s">
        <v>4289</v>
      </c>
      <c r="F1601" s="1" t="s">
        <v>4360</v>
      </c>
      <c r="G1601" s="39" t="s">
        <v>692</v>
      </c>
      <c r="H1601" s="1">
        <v>1</v>
      </c>
      <c r="I1601" s="1">
        <v>0</v>
      </c>
      <c r="J1601" s="39" t="s">
        <v>718</v>
      </c>
      <c r="K1601" s="1">
        <v>0</v>
      </c>
      <c r="L1601" s="1">
        <v>1</v>
      </c>
      <c r="S1601" s="1" t="s">
        <v>10255</v>
      </c>
      <c r="T1601" s="1">
        <v>1</v>
      </c>
      <c r="U1601" s="19"/>
      <c r="V1601" s="19"/>
      <c r="W1601" s="218">
        <v>1</v>
      </c>
      <c r="X1601" s="218">
        <v>0</v>
      </c>
      <c r="Y1601" s="218">
        <v>1</v>
      </c>
    </row>
    <row r="1602" spans="1:25" x14ac:dyDescent="0.3">
      <c r="A1602" s="1" t="s">
        <v>4361</v>
      </c>
      <c r="B1602" s="102">
        <v>46242</v>
      </c>
      <c r="C1602" s="6">
        <v>0.45833333333333298</v>
      </c>
      <c r="D1602" s="1" t="s">
        <v>24</v>
      </c>
      <c r="E1602" s="1" t="s">
        <v>4289</v>
      </c>
      <c r="F1602" s="1" t="s">
        <v>4362</v>
      </c>
      <c r="G1602" s="39" t="s">
        <v>97</v>
      </c>
      <c r="H1602" s="1">
        <v>3</v>
      </c>
      <c r="I1602" s="1">
        <v>1</v>
      </c>
      <c r="J1602" s="39" t="s">
        <v>696</v>
      </c>
      <c r="K1602" s="1">
        <v>1</v>
      </c>
      <c r="L1602" s="1">
        <v>3</v>
      </c>
      <c r="S1602" s="1" t="s">
        <v>10256</v>
      </c>
      <c r="T1602" s="1">
        <v>1</v>
      </c>
      <c r="U1602" s="19"/>
      <c r="V1602" s="19"/>
      <c r="W1602" s="218">
        <v>1</v>
      </c>
      <c r="X1602" s="218">
        <v>1</v>
      </c>
      <c r="Y1602" s="218">
        <v>1</v>
      </c>
    </row>
    <row r="1603" spans="1:25" x14ac:dyDescent="0.3">
      <c r="A1603" s="1" t="s">
        <v>4363</v>
      </c>
      <c r="B1603" s="102">
        <v>46213</v>
      </c>
      <c r="C1603" s="6">
        <v>0.67708333333333304</v>
      </c>
      <c r="D1603" s="1" t="s">
        <v>24</v>
      </c>
      <c r="E1603" s="1" t="s">
        <v>4289</v>
      </c>
      <c r="F1603" s="1" t="s">
        <v>4364</v>
      </c>
      <c r="G1603" s="39" t="s">
        <v>97</v>
      </c>
      <c r="H1603" s="1">
        <v>5</v>
      </c>
      <c r="I1603" s="1">
        <v>4</v>
      </c>
      <c r="J1603" s="39" t="s">
        <v>132</v>
      </c>
      <c r="K1603" s="1">
        <v>4</v>
      </c>
      <c r="L1603" s="1">
        <v>5</v>
      </c>
      <c r="S1603" s="1" t="s">
        <v>10257</v>
      </c>
      <c r="T1603" s="1">
        <v>1</v>
      </c>
      <c r="U1603" s="19"/>
      <c r="V1603" s="19"/>
      <c r="W1603" s="218">
        <v>1</v>
      </c>
      <c r="X1603" s="218">
        <v>1</v>
      </c>
      <c r="Y1603" s="218">
        <v>1</v>
      </c>
    </row>
    <row r="1604" spans="1:25" x14ac:dyDescent="0.3">
      <c r="A1604" s="1" t="s">
        <v>4365</v>
      </c>
      <c r="B1604" s="102">
        <v>46192</v>
      </c>
      <c r="C1604" s="6">
        <v>0.67708333333333304</v>
      </c>
      <c r="D1604" s="1" t="s">
        <v>24</v>
      </c>
      <c r="E1604" s="1" t="s">
        <v>4289</v>
      </c>
      <c r="F1604" s="1" t="s">
        <v>4366</v>
      </c>
      <c r="G1604" s="39" t="s">
        <v>97</v>
      </c>
      <c r="H1604" s="1">
        <v>1</v>
      </c>
      <c r="I1604" s="1">
        <v>0</v>
      </c>
      <c r="J1604" s="39" t="s">
        <v>702</v>
      </c>
      <c r="K1604" s="1">
        <v>0</v>
      </c>
      <c r="L1604" s="1">
        <v>1</v>
      </c>
      <c r="S1604" s="1" t="s">
        <v>10258</v>
      </c>
      <c r="T1604" s="1">
        <v>1</v>
      </c>
      <c r="U1604" s="19"/>
      <c r="V1604" s="19"/>
      <c r="W1604" s="218">
        <v>1</v>
      </c>
      <c r="X1604" s="218">
        <v>1</v>
      </c>
      <c r="Y1604" s="218">
        <v>1</v>
      </c>
    </row>
    <row r="1605" spans="1:25" x14ac:dyDescent="0.3">
      <c r="A1605" s="1" t="s">
        <v>4367</v>
      </c>
      <c r="B1605" s="102">
        <v>46186</v>
      </c>
      <c r="C1605" s="6">
        <v>0.45833333333333298</v>
      </c>
      <c r="D1605" s="1" t="s">
        <v>24</v>
      </c>
      <c r="E1605" s="1" t="s">
        <v>4289</v>
      </c>
      <c r="F1605" s="1" t="s">
        <v>4368</v>
      </c>
      <c r="G1605" s="39" t="s">
        <v>718</v>
      </c>
      <c r="H1605" s="1">
        <v>2</v>
      </c>
      <c r="I1605" s="1">
        <v>1</v>
      </c>
      <c r="J1605" s="39" t="s">
        <v>97</v>
      </c>
      <c r="K1605" s="1">
        <v>1</v>
      </c>
      <c r="L1605" s="1">
        <v>2</v>
      </c>
      <c r="S1605" s="1" t="s">
        <v>10259</v>
      </c>
      <c r="T1605" s="1">
        <v>1</v>
      </c>
      <c r="U1605" s="19"/>
      <c r="V1605" s="19"/>
      <c r="W1605" s="218">
        <v>1</v>
      </c>
      <c r="X1605" s="218">
        <v>1</v>
      </c>
      <c r="Y1605" s="218">
        <v>1</v>
      </c>
    </row>
    <row r="1606" spans="1:25" x14ac:dyDescent="0.3">
      <c r="A1606" s="1" t="s">
        <v>4369</v>
      </c>
      <c r="B1606" s="102">
        <v>46169</v>
      </c>
      <c r="C1606" s="6">
        <v>0.625</v>
      </c>
      <c r="D1606" s="1" t="s">
        <v>24</v>
      </c>
      <c r="E1606" s="1" t="s">
        <v>4289</v>
      </c>
      <c r="F1606" s="1" t="s">
        <v>4370</v>
      </c>
      <c r="G1606" s="39" t="s">
        <v>696</v>
      </c>
      <c r="H1606" s="1">
        <v>0</v>
      </c>
      <c r="I1606" s="1">
        <v>3</v>
      </c>
      <c r="J1606" s="39" t="s">
        <v>97</v>
      </c>
      <c r="K1606" s="1">
        <v>3</v>
      </c>
      <c r="L1606" s="1">
        <v>0</v>
      </c>
      <c r="S1606" s="1" t="s">
        <v>10260</v>
      </c>
      <c r="T1606" s="1">
        <v>1</v>
      </c>
      <c r="U1606" s="19"/>
      <c r="V1606" s="19"/>
      <c r="W1606" s="218">
        <v>1</v>
      </c>
      <c r="X1606" s="218">
        <v>1</v>
      </c>
      <c r="Y1606" s="218">
        <v>1</v>
      </c>
    </row>
    <row r="1607" spans="1:25" x14ac:dyDescent="0.3">
      <c r="A1607" s="1" t="s">
        <v>4371</v>
      </c>
      <c r="B1607" s="102">
        <v>46237</v>
      </c>
      <c r="C1607" s="6">
        <v>0.45833333333333298</v>
      </c>
      <c r="D1607" s="1" t="s">
        <v>24</v>
      </c>
      <c r="E1607" s="1" t="s">
        <v>4289</v>
      </c>
      <c r="F1607" s="1" t="s">
        <v>4372</v>
      </c>
      <c r="G1607" s="39" t="s">
        <v>696</v>
      </c>
      <c r="H1607" s="1">
        <v>0</v>
      </c>
      <c r="I1607" s="1">
        <v>3</v>
      </c>
      <c r="J1607" s="39" t="s">
        <v>734</v>
      </c>
      <c r="K1607" s="1">
        <v>3</v>
      </c>
      <c r="L1607" s="1">
        <v>0</v>
      </c>
      <c r="S1607" s="1" t="s">
        <v>10261</v>
      </c>
      <c r="T1607" s="1">
        <v>1</v>
      </c>
      <c r="U1607" s="19"/>
      <c r="V1607" s="19"/>
      <c r="W1607" s="218">
        <v>1</v>
      </c>
      <c r="X1607" s="218">
        <v>1</v>
      </c>
      <c r="Y1607" s="218">
        <v>1</v>
      </c>
    </row>
    <row r="1608" spans="1:25" x14ac:dyDescent="0.3">
      <c r="A1608" s="1" t="s">
        <v>4373</v>
      </c>
      <c r="B1608" s="102">
        <v>46217</v>
      </c>
      <c r="C1608" s="6">
        <v>0.625</v>
      </c>
      <c r="D1608" s="1" t="s">
        <v>24</v>
      </c>
      <c r="E1608" s="1" t="s">
        <v>4289</v>
      </c>
      <c r="F1608" s="1" t="s">
        <v>4374</v>
      </c>
      <c r="G1608" s="39" t="s">
        <v>734</v>
      </c>
      <c r="H1608" s="1">
        <v>1</v>
      </c>
      <c r="I1608" s="1">
        <v>2</v>
      </c>
      <c r="J1608" s="39" t="s">
        <v>132</v>
      </c>
      <c r="K1608" s="1">
        <v>2</v>
      </c>
      <c r="L1608" s="1">
        <v>1</v>
      </c>
      <c r="S1608" s="1" t="s">
        <v>10262</v>
      </c>
      <c r="T1608" s="1">
        <v>1</v>
      </c>
      <c r="U1608" s="19"/>
      <c r="V1608" s="19"/>
      <c r="W1608" s="218">
        <v>1</v>
      </c>
      <c r="X1608" s="218">
        <v>1</v>
      </c>
      <c r="Y1608" s="218">
        <v>1</v>
      </c>
    </row>
    <row r="1609" spans="1:25" x14ac:dyDescent="0.3">
      <c r="A1609" s="1" t="s">
        <v>4375</v>
      </c>
      <c r="B1609" s="102">
        <v>46213</v>
      </c>
      <c r="C1609" s="6">
        <v>0.67708333333333304</v>
      </c>
      <c r="D1609" s="1" t="s">
        <v>24</v>
      </c>
      <c r="E1609" s="1" t="s">
        <v>4289</v>
      </c>
      <c r="F1609" s="1" t="s">
        <v>4376</v>
      </c>
      <c r="G1609" s="39" t="s">
        <v>702</v>
      </c>
      <c r="H1609" s="1">
        <v>0</v>
      </c>
      <c r="I1609" s="1">
        <v>1</v>
      </c>
      <c r="J1609" s="39" t="s">
        <v>734</v>
      </c>
      <c r="K1609" s="1">
        <v>1</v>
      </c>
      <c r="L1609" s="1">
        <v>0</v>
      </c>
      <c r="S1609" s="1" t="s">
        <v>10263</v>
      </c>
      <c r="T1609" s="1">
        <v>1</v>
      </c>
      <c r="U1609" s="19"/>
      <c r="V1609" s="19"/>
      <c r="W1609" s="218">
        <v>1</v>
      </c>
      <c r="X1609" s="218">
        <v>1</v>
      </c>
      <c r="Y1609" s="218">
        <v>1</v>
      </c>
    </row>
    <row r="1610" spans="1:25" x14ac:dyDescent="0.3">
      <c r="A1610" s="1" t="s">
        <v>4377</v>
      </c>
      <c r="B1610" s="102">
        <v>46200</v>
      </c>
      <c r="C1610" s="6">
        <v>0.5</v>
      </c>
      <c r="D1610" s="1" t="s">
        <v>24</v>
      </c>
      <c r="E1610" s="1" t="s">
        <v>4289</v>
      </c>
      <c r="F1610" s="1" t="s">
        <v>4378</v>
      </c>
      <c r="G1610" s="39" t="s">
        <v>718</v>
      </c>
      <c r="H1610" s="1">
        <v>2</v>
      </c>
      <c r="I1610" s="1">
        <v>2</v>
      </c>
      <c r="J1610" s="39" t="s">
        <v>734</v>
      </c>
      <c r="K1610" s="1">
        <v>2</v>
      </c>
      <c r="L1610" s="1">
        <v>2</v>
      </c>
      <c r="S1610" s="1" t="s">
        <v>10264</v>
      </c>
      <c r="T1610" s="1">
        <v>1</v>
      </c>
      <c r="U1610" s="19"/>
      <c r="V1610" s="19"/>
      <c r="W1610" s="218">
        <v>1</v>
      </c>
      <c r="X1610" s="218">
        <v>1</v>
      </c>
      <c r="Y1610" s="218">
        <v>1</v>
      </c>
    </row>
    <row r="1611" spans="1:25" x14ac:dyDescent="0.3">
      <c r="A1611" s="1" t="s">
        <v>4379</v>
      </c>
      <c r="B1611" s="102">
        <v>46173</v>
      </c>
      <c r="C1611" s="6">
        <v>0.45833333333333298</v>
      </c>
      <c r="D1611" s="1" t="s">
        <v>24</v>
      </c>
      <c r="E1611" s="1" t="s">
        <v>4289</v>
      </c>
      <c r="F1611" s="1" t="s">
        <v>4380</v>
      </c>
      <c r="G1611" s="39" t="s">
        <v>97</v>
      </c>
      <c r="H1611" s="1">
        <v>1</v>
      </c>
      <c r="I1611" s="1">
        <v>2</v>
      </c>
      <c r="J1611" s="39" t="s">
        <v>734</v>
      </c>
      <c r="K1611" s="1">
        <v>2</v>
      </c>
      <c r="L1611" s="1">
        <v>1</v>
      </c>
      <c r="S1611" s="1" t="s">
        <v>10265</v>
      </c>
      <c r="T1611" s="1">
        <v>1</v>
      </c>
      <c r="U1611" s="19"/>
      <c r="V1611" s="19"/>
      <c r="W1611" s="218">
        <v>1</v>
      </c>
      <c r="X1611" s="218">
        <v>1</v>
      </c>
      <c r="Y1611" s="218">
        <v>1</v>
      </c>
    </row>
    <row r="1612" spans="1:25" x14ac:dyDescent="0.3">
      <c r="A1612" s="1" t="s">
        <v>4381</v>
      </c>
      <c r="B1612" s="102">
        <v>46165</v>
      </c>
      <c r="C1612" s="6">
        <v>0.45833333333333298</v>
      </c>
      <c r="D1612" s="1" t="s">
        <v>24</v>
      </c>
      <c r="E1612" s="1" t="s">
        <v>4289</v>
      </c>
      <c r="F1612" s="1" t="s">
        <v>4382</v>
      </c>
      <c r="G1612" s="39" t="s">
        <v>734</v>
      </c>
      <c r="H1612" s="1">
        <v>5</v>
      </c>
      <c r="I1612" s="1">
        <v>3</v>
      </c>
      <c r="J1612" s="39" t="s">
        <v>696</v>
      </c>
      <c r="K1612" s="1">
        <v>3</v>
      </c>
      <c r="L1612" s="1">
        <v>5</v>
      </c>
      <c r="S1612" s="1" t="s">
        <v>10266</v>
      </c>
      <c r="T1612" s="1">
        <v>1</v>
      </c>
      <c r="U1612" s="19"/>
      <c r="V1612" s="19"/>
      <c r="W1612" s="218">
        <v>1</v>
      </c>
      <c r="X1612" s="218">
        <v>1</v>
      </c>
      <c r="Y1612" s="218">
        <v>1</v>
      </c>
    </row>
    <row r="1613" spans="1:25" x14ac:dyDescent="0.3">
      <c r="A1613" s="1" t="s">
        <v>4383</v>
      </c>
      <c r="B1613" s="102">
        <v>46151</v>
      </c>
      <c r="C1613" s="6">
        <v>0.45833333333333298</v>
      </c>
      <c r="D1613" s="1" t="s">
        <v>24</v>
      </c>
      <c r="E1613" s="1" t="s">
        <v>4289</v>
      </c>
      <c r="F1613" s="1" t="s">
        <v>4384</v>
      </c>
      <c r="G1613" s="39" t="s">
        <v>696</v>
      </c>
      <c r="H1613" s="1">
        <v>4</v>
      </c>
      <c r="I1613" s="1">
        <v>3</v>
      </c>
      <c r="J1613" s="39" t="s">
        <v>692</v>
      </c>
      <c r="K1613" s="1">
        <v>3</v>
      </c>
      <c r="L1613" s="1">
        <v>4</v>
      </c>
      <c r="S1613" s="1" t="s">
        <v>10267</v>
      </c>
      <c r="T1613" s="1">
        <v>1</v>
      </c>
      <c r="U1613" s="19"/>
      <c r="V1613" s="19"/>
      <c r="W1613" s="218">
        <v>0</v>
      </c>
      <c r="X1613" s="218">
        <v>0</v>
      </c>
      <c r="Y1613" s="218">
        <v>0</v>
      </c>
    </row>
    <row r="1614" spans="1:25" x14ac:dyDescent="0.3">
      <c r="A1614" s="1" t="s">
        <v>4385</v>
      </c>
      <c r="B1614" s="102">
        <v>46207</v>
      </c>
      <c r="C1614" s="6">
        <v>0.54166666666666696</v>
      </c>
      <c r="D1614" s="1" t="s">
        <v>24</v>
      </c>
      <c r="E1614" s="1" t="s">
        <v>4289</v>
      </c>
      <c r="F1614" s="1" t="s">
        <v>4386</v>
      </c>
      <c r="G1614" s="39" t="s">
        <v>702</v>
      </c>
      <c r="H1614" s="1">
        <v>3</v>
      </c>
      <c r="I1614" s="1">
        <v>3</v>
      </c>
      <c r="J1614" s="39" t="s">
        <v>718</v>
      </c>
      <c r="K1614" s="1">
        <v>3</v>
      </c>
      <c r="L1614" s="1">
        <v>3</v>
      </c>
      <c r="S1614" s="1" t="s">
        <v>10268</v>
      </c>
      <c r="T1614" s="1">
        <v>1</v>
      </c>
      <c r="U1614" s="19"/>
      <c r="V1614" s="19"/>
      <c r="W1614" s="218">
        <v>1</v>
      </c>
      <c r="X1614" s="218">
        <v>1</v>
      </c>
      <c r="Y1614" s="218">
        <v>1</v>
      </c>
    </row>
    <row r="1615" spans="1:25" x14ac:dyDescent="0.3">
      <c r="A1615" s="1" t="s">
        <v>4387</v>
      </c>
      <c r="B1615" s="102">
        <v>46186</v>
      </c>
      <c r="C1615" s="6">
        <v>0.45833333333333298</v>
      </c>
      <c r="D1615" s="1" t="s">
        <v>24</v>
      </c>
      <c r="E1615" s="1" t="s">
        <v>4289</v>
      </c>
      <c r="F1615" s="1" t="s">
        <v>4388</v>
      </c>
      <c r="G1615" s="39" t="s">
        <v>702</v>
      </c>
      <c r="H1615" s="1">
        <v>1</v>
      </c>
      <c r="I1615" s="1">
        <v>0</v>
      </c>
      <c r="J1615" s="39" t="s">
        <v>696</v>
      </c>
      <c r="K1615" s="1">
        <v>0</v>
      </c>
      <c r="L1615" s="1">
        <v>1</v>
      </c>
      <c r="S1615" s="1" t="s">
        <v>10269</v>
      </c>
      <c r="T1615" s="1">
        <v>1</v>
      </c>
      <c r="U1615" s="19"/>
      <c r="V1615" s="19"/>
      <c r="W1615" s="218">
        <v>1</v>
      </c>
      <c r="X1615" s="218">
        <v>1</v>
      </c>
      <c r="Y1615" s="218">
        <v>1</v>
      </c>
    </row>
    <row r="1616" spans="1:25" x14ac:dyDescent="0.3">
      <c r="A1616" s="1" t="s">
        <v>4389</v>
      </c>
      <c r="B1616" s="102">
        <v>46164</v>
      </c>
      <c r="C1616" s="6">
        <v>0.67708333333333304</v>
      </c>
      <c r="D1616" s="1" t="s">
        <v>24</v>
      </c>
      <c r="E1616" s="1" t="s">
        <v>4289</v>
      </c>
      <c r="F1616" s="1" t="s">
        <v>4390</v>
      </c>
      <c r="G1616" s="39" t="s">
        <v>702</v>
      </c>
      <c r="H1616" s="1">
        <v>0</v>
      </c>
      <c r="I1616" s="1">
        <v>0</v>
      </c>
      <c r="J1616" s="39" t="s">
        <v>132</v>
      </c>
      <c r="K1616" s="1">
        <v>0</v>
      </c>
      <c r="L1616" s="1">
        <v>0</v>
      </c>
      <c r="S1616" s="1" t="s">
        <v>10270</v>
      </c>
      <c r="T1616" s="1">
        <v>1</v>
      </c>
      <c r="U1616" s="19"/>
      <c r="V1616" s="19"/>
      <c r="W1616" s="218">
        <v>0</v>
      </c>
      <c r="X1616" s="218">
        <v>1</v>
      </c>
      <c r="Y1616" s="218">
        <v>1</v>
      </c>
    </row>
    <row r="1617" spans="1:25" x14ac:dyDescent="0.3">
      <c r="A1617" s="1" t="s">
        <v>4391</v>
      </c>
      <c r="B1617" s="102">
        <v>46240</v>
      </c>
      <c r="C1617" s="6">
        <v>0.67708333333333304</v>
      </c>
      <c r="D1617" s="1" t="s">
        <v>24</v>
      </c>
      <c r="E1617" s="1" t="s">
        <v>4289</v>
      </c>
      <c r="F1617" s="1" t="s">
        <v>4392</v>
      </c>
      <c r="G1617" s="39" t="s">
        <v>685</v>
      </c>
      <c r="H1617" s="1">
        <v>3</v>
      </c>
      <c r="I1617" s="1">
        <v>2</v>
      </c>
      <c r="J1617" s="39" t="s">
        <v>96</v>
      </c>
      <c r="K1617" s="1">
        <v>2</v>
      </c>
      <c r="L1617" s="1">
        <v>3</v>
      </c>
      <c r="S1617" s="1" t="s">
        <v>10271</v>
      </c>
      <c r="T1617" s="1">
        <v>1</v>
      </c>
      <c r="U1617" s="19"/>
      <c r="V1617" s="19"/>
      <c r="W1617" s="218">
        <v>1</v>
      </c>
      <c r="X1617" s="218">
        <v>1</v>
      </c>
      <c r="Y1617" s="218">
        <v>1</v>
      </c>
    </row>
    <row r="1618" spans="1:25" x14ac:dyDescent="0.3">
      <c r="A1618" s="1" t="s">
        <v>4393</v>
      </c>
      <c r="B1618" s="102">
        <v>46227</v>
      </c>
      <c r="C1618" s="6">
        <v>0.58333333333333304</v>
      </c>
      <c r="D1618" s="1" t="s">
        <v>24</v>
      </c>
      <c r="E1618" s="1" t="s">
        <v>4289</v>
      </c>
      <c r="F1618" s="1" t="s">
        <v>4394</v>
      </c>
      <c r="G1618" s="39" t="s">
        <v>718</v>
      </c>
      <c r="H1618" s="1">
        <v>2</v>
      </c>
      <c r="I1618" s="1">
        <v>0</v>
      </c>
      <c r="J1618" s="39" t="s">
        <v>132</v>
      </c>
      <c r="K1618" s="1">
        <v>0</v>
      </c>
      <c r="L1618" s="1">
        <v>2</v>
      </c>
      <c r="S1618" s="1" t="s">
        <v>10272</v>
      </c>
      <c r="T1618" s="1">
        <v>1</v>
      </c>
      <c r="U1618" s="19"/>
      <c r="V1618" s="19"/>
      <c r="W1618" s="218">
        <v>1</v>
      </c>
      <c r="X1618" s="218">
        <v>1</v>
      </c>
      <c r="Y1618" s="218">
        <v>1</v>
      </c>
    </row>
    <row r="1619" spans="1:25" x14ac:dyDescent="0.3">
      <c r="A1619" s="1" t="s">
        <v>4395</v>
      </c>
      <c r="B1619" s="102">
        <v>46179</v>
      </c>
      <c r="C1619" s="6">
        <v>0.5</v>
      </c>
      <c r="D1619" s="1" t="s">
        <v>24</v>
      </c>
      <c r="E1619" s="1" t="s">
        <v>4289</v>
      </c>
      <c r="F1619" s="1" t="s">
        <v>4396</v>
      </c>
      <c r="G1619" s="39" t="s">
        <v>696</v>
      </c>
      <c r="H1619" s="1">
        <v>5</v>
      </c>
      <c r="I1619" s="1">
        <v>1</v>
      </c>
      <c r="J1619" s="39" t="s">
        <v>718</v>
      </c>
      <c r="K1619" s="1">
        <v>1</v>
      </c>
      <c r="L1619" s="1">
        <v>5</v>
      </c>
      <c r="S1619" s="1" t="s">
        <v>10273</v>
      </c>
      <c r="T1619" s="1">
        <v>1</v>
      </c>
      <c r="U1619" s="19"/>
      <c r="V1619" s="19"/>
      <c r="W1619" s="218">
        <v>1</v>
      </c>
      <c r="X1619" s="218">
        <v>1</v>
      </c>
      <c r="Y1619" s="218">
        <v>1</v>
      </c>
    </row>
    <row r="1620" spans="1:25" x14ac:dyDescent="0.3">
      <c r="A1620" s="1" t="s">
        <v>4402</v>
      </c>
      <c r="B1620" s="102">
        <v>46243</v>
      </c>
      <c r="C1620" s="6">
        <v>0.625</v>
      </c>
      <c r="D1620" s="1" t="s">
        <v>24</v>
      </c>
      <c r="E1620" s="1" t="s">
        <v>4288</v>
      </c>
      <c r="F1620" s="1" t="s">
        <v>4403</v>
      </c>
      <c r="G1620" s="39" t="s">
        <v>4397</v>
      </c>
      <c r="H1620" s="1">
        <v>2</v>
      </c>
      <c r="I1620" s="1">
        <v>2</v>
      </c>
      <c r="J1620" s="39" t="s">
        <v>78</v>
      </c>
      <c r="K1620" s="1">
        <v>2</v>
      </c>
      <c r="L1620" s="1">
        <v>2</v>
      </c>
      <c r="S1620" s="1" t="s">
        <v>10274</v>
      </c>
      <c r="T1620" s="1">
        <v>1</v>
      </c>
      <c r="U1620" s="19"/>
      <c r="V1620" s="19"/>
      <c r="W1620" s="218">
        <v>1</v>
      </c>
      <c r="X1620" s="218">
        <v>1</v>
      </c>
      <c r="Y1620" s="218">
        <v>1</v>
      </c>
    </row>
    <row r="1621" spans="1:25" x14ac:dyDescent="0.3">
      <c r="A1621" s="1" t="s">
        <v>4404</v>
      </c>
      <c r="B1621" s="102">
        <v>46236</v>
      </c>
      <c r="C1621" s="6">
        <v>0.45833333333333298</v>
      </c>
      <c r="D1621" s="1" t="s">
        <v>24</v>
      </c>
      <c r="E1621" s="1" t="s">
        <v>4288</v>
      </c>
      <c r="F1621" s="1" t="s">
        <v>4405</v>
      </c>
      <c r="G1621" s="39" t="s">
        <v>4400</v>
      </c>
      <c r="H1621" s="1">
        <v>2</v>
      </c>
      <c r="I1621" s="1">
        <v>2</v>
      </c>
      <c r="J1621" s="39" t="s">
        <v>4397</v>
      </c>
      <c r="K1621" s="1">
        <v>2</v>
      </c>
      <c r="L1621" s="1">
        <v>2</v>
      </c>
      <c r="S1621" s="1" t="s">
        <v>10275</v>
      </c>
      <c r="T1621" s="1">
        <v>1</v>
      </c>
      <c r="U1621" s="19"/>
      <c r="V1621" s="19"/>
      <c r="W1621" s="218">
        <v>1</v>
      </c>
      <c r="X1621" s="218">
        <v>1</v>
      </c>
      <c r="Y1621" s="218">
        <v>1</v>
      </c>
    </row>
    <row r="1622" spans="1:25" x14ac:dyDescent="0.3">
      <c r="A1622" s="1" t="s">
        <v>4406</v>
      </c>
      <c r="B1622" s="102">
        <v>46227</v>
      </c>
      <c r="C1622" s="6">
        <v>0.70833333333333304</v>
      </c>
      <c r="D1622" s="1" t="s">
        <v>24</v>
      </c>
      <c r="E1622" s="1" t="s">
        <v>4288</v>
      </c>
      <c r="F1622" s="1" t="s">
        <v>4407</v>
      </c>
      <c r="G1622" s="39" t="s">
        <v>4397</v>
      </c>
      <c r="H1622" s="1">
        <v>5</v>
      </c>
      <c r="I1622" s="1">
        <v>1</v>
      </c>
      <c r="J1622" s="39" t="s">
        <v>901</v>
      </c>
      <c r="K1622" s="1">
        <v>1</v>
      </c>
      <c r="L1622" s="1">
        <v>5</v>
      </c>
      <c r="S1622" s="1" t="s">
        <v>10276</v>
      </c>
      <c r="T1622" s="1">
        <v>1</v>
      </c>
      <c r="U1622" s="19"/>
      <c r="V1622" s="19"/>
      <c r="W1622" s="218">
        <v>1</v>
      </c>
      <c r="X1622" s="218">
        <v>1</v>
      </c>
      <c r="Y1622" s="218">
        <v>1</v>
      </c>
    </row>
    <row r="1623" spans="1:25" x14ac:dyDescent="0.3">
      <c r="A1623" s="1" t="s">
        <v>4408</v>
      </c>
      <c r="B1623" s="102">
        <v>46221</v>
      </c>
      <c r="C1623" s="6">
        <v>0.54166666666666696</v>
      </c>
      <c r="D1623" s="1" t="s">
        <v>24</v>
      </c>
      <c r="E1623" s="1" t="s">
        <v>4288</v>
      </c>
      <c r="F1623" s="1" t="s">
        <v>4531</v>
      </c>
      <c r="G1623" s="39" t="s">
        <v>4529</v>
      </c>
      <c r="H1623" s="1">
        <v>2</v>
      </c>
      <c r="I1623" s="1">
        <v>1</v>
      </c>
      <c r="J1623" s="39" t="s">
        <v>4397</v>
      </c>
      <c r="K1623" s="1">
        <v>1</v>
      </c>
      <c r="L1623" s="1">
        <v>2</v>
      </c>
      <c r="S1623" s="1" t="s">
        <v>10277</v>
      </c>
      <c r="T1623" s="1">
        <v>1</v>
      </c>
      <c r="U1623" s="19"/>
      <c r="V1623" s="19"/>
      <c r="W1623" s="218">
        <v>1</v>
      </c>
      <c r="X1623" s="218">
        <v>1</v>
      </c>
      <c r="Y1623" s="218">
        <v>1</v>
      </c>
    </row>
    <row r="1624" spans="1:25" x14ac:dyDescent="0.3">
      <c r="A1624" s="1" t="s">
        <v>4409</v>
      </c>
      <c r="B1624" s="102">
        <v>46205</v>
      </c>
      <c r="C1624" s="6">
        <v>0.67708333333333304</v>
      </c>
      <c r="D1624" s="1" t="s">
        <v>24</v>
      </c>
      <c r="E1624" s="1" t="s">
        <v>4288</v>
      </c>
      <c r="F1624" s="1" t="s">
        <v>4410</v>
      </c>
      <c r="G1624" s="39" t="s">
        <v>4397</v>
      </c>
      <c r="H1624" s="1">
        <v>3</v>
      </c>
      <c r="I1624" s="1">
        <v>2</v>
      </c>
      <c r="J1624" s="39" t="s">
        <v>80</v>
      </c>
      <c r="K1624" s="1">
        <v>2</v>
      </c>
      <c r="L1624" s="1">
        <v>3</v>
      </c>
      <c r="S1624" s="1" t="s">
        <v>10278</v>
      </c>
      <c r="T1624" s="1">
        <v>1</v>
      </c>
      <c r="U1624" s="19"/>
      <c r="V1624" s="19"/>
      <c r="W1624" s="218">
        <v>1</v>
      </c>
      <c r="X1624" s="218">
        <v>1</v>
      </c>
      <c r="Y1624" s="218">
        <v>1</v>
      </c>
    </row>
    <row r="1625" spans="1:25" x14ac:dyDescent="0.3">
      <c r="A1625" s="1" t="s">
        <v>4411</v>
      </c>
      <c r="B1625" s="102">
        <v>46198</v>
      </c>
      <c r="C1625" s="6">
        <v>0.67708333333333304</v>
      </c>
      <c r="D1625" s="1" t="s">
        <v>24</v>
      </c>
      <c r="E1625" s="1" t="s">
        <v>4288</v>
      </c>
      <c r="F1625" s="1" t="s">
        <v>4412</v>
      </c>
      <c r="G1625" s="39" t="s">
        <v>77</v>
      </c>
      <c r="H1625" s="1">
        <v>1</v>
      </c>
      <c r="I1625" s="1">
        <v>4</v>
      </c>
      <c r="J1625" s="39" t="s">
        <v>4397</v>
      </c>
      <c r="K1625" s="1">
        <v>4</v>
      </c>
      <c r="L1625" s="1">
        <v>1</v>
      </c>
      <c r="S1625" s="1" t="s">
        <v>10279</v>
      </c>
      <c r="T1625" s="1">
        <v>1</v>
      </c>
      <c r="U1625" s="19"/>
      <c r="V1625" s="19"/>
      <c r="W1625" s="218">
        <v>1</v>
      </c>
      <c r="X1625" s="218">
        <v>1</v>
      </c>
      <c r="Y1625" s="218">
        <v>1</v>
      </c>
    </row>
    <row r="1626" spans="1:25" x14ac:dyDescent="0.3">
      <c r="A1626" s="1" t="s">
        <v>4413</v>
      </c>
      <c r="B1626" s="102">
        <v>46194</v>
      </c>
      <c r="C1626" s="6">
        <v>0.71875</v>
      </c>
      <c r="D1626" s="1" t="s">
        <v>24</v>
      </c>
      <c r="E1626" s="1" t="s">
        <v>4288</v>
      </c>
      <c r="F1626" s="1" t="s">
        <v>4414</v>
      </c>
      <c r="G1626" s="39" t="s">
        <v>4398</v>
      </c>
      <c r="H1626" s="1">
        <v>0</v>
      </c>
      <c r="I1626" s="1">
        <v>5</v>
      </c>
      <c r="J1626" s="39" t="s">
        <v>4397</v>
      </c>
      <c r="K1626" s="1">
        <v>5</v>
      </c>
      <c r="L1626" s="1">
        <v>0</v>
      </c>
      <c r="S1626" s="1" t="s">
        <v>10280</v>
      </c>
      <c r="T1626" s="1">
        <v>1</v>
      </c>
      <c r="U1626" s="19"/>
      <c r="V1626" s="19"/>
      <c r="W1626" s="218">
        <v>1</v>
      </c>
      <c r="X1626" s="218">
        <v>1</v>
      </c>
      <c r="Y1626" s="218">
        <v>1</v>
      </c>
    </row>
    <row r="1627" spans="1:25" x14ac:dyDescent="0.3">
      <c r="A1627" s="1" t="s">
        <v>4415</v>
      </c>
      <c r="B1627" s="102">
        <v>46189</v>
      </c>
      <c r="C1627" s="6">
        <v>0.67708333333333304</v>
      </c>
      <c r="D1627" s="1" t="s">
        <v>24</v>
      </c>
      <c r="E1627" s="1" t="s">
        <v>4288</v>
      </c>
      <c r="F1627" s="1" t="s">
        <v>4416</v>
      </c>
      <c r="G1627" s="39" t="s">
        <v>4397</v>
      </c>
      <c r="H1627" s="1">
        <v>2</v>
      </c>
      <c r="I1627" s="1">
        <v>0</v>
      </c>
      <c r="J1627" s="39" t="s">
        <v>4399</v>
      </c>
      <c r="K1627" s="1">
        <v>0</v>
      </c>
      <c r="L1627" s="1">
        <v>2</v>
      </c>
      <c r="S1627" s="1" t="s">
        <v>10281</v>
      </c>
      <c r="T1627" s="1">
        <v>1</v>
      </c>
      <c r="U1627" s="19"/>
      <c r="V1627" s="19"/>
      <c r="W1627" s="218">
        <v>1</v>
      </c>
      <c r="X1627" s="218">
        <v>1</v>
      </c>
      <c r="Y1627" s="218">
        <v>1</v>
      </c>
    </row>
    <row r="1628" spans="1:25" x14ac:dyDescent="0.3">
      <c r="A1628" s="1" t="s">
        <v>4417</v>
      </c>
      <c r="B1628" s="102">
        <v>46173</v>
      </c>
      <c r="C1628" s="6">
        <v>0.67708333333333304</v>
      </c>
      <c r="D1628" s="1" t="s">
        <v>24</v>
      </c>
      <c r="E1628" s="1" t="s">
        <v>4288</v>
      </c>
      <c r="F1628" s="1" t="s">
        <v>4418</v>
      </c>
      <c r="G1628" s="39" t="s">
        <v>939</v>
      </c>
      <c r="H1628" s="1">
        <v>1</v>
      </c>
      <c r="I1628" s="1">
        <v>5</v>
      </c>
      <c r="J1628" s="39" t="s">
        <v>4397</v>
      </c>
      <c r="K1628" s="1">
        <v>5</v>
      </c>
      <c r="L1628" s="1">
        <v>1</v>
      </c>
      <c r="S1628" s="1" t="s">
        <v>10282</v>
      </c>
      <c r="T1628" s="1">
        <v>1</v>
      </c>
      <c r="U1628" s="19"/>
      <c r="V1628" s="19"/>
      <c r="W1628" s="218">
        <v>1</v>
      </c>
      <c r="X1628" s="218">
        <v>1</v>
      </c>
      <c r="Y1628" s="218">
        <v>1</v>
      </c>
    </row>
    <row r="1629" spans="1:25" x14ac:dyDescent="0.3">
      <c r="A1629" s="1" t="s">
        <v>4419</v>
      </c>
      <c r="B1629" s="102">
        <v>46168</v>
      </c>
      <c r="C1629" s="6">
        <v>0.67708333333333304</v>
      </c>
      <c r="D1629" s="1" t="s">
        <v>24</v>
      </c>
      <c r="E1629" s="1" t="s">
        <v>4288</v>
      </c>
      <c r="F1629" s="1" t="s">
        <v>4420</v>
      </c>
      <c r="G1629" s="39" t="s">
        <v>938</v>
      </c>
      <c r="H1629" s="1">
        <v>1</v>
      </c>
      <c r="I1629" s="1">
        <v>3</v>
      </c>
      <c r="J1629" s="39" t="s">
        <v>4397</v>
      </c>
      <c r="K1629" s="1">
        <v>3</v>
      </c>
      <c r="L1629" s="1">
        <v>1</v>
      </c>
      <c r="S1629" s="1" t="s">
        <v>10283</v>
      </c>
      <c r="T1629" s="1">
        <v>1</v>
      </c>
      <c r="U1629" s="19"/>
      <c r="V1629" s="19"/>
      <c r="W1629" s="218">
        <v>1</v>
      </c>
      <c r="X1629" s="218">
        <v>1</v>
      </c>
      <c r="Y1629" s="218">
        <v>1</v>
      </c>
    </row>
    <row r="1630" spans="1:25" x14ac:dyDescent="0.3">
      <c r="A1630" s="1" t="s">
        <v>4421</v>
      </c>
      <c r="B1630" s="102">
        <v>46164</v>
      </c>
      <c r="C1630" s="6">
        <v>0.67708333333333304</v>
      </c>
      <c r="D1630" s="1" t="s">
        <v>24</v>
      </c>
      <c r="E1630" s="1" t="s">
        <v>4288</v>
      </c>
      <c r="F1630" s="1" t="s">
        <v>4422</v>
      </c>
      <c r="G1630" s="39" t="s">
        <v>4397</v>
      </c>
      <c r="H1630" s="1">
        <v>5</v>
      </c>
      <c r="I1630" s="1">
        <v>0</v>
      </c>
      <c r="J1630" s="39" t="s">
        <v>4401</v>
      </c>
      <c r="K1630" s="1">
        <v>0</v>
      </c>
      <c r="L1630" s="1">
        <v>5</v>
      </c>
      <c r="S1630" s="1" t="s">
        <v>10284</v>
      </c>
      <c r="T1630" s="1">
        <v>1</v>
      </c>
      <c r="U1630" s="19"/>
      <c r="V1630" s="19"/>
      <c r="W1630" s="218">
        <v>1</v>
      </c>
      <c r="X1630" s="218">
        <v>1</v>
      </c>
      <c r="Y1630" s="218">
        <v>1</v>
      </c>
    </row>
    <row r="1631" spans="1:25" x14ac:dyDescent="0.3">
      <c r="A1631" s="1" t="s">
        <v>4423</v>
      </c>
      <c r="B1631" s="102">
        <v>46159</v>
      </c>
      <c r="C1631" s="6">
        <v>0.41666666666666702</v>
      </c>
      <c r="D1631" s="1" t="s">
        <v>24</v>
      </c>
      <c r="E1631" s="1" t="s">
        <v>4288</v>
      </c>
      <c r="F1631" s="1" t="s">
        <v>4424</v>
      </c>
      <c r="G1631" s="39" t="s">
        <v>78</v>
      </c>
      <c r="H1631" s="1">
        <v>0</v>
      </c>
      <c r="I1631" s="1">
        <v>2</v>
      </c>
      <c r="J1631" s="39" t="s">
        <v>4397</v>
      </c>
      <c r="K1631" s="1">
        <v>2</v>
      </c>
      <c r="L1631" s="1">
        <v>0</v>
      </c>
      <c r="S1631" s="1" t="s">
        <v>10285</v>
      </c>
      <c r="T1631" s="1">
        <v>1</v>
      </c>
      <c r="U1631" s="19"/>
      <c r="V1631" s="19"/>
      <c r="W1631" s="218">
        <v>1</v>
      </c>
      <c r="X1631" s="218">
        <v>1</v>
      </c>
      <c r="Y1631" s="218">
        <v>1</v>
      </c>
    </row>
    <row r="1632" spans="1:25" x14ac:dyDescent="0.3">
      <c r="A1632" s="1" t="s">
        <v>4425</v>
      </c>
      <c r="B1632" s="102">
        <v>46235</v>
      </c>
      <c r="C1632" s="6">
        <v>0.45833333333333298</v>
      </c>
      <c r="D1632" s="1" t="s">
        <v>24</v>
      </c>
      <c r="E1632" s="1" t="s">
        <v>4288</v>
      </c>
      <c r="F1632" s="1" t="s">
        <v>4426</v>
      </c>
      <c r="G1632" s="39" t="s">
        <v>78</v>
      </c>
      <c r="H1632" s="1">
        <v>1</v>
      </c>
      <c r="I1632" s="1">
        <v>2</v>
      </c>
      <c r="J1632" s="39" t="s">
        <v>4398</v>
      </c>
      <c r="K1632" s="1">
        <v>2</v>
      </c>
      <c r="L1632" s="1">
        <v>1</v>
      </c>
      <c r="S1632" s="1" t="s">
        <v>10286</v>
      </c>
      <c r="T1632" s="1">
        <v>1</v>
      </c>
      <c r="U1632" s="19"/>
      <c r="V1632" s="19"/>
      <c r="W1632" s="218">
        <v>1</v>
      </c>
      <c r="X1632" s="218">
        <v>1</v>
      </c>
      <c r="Y1632" s="218">
        <v>1</v>
      </c>
    </row>
    <row r="1633" spans="1:25" x14ac:dyDescent="0.3">
      <c r="A1633" s="1" t="s">
        <v>4427</v>
      </c>
      <c r="B1633" s="102">
        <v>46229</v>
      </c>
      <c r="C1633" s="6">
        <v>0.67708333333333304</v>
      </c>
      <c r="D1633" s="1" t="s">
        <v>24</v>
      </c>
      <c r="E1633" s="1" t="s">
        <v>4288</v>
      </c>
      <c r="F1633" s="1" t="s">
        <v>4428</v>
      </c>
      <c r="G1633" s="39" t="s">
        <v>4398</v>
      </c>
      <c r="H1633" s="1">
        <v>0</v>
      </c>
      <c r="I1633" s="1">
        <v>0</v>
      </c>
      <c r="J1633" s="39" t="s">
        <v>4401</v>
      </c>
      <c r="K1633" s="1">
        <v>0</v>
      </c>
      <c r="L1633" s="1">
        <v>0</v>
      </c>
      <c r="S1633" s="1" t="s">
        <v>10287</v>
      </c>
      <c r="T1633" s="1">
        <v>1</v>
      </c>
      <c r="U1633" s="19"/>
      <c r="V1633" s="19"/>
      <c r="W1633" s="218">
        <v>1</v>
      </c>
      <c r="X1633" s="218">
        <v>1</v>
      </c>
      <c r="Y1633" s="218">
        <v>1</v>
      </c>
    </row>
    <row r="1634" spans="1:25" x14ac:dyDescent="0.3">
      <c r="A1634" s="1" t="s">
        <v>4429</v>
      </c>
      <c r="B1634" s="102">
        <v>46221</v>
      </c>
      <c r="C1634" s="6">
        <v>0.67708333333333304</v>
      </c>
      <c r="D1634" s="1" t="s">
        <v>24</v>
      </c>
      <c r="E1634" s="1" t="s">
        <v>4288</v>
      </c>
      <c r="F1634" s="1" t="s">
        <v>4430</v>
      </c>
      <c r="G1634" s="39" t="s">
        <v>939</v>
      </c>
      <c r="H1634" s="1">
        <v>2</v>
      </c>
      <c r="I1634" s="1">
        <v>3</v>
      </c>
      <c r="J1634" s="39" t="s">
        <v>4398</v>
      </c>
      <c r="K1634" s="1">
        <v>3</v>
      </c>
      <c r="L1634" s="1">
        <v>2</v>
      </c>
      <c r="S1634" s="1" t="s">
        <v>10288</v>
      </c>
      <c r="T1634" s="1">
        <v>1</v>
      </c>
      <c r="U1634" s="19"/>
      <c r="V1634" s="19"/>
      <c r="W1634" s="218">
        <v>1</v>
      </c>
      <c r="X1634" s="218">
        <v>1</v>
      </c>
      <c r="Y1634" s="218">
        <v>1</v>
      </c>
    </row>
    <row r="1635" spans="1:25" x14ac:dyDescent="0.3">
      <c r="A1635" s="1" t="s">
        <v>4431</v>
      </c>
      <c r="B1635" s="102">
        <v>46215</v>
      </c>
      <c r="C1635" s="6">
        <v>0.625</v>
      </c>
      <c r="D1635" s="1" t="s">
        <v>24</v>
      </c>
      <c r="E1635" s="1" t="s">
        <v>4288</v>
      </c>
      <c r="F1635" s="1" t="s">
        <v>4532</v>
      </c>
      <c r="G1635" s="39" t="s">
        <v>4398</v>
      </c>
      <c r="H1635" s="1">
        <v>6</v>
      </c>
      <c r="I1635" s="1">
        <v>1</v>
      </c>
      <c r="J1635" s="39" t="s">
        <v>4529</v>
      </c>
      <c r="K1635" s="1">
        <v>1</v>
      </c>
      <c r="L1635" s="1">
        <v>6</v>
      </c>
      <c r="S1635" s="1" t="s">
        <v>10289</v>
      </c>
      <c r="T1635" s="1">
        <v>1</v>
      </c>
      <c r="U1635" s="19"/>
      <c r="V1635" s="19"/>
      <c r="W1635" s="218">
        <v>1</v>
      </c>
      <c r="X1635" s="218">
        <v>1</v>
      </c>
      <c r="Y1635" s="218">
        <v>1</v>
      </c>
    </row>
    <row r="1636" spans="1:25" x14ac:dyDescent="0.3">
      <c r="A1636" s="1" t="s">
        <v>4432</v>
      </c>
      <c r="B1636" s="102">
        <v>46209</v>
      </c>
      <c r="C1636" s="6">
        <v>0.67708333333333304</v>
      </c>
      <c r="D1636" s="1" t="s">
        <v>24</v>
      </c>
      <c r="E1636" s="1" t="s">
        <v>4288</v>
      </c>
      <c r="F1636" s="1" t="s">
        <v>4433</v>
      </c>
      <c r="G1636" s="39" t="s">
        <v>901</v>
      </c>
      <c r="H1636" s="1">
        <v>1</v>
      </c>
      <c r="I1636" s="1">
        <v>1</v>
      </c>
      <c r="J1636" s="39" t="s">
        <v>4398</v>
      </c>
      <c r="K1636" s="1">
        <v>1</v>
      </c>
      <c r="L1636" s="1">
        <v>1</v>
      </c>
      <c r="S1636" s="1" t="s">
        <v>10290</v>
      </c>
      <c r="T1636" s="1">
        <v>1</v>
      </c>
      <c r="U1636" s="19"/>
      <c r="V1636" s="19"/>
      <c r="W1636" s="218">
        <v>1</v>
      </c>
      <c r="X1636" s="218">
        <v>1</v>
      </c>
      <c r="Y1636" s="218">
        <v>1</v>
      </c>
    </row>
    <row r="1637" spans="1:25" x14ac:dyDescent="0.3">
      <c r="A1637" s="1" t="s">
        <v>4434</v>
      </c>
      <c r="B1637" s="102">
        <v>46202</v>
      </c>
      <c r="C1637" s="6">
        <v>0.67708333333333304</v>
      </c>
      <c r="D1637" s="1" t="s">
        <v>24</v>
      </c>
      <c r="E1637" s="1" t="s">
        <v>4288</v>
      </c>
      <c r="F1637" s="1" t="s">
        <v>4435</v>
      </c>
      <c r="G1637" s="39" t="s">
        <v>4400</v>
      </c>
      <c r="H1637" s="1">
        <v>0</v>
      </c>
      <c r="I1637" s="1">
        <v>2</v>
      </c>
      <c r="J1637" s="39" t="s">
        <v>4398</v>
      </c>
      <c r="K1637" s="1">
        <v>2</v>
      </c>
      <c r="L1637" s="1">
        <v>0</v>
      </c>
      <c r="S1637" s="1" t="s">
        <v>10291</v>
      </c>
      <c r="T1637" s="1">
        <v>1</v>
      </c>
      <c r="U1637" s="19"/>
      <c r="V1637" s="19"/>
      <c r="W1637" s="218">
        <v>1</v>
      </c>
      <c r="X1637" s="218">
        <v>1</v>
      </c>
      <c r="Y1637" s="218">
        <v>1</v>
      </c>
    </row>
    <row r="1638" spans="1:25" x14ac:dyDescent="0.3">
      <c r="A1638" s="1" t="s">
        <v>4436</v>
      </c>
      <c r="B1638" s="102">
        <v>46188</v>
      </c>
      <c r="C1638" s="6">
        <v>0.625</v>
      </c>
      <c r="D1638" s="1" t="s">
        <v>24</v>
      </c>
      <c r="E1638" s="1" t="s">
        <v>4288</v>
      </c>
      <c r="F1638" s="1" t="s">
        <v>4437</v>
      </c>
      <c r="G1638" s="39" t="s">
        <v>80</v>
      </c>
      <c r="H1638" s="1">
        <v>3</v>
      </c>
      <c r="I1638" s="1">
        <v>4</v>
      </c>
      <c r="J1638" s="39" t="s">
        <v>4398</v>
      </c>
      <c r="K1638" s="1">
        <v>4</v>
      </c>
      <c r="L1638" s="1">
        <v>3</v>
      </c>
      <c r="S1638" s="1" t="s">
        <v>10292</v>
      </c>
      <c r="T1638" s="1">
        <v>1</v>
      </c>
      <c r="U1638" s="19"/>
      <c r="V1638" s="19"/>
      <c r="W1638" s="218">
        <v>1</v>
      </c>
      <c r="X1638" s="218">
        <v>1</v>
      </c>
      <c r="Y1638" s="218">
        <v>1</v>
      </c>
    </row>
    <row r="1639" spans="1:25" x14ac:dyDescent="0.3">
      <c r="A1639" s="1" t="s">
        <v>4438</v>
      </c>
      <c r="B1639" s="102">
        <v>46171</v>
      </c>
      <c r="C1639" s="6">
        <v>0.67708333333333304</v>
      </c>
      <c r="D1639" s="1" t="s">
        <v>24</v>
      </c>
      <c r="E1639" s="1" t="s">
        <v>4288</v>
      </c>
      <c r="F1639" s="1" t="s">
        <v>4439</v>
      </c>
      <c r="G1639" s="39" t="s">
        <v>4398</v>
      </c>
      <c r="H1639" s="1">
        <v>4</v>
      </c>
      <c r="I1639" s="1">
        <v>3</v>
      </c>
      <c r="J1639" s="39" t="s">
        <v>77</v>
      </c>
      <c r="K1639" s="1">
        <v>3</v>
      </c>
      <c r="L1639" s="1">
        <v>4</v>
      </c>
      <c r="S1639" s="1" t="s">
        <v>10293</v>
      </c>
      <c r="T1639" s="1">
        <v>1</v>
      </c>
      <c r="U1639" s="19"/>
      <c r="V1639" s="19"/>
      <c r="W1639" s="218">
        <v>1</v>
      </c>
      <c r="X1639" s="218">
        <v>1</v>
      </c>
      <c r="Y1639" s="218">
        <v>1</v>
      </c>
    </row>
    <row r="1640" spans="1:25" x14ac:dyDescent="0.3">
      <c r="A1640" s="1" t="s">
        <v>4440</v>
      </c>
      <c r="B1640" s="102">
        <v>46164</v>
      </c>
      <c r="C1640" s="6">
        <v>0.67708333333333304</v>
      </c>
      <c r="D1640" s="1" t="s">
        <v>24</v>
      </c>
      <c r="E1640" s="1" t="s">
        <v>4288</v>
      </c>
      <c r="F1640" s="1" t="s">
        <v>4441</v>
      </c>
      <c r="G1640" s="39" t="s">
        <v>938</v>
      </c>
      <c r="H1640" s="1">
        <v>0</v>
      </c>
      <c r="I1640" s="1">
        <v>1</v>
      </c>
      <c r="J1640" s="39" t="s">
        <v>4398</v>
      </c>
      <c r="K1640" s="1">
        <v>1</v>
      </c>
      <c r="L1640" s="1">
        <v>0</v>
      </c>
      <c r="S1640" s="1" t="s">
        <v>10294</v>
      </c>
      <c r="T1640" s="1">
        <v>1</v>
      </c>
      <c r="U1640" s="19"/>
      <c r="V1640" s="19"/>
      <c r="W1640" s="218">
        <v>1</v>
      </c>
      <c r="X1640" s="218">
        <v>1</v>
      </c>
      <c r="Y1640" s="218">
        <v>1</v>
      </c>
    </row>
    <row r="1641" spans="1:25" x14ac:dyDescent="0.3">
      <c r="A1641" s="1" t="s">
        <v>4442</v>
      </c>
      <c r="B1641" s="102">
        <v>46159</v>
      </c>
      <c r="C1641" s="6">
        <v>0.63541666666666696</v>
      </c>
      <c r="D1641" s="1" t="s">
        <v>24</v>
      </c>
      <c r="E1641" s="1" t="s">
        <v>4288</v>
      </c>
      <c r="F1641" s="1" t="s">
        <v>4443</v>
      </c>
      <c r="G1641" s="39" t="s">
        <v>4399</v>
      </c>
      <c r="H1641" s="1">
        <v>2</v>
      </c>
      <c r="I1641" s="1">
        <v>2</v>
      </c>
      <c r="J1641" s="39" t="s">
        <v>4398</v>
      </c>
      <c r="K1641" s="1">
        <v>2</v>
      </c>
      <c r="L1641" s="1">
        <v>2</v>
      </c>
      <c r="S1641" s="1" t="s">
        <v>10295</v>
      </c>
      <c r="T1641" s="1">
        <v>1</v>
      </c>
      <c r="U1641" s="19"/>
      <c r="V1641" s="19"/>
      <c r="W1641" s="218">
        <v>1</v>
      </c>
      <c r="X1641" s="218">
        <v>1</v>
      </c>
      <c r="Y1641" s="218">
        <v>1</v>
      </c>
    </row>
    <row r="1642" spans="1:25" x14ac:dyDescent="0.3">
      <c r="A1642" s="1" t="s">
        <v>4444</v>
      </c>
      <c r="B1642" s="102">
        <v>46150</v>
      </c>
      <c r="C1642" s="6">
        <v>0.67708333333333304</v>
      </c>
      <c r="D1642" s="1" t="s">
        <v>24</v>
      </c>
      <c r="E1642" s="1" t="s">
        <v>4288</v>
      </c>
      <c r="F1642" s="1" t="s">
        <v>4445</v>
      </c>
      <c r="G1642" s="39" t="s">
        <v>4398</v>
      </c>
      <c r="H1642" s="1">
        <v>3</v>
      </c>
      <c r="I1642" s="1">
        <v>2</v>
      </c>
      <c r="J1642" s="39" t="s">
        <v>939</v>
      </c>
      <c r="K1642" s="1">
        <v>2</v>
      </c>
      <c r="L1642" s="1">
        <v>3</v>
      </c>
      <c r="S1642" s="1" t="s">
        <v>10296</v>
      </c>
      <c r="T1642" s="1">
        <v>1</v>
      </c>
      <c r="U1642" s="19"/>
      <c r="V1642" s="19"/>
      <c r="W1642" s="218">
        <v>0</v>
      </c>
      <c r="X1642" s="218">
        <v>0</v>
      </c>
      <c r="Y1642" s="218">
        <v>0</v>
      </c>
    </row>
    <row r="1643" spans="1:25" x14ac:dyDescent="0.3">
      <c r="A1643" s="1" t="s">
        <v>4446</v>
      </c>
      <c r="B1643" s="102">
        <v>46239</v>
      </c>
      <c r="C1643" s="6">
        <v>0.67708333333333304</v>
      </c>
      <c r="D1643" s="1" t="s">
        <v>24</v>
      </c>
      <c r="E1643" s="1" t="s">
        <v>4288</v>
      </c>
      <c r="F1643" s="1" t="s">
        <v>4447</v>
      </c>
      <c r="G1643" s="39" t="s">
        <v>4401</v>
      </c>
      <c r="H1643" s="1">
        <v>1</v>
      </c>
      <c r="I1643" s="1">
        <v>1</v>
      </c>
      <c r="J1643" s="39" t="s">
        <v>4399</v>
      </c>
      <c r="K1643" s="1">
        <v>1</v>
      </c>
      <c r="L1643" s="1">
        <v>1</v>
      </c>
      <c r="S1643" s="1" t="s">
        <v>10297</v>
      </c>
      <c r="T1643" s="1">
        <v>1</v>
      </c>
      <c r="U1643" s="19"/>
      <c r="V1643" s="19"/>
      <c r="W1643" s="218">
        <v>1</v>
      </c>
      <c r="X1643" s="218">
        <v>1</v>
      </c>
      <c r="Y1643" s="218">
        <v>1</v>
      </c>
    </row>
    <row r="1644" spans="1:25" x14ac:dyDescent="0.3">
      <c r="A1644" s="1" t="s">
        <v>4448</v>
      </c>
      <c r="B1644" s="102">
        <v>46222</v>
      </c>
      <c r="C1644" s="6">
        <v>0.54166666666666696</v>
      </c>
      <c r="D1644" s="1" t="s">
        <v>24</v>
      </c>
      <c r="E1644" s="1" t="s">
        <v>4288</v>
      </c>
      <c r="F1644" s="1" t="s">
        <v>4449</v>
      </c>
      <c r="G1644" s="39" t="s">
        <v>4399</v>
      </c>
      <c r="H1644" s="1">
        <v>5</v>
      </c>
      <c r="I1644" s="1">
        <v>0</v>
      </c>
      <c r="J1644" s="39" t="s">
        <v>938</v>
      </c>
      <c r="K1644" s="1">
        <v>0</v>
      </c>
      <c r="L1644" s="1">
        <v>5</v>
      </c>
      <c r="S1644" s="1" t="s">
        <v>10298</v>
      </c>
      <c r="T1644" s="1">
        <v>1</v>
      </c>
      <c r="U1644" s="19"/>
      <c r="V1644" s="19"/>
      <c r="W1644" s="218">
        <v>1</v>
      </c>
      <c r="X1644" s="218">
        <v>1</v>
      </c>
      <c r="Y1644" s="218">
        <v>1</v>
      </c>
    </row>
    <row r="1645" spans="1:25" x14ac:dyDescent="0.3">
      <c r="A1645" s="1" t="s">
        <v>4450</v>
      </c>
      <c r="B1645" s="102">
        <v>46215</v>
      </c>
      <c r="C1645" s="6">
        <v>0.625</v>
      </c>
      <c r="D1645" s="1" t="s">
        <v>24</v>
      </c>
      <c r="E1645" s="1" t="s">
        <v>4288</v>
      </c>
      <c r="F1645" s="1" t="s">
        <v>4451</v>
      </c>
      <c r="G1645" s="39" t="s">
        <v>4399</v>
      </c>
      <c r="H1645" s="1">
        <v>5</v>
      </c>
      <c r="I1645" s="1">
        <v>2</v>
      </c>
      <c r="J1645" s="39" t="s">
        <v>78</v>
      </c>
      <c r="K1645" s="1">
        <v>2</v>
      </c>
      <c r="L1645" s="1">
        <v>5</v>
      </c>
      <c r="S1645" s="1" t="s">
        <v>10299</v>
      </c>
      <c r="T1645" s="1">
        <v>1</v>
      </c>
      <c r="U1645" s="19"/>
      <c r="V1645" s="19"/>
      <c r="W1645" s="218">
        <v>1</v>
      </c>
      <c r="X1645" s="218">
        <v>1</v>
      </c>
      <c r="Y1645" s="218">
        <v>1</v>
      </c>
    </row>
    <row r="1646" spans="1:25" x14ac:dyDescent="0.3">
      <c r="A1646" s="1" t="s">
        <v>4452</v>
      </c>
      <c r="B1646" s="102">
        <v>46205</v>
      </c>
      <c r="C1646" s="6">
        <v>0.67708333333333304</v>
      </c>
      <c r="D1646" s="1" t="s">
        <v>24</v>
      </c>
      <c r="E1646" s="1" t="s">
        <v>4288</v>
      </c>
      <c r="F1646" s="1" t="s">
        <v>4533</v>
      </c>
      <c r="G1646" s="39" t="s">
        <v>4529</v>
      </c>
      <c r="H1646" s="1">
        <v>3</v>
      </c>
      <c r="I1646" s="1">
        <v>3</v>
      </c>
      <c r="J1646" s="39" t="s">
        <v>4399</v>
      </c>
      <c r="K1646" s="1">
        <v>3</v>
      </c>
      <c r="L1646" s="1">
        <v>3</v>
      </c>
      <c r="S1646" s="1" t="s">
        <v>10300</v>
      </c>
      <c r="T1646" s="1">
        <v>1</v>
      </c>
      <c r="U1646" s="19"/>
      <c r="V1646" s="19"/>
      <c r="W1646" s="218">
        <v>1</v>
      </c>
      <c r="X1646" s="218">
        <v>1</v>
      </c>
      <c r="Y1646" s="218">
        <v>1</v>
      </c>
    </row>
    <row r="1647" spans="1:25" x14ac:dyDescent="0.3">
      <c r="A1647" s="1" t="s">
        <v>4453</v>
      </c>
      <c r="B1647" s="102">
        <v>46201</v>
      </c>
      <c r="C1647" s="6">
        <v>0.66666666666666696</v>
      </c>
      <c r="D1647" s="1" t="s">
        <v>24</v>
      </c>
      <c r="E1647" s="1" t="s">
        <v>4288</v>
      </c>
      <c r="F1647" s="1" t="s">
        <v>4454</v>
      </c>
      <c r="G1647" s="39" t="s">
        <v>901</v>
      </c>
      <c r="H1647" s="1">
        <v>3</v>
      </c>
      <c r="I1647" s="1">
        <v>2</v>
      </c>
      <c r="J1647" s="39" t="s">
        <v>4399</v>
      </c>
      <c r="K1647" s="1">
        <v>2</v>
      </c>
      <c r="L1647" s="1">
        <v>3</v>
      </c>
      <c r="S1647" s="1" t="s">
        <v>10301</v>
      </c>
      <c r="T1647" s="1">
        <v>1</v>
      </c>
      <c r="U1647" s="19"/>
      <c r="V1647" s="19"/>
      <c r="W1647" s="218">
        <v>1</v>
      </c>
      <c r="X1647" s="218">
        <v>1</v>
      </c>
      <c r="Y1647" s="218">
        <v>1</v>
      </c>
    </row>
    <row r="1648" spans="1:25" x14ac:dyDescent="0.3">
      <c r="A1648" s="1" t="s">
        <v>4455</v>
      </c>
      <c r="B1648" s="102">
        <v>46195</v>
      </c>
      <c r="C1648" s="6">
        <v>0.67708333333333304</v>
      </c>
      <c r="D1648" s="1" t="s">
        <v>24</v>
      </c>
      <c r="E1648" s="1" t="s">
        <v>4288</v>
      </c>
      <c r="F1648" s="1" t="s">
        <v>4456</v>
      </c>
      <c r="G1648" s="39" t="s">
        <v>4399</v>
      </c>
      <c r="H1648" s="1">
        <v>5</v>
      </c>
      <c r="I1648" s="1">
        <v>3</v>
      </c>
      <c r="J1648" s="39" t="s">
        <v>4400</v>
      </c>
      <c r="K1648" s="1">
        <v>3</v>
      </c>
      <c r="L1648" s="1">
        <v>5</v>
      </c>
      <c r="S1648" s="1" t="s">
        <v>10302</v>
      </c>
      <c r="T1648" s="1">
        <v>1</v>
      </c>
      <c r="U1648" s="19"/>
      <c r="V1648" s="19"/>
      <c r="W1648" s="218">
        <v>1</v>
      </c>
      <c r="X1648" s="218">
        <v>1</v>
      </c>
      <c r="Y1648" s="218">
        <v>1</v>
      </c>
    </row>
    <row r="1649" spans="1:25" x14ac:dyDescent="0.3">
      <c r="A1649" s="1" t="s">
        <v>4457</v>
      </c>
      <c r="B1649" s="102">
        <v>46173</v>
      </c>
      <c r="C1649" s="6">
        <v>0.58333333333333304</v>
      </c>
      <c r="D1649" s="1" t="s">
        <v>24</v>
      </c>
      <c r="E1649" s="1" t="s">
        <v>4288</v>
      </c>
      <c r="F1649" s="1" t="s">
        <v>4458</v>
      </c>
      <c r="G1649" s="39" t="s">
        <v>4399</v>
      </c>
      <c r="H1649" s="1">
        <v>5</v>
      </c>
      <c r="I1649" s="1">
        <v>3</v>
      </c>
      <c r="J1649" s="39" t="s">
        <v>80</v>
      </c>
      <c r="K1649" s="1">
        <v>3</v>
      </c>
      <c r="L1649" s="1">
        <v>5</v>
      </c>
      <c r="S1649" s="1" t="s">
        <v>10303</v>
      </c>
      <c r="T1649" s="1">
        <v>1</v>
      </c>
      <c r="U1649" s="19"/>
      <c r="V1649" s="19"/>
      <c r="W1649" s="218">
        <v>1</v>
      </c>
      <c r="X1649" s="218">
        <v>1</v>
      </c>
      <c r="Y1649" s="218">
        <v>1</v>
      </c>
    </row>
    <row r="1650" spans="1:25" x14ac:dyDescent="0.3">
      <c r="A1650" s="1" t="s">
        <v>4459</v>
      </c>
      <c r="B1650" s="102">
        <v>46168</v>
      </c>
      <c r="C1650" s="6">
        <v>0.67708333333333304</v>
      </c>
      <c r="D1650" s="1" t="s">
        <v>24</v>
      </c>
      <c r="E1650" s="1" t="s">
        <v>4288</v>
      </c>
      <c r="F1650" s="1" t="s">
        <v>4460</v>
      </c>
      <c r="G1650" s="39" t="s">
        <v>4399</v>
      </c>
      <c r="H1650" s="1">
        <v>3</v>
      </c>
      <c r="I1650" s="1">
        <v>1</v>
      </c>
      <c r="J1650" s="39" t="s">
        <v>939</v>
      </c>
      <c r="K1650" s="1">
        <v>1</v>
      </c>
      <c r="L1650" s="1">
        <v>3</v>
      </c>
      <c r="S1650" s="1" t="s">
        <v>10304</v>
      </c>
      <c r="T1650" s="1">
        <v>1</v>
      </c>
      <c r="U1650" s="19"/>
      <c r="V1650" s="19"/>
      <c r="W1650" s="218">
        <v>1</v>
      </c>
      <c r="X1650" s="218">
        <v>1</v>
      </c>
      <c r="Y1650" s="218">
        <v>1</v>
      </c>
    </row>
    <row r="1651" spans="1:25" x14ac:dyDescent="0.3">
      <c r="A1651" s="1" t="s">
        <v>4461</v>
      </c>
      <c r="B1651" s="102">
        <v>46164</v>
      </c>
      <c r="C1651" s="6">
        <v>0.67708333333333304</v>
      </c>
      <c r="D1651" s="1" t="s">
        <v>24</v>
      </c>
      <c r="E1651" s="1" t="s">
        <v>4288</v>
      </c>
      <c r="F1651" s="1" t="s">
        <v>4462</v>
      </c>
      <c r="G1651" s="39" t="s">
        <v>77</v>
      </c>
      <c r="H1651" s="1">
        <v>6</v>
      </c>
      <c r="I1651" s="1">
        <v>3</v>
      </c>
      <c r="J1651" s="39" t="s">
        <v>4399</v>
      </c>
      <c r="K1651" s="1">
        <v>3</v>
      </c>
      <c r="L1651" s="1">
        <v>6</v>
      </c>
      <c r="S1651" s="1" t="s">
        <v>10305</v>
      </c>
      <c r="T1651" s="1">
        <v>1</v>
      </c>
      <c r="U1651" s="19"/>
      <c r="V1651" s="19"/>
      <c r="W1651" s="218">
        <v>1</v>
      </c>
      <c r="X1651" s="218">
        <v>1</v>
      </c>
      <c r="Y1651" s="218">
        <v>1</v>
      </c>
    </row>
    <row r="1652" spans="1:25" x14ac:dyDescent="0.3">
      <c r="A1652" s="1" t="s">
        <v>4463</v>
      </c>
      <c r="B1652" s="102">
        <v>46150</v>
      </c>
      <c r="C1652" s="6">
        <v>0.67708333333333304</v>
      </c>
      <c r="D1652" s="1" t="s">
        <v>24</v>
      </c>
      <c r="E1652" s="1" t="s">
        <v>4288</v>
      </c>
      <c r="F1652" s="1" t="s">
        <v>4464</v>
      </c>
      <c r="G1652" s="39" t="s">
        <v>938</v>
      </c>
      <c r="H1652" s="1">
        <v>2</v>
      </c>
      <c r="I1652" s="1">
        <v>3</v>
      </c>
      <c r="J1652" s="39" t="s">
        <v>4399</v>
      </c>
      <c r="K1652" s="1">
        <v>3</v>
      </c>
      <c r="L1652" s="1">
        <v>2</v>
      </c>
      <c r="S1652" s="1" t="s">
        <v>10306</v>
      </c>
      <c r="T1652" s="1">
        <v>1</v>
      </c>
      <c r="U1652" s="19"/>
      <c r="V1652" s="19"/>
      <c r="W1652" s="218">
        <v>0</v>
      </c>
      <c r="X1652" s="218">
        <v>0</v>
      </c>
      <c r="Y1652" s="218">
        <v>0</v>
      </c>
    </row>
    <row r="1653" spans="1:25" x14ac:dyDescent="0.3">
      <c r="A1653" s="1" t="s">
        <v>4465</v>
      </c>
      <c r="B1653" s="102">
        <v>46243</v>
      </c>
      <c r="C1653" s="6">
        <v>0.71875</v>
      </c>
      <c r="D1653" s="1" t="s">
        <v>24</v>
      </c>
      <c r="E1653" s="1" t="s">
        <v>4288</v>
      </c>
      <c r="F1653" s="1" t="s">
        <v>4466</v>
      </c>
      <c r="G1653" s="39" t="s">
        <v>77</v>
      </c>
      <c r="H1653" s="1">
        <v>1</v>
      </c>
      <c r="I1653" s="1">
        <v>3</v>
      </c>
      <c r="J1653" s="39" t="s">
        <v>939</v>
      </c>
      <c r="K1653" s="1">
        <v>3</v>
      </c>
      <c r="L1653" s="1">
        <v>1</v>
      </c>
      <c r="S1653" s="1" t="s">
        <v>10307</v>
      </c>
      <c r="T1653" s="1">
        <v>1</v>
      </c>
      <c r="U1653" s="19"/>
      <c r="V1653" s="19"/>
      <c r="W1653" s="218">
        <v>1</v>
      </c>
      <c r="X1653" s="218">
        <v>1</v>
      </c>
      <c r="Y1653" s="218">
        <v>1</v>
      </c>
    </row>
    <row r="1654" spans="1:25" x14ac:dyDescent="0.3">
      <c r="A1654" s="1" t="s">
        <v>4467</v>
      </c>
      <c r="B1654" s="102">
        <v>46223</v>
      </c>
      <c r="C1654" s="6">
        <v>0.67708333333333304</v>
      </c>
      <c r="D1654" s="1" t="s">
        <v>24</v>
      </c>
      <c r="E1654" s="1" t="s">
        <v>4288</v>
      </c>
      <c r="F1654" s="1" t="s">
        <v>4468</v>
      </c>
      <c r="G1654" s="39" t="s">
        <v>4401</v>
      </c>
      <c r="H1654" s="1">
        <v>0</v>
      </c>
      <c r="I1654" s="1">
        <v>0</v>
      </c>
      <c r="J1654" s="39" t="s">
        <v>77</v>
      </c>
      <c r="K1654" s="1">
        <v>0</v>
      </c>
      <c r="L1654" s="1">
        <v>0</v>
      </c>
      <c r="S1654" s="1" t="s">
        <v>10308</v>
      </c>
      <c r="T1654" s="1">
        <v>1</v>
      </c>
      <c r="U1654" s="19"/>
      <c r="V1654" s="19"/>
      <c r="W1654" s="218">
        <v>1</v>
      </c>
      <c r="X1654" s="218">
        <v>1</v>
      </c>
      <c r="Y1654" s="218">
        <v>1</v>
      </c>
    </row>
    <row r="1655" spans="1:25" x14ac:dyDescent="0.3">
      <c r="A1655" s="1" t="s">
        <v>4469</v>
      </c>
      <c r="B1655" s="102">
        <v>46216</v>
      </c>
      <c r="C1655" s="6">
        <v>0.67708333333333304</v>
      </c>
      <c r="D1655" s="1" t="s">
        <v>24</v>
      </c>
      <c r="E1655" s="1" t="s">
        <v>4288</v>
      </c>
      <c r="F1655" s="1" t="s">
        <v>4470</v>
      </c>
      <c r="G1655" s="39" t="s">
        <v>77</v>
      </c>
      <c r="H1655" s="1">
        <v>2</v>
      </c>
      <c r="I1655" s="1">
        <v>1</v>
      </c>
      <c r="J1655" s="39" t="s">
        <v>901</v>
      </c>
      <c r="K1655" s="1">
        <v>1</v>
      </c>
      <c r="L1655" s="1">
        <v>2</v>
      </c>
      <c r="S1655" s="1" t="s">
        <v>10309</v>
      </c>
      <c r="T1655" s="1">
        <v>1</v>
      </c>
      <c r="U1655" s="19"/>
      <c r="V1655" s="19"/>
      <c r="W1655" s="218">
        <v>1</v>
      </c>
      <c r="X1655" s="218">
        <v>1</v>
      </c>
      <c r="Y1655" s="218">
        <v>1</v>
      </c>
    </row>
    <row r="1656" spans="1:25" x14ac:dyDescent="0.3">
      <c r="A1656" s="1" t="s">
        <v>4471</v>
      </c>
      <c r="B1656" s="102">
        <v>46207</v>
      </c>
      <c r="C1656" s="6">
        <v>0.45833333333333298</v>
      </c>
      <c r="D1656" s="1" t="s">
        <v>24</v>
      </c>
      <c r="E1656" s="1" t="s">
        <v>4288</v>
      </c>
      <c r="F1656" s="1" t="s">
        <v>4472</v>
      </c>
      <c r="G1656" s="39" t="s">
        <v>4400</v>
      </c>
      <c r="H1656" s="1">
        <v>1</v>
      </c>
      <c r="I1656" s="1">
        <v>2</v>
      </c>
      <c r="J1656" s="39" t="s">
        <v>77</v>
      </c>
      <c r="K1656" s="1">
        <v>2</v>
      </c>
      <c r="L1656" s="1">
        <v>1</v>
      </c>
      <c r="S1656" s="1" t="s">
        <v>10310</v>
      </c>
      <c r="T1656" s="1">
        <v>1</v>
      </c>
      <c r="U1656" s="19"/>
      <c r="V1656" s="19"/>
      <c r="W1656" s="218">
        <v>1</v>
      </c>
      <c r="X1656" s="218">
        <v>1</v>
      </c>
      <c r="Y1656" s="218">
        <v>1</v>
      </c>
    </row>
    <row r="1657" spans="1:25" x14ac:dyDescent="0.3">
      <c r="A1657" s="1" t="s">
        <v>4473</v>
      </c>
      <c r="B1657" s="102">
        <v>46194</v>
      </c>
      <c r="C1657" s="6">
        <v>0.625</v>
      </c>
      <c r="D1657" s="1" t="s">
        <v>24</v>
      </c>
      <c r="E1657" s="1" t="s">
        <v>4288</v>
      </c>
      <c r="F1657" s="1" t="s">
        <v>4474</v>
      </c>
      <c r="G1657" s="39" t="s">
        <v>77</v>
      </c>
      <c r="H1657" s="1">
        <v>3</v>
      </c>
      <c r="I1657" s="1">
        <v>1</v>
      </c>
      <c r="J1657" s="39" t="s">
        <v>80</v>
      </c>
      <c r="K1657" s="1">
        <v>1</v>
      </c>
      <c r="L1657" s="1">
        <v>3</v>
      </c>
      <c r="S1657" s="1" t="s">
        <v>10311</v>
      </c>
      <c r="T1657" s="1">
        <v>1</v>
      </c>
      <c r="U1657" s="19"/>
      <c r="V1657" s="19"/>
      <c r="W1657" s="218">
        <v>1</v>
      </c>
      <c r="X1657" s="218">
        <v>1</v>
      </c>
      <c r="Y1657" s="218">
        <v>1</v>
      </c>
    </row>
    <row r="1658" spans="1:25" x14ac:dyDescent="0.3">
      <c r="A1658" s="1" t="s">
        <v>4475</v>
      </c>
      <c r="B1658" s="102">
        <v>46189</v>
      </c>
      <c r="C1658" s="6">
        <v>0.67708333333333304</v>
      </c>
      <c r="D1658" s="1" t="s">
        <v>24</v>
      </c>
      <c r="E1658" s="1" t="s">
        <v>4288</v>
      </c>
      <c r="F1658" s="1" t="s">
        <v>4476</v>
      </c>
      <c r="G1658" s="39" t="s">
        <v>938</v>
      </c>
      <c r="H1658" s="1">
        <v>4</v>
      </c>
      <c r="I1658" s="1">
        <v>4</v>
      </c>
      <c r="J1658" s="39" t="s">
        <v>77</v>
      </c>
      <c r="K1658" s="1">
        <v>4</v>
      </c>
      <c r="L1658" s="1">
        <v>4</v>
      </c>
      <c r="S1658" s="1" t="s">
        <v>10312</v>
      </c>
      <c r="T1658" s="1">
        <v>1</v>
      </c>
      <c r="U1658" s="19"/>
      <c r="V1658" s="19"/>
      <c r="W1658" s="218">
        <v>1</v>
      </c>
      <c r="X1658" s="218">
        <v>1</v>
      </c>
      <c r="Y1658" s="218">
        <v>1</v>
      </c>
    </row>
    <row r="1659" spans="1:25" x14ac:dyDescent="0.3">
      <c r="A1659" s="1" t="s">
        <v>4477</v>
      </c>
      <c r="B1659" s="102">
        <v>46159</v>
      </c>
      <c r="C1659" s="6">
        <v>0.63541666666666696</v>
      </c>
      <c r="D1659" s="1" t="s">
        <v>24</v>
      </c>
      <c r="E1659" s="1" t="s">
        <v>4288</v>
      </c>
      <c r="F1659" s="1" t="s">
        <v>4478</v>
      </c>
      <c r="G1659" s="39" t="s">
        <v>939</v>
      </c>
      <c r="H1659" s="1">
        <v>3</v>
      </c>
      <c r="I1659" s="1">
        <v>2</v>
      </c>
      <c r="J1659" s="39" t="s">
        <v>77</v>
      </c>
      <c r="K1659" s="1">
        <v>2</v>
      </c>
      <c r="L1659" s="1">
        <v>3</v>
      </c>
      <c r="S1659" s="1" t="s">
        <v>10313</v>
      </c>
      <c r="T1659" s="1">
        <v>1</v>
      </c>
      <c r="U1659" s="19"/>
      <c r="V1659" s="19"/>
      <c r="W1659" s="218">
        <v>1</v>
      </c>
      <c r="X1659" s="218">
        <v>1</v>
      </c>
      <c r="Y1659" s="218">
        <v>1</v>
      </c>
    </row>
    <row r="1660" spans="1:25" x14ac:dyDescent="0.3">
      <c r="A1660" s="1" t="s">
        <v>4479</v>
      </c>
      <c r="B1660" s="102">
        <v>46215</v>
      </c>
      <c r="C1660" s="6">
        <v>0.67013888888888895</v>
      </c>
      <c r="D1660" s="1" t="s">
        <v>24</v>
      </c>
      <c r="E1660" s="1" t="s">
        <v>4288</v>
      </c>
      <c r="F1660" s="1" t="s">
        <v>4480</v>
      </c>
      <c r="G1660" s="39" t="s">
        <v>4401</v>
      </c>
      <c r="H1660" s="1">
        <v>2</v>
      </c>
      <c r="I1660" s="1">
        <v>0</v>
      </c>
      <c r="J1660" s="39" t="s">
        <v>939</v>
      </c>
      <c r="K1660" s="1">
        <v>0</v>
      </c>
      <c r="L1660" s="1">
        <v>2</v>
      </c>
      <c r="S1660" s="1" t="s">
        <v>10314</v>
      </c>
      <c r="T1660" s="1">
        <v>1</v>
      </c>
      <c r="U1660" s="19"/>
      <c r="V1660" s="19"/>
      <c r="W1660" s="218">
        <v>1</v>
      </c>
      <c r="X1660" s="218">
        <v>1</v>
      </c>
      <c r="Y1660" s="218">
        <v>1</v>
      </c>
    </row>
    <row r="1661" spans="1:25" x14ac:dyDescent="0.3">
      <c r="A1661" s="1" t="s">
        <v>4481</v>
      </c>
      <c r="B1661" s="102">
        <v>46207</v>
      </c>
      <c r="C1661" s="6">
        <v>0.54166666666666696</v>
      </c>
      <c r="D1661" s="1" t="s">
        <v>24</v>
      </c>
      <c r="E1661" s="1" t="s">
        <v>4288</v>
      </c>
      <c r="F1661" s="1" t="s">
        <v>4482</v>
      </c>
      <c r="G1661" s="39" t="s">
        <v>78</v>
      </c>
      <c r="H1661" s="1">
        <v>1</v>
      </c>
      <c r="I1661" s="1">
        <v>0</v>
      </c>
      <c r="J1661" s="39" t="s">
        <v>939</v>
      </c>
      <c r="K1661" s="1">
        <v>0</v>
      </c>
      <c r="L1661" s="1">
        <v>1</v>
      </c>
      <c r="S1661" s="1" t="s">
        <v>10315</v>
      </c>
      <c r="T1661" s="1">
        <v>1</v>
      </c>
      <c r="U1661" s="19"/>
      <c r="V1661" s="19"/>
      <c r="W1661" s="218">
        <v>1</v>
      </c>
      <c r="X1661" s="218">
        <v>1</v>
      </c>
      <c r="Y1661" s="218">
        <v>1</v>
      </c>
    </row>
    <row r="1662" spans="1:25" x14ac:dyDescent="0.3">
      <c r="A1662" s="1" t="s">
        <v>4483</v>
      </c>
      <c r="B1662" s="102">
        <v>46201</v>
      </c>
      <c r="C1662" s="6">
        <v>0.66666666666666696</v>
      </c>
      <c r="D1662" s="1" t="s">
        <v>24</v>
      </c>
      <c r="E1662" s="1" t="s">
        <v>4288</v>
      </c>
      <c r="F1662" s="1" t="s">
        <v>4534</v>
      </c>
      <c r="G1662" s="39" t="s">
        <v>4529</v>
      </c>
      <c r="H1662" s="1">
        <v>2</v>
      </c>
      <c r="I1662" s="1">
        <v>4</v>
      </c>
      <c r="J1662" s="39" t="s">
        <v>939</v>
      </c>
      <c r="K1662" s="1">
        <v>4</v>
      </c>
      <c r="L1662" s="1">
        <v>2</v>
      </c>
      <c r="S1662" s="1" t="s">
        <v>10316</v>
      </c>
      <c r="T1662" s="1">
        <v>1</v>
      </c>
      <c r="U1662" s="19"/>
      <c r="V1662" s="19"/>
      <c r="W1662" s="218">
        <v>1</v>
      </c>
      <c r="X1662" s="218">
        <v>1</v>
      </c>
      <c r="Y1662" s="218">
        <v>1</v>
      </c>
    </row>
    <row r="1663" spans="1:25" x14ac:dyDescent="0.3">
      <c r="A1663" s="1" t="s">
        <v>4484</v>
      </c>
      <c r="B1663" s="102">
        <v>46194</v>
      </c>
      <c r="C1663" s="6">
        <v>0.625</v>
      </c>
      <c r="D1663" s="1" t="s">
        <v>24</v>
      </c>
      <c r="E1663" s="1" t="s">
        <v>4288</v>
      </c>
      <c r="F1663" s="1" t="s">
        <v>4485</v>
      </c>
      <c r="G1663" s="39" t="s">
        <v>939</v>
      </c>
      <c r="H1663" s="1">
        <v>1</v>
      </c>
      <c r="I1663" s="1">
        <v>1</v>
      </c>
      <c r="J1663" s="39" t="s">
        <v>901</v>
      </c>
      <c r="K1663" s="1">
        <v>1</v>
      </c>
      <c r="L1663" s="1">
        <v>1</v>
      </c>
      <c r="S1663" s="1" t="s">
        <v>10317</v>
      </c>
      <c r="T1663" s="1">
        <v>1</v>
      </c>
      <c r="U1663" s="19"/>
      <c r="V1663" s="19"/>
      <c r="W1663" s="218">
        <v>1</v>
      </c>
      <c r="X1663" s="218">
        <v>1</v>
      </c>
      <c r="Y1663" s="218">
        <v>1</v>
      </c>
    </row>
    <row r="1664" spans="1:25" x14ac:dyDescent="0.3">
      <c r="A1664" s="1" t="s">
        <v>4486</v>
      </c>
      <c r="B1664" s="102">
        <v>46189</v>
      </c>
      <c r="C1664" s="6">
        <v>0.67708333333333304</v>
      </c>
      <c r="D1664" s="1" t="s">
        <v>24</v>
      </c>
      <c r="E1664" s="1" t="s">
        <v>4288</v>
      </c>
      <c r="F1664" s="1" t="s">
        <v>4487</v>
      </c>
      <c r="G1664" s="39" t="s">
        <v>4400</v>
      </c>
      <c r="H1664" s="1">
        <v>1</v>
      </c>
      <c r="I1664" s="1">
        <v>0</v>
      </c>
      <c r="J1664" s="39" t="s">
        <v>939</v>
      </c>
      <c r="K1664" s="1">
        <v>0</v>
      </c>
      <c r="L1664" s="1">
        <v>1</v>
      </c>
      <c r="S1664" s="1" t="s">
        <v>10318</v>
      </c>
      <c r="T1664" s="1">
        <v>1</v>
      </c>
      <c r="U1664" s="19"/>
      <c r="V1664" s="19"/>
      <c r="W1664" s="218">
        <v>1</v>
      </c>
      <c r="X1664" s="218">
        <v>1</v>
      </c>
      <c r="Y1664" s="218">
        <v>1</v>
      </c>
    </row>
    <row r="1665" spans="1:25" x14ac:dyDescent="0.3">
      <c r="A1665" s="1" t="s">
        <v>4488</v>
      </c>
      <c r="B1665" s="102">
        <v>46164</v>
      </c>
      <c r="C1665" s="6">
        <v>0.45833333333333298</v>
      </c>
      <c r="D1665" s="1" t="s">
        <v>24</v>
      </c>
      <c r="E1665" s="1" t="s">
        <v>4288</v>
      </c>
      <c r="F1665" s="1" t="s">
        <v>4489</v>
      </c>
      <c r="G1665" s="39" t="s">
        <v>80</v>
      </c>
      <c r="H1665" s="1">
        <v>0</v>
      </c>
      <c r="I1665" s="1">
        <v>1</v>
      </c>
      <c r="J1665" s="39" t="s">
        <v>939</v>
      </c>
      <c r="K1665" s="1">
        <v>1</v>
      </c>
      <c r="L1665" s="1">
        <v>0</v>
      </c>
      <c r="S1665" s="1" t="s">
        <v>10319</v>
      </c>
      <c r="T1665" s="1">
        <v>1</v>
      </c>
      <c r="U1665" s="19"/>
      <c r="V1665" s="19"/>
      <c r="W1665" s="218">
        <v>1</v>
      </c>
      <c r="X1665" s="218">
        <v>1</v>
      </c>
      <c r="Y1665" s="218">
        <v>1</v>
      </c>
    </row>
    <row r="1666" spans="1:25" x14ac:dyDescent="0.3">
      <c r="A1666" s="1" t="s">
        <v>4490</v>
      </c>
      <c r="B1666" s="102">
        <v>46243</v>
      </c>
      <c r="C1666" s="6">
        <v>0.625</v>
      </c>
      <c r="D1666" s="1" t="s">
        <v>24</v>
      </c>
      <c r="E1666" s="1" t="s">
        <v>4288</v>
      </c>
      <c r="F1666" s="1" t="s">
        <v>4491</v>
      </c>
      <c r="G1666" s="39" t="s">
        <v>938</v>
      </c>
      <c r="H1666" s="1">
        <v>1</v>
      </c>
      <c r="I1666" s="1">
        <v>0</v>
      </c>
      <c r="J1666" s="39" t="s">
        <v>901</v>
      </c>
      <c r="K1666" s="1">
        <v>0</v>
      </c>
      <c r="L1666" s="1">
        <v>1</v>
      </c>
      <c r="S1666" s="1" t="s">
        <v>10320</v>
      </c>
      <c r="T1666" s="1">
        <v>1</v>
      </c>
      <c r="U1666" s="19"/>
      <c r="V1666" s="19"/>
      <c r="W1666" s="218">
        <v>1</v>
      </c>
      <c r="X1666" s="218">
        <v>1</v>
      </c>
      <c r="Y1666" s="218">
        <v>1</v>
      </c>
    </row>
    <row r="1667" spans="1:25" x14ac:dyDescent="0.3">
      <c r="A1667" s="1" t="s">
        <v>4492</v>
      </c>
      <c r="B1667" s="102">
        <v>46229</v>
      </c>
      <c r="C1667" s="6">
        <v>0.67708333333333304</v>
      </c>
      <c r="D1667" s="1" t="s">
        <v>24</v>
      </c>
      <c r="E1667" s="1" t="s">
        <v>4288</v>
      </c>
      <c r="F1667" s="1" t="s">
        <v>4493</v>
      </c>
      <c r="G1667" s="39" t="s">
        <v>4400</v>
      </c>
      <c r="H1667" s="1">
        <v>5</v>
      </c>
      <c r="I1667" s="1">
        <v>1</v>
      </c>
      <c r="J1667" s="39" t="s">
        <v>938</v>
      </c>
      <c r="K1667" s="1">
        <v>1</v>
      </c>
      <c r="L1667" s="1">
        <v>5</v>
      </c>
      <c r="S1667" s="1" t="s">
        <v>10321</v>
      </c>
      <c r="T1667" s="1">
        <v>1</v>
      </c>
      <c r="U1667" s="19"/>
      <c r="V1667" s="19"/>
      <c r="W1667" s="218">
        <v>1</v>
      </c>
      <c r="X1667" s="218">
        <v>1</v>
      </c>
      <c r="Y1667" s="218">
        <v>1</v>
      </c>
    </row>
    <row r="1668" spans="1:25" x14ac:dyDescent="0.3">
      <c r="A1668" s="1" t="s">
        <v>4494</v>
      </c>
      <c r="B1668" s="102">
        <v>46206</v>
      </c>
      <c r="C1668" s="6">
        <v>0.67708333333333304</v>
      </c>
      <c r="D1668" s="1" t="s">
        <v>24</v>
      </c>
      <c r="E1668" s="1" t="s">
        <v>4288</v>
      </c>
      <c r="F1668" s="1" t="s">
        <v>4495</v>
      </c>
      <c r="G1668" s="39" t="s">
        <v>4401</v>
      </c>
      <c r="H1668" s="1">
        <v>2</v>
      </c>
      <c r="I1668" s="1">
        <v>2</v>
      </c>
      <c r="J1668" s="39" t="s">
        <v>938</v>
      </c>
      <c r="K1668" s="1">
        <v>2</v>
      </c>
      <c r="L1668" s="1">
        <v>2</v>
      </c>
      <c r="S1668" s="1" t="s">
        <v>10322</v>
      </c>
      <c r="T1668" s="1">
        <v>1</v>
      </c>
      <c r="U1668" s="19"/>
      <c r="V1668" s="19"/>
      <c r="W1668" s="218">
        <v>1</v>
      </c>
      <c r="X1668" s="218">
        <v>1</v>
      </c>
      <c r="Y1668" s="218">
        <v>1</v>
      </c>
    </row>
    <row r="1669" spans="1:25" x14ac:dyDescent="0.3">
      <c r="A1669" s="1" t="s">
        <v>4496</v>
      </c>
      <c r="B1669" s="102">
        <v>46201</v>
      </c>
      <c r="C1669" s="6">
        <v>0.58333333333333304</v>
      </c>
      <c r="D1669" s="1" t="s">
        <v>24</v>
      </c>
      <c r="E1669" s="1" t="s">
        <v>4288</v>
      </c>
      <c r="F1669" s="1" t="s">
        <v>4497</v>
      </c>
      <c r="G1669" s="39" t="s">
        <v>938</v>
      </c>
      <c r="H1669" s="1">
        <v>3</v>
      </c>
      <c r="I1669" s="1">
        <v>1</v>
      </c>
      <c r="J1669" s="39" t="s">
        <v>80</v>
      </c>
      <c r="K1669" s="1">
        <v>1</v>
      </c>
      <c r="L1669" s="1">
        <v>3</v>
      </c>
      <c r="S1669" s="1" t="s">
        <v>10323</v>
      </c>
      <c r="T1669" s="1">
        <v>1</v>
      </c>
      <c r="U1669" s="19"/>
      <c r="V1669" s="19"/>
      <c r="W1669" s="218">
        <v>1</v>
      </c>
      <c r="X1669" s="218">
        <v>1</v>
      </c>
      <c r="Y1669" s="218">
        <v>1</v>
      </c>
    </row>
    <row r="1670" spans="1:25" x14ac:dyDescent="0.3">
      <c r="A1670" s="1" t="s">
        <v>4498</v>
      </c>
      <c r="B1670" s="102">
        <v>46194</v>
      </c>
      <c r="C1670" s="6">
        <v>0.625</v>
      </c>
      <c r="D1670" s="1" t="s">
        <v>24</v>
      </c>
      <c r="E1670" s="1" t="s">
        <v>4288</v>
      </c>
      <c r="F1670" s="1" t="s">
        <v>4499</v>
      </c>
      <c r="G1670" s="39" t="s">
        <v>78</v>
      </c>
      <c r="H1670" s="1">
        <v>2</v>
      </c>
      <c r="I1670" s="1">
        <v>1</v>
      </c>
      <c r="J1670" s="39" t="s">
        <v>938</v>
      </c>
      <c r="K1670" s="1">
        <v>1</v>
      </c>
      <c r="L1670" s="1">
        <v>2</v>
      </c>
      <c r="S1670" s="1" t="s">
        <v>10324</v>
      </c>
      <c r="T1670" s="1">
        <v>1</v>
      </c>
      <c r="U1670" s="19"/>
      <c r="V1670" s="19"/>
      <c r="W1670" s="218">
        <v>1</v>
      </c>
      <c r="X1670" s="218">
        <v>1</v>
      </c>
      <c r="Y1670" s="218">
        <v>1</v>
      </c>
    </row>
    <row r="1671" spans="1:25" x14ac:dyDescent="0.3">
      <c r="A1671" s="1" t="s">
        <v>4500</v>
      </c>
      <c r="B1671" s="102">
        <v>46173</v>
      </c>
      <c r="C1671" s="6">
        <v>0.58333333333333304</v>
      </c>
      <c r="D1671" s="1" t="s">
        <v>24</v>
      </c>
      <c r="E1671" s="1" t="s">
        <v>4288</v>
      </c>
      <c r="F1671" s="1" t="s">
        <v>4535</v>
      </c>
      <c r="G1671" s="39" t="s">
        <v>4529</v>
      </c>
      <c r="H1671" s="1">
        <v>1</v>
      </c>
      <c r="I1671" s="1">
        <v>3</v>
      </c>
      <c r="J1671" s="39" t="s">
        <v>938</v>
      </c>
      <c r="K1671" s="1">
        <v>3</v>
      </c>
      <c r="L1671" s="1">
        <v>1</v>
      </c>
      <c r="S1671" s="1" t="s">
        <v>10325</v>
      </c>
      <c r="T1671" s="1">
        <v>1</v>
      </c>
      <c r="U1671" s="19"/>
      <c r="V1671" s="19"/>
      <c r="W1671" s="218">
        <v>1</v>
      </c>
      <c r="X1671" s="218">
        <v>1</v>
      </c>
      <c r="Y1671" s="218">
        <v>1</v>
      </c>
    </row>
    <row r="1672" spans="1:25" x14ac:dyDescent="0.3">
      <c r="A1672" s="1" t="s">
        <v>4501</v>
      </c>
      <c r="B1672" s="102">
        <v>46159</v>
      </c>
      <c r="C1672" s="6">
        <v>0.60416666666666696</v>
      </c>
      <c r="D1672" s="1" t="s">
        <v>24</v>
      </c>
      <c r="E1672" s="1" t="s">
        <v>4288</v>
      </c>
      <c r="F1672" s="1" t="s">
        <v>4502</v>
      </c>
      <c r="G1672" s="39" t="s">
        <v>901</v>
      </c>
      <c r="H1672" s="1">
        <v>1</v>
      </c>
      <c r="I1672" s="1">
        <v>1</v>
      </c>
      <c r="J1672" s="39" t="s">
        <v>938</v>
      </c>
      <c r="K1672" s="1">
        <v>1</v>
      </c>
      <c r="L1672" s="1">
        <v>1</v>
      </c>
      <c r="S1672" s="1" t="s">
        <v>10326</v>
      </c>
      <c r="T1672" s="1">
        <v>1</v>
      </c>
      <c r="U1672" s="19"/>
      <c r="V1672" s="19"/>
      <c r="W1672" s="218">
        <v>1</v>
      </c>
      <c r="X1672" s="218">
        <v>1</v>
      </c>
      <c r="Y1672" s="218">
        <v>1</v>
      </c>
    </row>
    <row r="1673" spans="1:25" x14ac:dyDescent="0.3">
      <c r="A1673" s="1" t="s">
        <v>4503</v>
      </c>
      <c r="B1673" s="102">
        <v>46243</v>
      </c>
      <c r="C1673" s="6">
        <v>0.63541666666666696</v>
      </c>
      <c r="D1673" s="1" t="s">
        <v>24</v>
      </c>
      <c r="E1673" s="1" t="s">
        <v>4288</v>
      </c>
      <c r="F1673" s="1" t="s">
        <v>4504</v>
      </c>
      <c r="G1673" s="39" t="s">
        <v>80</v>
      </c>
      <c r="H1673" s="1">
        <v>0</v>
      </c>
      <c r="I1673" s="1">
        <v>1</v>
      </c>
      <c r="J1673" s="39" t="s">
        <v>4401</v>
      </c>
      <c r="K1673" s="1">
        <v>1</v>
      </c>
      <c r="L1673" s="1">
        <v>0</v>
      </c>
      <c r="S1673" s="1" t="s">
        <v>10327</v>
      </c>
      <c r="T1673" s="1">
        <v>1</v>
      </c>
      <c r="U1673" s="19"/>
      <c r="V1673" s="19"/>
      <c r="W1673" s="218">
        <v>1</v>
      </c>
      <c r="X1673" s="218">
        <v>1</v>
      </c>
      <c r="Y1673" s="218">
        <v>1</v>
      </c>
    </row>
    <row r="1674" spans="1:25" x14ac:dyDescent="0.3">
      <c r="A1674" s="1" t="s">
        <v>4505</v>
      </c>
      <c r="B1674" s="102">
        <v>46222</v>
      </c>
      <c r="C1674" s="6">
        <v>0.45833333333333298</v>
      </c>
      <c r="D1674" s="1" t="s">
        <v>24</v>
      </c>
      <c r="E1674" s="1" t="s">
        <v>4288</v>
      </c>
      <c r="F1674" s="1" t="s">
        <v>4506</v>
      </c>
      <c r="G1674" s="39" t="s">
        <v>78</v>
      </c>
      <c r="H1674" s="1">
        <v>2</v>
      </c>
      <c r="I1674" s="1">
        <v>2</v>
      </c>
      <c r="J1674" s="39" t="s">
        <v>80</v>
      </c>
      <c r="K1674" s="1">
        <v>2</v>
      </c>
      <c r="L1674" s="1">
        <v>2</v>
      </c>
      <c r="S1674" s="1" t="s">
        <v>10328</v>
      </c>
      <c r="T1674" s="1">
        <v>1</v>
      </c>
      <c r="U1674" s="19"/>
      <c r="V1674" s="19"/>
      <c r="W1674" s="218">
        <v>1</v>
      </c>
      <c r="X1674" s="218">
        <v>1</v>
      </c>
      <c r="Y1674" s="218">
        <v>1</v>
      </c>
    </row>
    <row r="1675" spans="1:25" x14ac:dyDescent="0.3">
      <c r="A1675" s="1" t="s">
        <v>4507</v>
      </c>
      <c r="B1675" s="102">
        <v>46215</v>
      </c>
      <c r="C1675" s="6">
        <v>0.625</v>
      </c>
      <c r="D1675" s="1" t="s">
        <v>24</v>
      </c>
      <c r="E1675" s="1" t="s">
        <v>4288</v>
      </c>
      <c r="F1675" s="1" t="s">
        <v>4508</v>
      </c>
      <c r="G1675" s="39" t="s">
        <v>80</v>
      </c>
      <c r="H1675" s="1">
        <v>3</v>
      </c>
      <c r="I1675" s="1">
        <v>2</v>
      </c>
      <c r="J1675" s="39" t="s">
        <v>4400</v>
      </c>
      <c r="K1675" s="1">
        <v>2</v>
      </c>
      <c r="L1675" s="1">
        <v>3</v>
      </c>
      <c r="S1675" s="1" t="s">
        <v>10329</v>
      </c>
      <c r="T1675" s="1">
        <v>1</v>
      </c>
      <c r="U1675" s="19"/>
      <c r="V1675" s="19"/>
      <c r="W1675" s="218">
        <v>1</v>
      </c>
      <c r="X1675" s="218">
        <v>1</v>
      </c>
      <c r="Y1675" s="218">
        <v>1</v>
      </c>
    </row>
    <row r="1676" spans="1:25" x14ac:dyDescent="0.3">
      <c r="A1676" s="1" t="s">
        <v>4509</v>
      </c>
      <c r="B1676" s="102">
        <v>46159</v>
      </c>
      <c r="C1676" s="6">
        <v>0.58333333333333304</v>
      </c>
      <c r="D1676" s="1" t="s">
        <v>24</v>
      </c>
      <c r="E1676" s="1" t="s">
        <v>4288</v>
      </c>
      <c r="F1676" s="1" t="s">
        <v>4510</v>
      </c>
      <c r="G1676" s="39" t="s">
        <v>4401</v>
      </c>
      <c r="H1676" s="1">
        <v>1</v>
      </c>
      <c r="I1676" s="1">
        <v>2</v>
      </c>
      <c r="J1676" s="39" t="s">
        <v>80</v>
      </c>
      <c r="K1676" s="1">
        <v>2</v>
      </c>
      <c r="L1676" s="1">
        <v>1</v>
      </c>
      <c r="S1676" s="1" t="s">
        <v>10330</v>
      </c>
      <c r="T1676" s="1">
        <v>1</v>
      </c>
      <c r="U1676" s="19"/>
      <c r="V1676" s="19"/>
      <c r="W1676" s="218">
        <v>1</v>
      </c>
      <c r="X1676" s="218">
        <v>1</v>
      </c>
      <c r="Y1676" s="218">
        <v>1</v>
      </c>
    </row>
    <row r="1677" spans="1:25" x14ac:dyDescent="0.3">
      <c r="A1677" s="1" t="s">
        <v>4511</v>
      </c>
      <c r="B1677" s="102">
        <v>46223</v>
      </c>
      <c r="C1677" s="6">
        <v>0.67708333333333304</v>
      </c>
      <c r="D1677" s="1" t="s">
        <v>24</v>
      </c>
      <c r="E1677" s="1" t="s">
        <v>4288</v>
      </c>
      <c r="F1677" s="1" t="s">
        <v>4512</v>
      </c>
      <c r="G1677" s="39" t="s">
        <v>901</v>
      </c>
      <c r="H1677" s="1">
        <v>5</v>
      </c>
      <c r="I1677" s="1">
        <v>2</v>
      </c>
      <c r="J1677" s="39" t="s">
        <v>4400</v>
      </c>
      <c r="K1677" s="1">
        <v>2</v>
      </c>
      <c r="L1677" s="1">
        <v>5</v>
      </c>
      <c r="S1677" s="1" t="s">
        <v>10331</v>
      </c>
      <c r="T1677" s="1">
        <v>1</v>
      </c>
      <c r="U1677" s="19"/>
      <c r="V1677" s="19"/>
      <c r="W1677" s="218">
        <v>1</v>
      </c>
      <c r="X1677" s="218">
        <v>1</v>
      </c>
      <c r="Y1677" s="218">
        <v>1</v>
      </c>
    </row>
    <row r="1678" spans="1:25" x14ac:dyDescent="0.3">
      <c r="A1678" s="1" t="s">
        <v>4513</v>
      </c>
      <c r="B1678" s="102">
        <v>46187</v>
      </c>
      <c r="C1678" s="6">
        <v>0.58333333333333304</v>
      </c>
      <c r="D1678" s="1" t="s">
        <v>24</v>
      </c>
      <c r="E1678" s="1" t="s">
        <v>4288</v>
      </c>
      <c r="F1678" s="1" t="s">
        <v>4514</v>
      </c>
      <c r="G1678" s="39" t="s">
        <v>901</v>
      </c>
      <c r="H1678" s="1">
        <v>1</v>
      </c>
      <c r="I1678" s="1">
        <v>2</v>
      </c>
      <c r="J1678" s="39" t="s">
        <v>4401</v>
      </c>
      <c r="K1678" s="1">
        <v>2</v>
      </c>
      <c r="L1678" s="1">
        <v>1</v>
      </c>
      <c r="S1678" s="1" t="s">
        <v>10332</v>
      </c>
      <c r="T1678" s="1">
        <v>1</v>
      </c>
      <c r="U1678" s="19"/>
      <c r="V1678" s="19"/>
      <c r="W1678" s="218">
        <v>1</v>
      </c>
      <c r="X1678" s="218">
        <v>1</v>
      </c>
      <c r="Y1678" s="218">
        <v>1</v>
      </c>
    </row>
    <row r="1679" spans="1:25" x14ac:dyDescent="0.3">
      <c r="A1679" s="1" t="s">
        <v>4515</v>
      </c>
      <c r="B1679" s="102">
        <v>46173</v>
      </c>
      <c r="C1679" s="6">
        <v>0.58333333333333304</v>
      </c>
      <c r="D1679" s="1" t="s">
        <v>24</v>
      </c>
      <c r="E1679" s="1" t="s">
        <v>4288</v>
      </c>
      <c r="F1679" s="1" t="s">
        <v>4516</v>
      </c>
      <c r="G1679" s="39" t="s">
        <v>78</v>
      </c>
      <c r="H1679" s="1">
        <v>6</v>
      </c>
      <c r="I1679" s="1">
        <v>1</v>
      </c>
      <c r="J1679" s="39" t="s">
        <v>901</v>
      </c>
      <c r="K1679" s="1">
        <v>1</v>
      </c>
      <c r="L1679" s="1">
        <v>6</v>
      </c>
      <c r="S1679" s="1" t="s">
        <v>10333</v>
      </c>
      <c r="T1679" s="1">
        <v>1</v>
      </c>
      <c r="U1679" s="19"/>
      <c r="V1679" s="19"/>
      <c r="W1679" s="218">
        <v>1</v>
      </c>
      <c r="X1679" s="218">
        <v>1</v>
      </c>
      <c r="Y1679" s="218">
        <v>1</v>
      </c>
    </row>
    <row r="1680" spans="1:25" x14ac:dyDescent="0.3">
      <c r="A1680" s="1" t="s">
        <v>4517</v>
      </c>
      <c r="B1680" s="102">
        <v>46164</v>
      </c>
      <c r="C1680" s="6">
        <v>0.625</v>
      </c>
      <c r="D1680" s="1" t="s">
        <v>24</v>
      </c>
      <c r="E1680" s="1" t="s">
        <v>4288</v>
      </c>
      <c r="F1680" s="1" t="s">
        <v>4536</v>
      </c>
      <c r="G1680" s="39" t="s">
        <v>901</v>
      </c>
      <c r="H1680" s="1">
        <v>1</v>
      </c>
      <c r="I1680" s="1">
        <v>0</v>
      </c>
      <c r="J1680" s="39" t="s">
        <v>4529</v>
      </c>
      <c r="K1680" s="1">
        <v>0</v>
      </c>
      <c r="L1680" s="1">
        <v>1</v>
      </c>
      <c r="S1680" s="1" t="s">
        <v>10334</v>
      </c>
      <c r="T1680" s="1">
        <v>1</v>
      </c>
      <c r="U1680" s="19"/>
      <c r="V1680" s="19"/>
      <c r="W1680" s="218">
        <v>1</v>
      </c>
      <c r="X1680" s="218">
        <v>1</v>
      </c>
      <c r="Y1680" s="218">
        <v>1</v>
      </c>
    </row>
    <row r="1681" spans="1:25" x14ac:dyDescent="0.3">
      <c r="A1681" s="1" t="s">
        <v>4518</v>
      </c>
      <c r="B1681" s="102">
        <v>46201</v>
      </c>
      <c r="C1681" s="6">
        <v>0.58333333333333304</v>
      </c>
      <c r="D1681" s="1" t="s">
        <v>24</v>
      </c>
      <c r="E1681" s="1" t="s">
        <v>4288</v>
      </c>
      <c r="F1681" s="1" t="s">
        <v>4519</v>
      </c>
      <c r="G1681" s="39" t="s">
        <v>4401</v>
      </c>
      <c r="H1681" s="1">
        <v>1</v>
      </c>
      <c r="I1681" s="1">
        <v>1</v>
      </c>
      <c r="J1681" s="39" t="s">
        <v>78</v>
      </c>
      <c r="K1681" s="1">
        <v>1</v>
      </c>
      <c r="L1681" s="1">
        <v>1</v>
      </c>
      <c r="S1681" s="1" t="s">
        <v>10335</v>
      </c>
      <c r="T1681" s="1">
        <v>1</v>
      </c>
      <c r="U1681" s="19"/>
      <c r="V1681" s="19"/>
      <c r="W1681" s="218">
        <v>1</v>
      </c>
      <c r="X1681" s="218">
        <v>1</v>
      </c>
      <c r="Y1681" s="218">
        <v>1</v>
      </c>
    </row>
    <row r="1682" spans="1:25" x14ac:dyDescent="0.3">
      <c r="A1682" s="1" t="s">
        <v>4520</v>
      </c>
      <c r="B1682" s="102">
        <v>46187</v>
      </c>
      <c r="C1682" s="6">
        <v>0.5625</v>
      </c>
      <c r="D1682" s="1" t="s">
        <v>24</v>
      </c>
      <c r="E1682" s="1" t="s">
        <v>4288</v>
      </c>
      <c r="F1682" s="1" t="s">
        <v>4537</v>
      </c>
      <c r="G1682" s="39" t="s">
        <v>4529</v>
      </c>
      <c r="H1682" s="1">
        <v>1</v>
      </c>
      <c r="I1682" s="1">
        <v>4</v>
      </c>
      <c r="J1682" s="39" t="s">
        <v>78</v>
      </c>
      <c r="K1682" s="1">
        <v>4</v>
      </c>
      <c r="L1682" s="1">
        <v>1</v>
      </c>
      <c r="S1682" s="1" t="s">
        <v>10336</v>
      </c>
      <c r="T1682" s="1">
        <v>1</v>
      </c>
      <c r="U1682" s="19"/>
      <c r="V1682" s="19"/>
      <c r="W1682" s="218">
        <v>1</v>
      </c>
      <c r="X1682" s="218">
        <v>1</v>
      </c>
      <c r="Y1682" s="218">
        <v>1</v>
      </c>
    </row>
    <row r="1683" spans="1:25" x14ac:dyDescent="0.3">
      <c r="A1683" s="1" t="s">
        <v>4521</v>
      </c>
      <c r="B1683" s="102">
        <v>46163</v>
      </c>
      <c r="C1683" s="6">
        <v>0.625</v>
      </c>
      <c r="D1683" s="1" t="s">
        <v>24</v>
      </c>
      <c r="E1683" s="1" t="s">
        <v>4288</v>
      </c>
      <c r="F1683" s="1" t="s">
        <v>4522</v>
      </c>
      <c r="G1683" s="39" t="s">
        <v>4400</v>
      </c>
      <c r="H1683" s="1">
        <v>2</v>
      </c>
      <c r="I1683" s="1">
        <v>2</v>
      </c>
      <c r="J1683" s="39" t="s">
        <v>78</v>
      </c>
      <c r="K1683" s="1">
        <v>2</v>
      </c>
      <c r="L1683" s="1">
        <v>2</v>
      </c>
      <c r="S1683" s="1" t="s">
        <v>10337</v>
      </c>
      <c r="T1683" s="1">
        <v>1</v>
      </c>
      <c r="U1683" s="19"/>
      <c r="V1683" s="19"/>
      <c r="W1683" s="218">
        <v>1</v>
      </c>
      <c r="X1683" s="218">
        <v>1</v>
      </c>
      <c r="Y1683" s="218">
        <v>1</v>
      </c>
    </row>
    <row r="1684" spans="1:25" x14ac:dyDescent="0.3">
      <c r="A1684" s="1" t="s">
        <v>4523</v>
      </c>
      <c r="B1684" s="102">
        <v>46243</v>
      </c>
      <c r="C1684" s="6">
        <v>0.625</v>
      </c>
      <c r="D1684" s="1" t="s">
        <v>24</v>
      </c>
      <c r="E1684" s="1" t="s">
        <v>4288</v>
      </c>
      <c r="F1684" s="1" t="s">
        <v>4538</v>
      </c>
      <c r="G1684" s="39" t="s">
        <v>4400</v>
      </c>
      <c r="H1684" s="1">
        <v>2</v>
      </c>
      <c r="I1684" s="1">
        <v>0</v>
      </c>
      <c r="J1684" s="39" t="s">
        <v>4529</v>
      </c>
      <c r="K1684" s="1">
        <v>0</v>
      </c>
      <c r="L1684" s="1">
        <v>2</v>
      </c>
      <c r="S1684" s="1" t="s">
        <v>10338</v>
      </c>
      <c r="T1684" s="1">
        <v>1</v>
      </c>
      <c r="U1684" s="19"/>
      <c r="V1684" s="19"/>
      <c r="W1684" s="218">
        <v>1</v>
      </c>
      <c r="X1684" s="218">
        <v>1</v>
      </c>
      <c r="Y1684" s="218">
        <v>1</v>
      </c>
    </row>
    <row r="1685" spans="1:25" x14ac:dyDescent="0.3">
      <c r="A1685" s="1" t="s">
        <v>4524</v>
      </c>
      <c r="B1685" s="102">
        <v>46194</v>
      </c>
      <c r="C1685" s="6">
        <v>0.625</v>
      </c>
      <c r="D1685" s="1" t="s">
        <v>24</v>
      </c>
      <c r="E1685" s="1" t="s">
        <v>4288</v>
      </c>
      <c r="F1685" s="1" t="s">
        <v>4539</v>
      </c>
      <c r="G1685" s="39" t="s">
        <v>4401</v>
      </c>
      <c r="H1685" s="1">
        <v>1</v>
      </c>
      <c r="I1685" s="1">
        <v>1</v>
      </c>
      <c r="J1685" s="39" t="s">
        <v>4529</v>
      </c>
      <c r="K1685" s="1">
        <v>1</v>
      </c>
      <c r="L1685" s="1">
        <v>1</v>
      </c>
      <c r="S1685" s="1" t="s">
        <v>10339</v>
      </c>
      <c r="T1685" s="1">
        <v>1</v>
      </c>
      <c r="U1685" s="19"/>
      <c r="V1685" s="19"/>
      <c r="W1685" s="218">
        <v>1</v>
      </c>
      <c r="X1685" s="218">
        <v>1</v>
      </c>
      <c r="Y1685" s="218">
        <v>1</v>
      </c>
    </row>
    <row r="1686" spans="1:25" x14ac:dyDescent="0.3">
      <c r="A1686" s="1" t="s">
        <v>4525</v>
      </c>
      <c r="B1686" s="102">
        <v>46159</v>
      </c>
      <c r="C1686" s="6">
        <v>0.54166666666666696</v>
      </c>
      <c r="D1686" s="1" t="s">
        <v>24</v>
      </c>
      <c r="E1686" s="1" t="s">
        <v>4288</v>
      </c>
      <c r="F1686" s="1" t="s">
        <v>4540</v>
      </c>
      <c r="G1686" s="39" t="s">
        <v>4529</v>
      </c>
      <c r="H1686" s="1">
        <v>1</v>
      </c>
      <c r="I1686" s="1">
        <v>2</v>
      </c>
      <c r="J1686" s="39" t="s">
        <v>4400</v>
      </c>
      <c r="K1686" s="1">
        <v>2</v>
      </c>
      <c r="L1686" s="1">
        <v>1</v>
      </c>
      <c r="S1686" s="1" t="s">
        <v>10340</v>
      </c>
      <c r="T1686" s="1">
        <v>1</v>
      </c>
      <c r="U1686" s="19"/>
      <c r="V1686" s="19"/>
      <c r="W1686" s="218">
        <v>1</v>
      </c>
      <c r="X1686" s="218">
        <v>1</v>
      </c>
      <c r="Y1686" s="218">
        <v>1</v>
      </c>
    </row>
    <row r="1687" spans="1:25" x14ac:dyDescent="0.3">
      <c r="A1687" s="1" t="s">
        <v>4526</v>
      </c>
      <c r="B1687" s="102">
        <v>46171</v>
      </c>
      <c r="C1687" s="6">
        <v>0.67708333333333304</v>
      </c>
      <c r="D1687" s="1" t="s">
        <v>24</v>
      </c>
      <c r="E1687" s="1" t="s">
        <v>4288</v>
      </c>
      <c r="F1687" s="1" t="s">
        <v>4527</v>
      </c>
      <c r="G1687" s="39" t="s">
        <v>4401</v>
      </c>
      <c r="H1687" s="1">
        <v>0</v>
      </c>
      <c r="I1687" s="1">
        <v>1</v>
      </c>
      <c r="J1687" s="39" t="s">
        <v>4400</v>
      </c>
      <c r="K1687" s="1">
        <v>1</v>
      </c>
      <c r="L1687" s="1">
        <v>0</v>
      </c>
      <c r="S1687" s="1" t="s">
        <v>10341</v>
      </c>
      <c r="T1687" s="1">
        <v>1</v>
      </c>
      <c r="U1687" s="19"/>
      <c r="V1687" s="19"/>
      <c r="W1687" s="218">
        <v>1</v>
      </c>
      <c r="X1687" s="218">
        <v>1</v>
      </c>
      <c r="Y1687" s="218">
        <v>1</v>
      </c>
    </row>
    <row r="1688" spans="1:25" x14ac:dyDescent="0.3">
      <c r="A1688" s="1" t="s">
        <v>4741</v>
      </c>
      <c r="B1688" s="102">
        <v>46242</v>
      </c>
      <c r="C1688" s="6">
        <v>0.41666666666666702</v>
      </c>
      <c r="D1688" s="1" t="s">
        <v>30</v>
      </c>
      <c r="E1688" s="1" t="s">
        <v>31</v>
      </c>
      <c r="F1688" s="1" t="s">
        <v>4742</v>
      </c>
      <c r="G1688" s="39" t="s">
        <v>4743</v>
      </c>
      <c r="H1688" s="1">
        <v>3</v>
      </c>
      <c r="I1688" s="1">
        <v>4</v>
      </c>
      <c r="J1688" s="39" t="s">
        <v>72</v>
      </c>
      <c r="K1688" s="1">
        <v>4</v>
      </c>
      <c r="L1688" s="1">
        <v>3</v>
      </c>
      <c r="S1688" s="1" t="s">
        <v>10342</v>
      </c>
      <c r="T1688" s="1">
        <v>1</v>
      </c>
      <c r="U1688" s="19"/>
      <c r="V1688" s="19"/>
      <c r="W1688" s="218">
        <v>1</v>
      </c>
      <c r="X1688" s="218">
        <v>1</v>
      </c>
      <c r="Y1688" s="218">
        <v>1</v>
      </c>
    </row>
    <row r="1689" spans="1:25" x14ac:dyDescent="0.3">
      <c r="A1689" s="1" t="s">
        <v>4744</v>
      </c>
      <c r="B1689" s="102">
        <v>46236</v>
      </c>
      <c r="C1689" s="6">
        <v>0.47916666666666702</v>
      </c>
      <c r="D1689" s="1" t="s">
        <v>30</v>
      </c>
      <c r="E1689" s="1" t="s">
        <v>31</v>
      </c>
      <c r="F1689" s="1" t="s">
        <v>4745</v>
      </c>
      <c r="G1689" s="39" t="s">
        <v>72</v>
      </c>
      <c r="H1689" s="1">
        <v>0</v>
      </c>
      <c r="I1689" s="1">
        <v>3</v>
      </c>
      <c r="J1689" s="39" t="s">
        <v>4743</v>
      </c>
      <c r="K1689" s="1">
        <v>3</v>
      </c>
      <c r="L1689" s="1">
        <v>0</v>
      </c>
      <c r="S1689" s="1" t="s">
        <v>10343</v>
      </c>
      <c r="T1689" s="1">
        <v>1</v>
      </c>
      <c r="U1689" s="19"/>
      <c r="V1689" s="19"/>
      <c r="W1689" s="218">
        <v>1</v>
      </c>
      <c r="X1689" s="218">
        <v>1</v>
      </c>
      <c r="Y1689" s="218">
        <v>1</v>
      </c>
    </row>
    <row r="1690" spans="1:25" x14ac:dyDescent="0.3">
      <c r="A1690" s="1" t="s">
        <v>4746</v>
      </c>
      <c r="B1690" s="102">
        <v>46221</v>
      </c>
      <c r="C1690" s="6">
        <v>0.41666666666666702</v>
      </c>
      <c r="D1690" s="1" t="s">
        <v>30</v>
      </c>
      <c r="E1690" s="1" t="s">
        <v>31</v>
      </c>
      <c r="F1690" s="1" t="s">
        <v>4747</v>
      </c>
      <c r="G1690" s="39" t="s">
        <v>72</v>
      </c>
      <c r="H1690" s="1">
        <v>2</v>
      </c>
      <c r="I1690" s="1">
        <v>0</v>
      </c>
      <c r="J1690" s="39" t="s">
        <v>4748</v>
      </c>
      <c r="K1690" s="1">
        <v>0</v>
      </c>
      <c r="L1690" s="1">
        <v>2</v>
      </c>
      <c r="S1690" s="1" t="s">
        <v>10344</v>
      </c>
      <c r="T1690" s="1">
        <v>1</v>
      </c>
      <c r="U1690" s="19"/>
      <c r="V1690" s="19"/>
      <c r="W1690" s="218">
        <v>1</v>
      </c>
      <c r="X1690" s="218">
        <v>1</v>
      </c>
      <c r="Y1690" s="218">
        <v>1</v>
      </c>
    </row>
    <row r="1691" spans="1:25" x14ac:dyDescent="0.3">
      <c r="A1691" s="1" t="s">
        <v>4749</v>
      </c>
      <c r="B1691" s="102">
        <v>46214</v>
      </c>
      <c r="C1691" s="6">
        <v>0.41666666666666702</v>
      </c>
      <c r="D1691" s="1" t="s">
        <v>30</v>
      </c>
      <c r="E1691" s="1" t="s">
        <v>31</v>
      </c>
      <c r="F1691" s="1" t="s">
        <v>4750</v>
      </c>
      <c r="G1691" s="39" t="s">
        <v>4751</v>
      </c>
      <c r="H1691" s="1">
        <v>1</v>
      </c>
      <c r="I1691" s="1">
        <v>2</v>
      </c>
      <c r="J1691" s="39" t="s">
        <v>72</v>
      </c>
      <c r="K1691" s="1">
        <v>2</v>
      </c>
      <c r="L1691" s="1">
        <v>1</v>
      </c>
      <c r="S1691" s="1" t="s">
        <v>10345</v>
      </c>
      <c r="T1691" s="1">
        <v>1</v>
      </c>
      <c r="U1691" s="19"/>
      <c r="V1691" s="19"/>
      <c r="W1691" s="218">
        <v>1</v>
      </c>
      <c r="X1691" s="218">
        <v>1</v>
      </c>
      <c r="Y1691" s="218">
        <v>1</v>
      </c>
    </row>
    <row r="1692" spans="1:25" x14ac:dyDescent="0.3">
      <c r="A1692" s="1" t="s">
        <v>4752</v>
      </c>
      <c r="B1692" s="102">
        <v>46208</v>
      </c>
      <c r="C1692" s="6">
        <v>0.375</v>
      </c>
      <c r="D1692" s="1" t="s">
        <v>30</v>
      </c>
      <c r="E1692" s="1" t="s">
        <v>31</v>
      </c>
      <c r="F1692" s="1" t="s">
        <v>4753</v>
      </c>
      <c r="G1692" s="39" t="s">
        <v>4754</v>
      </c>
      <c r="H1692" s="1">
        <v>1</v>
      </c>
      <c r="I1692" s="1">
        <v>2</v>
      </c>
      <c r="J1692" s="39" t="s">
        <v>72</v>
      </c>
      <c r="K1692" s="1">
        <v>2</v>
      </c>
      <c r="L1692" s="1">
        <v>1</v>
      </c>
      <c r="S1692" s="1" t="s">
        <v>10346</v>
      </c>
      <c r="T1692" s="1">
        <v>1</v>
      </c>
      <c r="U1692" s="19"/>
      <c r="V1692" s="19"/>
      <c r="W1692" s="218">
        <v>1</v>
      </c>
      <c r="X1692" s="218">
        <v>1</v>
      </c>
      <c r="Y1692" s="218">
        <v>1</v>
      </c>
    </row>
    <row r="1693" spans="1:25" x14ac:dyDescent="0.3">
      <c r="A1693" s="1" t="s">
        <v>4755</v>
      </c>
      <c r="B1693" s="102">
        <v>46172</v>
      </c>
      <c r="C1693" s="6">
        <v>0.41666666666666702</v>
      </c>
      <c r="D1693" s="1" t="s">
        <v>30</v>
      </c>
      <c r="E1693" s="1" t="s">
        <v>31</v>
      </c>
      <c r="F1693" s="1" t="s">
        <v>4756</v>
      </c>
      <c r="G1693" s="39" t="s">
        <v>72</v>
      </c>
      <c r="H1693" s="1">
        <v>0</v>
      </c>
      <c r="I1693" s="1">
        <v>3</v>
      </c>
      <c r="J1693" s="39" t="s">
        <v>996</v>
      </c>
      <c r="K1693" s="1">
        <v>3</v>
      </c>
      <c r="L1693" s="1">
        <v>0</v>
      </c>
      <c r="S1693" s="1" t="s">
        <v>10347</v>
      </c>
      <c r="T1693" s="1">
        <v>1</v>
      </c>
      <c r="U1693" s="19"/>
      <c r="V1693" s="19"/>
      <c r="W1693" s="218">
        <v>1</v>
      </c>
      <c r="X1693" s="218">
        <v>1</v>
      </c>
      <c r="Y1693" s="218">
        <v>1</v>
      </c>
    </row>
    <row r="1694" spans="1:25" x14ac:dyDescent="0.3">
      <c r="A1694" s="1" t="s">
        <v>4757</v>
      </c>
      <c r="B1694" s="102">
        <v>46166</v>
      </c>
      <c r="C1694" s="6">
        <v>0.375</v>
      </c>
      <c r="D1694" s="1" t="s">
        <v>30</v>
      </c>
      <c r="E1694" s="1" t="s">
        <v>31</v>
      </c>
      <c r="F1694" s="1" t="s">
        <v>4758</v>
      </c>
      <c r="G1694" s="39" t="s">
        <v>4759</v>
      </c>
      <c r="H1694" s="1">
        <v>1</v>
      </c>
      <c r="I1694" s="1">
        <v>2</v>
      </c>
      <c r="J1694" s="39" t="s">
        <v>72</v>
      </c>
      <c r="K1694" s="1">
        <v>2</v>
      </c>
      <c r="L1694" s="1">
        <v>1</v>
      </c>
      <c r="S1694" s="1" t="s">
        <v>10348</v>
      </c>
      <c r="T1694" s="1">
        <v>1</v>
      </c>
      <c r="U1694" s="19"/>
      <c r="V1694" s="19"/>
      <c r="W1694" s="218">
        <v>1</v>
      </c>
      <c r="X1694" s="218">
        <v>1</v>
      </c>
      <c r="Y1694" s="218">
        <v>1</v>
      </c>
    </row>
    <row r="1695" spans="1:25" x14ac:dyDescent="0.3">
      <c r="A1695" s="1" t="s">
        <v>4760</v>
      </c>
      <c r="B1695" s="102">
        <v>46159</v>
      </c>
      <c r="C1695" s="6">
        <v>0.47916666666666702</v>
      </c>
      <c r="D1695" s="1" t="s">
        <v>30</v>
      </c>
      <c r="E1695" s="1" t="s">
        <v>31</v>
      </c>
      <c r="F1695" s="1" t="s">
        <v>4761</v>
      </c>
      <c r="G1695" s="39" t="s">
        <v>4762</v>
      </c>
      <c r="H1695" s="1">
        <v>1</v>
      </c>
      <c r="I1695" s="1">
        <v>1</v>
      </c>
      <c r="J1695" s="39" t="s">
        <v>72</v>
      </c>
      <c r="K1695" s="1">
        <v>1</v>
      </c>
      <c r="L1695" s="1">
        <v>1</v>
      </c>
      <c r="S1695" s="1" t="s">
        <v>10349</v>
      </c>
      <c r="T1695" s="1">
        <v>1</v>
      </c>
      <c r="U1695" s="19"/>
      <c r="V1695" s="19"/>
      <c r="W1695" s="218">
        <v>1</v>
      </c>
      <c r="X1695" s="218">
        <v>1</v>
      </c>
      <c r="Y1695" s="218">
        <v>1</v>
      </c>
    </row>
    <row r="1696" spans="1:25" x14ac:dyDescent="0.3">
      <c r="A1696" s="1" t="s">
        <v>4763</v>
      </c>
      <c r="B1696" s="102">
        <v>46152</v>
      </c>
      <c r="C1696" s="6">
        <v>0.375</v>
      </c>
      <c r="D1696" s="1" t="s">
        <v>30</v>
      </c>
      <c r="E1696" s="1" t="s">
        <v>31</v>
      </c>
      <c r="F1696" s="1" t="s">
        <v>4764</v>
      </c>
      <c r="G1696" s="39" t="s">
        <v>72</v>
      </c>
      <c r="H1696" s="1">
        <v>2</v>
      </c>
      <c r="I1696" s="1">
        <v>4</v>
      </c>
      <c r="J1696" s="39" t="s">
        <v>4765</v>
      </c>
      <c r="K1696" s="1">
        <v>4</v>
      </c>
      <c r="L1696" s="1">
        <v>2</v>
      </c>
      <c r="S1696" s="1" t="s">
        <v>10350</v>
      </c>
      <c r="T1696" s="1">
        <v>1</v>
      </c>
      <c r="U1696" s="19"/>
      <c r="V1696" s="19"/>
      <c r="W1696" s="218">
        <v>1</v>
      </c>
      <c r="X1696" s="218">
        <v>1</v>
      </c>
      <c r="Y1696" s="218">
        <v>1</v>
      </c>
    </row>
    <row r="1697" spans="1:25" x14ac:dyDescent="0.3">
      <c r="A1697" s="1" t="s">
        <v>4766</v>
      </c>
      <c r="B1697" s="102">
        <v>46145</v>
      </c>
      <c r="C1697" s="6">
        <v>0.47916666666666702</v>
      </c>
      <c r="D1697" s="1" t="s">
        <v>30</v>
      </c>
      <c r="E1697" s="1" t="s">
        <v>31</v>
      </c>
      <c r="F1697" s="1" t="s">
        <v>4767</v>
      </c>
      <c r="G1697" s="39" t="s">
        <v>4768</v>
      </c>
      <c r="H1697" s="1">
        <v>1</v>
      </c>
      <c r="I1697" s="1">
        <v>1</v>
      </c>
      <c r="J1697" s="39" t="s">
        <v>72</v>
      </c>
      <c r="K1697" s="1">
        <v>1</v>
      </c>
      <c r="L1697" s="1">
        <v>1</v>
      </c>
      <c r="S1697" s="1" t="s">
        <v>10351</v>
      </c>
      <c r="T1697" s="1">
        <v>1</v>
      </c>
      <c r="U1697" s="19"/>
      <c r="V1697" s="19"/>
      <c r="W1697" s="218">
        <v>1</v>
      </c>
      <c r="X1697" s="218">
        <v>1</v>
      </c>
      <c r="Y1697" s="218">
        <v>1</v>
      </c>
    </row>
    <row r="1698" spans="1:25" x14ac:dyDescent="0.3">
      <c r="A1698" s="1" t="s">
        <v>4769</v>
      </c>
      <c r="B1698" s="102">
        <v>46139</v>
      </c>
      <c r="C1698" s="6">
        <v>0.58333333333333304</v>
      </c>
      <c r="D1698" s="1" t="s">
        <v>30</v>
      </c>
      <c r="E1698" s="1" t="s">
        <v>31</v>
      </c>
      <c r="F1698" s="1" t="s">
        <v>4770</v>
      </c>
      <c r="G1698" s="39" t="s">
        <v>72</v>
      </c>
      <c r="H1698" s="1">
        <v>0</v>
      </c>
      <c r="I1698" s="1">
        <v>1</v>
      </c>
      <c r="J1698" s="39" t="s">
        <v>4771</v>
      </c>
      <c r="K1698" s="1">
        <v>1</v>
      </c>
      <c r="L1698" s="1">
        <v>0</v>
      </c>
      <c r="S1698" s="1" t="s">
        <v>10352</v>
      </c>
      <c r="T1698" s="1">
        <v>1</v>
      </c>
      <c r="U1698" s="19"/>
      <c r="V1698" s="19"/>
      <c r="W1698" s="218">
        <v>1</v>
      </c>
      <c r="X1698" s="218">
        <v>1</v>
      </c>
      <c r="Y1698" s="218">
        <v>1</v>
      </c>
    </row>
    <row r="1699" spans="1:25" x14ac:dyDescent="0.3">
      <c r="A1699" s="1" t="s">
        <v>4772</v>
      </c>
      <c r="B1699" s="102">
        <v>46243</v>
      </c>
      <c r="C1699" s="6">
        <v>0.375</v>
      </c>
      <c r="D1699" s="1" t="s">
        <v>30</v>
      </c>
      <c r="E1699" s="1" t="s">
        <v>31</v>
      </c>
      <c r="F1699" s="1" t="s">
        <v>4773</v>
      </c>
      <c r="G1699" s="39" t="s">
        <v>4759</v>
      </c>
      <c r="H1699" s="1">
        <v>3</v>
      </c>
      <c r="I1699" s="1">
        <v>0</v>
      </c>
      <c r="J1699" s="39" t="s">
        <v>71</v>
      </c>
      <c r="K1699" s="1">
        <v>0</v>
      </c>
      <c r="L1699" s="1">
        <v>3</v>
      </c>
      <c r="S1699" s="1" t="s">
        <v>10353</v>
      </c>
      <c r="T1699" s="1">
        <v>1</v>
      </c>
      <c r="U1699" s="19"/>
      <c r="V1699" s="19"/>
      <c r="W1699" s="218">
        <v>1</v>
      </c>
      <c r="X1699" s="218">
        <v>1</v>
      </c>
      <c r="Y1699" s="218">
        <v>1</v>
      </c>
    </row>
    <row r="1700" spans="1:25" x14ac:dyDescent="0.3">
      <c r="A1700" s="1" t="s">
        <v>4774</v>
      </c>
      <c r="B1700" s="102">
        <v>46235</v>
      </c>
      <c r="C1700" s="6">
        <v>0.41666666666666702</v>
      </c>
      <c r="D1700" s="1" t="s">
        <v>30</v>
      </c>
      <c r="E1700" s="1" t="s">
        <v>31</v>
      </c>
      <c r="F1700" s="1" t="s">
        <v>4775</v>
      </c>
      <c r="G1700" s="39" t="s">
        <v>71</v>
      </c>
      <c r="H1700" s="1">
        <v>1</v>
      </c>
      <c r="I1700" s="1">
        <v>1</v>
      </c>
      <c r="J1700" s="39" t="s">
        <v>4776</v>
      </c>
      <c r="K1700" s="1">
        <v>1</v>
      </c>
      <c r="L1700" s="1">
        <v>1</v>
      </c>
      <c r="S1700" s="1" t="s">
        <v>10354</v>
      </c>
      <c r="T1700" s="1">
        <v>1</v>
      </c>
      <c r="U1700" s="19"/>
      <c r="V1700" s="19"/>
      <c r="W1700" s="218">
        <v>1</v>
      </c>
      <c r="X1700" s="218">
        <v>1</v>
      </c>
      <c r="Y1700" s="218">
        <v>1</v>
      </c>
    </row>
    <row r="1701" spans="1:25" x14ac:dyDescent="0.3">
      <c r="A1701" s="1" t="s">
        <v>4777</v>
      </c>
      <c r="B1701" s="102">
        <v>46222</v>
      </c>
      <c r="C1701" s="6">
        <v>0.47916666666666702</v>
      </c>
      <c r="D1701" s="1" t="s">
        <v>30</v>
      </c>
      <c r="E1701" s="1" t="s">
        <v>31</v>
      </c>
      <c r="F1701" s="1" t="s">
        <v>4778</v>
      </c>
      <c r="G1701" s="39" t="s">
        <v>995</v>
      </c>
      <c r="H1701" s="1">
        <v>0</v>
      </c>
      <c r="I1701" s="1">
        <v>2</v>
      </c>
      <c r="J1701" s="39" t="s">
        <v>71</v>
      </c>
      <c r="K1701" s="1">
        <v>2</v>
      </c>
      <c r="L1701" s="1">
        <v>0</v>
      </c>
      <c r="S1701" s="1" t="s">
        <v>10355</v>
      </c>
      <c r="T1701" s="1">
        <v>1</v>
      </c>
      <c r="U1701" s="19"/>
      <c r="V1701" s="19"/>
      <c r="W1701" s="218">
        <v>1</v>
      </c>
      <c r="X1701" s="218">
        <v>1</v>
      </c>
      <c r="Y1701" s="218">
        <v>1</v>
      </c>
    </row>
    <row r="1702" spans="1:25" x14ac:dyDescent="0.3">
      <c r="A1702" s="1" t="s">
        <v>4779</v>
      </c>
      <c r="B1702" s="102">
        <v>46214</v>
      </c>
      <c r="C1702" s="6">
        <v>0.52083333333333304</v>
      </c>
      <c r="D1702" s="1" t="s">
        <v>30</v>
      </c>
      <c r="E1702" s="1" t="s">
        <v>31</v>
      </c>
      <c r="F1702" s="1" t="s">
        <v>4780</v>
      </c>
      <c r="G1702" s="39" t="s">
        <v>4743</v>
      </c>
      <c r="H1702" s="1">
        <v>4</v>
      </c>
      <c r="I1702" s="1">
        <v>3</v>
      </c>
      <c r="J1702" s="39" t="s">
        <v>71</v>
      </c>
      <c r="K1702" s="1">
        <v>3</v>
      </c>
      <c r="L1702" s="1">
        <v>4</v>
      </c>
      <c r="S1702" s="1" t="s">
        <v>10356</v>
      </c>
      <c r="T1702" s="1">
        <v>1</v>
      </c>
      <c r="U1702" s="19"/>
      <c r="V1702" s="19"/>
      <c r="W1702" s="218">
        <v>1</v>
      </c>
      <c r="X1702" s="218">
        <v>1</v>
      </c>
      <c r="Y1702" s="218">
        <v>1</v>
      </c>
    </row>
    <row r="1703" spans="1:25" x14ac:dyDescent="0.3">
      <c r="A1703" s="1" t="s">
        <v>4781</v>
      </c>
      <c r="B1703" s="102">
        <v>46209</v>
      </c>
      <c r="C1703" s="6">
        <v>0.58333333333333304</v>
      </c>
      <c r="D1703" s="1" t="s">
        <v>30</v>
      </c>
      <c r="E1703" s="1" t="s">
        <v>31</v>
      </c>
      <c r="F1703" s="1" t="s">
        <v>4782</v>
      </c>
      <c r="G1703" s="39" t="s">
        <v>71</v>
      </c>
      <c r="H1703" s="1">
        <v>2</v>
      </c>
      <c r="I1703" s="1">
        <v>4</v>
      </c>
      <c r="J1703" s="39" t="s">
        <v>4765</v>
      </c>
      <c r="K1703" s="1">
        <v>4</v>
      </c>
      <c r="L1703" s="1">
        <v>2</v>
      </c>
      <c r="S1703" s="1" t="s">
        <v>10357</v>
      </c>
      <c r="T1703" s="1">
        <v>1</v>
      </c>
      <c r="U1703" s="19"/>
      <c r="V1703" s="19"/>
      <c r="W1703" s="218">
        <v>1</v>
      </c>
      <c r="X1703" s="218">
        <v>1</v>
      </c>
      <c r="Y1703" s="218">
        <v>1</v>
      </c>
    </row>
    <row r="1704" spans="1:25" x14ac:dyDescent="0.3">
      <c r="A1704" s="1" t="s">
        <v>4783</v>
      </c>
      <c r="B1704" s="102">
        <v>46173</v>
      </c>
      <c r="C1704" s="6">
        <v>0.375</v>
      </c>
      <c r="D1704" s="1" t="s">
        <v>30</v>
      </c>
      <c r="E1704" s="1" t="s">
        <v>31</v>
      </c>
      <c r="F1704" s="1" t="s">
        <v>4784</v>
      </c>
      <c r="G1704" s="39" t="s">
        <v>71</v>
      </c>
      <c r="H1704" s="1">
        <v>3</v>
      </c>
      <c r="I1704" s="1">
        <v>2</v>
      </c>
      <c r="J1704" s="39" t="s">
        <v>4759</v>
      </c>
      <c r="K1704" s="1">
        <v>2</v>
      </c>
      <c r="L1704" s="1">
        <v>3</v>
      </c>
      <c r="S1704" s="1" t="s">
        <v>10358</v>
      </c>
      <c r="T1704" s="1">
        <v>1</v>
      </c>
      <c r="U1704" s="19"/>
      <c r="V1704" s="19"/>
      <c r="W1704" s="218">
        <v>1</v>
      </c>
      <c r="X1704" s="218">
        <v>1</v>
      </c>
      <c r="Y1704" s="218">
        <v>1</v>
      </c>
    </row>
    <row r="1705" spans="1:25" x14ac:dyDescent="0.3">
      <c r="A1705" s="1" t="s">
        <v>4785</v>
      </c>
      <c r="B1705" s="102">
        <v>46167</v>
      </c>
      <c r="C1705" s="6">
        <v>0.58333333333333304</v>
      </c>
      <c r="D1705" s="1" t="s">
        <v>30</v>
      </c>
      <c r="E1705" s="1" t="s">
        <v>31</v>
      </c>
      <c r="F1705" s="1" t="s">
        <v>4786</v>
      </c>
      <c r="G1705" s="39" t="s">
        <v>4768</v>
      </c>
      <c r="H1705" s="1">
        <v>1</v>
      </c>
      <c r="I1705" s="1">
        <v>1</v>
      </c>
      <c r="J1705" s="39" t="s">
        <v>71</v>
      </c>
      <c r="K1705" s="1">
        <v>1</v>
      </c>
      <c r="L1705" s="1">
        <v>1</v>
      </c>
      <c r="S1705" s="1" t="s">
        <v>10359</v>
      </c>
      <c r="T1705" s="1">
        <v>1</v>
      </c>
      <c r="U1705" s="19"/>
      <c r="V1705" s="19"/>
      <c r="W1705" s="218">
        <v>1</v>
      </c>
      <c r="X1705" s="218">
        <v>1</v>
      </c>
      <c r="Y1705" s="218">
        <v>1</v>
      </c>
    </row>
    <row r="1706" spans="1:25" x14ac:dyDescent="0.3">
      <c r="A1706" s="1" t="s">
        <v>4787</v>
      </c>
      <c r="B1706" s="102">
        <v>46159</v>
      </c>
      <c r="C1706" s="6">
        <v>0.375</v>
      </c>
      <c r="D1706" s="1" t="s">
        <v>30</v>
      </c>
      <c r="E1706" s="1" t="s">
        <v>31</v>
      </c>
      <c r="F1706" s="1" t="s">
        <v>4788</v>
      </c>
      <c r="G1706" s="39" t="s">
        <v>4751</v>
      </c>
      <c r="H1706" s="1">
        <v>0</v>
      </c>
      <c r="I1706" s="1">
        <v>1</v>
      </c>
      <c r="J1706" s="39" t="s">
        <v>71</v>
      </c>
      <c r="K1706" s="1">
        <v>1</v>
      </c>
      <c r="L1706" s="1">
        <v>0</v>
      </c>
      <c r="S1706" s="1" t="s">
        <v>10360</v>
      </c>
      <c r="T1706" s="1">
        <v>1</v>
      </c>
      <c r="U1706" s="19"/>
      <c r="V1706" s="19"/>
      <c r="W1706" s="218">
        <v>1</v>
      </c>
      <c r="X1706" s="218">
        <v>1</v>
      </c>
      <c r="Y1706" s="218">
        <v>1</v>
      </c>
    </row>
    <row r="1707" spans="1:25" x14ac:dyDescent="0.3">
      <c r="A1707" s="1" t="s">
        <v>4789</v>
      </c>
      <c r="B1707" s="102">
        <v>46152</v>
      </c>
      <c r="C1707" s="6">
        <v>0.375</v>
      </c>
      <c r="D1707" s="1" t="s">
        <v>30</v>
      </c>
      <c r="E1707" s="1" t="s">
        <v>31</v>
      </c>
      <c r="F1707" s="1" t="s">
        <v>4790</v>
      </c>
      <c r="G1707" s="39" t="s">
        <v>71</v>
      </c>
      <c r="H1707" s="1">
        <v>3</v>
      </c>
      <c r="I1707" s="1">
        <v>2</v>
      </c>
      <c r="J1707" s="39" t="s">
        <v>4771</v>
      </c>
      <c r="K1707" s="1">
        <v>2</v>
      </c>
      <c r="L1707" s="1">
        <v>3</v>
      </c>
      <c r="S1707" s="1" t="s">
        <v>10361</v>
      </c>
      <c r="T1707" s="1">
        <v>1</v>
      </c>
      <c r="U1707" s="19"/>
      <c r="V1707" s="19"/>
      <c r="W1707" s="218">
        <v>1</v>
      </c>
      <c r="X1707" s="218">
        <v>1</v>
      </c>
      <c r="Y1707" s="218">
        <v>1</v>
      </c>
    </row>
    <row r="1708" spans="1:25" x14ac:dyDescent="0.3">
      <c r="A1708" s="1" t="s">
        <v>4791</v>
      </c>
      <c r="B1708" s="102">
        <v>46144</v>
      </c>
      <c r="C1708" s="6">
        <v>0.41666666666666702</v>
      </c>
      <c r="D1708" s="1" t="s">
        <v>30</v>
      </c>
      <c r="E1708" s="1" t="s">
        <v>31</v>
      </c>
      <c r="F1708" s="1" t="s">
        <v>4792</v>
      </c>
      <c r="G1708" s="39" t="s">
        <v>4793</v>
      </c>
      <c r="H1708" s="1">
        <v>1</v>
      </c>
      <c r="I1708" s="1">
        <v>1</v>
      </c>
      <c r="J1708" s="39" t="s">
        <v>71</v>
      </c>
      <c r="K1708" s="1">
        <v>1</v>
      </c>
      <c r="L1708" s="1">
        <v>1</v>
      </c>
      <c r="S1708" s="1" t="s">
        <v>10362</v>
      </c>
      <c r="T1708" s="1">
        <v>1</v>
      </c>
      <c r="U1708" s="19"/>
      <c r="V1708" s="19"/>
      <c r="W1708" s="218">
        <v>1</v>
      </c>
      <c r="X1708" s="218">
        <v>1</v>
      </c>
      <c r="Y1708" s="218">
        <v>1</v>
      </c>
    </row>
    <row r="1709" spans="1:25" x14ac:dyDescent="0.3">
      <c r="A1709" s="1" t="s">
        <v>4794</v>
      </c>
      <c r="B1709" s="102">
        <v>46139</v>
      </c>
      <c r="C1709" s="6">
        <v>0.58333333333333304</v>
      </c>
      <c r="D1709" s="1" t="s">
        <v>30</v>
      </c>
      <c r="E1709" s="1" t="s">
        <v>31</v>
      </c>
      <c r="F1709" s="1" t="s">
        <v>4795</v>
      </c>
      <c r="G1709" s="39" t="s">
        <v>71</v>
      </c>
      <c r="H1709" s="1">
        <v>2</v>
      </c>
      <c r="I1709" s="1">
        <v>2</v>
      </c>
      <c r="J1709" s="39" t="s">
        <v>996</v>
      </c>
      <c r="K1709" s="1">
        <v>2</v>
      </c>
      <c r="L1709" s="1">
        <v>2</v>
      </c>
      <c r="S1709" s="1" t="s">
        <v>10363</v>
      </c>
      <c r="T1709" s="1">
        <v>1</v>
      </c>
      <c r="U1709" s="19"/>
      <c r="V1709" s="19"/>
      <c r="W1709" s="218">
        <v>1</v>
      </c>
      <c r="X1709" s="218">
        <v>1</v>
      </c>
      <c r="Y1709" s="218">
        <v>1</v>
      </c>
    </row>
    <row r="1710" spans="1:25" x14ac:dyDescent="0.3">
      <c r="A1710" s="1" t="s">
        <v>4796</v>
      </c>
      <c r="B1710" s="102">
        <v>46243</v>
      </c>
      <c r="C1710" s="6">
        <v>0.375</v>
      </c>
      <c r="D1710" s="1" t="s">
        <v>30</v>
      </c>
      <c r="E1710" s="1" t="s">
        <v>31</v>
      </c>
      <c r="F1710" s="1" t="s">
        <v>4797</v>
      </c>
      <c r="G1710" s="39" t="s">
        <v>4771</v>
      </c>
      <c r="H1710" s="1">
        <v>1</v>
      </c>
      <c r="I1710" s="1">
        <v>2</v>
      </c>
      <c r="J1710" s="39" t="s">
        <v>4793</v>
      </c>
      <c r="K1710" s="1">
        <v>2</v>
      </c>
      <c r="L1710" s="1">
        <v>1</v>
      </c>
      <c r="S1710" s="1" t="s">
        <v>10364</v>
      </c>
      <c r="T1710" s="1">
        <v>1</v>
      </c>
      <c r="U1710" s="19"/>
      <c r="V1710" s="19"/>
      <c r="W1710" s="218">
        <v>1</v>
      </c>
      <c r="X1710" s="218">
        <v>1</v>
      </c>
      <c r="Y1710" s="218">
        <v>1</v>
      </c>
    </row>
    <row r="1711" spans="1:25" x14ac:dyDescent="0.3">
      <c r="A1711" s="1" t="s">
        <v>4798</v>
      </c>
      <c r="B1711" s="102">
        <v>46236</v>
      </c>
      <c r="C1711" s="6">
        <v>0.375</v>
      </c>
      <c r="D1711" s="1" t="s">
        <v>30</v>
      </c>
      <c r="E1711" s="1" t="s">
        <v>31</v>
      </c>
      <c r="F1711" s="1" t="s">
        <v>4799</v>
      </c>
      <c r="G1711" s="39" t="s">
        <v>4754</v>
      </c>
      <c r="H1711" s="1">
        <v>2</v>
      </c>
      <c r="I1711" s="1">
        <v>0</v>
      </c>
      <c r="J1711" s="39" t="s">
        <v>4793</v>
      </c>
      <c r="K1711" s="1">
        <v>0</v>
      </c>
      <c r="L1711" s="1">
        <v>2</v>
      </c>
      <c r="S1711" s="1" t="s">
        <v>10365</v>
      </c>
      <c r="T1711" s="1">
        <v>1</v>
      </c>
      <c r="U1711" s="19"/>
      <c r="V1711" s="19"/>
      <c r="W1711" s="218">
        <v>1</v>
      </c>
      <c r="X1711" s="218">
        <v>1</v>
      </c>
      <c r="Y1711" s="218">
        <v>1</v>
      </c>
    </row>
    <row r="1712" spans="1:25" x14ac:dyDescent="0.3">
      <c r="A1712" s="1" t="s">
        <v>4800</v>
      </c>
      <c r="B1712" s="102">
        <v>46228</v>
      </c>
      <c r="C1712" s="6">
        <v>0.41666666666666702</v>
      </c>
      <c r="D1712" s="1" t="s">
        <v>30</v>
      </c>
      <c r="E1712" s="1" t="s">
        <v>31</v>
      </c>
      <c r="F1712" s="1" t="s">
        <v>4801</v>
      </c>
      <c r="G1712" s="39" t="s">
        <v>4793</v>
      </c>
      <c r="H1712" s="1">
        <v>0</v>
      </c>
      <c r="I1712" s="1">
        <v>1</v>
      </c>
      <c r="J1712" s="39" t="s">
        <v>4765</v>
      </c>
      <c r="K1712" s="1">
        <v>1</v>
      </c>
      <c r="L1712" s="1">
        <v>0</v>
      </c>
      <c r="S1712" s="1" t="s">
        <v>10366</v>
      </c>
      <c r="T1712" s="1">
        <v>1</v>
      </c>
      <c r="U1712" s="19"/>
      <c r="V1712" s="19"/>
      <c r="W1712" s="218">
        <v>1</v>
      </c>
      <c r="X1712" s="218">
        <v>1</v>
      </c>
      <c r="Y1712" s="218">
        <v>1</v>
      </c>
    </row>
    <row r="1713" spans="1:25" x14ac:dyDescent="0.3">
      <c r="A1713" s="1" t="s">
        <v>4802</v>
      </c>
      <c r="B1713" s="102">
        <v>46222</v>
      </c>
      <c r="C1713" s="6">
        <v>0.47916666666666702</v>
      </c>
      <c r="D1713" s="1" t="s">
        <v>30</v>
      </c>
      <c r="E1713" s="1" t="s">
        <v>31</v>
      </c>
      <c r="F1713" s="1" t="s">
        <v>4803</v>
      </c>
      <c r="G1713" s="39" t="s">
        <v>4759</v>
      </c>
      <c r="H1713" s="1">
        <v>4</v>
      </c>
      <c r="I1713" s="1">
        <v>0</v>
      </c>
      <c r="J1713" s="39" t="s">
        <v>4793</v>
      </c>
      <c r="K1713" s="1">
        <v>0</v>
      </c>
      <c r="L1713" s="1">
        <v>4</v>
      </c>
      <c r="S1713" s="1" t="s">
        <v>10367</v>
      </c>
      <c r="T1713" s="1">
        <v>1</v>
      </c>
      <c r="U1713" s="19"/>
      <c r="V1713" s="19"/>
      <c r="W1713" s="218">
        <v>1</v>
      </c>
      <c r="X1713" s="218">
        <v>1</v>
      </c>
      <c r="Y1713" s="218">
        <v>1</v>
      </c>
    </row>
    <row r="1714" spans="1:25" x14ac:dyDescent="0.3">
      <c r="A1714" s="1" t="s">
        <v>4804</v>
      </c>
      <c r="B1714" s="102">
        <v>46215</v>
      </c>
      <c r="C1714" s="6">
        <v>0.375</v>
      </c>
      <c r="D1714" s="1" t="s">
        <v>30</v>
      </c>
      <c r="E1714" s="1" t="s">
        <v>31</v>
      </c>
      <c r="F1714" s="1" t="s">
        <v>4805</v>
      </c>
      <c r="G1714" s="39" t="s">
        <v>4762</v>
      </c>
      <c r="H1714" s="1">
        <v>2</v>
      </c>
      <c r="I1714" s="1">
        <v>0</v>
      </c>
      <c r="J1714" s="39" t="s">
        <v>4793</v>
      </c>
      <c r="K1714" s="1">
        <v>0</v>
      </c>
      <c r="L1714" s="1">
        <v>2</v>
      </c>
      <c r="S1714" s="1" t="s">
        <v>10368</v>
      </c>
      <c r="T1714" s="1">
        <v>1</v>
      </c>
      <c r="U1714" s="19"/>
      <c r="V1714" s="19"/>
      <c r="W1714" s="218">
        <v>1</v>
      </c>
      <c r="X1714" s="218">
        <v>1</v>
      </c>
      <c r="Y1714" s="218">
        <v>1</v>
      </c>
    </row>
    <row r="1715" spans="1:25" x14ac:dyDescent="0.3">
      <c r="A1715" s="1" t="s">
        <v>4806</v>
      </c>
      <c r="B1715" s="102">
        <v>46207</v>
      </c>
      <c r="C1715" s="6">
        <v>0.41666666666666702</v>
      </c>
      <c r="D1715" s="1" t="s">
        <v>30</v>
      </c>
      <c r="E1715" s="1" t="s">
        <v>31</v>
      </c>
      <c r="F1715" s="1" t="s">
        <v>4807</v>
      </c>
      <c r="G1715" s="39" t="s">
        <v>4793</v>
      </c>
      <c r="H1715" s="1">
        <v>0</v>
      </c>
      <c r="I1715" s="1">
        <v>1</v>
      </c>
      <c r="J1715" s="39" t="s">
        <v>4771</v>
      </c>
      <c r="K1715" s="1">
        <v>1</v>
      </c>
      <c r="L1715" s="1">
        <v>0</v>
      </c>
      <c r="S1715" s="1" t="s">
        <v>10369</v>
      </c>
      <c r="T1715" s="1">
        <v>1</v>
      </c>
      <c r="U1715" s="19"/>
      <c r="V1715" s="19"/>
      <c r="W1715" s="218">
        <v>1</v>
      </c>
      <c r="X1715" s="218">
        <v>1</v>
      </c>
      <c r="Y1715" s="218">
        <v>1</v>
      </c>
    </row>
    <row r="1716" spans="1:25" x14ac:dyDescent="0.3">
      <c r="A1716" s="1" t="s">
        <v>4808</v>
      </c>
      <c r="B1716" s="102">
        <v>46173</v>
      </c>
      <c r="C1716" s="6">
        <v>0.375</v>
      </c>
      <c r="D1716" s="1" t="s">
        <v>30</v>
      </c>
      <c r="E1716" s="1" t="s">
        <v>31</v>
      </c>
      <c r="F1716" s="1" t="s">
        <v>4809</v>
      </c>
      <c r="G1716" s="39" t="s">
        <v>4793</v>
      </c>
      <c r="H1716" s="1">
        <v>2</v>
      </c>
      <c r="I1716" s="1">
        <v>2</v>
      </c>
      <c r="J1716" s="39" t="s">
        <v>4810</v>
      </c>
      <c r="K1716" s="1">
        <v>2</v>
      </c>
      <c r="L1716" s="1">
        <v>2</v>
      </c>
      <c r="S1716" s="1" t="s">
        <v>10370</v>
      </c>
      <c r="T1716" s="1">
        <v>1</v>
      </c>
      <c r="U1716" s="19"/>
      <c r="V1716" s="19"/>
      <c r="W1716" s="218">
        <v>1</v>
      </c>
      <c r="X1716" s="218">
        <v>1</v>
      </c>
      <c r="Y1716" s="218">
        <v>1</v>
      </c>
    </row>
    <row r="1717" spans="1:25" x14ac:dyDescent="0.3">
      <c r="A1717" s="1" t="s">
        <v>4811</v>
      </c>
      <c r="B1717" s="102">
        <v>46165</v>
      </c>
      <c r="C1717" s="6">
        <v>0.41666666666666702</v>
      </c>
      <c r="D1717" s="1" t="s">
        <v>30</v>
      </c>
      <c r="E1717" s="1" t="s">
        <v>31</v>
      </c>
      <c r="F1717" s="1" t="s">
        <v>4812</v>
      </c>
      <c r="G1717" s="39" t="s">
        <v>4776</v>
      </c>
      <c r="H1717" s="1">
        <v>2</v>
      </c>
      <c r="I1717" s="1">
        <v>1</v>
      </c>
      <c r="J1717" s="39" t="s">
        <v>4793</v>
      </c>
      <c r="K1717" s="1">
        <v>1</v>
      </c>
      <c r="L1717" s="1">
        <v>2</v>
      </c>
      <c r="S1717" s="1" t="s">
        <v>10371</v>
      </c>
      <c r="T1717" s="1">
        <v>1</v>
      </c>
      <c r="U1717" s="19"/>
      <c r="V1717" s="19"/>
      <c r="W1717" s="218">
        <v>1</v>
      </c>
      <c r="X1717" s="218">
        <v>1</v>
      </c>
      <c r="Y1717" s="218">
        <v>1</v>
      </c>
    </row>
    <row r="1718" spans="1:25" x14ac:dyDescent="0.3">
      <c r="A1718" s="1" t="s">
        <v>4813</v>
      </c>
      <c r="B1718" s="102">
        <v>46158</v>
      </c>
      <c r="C1718" s="6">
        <v>0.41666666666666702</v>
      </c>
      <c r="D1718" s="1" t="s">
        <v>30</v>
      </c>
      <c r="E1718" s="1" t="s">
        <v>31</v>
      </c>
      <c r="F1718" s="1" t="s">
        <v>4814</v>
      </c>
      <c r="G1718" s="39" t="s">
        <v>4748</v>
      </c>
      <c r="H1718" s="1">
        <v>1</v>
      </c>
      <c r="I1718" s="1">
        <v>1</v>
      </c>
      <c r="J1718" s="39" t="s">
        <v>4793</v>
      </c>
      <c r="K1718" s="1">
        <v>1</v>
      </c>
      <c r="L1718" s="1">
        <v>1</v>
      </c>
      <c r="S1718" s="1" t="s">
        <v>10372</v>
      </c>
      <c r="T1718" s="1">
        <v>1</v>
      </c>
      <c r="U1718" s="19"/>
      <c r="V1718" s="19"/>
      <c r="W1718" s="218">
        <v>1</v>
      </c>
      <c r="X1718" s="218">
        <v>1</v>
      </c>
      <c r="Y1718" s="218">
        <v>1</v>
      </c>
    </row>
    <row r="1719" spans="1:25" x14ac:dyDescent="0.3">
      <c r="A1719" s="1" t="s">
        <v>4815</v>
      </c>
      <c r="B1719" s="102">
        <v>46151</v>
      </c>
      <c r="C1719" s="6">
        <v>0.41666666666666702</v>
      </c>
      <c r="D1719" s="1" t="s">
        <v>30</v>
      </c>
      <c r="E1719" s="1" t="s">
        <v>31</v>
      </c>
      <c r="F1719" s="1" t="s">
        <v>4816</v>
      </c>
      <c r="G1719" s="39" t="s">
        <v>4793</v>
      </c>
      <c r="H1719" s="1">
        <v>1</v>
      </c>
      <c r="I1719" s="1">
        <v>4</v>
      </c>
      <c r="J1719" s="39" t="s">
        <v>4751</v>
      </c>
      <c r="K1719" s="1">
        <v>4</v>
      </c>
      <c r="L1719" s="1">
        <v>1</v>
      </c>
      <c r="S1719" s="1" t="s">
        <v>10373</v>
      </c>
      <c r="T1719" s="1">
        <v>1</v>
      </c>
      <c r="U1719" s="19"/>
      <c r="V1719" s="19"/>
      <c r="W1719" s="218">
        <v>1</v>
      </c>
      <c r="X1719" s="218">
        <v>1</v>
      </c>
      <c r="Y1719" s="218">
        <v>1</v>
      </c>
    </row>
    <row r="1720" spans="1:25" x14ac:dyDescent="0.3">
      <c r="A1720" s="1" t="s">
        <v>4817</v>
      </c>
      <c r="B1720" s="102">
        <v>46139</v>
      </c>
      <c r="C1720" s="6">
        <v>0.58333333333333304</v>
      </c>
      <c r="D1720" s="1" t="s">
        <v>30</v>
      </c>
      <c r="E1720" s="1" t="s">
        <v>31</v>
      </c>
      <c r="F1720" s="1" t="s">
        <v>4818</v>
      </c>
      <c r="G1720" s="39" t="s">
        <v>4743</v>
      </c>
      <c r="H1720" s="1">
        <v>1</v>
      </c>
      <c r="I1720" s="1">
        <v>1</v>
      </c>
      <c r="J1720" s="39" t="s">
        <v>4793</v>
      </c>
      <c r="K1720" s="1">
        <v>1</v>
      </c>
      <c r="L1720" s="1">
        <v>1</v>
      </c>
      <c r="S1720" s="1" t="s">
        <v>10374</v>
      </c>
      <c r="T1720" s="1">
        <v>1</v>
      </c>
      <c r="U1720" s="19"/>
      <c r="V1720" s="19"/>
      <c r="W1720" s="218">
        <v>1</v>
      </c>
      <c r="X1720" s="218">
        <v>1</v>
      </c>
      <c r="Y1720" s="218">
        <v>1</v>
      </c>
    </row>
    <row r="1721" spans="1:25" x14ac:dyDescent="0.3">
      <c r="A1721" s="1" t="s">
        <v>4819</v>
      </c>
      <c r="B1721" s="102">
        <v>46237</v>
      </c>
      <c r="C1721" s="6">
        <v>0.58333333333333304</v>
      </c>
      <c r="D1721" s="1" t="s">
        <v>30</v>
      </c>
      <c r="E1721" s="1" t="s">
        <v>31</v>
      </c>
      <c r="F1721" s="1" t="s">
        <v>4820</v>
      </c>
      <c r="G1721" s="39" t="s">
        <v>4765</v>
      </c>
      <c r="H1721" s="1">
        <v>6</v>
      </c>
      <c r="I1721" s="1">
        <v>0</v>
      </c>
      <c r="J1721" s="39" t="s">
        <v>4762</v>
      </c>
      <c r="K1721" s="1">
        <v>0</v>
      </c>
      <c r="L1721" s="1">
        <v>6</v>
      </c>
      <c r="S1721" s="1" t="s">
        <v>10375</v>
      </c>
      <c r="T1721" s="1">
        <v>1</v>
      </c>
      <c r="U1721" s="19"/>
      <c r="V1721" s="19"/>
      <c r="W1721" s="218">
        <v>1</v>
      </c>
      <c r="X1721" s="218">
        <v>1</v>
      </c>
      <c r="Y1721" s="218">
        <v>1</v>
      </c>
    </row>
    <row r="1722" spans="1:25" x14ac:dyDescent="0.3">
      <c r="A1722" s="1" t="s">
        <v>4821</v>
      </c>
      <c r="B1722" s="102">
        <v>46223</v>
      </c>
      <c r="C1722" s="6">
        <v>0.58333333333333304</v>
      </c>
      <c r="D1722" s="1" t="s">
        <v>30</v>
      </c>
      <c r="E1722" s="1" t="s">
        <v>31</v>
      </c>
      <c r="F1722" s="1" t="s">
        <v>4822</v>
      </c>
      <c r="G1722" s="39" t="s">
        <v>4743</v>
      </c>
      <c r="H1722" s="1">
        <v>0</v>
      </c>
      <c r="I1722" s="1">
        <v>0</v>
      </c>
      <c r="J1722" s="39" t="s">
        <v>4765</v>
      </c>
      <c r="K1722" s="1">
        <v>0</v>
      </c>
      <c r="L1722" s="1">
        <v>0</v>
      </c>
      <c r="S1722" s="1" t="s">
        <v>10376</v>
      </c>
      <c r="T1722" s="1">
        <v>1</v>
      </c>
      <c r="U1722" s="19"/>
      <c r="V1722" s="19"/>
      <c r="W1722" s="218">
        <v>1</v>
      </c>
      <c r="X1722" s="218">
        <v>1</v>
      </c>
      <c r="Y1722" s="218">
        <v>1</v>
      </c>
    </row>
    <row r="1723" spans="1:25" x14ac:dyDescent="0.3">
      <c r="A1723" s="1" t="s">
        <v>4823</v>
      </c>
      <c r="B1723" s="102">
        <v>46216</v>
      </c>
      <c r="C1723" s="6">
        <v>0.58333333333333304</v>
      </c>
      <c r="D1723" s="1" t="s">
        <v>30</v>
      </c>
      <c r="E1723" s="1" t="s">
        <v>31</v>
      </c>
      <c r="F1723" s="1" t="s">
        <v>4824</v>
      </c>
      <c r="G1723" s="39" t="s">
        <v>4765</v>
      </c>
      <c r="H1723" s="1">
        <v>3</v>
      </c>
      <c r="I1723" s="1">
        <v>0</v>
      </c>
      <c r="J1723" s="39" t="s">
        <v>995</v>
      </c>
      <c r="K1723" s="1">
        <v>0</v>
      </c>
      <c r="L1723" s="1">
        <v>3</v>
      </c>
      <c r="S1723" s="1" t="s">
        <v>10377</v>
      </c>
      <c r="T1723" s="1">
        <v>1</v>
      </c>
      <c r="U1723" s="19"/>
      <c r="V1723" s="19"/>
      <c r="W1723" s="218">
        <v>1</v>
      </c>
      <c r="X1723" s="218">
        <v>1</v>
      </c>
      <c r="Y1723" s="218">
        <v>1</v>
      </c>
    </row>
    <row r="1724" spans="1:25" x14ac:dyDescent="0.3">
      <c r="A1724" s="1" t="s">
        <v>4825</v>
      </c>
      <c r="B1724" s="102">
        <v>46164</v>
      </c>
      <c r="C1724" s="6">
        <v>0.58333333333333304</v>
      </c>
      <c r="D1724" s="1" t="s">
        <v>30</v>
      </c>
      <c r="E1724" s="1" t="s">
        <v>31</v>
      </c>
      <c r="F1724" s="1" t="s">
        <v>4826</v>
      </c>
      <c r="G1724" s="39" t="s">
        <v>4765</v>
      </c>
      <c r="H1724" s="1">
        <v>1</v>
      </c>
      <c r="I1724" s="1">
        <v>2</v>
      </c>
      <c r="J1724" s="39" t="s">
        <v>4810</v>
      </c>
      <c r="K1724" s="1">
        <v>2</v>
      </c>
      <c r="L1724" s="1">
        <v>1</v>
      </c>
      <c r="S1724" s="1" t="s">
        <v>10378</v>
      </c>
      <c r="T1724" s="1">
        <v>1</v>
      </c>
      <c r="U1724" s="19"/>
      <c r="V1724" s="19"/>
      <c r="W1724" s="218">
        <v>1</v>
      </c>
      <c r="X1724" s="218">
        <v>1</v>
      </c>
      <c r="Y1724" s="218">
        <v>1</v>
      </c>
    </row>
    <row r="1725" spans="1:25" x14ac:dyDescent="0.3">
      <c r="A1725" s="1" t="s">
        <v>4827</v>
      </c>
      <c r="B1725" s="102">
        <v>46160</v>
      </c>
      <c r="C1725" s="6">
        <v>0.58333333333333304</v>
      </c>
      <c r="D1725" s="1" t="s">
        <v>30</v>
      </c>
      <c r="E1725" s="1" t="s">
        <v>31</v>
      </c>
      <c r="F1725" s="1" t="s">
        <v>4828</v>
      </c>
      <c r="G1725" s="39" t="s">
        <v>4765</v>
      </c>
      <c r="H1725" s="1">
        <v>2</v>
      </c>
      <c r="I1725" s="1">
        <v>3</v>
      </c>
      <c r="J1725" s="39" t="s">
        <v>996</v>
      </c>
      <c r="K1725" s="1">
        <v>3</v>
      </c>
      <c r="L1725" s="1">
        <v>2</v>
      </c>
      <c r="S1725" s="1" t="s">
        <v>10379</v>
      </c>
      <c r="T1725" s="1">
        <v>1</v>
      </c>
      <c r="U1725" s="19"/>
      <c r="V1725" s="19"/>
      <c r="W1725" s="218">
        <v>1</v>
      </c>
      <c r="X1725" s="218">
        <v>1</v>
      </c>
      <c r="Y1725" s="218">
        <v>1</v>
      </c>
    </row>
    <row r="1726" spans="1:25" x14ac:dyDescent="0.3">
      <c r="A1726" s="1" t="s">
        <v>4829</v>
      </c>
      <c r="B1726" s="102">
        <v>46146</v>
      </c>
      <c r="C1726" s="6">
        <v>0.58333333333333304</v>
      </c>
      <c r="D1726" s="1" t="s">
        <v>30</v>
      </c>
      <c r="E1726" s="1" t="s">
        <v>31</v>
      </c>
      <c r="F1726" s="1" t="s">
        <v>4830</v>
      </c>
      <c r="G1726" s="39" t="s">
        <v>4765</v>
      </c>
      <c r="H1726" s="1">
        <v>6</v>
      </c>
      <c r="I1726" s="1">
        <v>0</v>
      </c>
      <c r="J1726" s="39" t="s">
        <v>4754</v>
      </c>
      <c r="K1726" s="1">
        <v>0</v>
      </c>
      <c r="L1726" s="1">
        <v>6</v>
      </c>
      <c r="S1726" s="1" t="s">
        <v>10380</v>
      </c>
      <c r="T1726" s="1">
        <v>1</v>
      </c>
      <c r="U1726" s="19"/>
      <c r="V1726" s="19"/>
      <c r="W1726" s="218">
        <v>1</v>
      </c>
      <c r="X1726" s="218">
        <v>1</v>
      </c>
      <c r="Y1726" s="218">
        <v>1</v>
      </c>
    </row>
    <row r="1727" spans="1:25" x14ac:dyDescent="0.3">
      <c r="A1727" s="1" t="s">
        <v>4831</v>
      </c>
      <c r="B1727" s="102">
        <v>46138</v>
      </c>
      <c r="C1727" s="6">
        <v>0.375</v>
      </c>
      <c r="D1727" s="1" t="s">
        <v>30</v>
      </c>
      <c r="E1727" s="1" t="s">
        <v>31</v>
      </c>
      <c r="F1727" s="1" t="s">
        <v>4832</v>
      </c>
      <c r="G1727" s="39" t="s">
        <v>4765</v>
      </c>
      <c r="H1727" s="1">
        <v>1</v>
      </c>
      <c r="I1727" s="1">
        <v>1</v>
      </c>
      <c r="J1727" s="39" t="s">
        <v>4759</v>
      </c>
      <c r="K1727" s="1">
        <v>1</v>
      </c>
      <c r="L1727" s="1">
        <v>1</v>
      </c>
      <c r="S1727" s="1" t="s">
        <v>10381</v>
      </c>
      <c r="T1727" s="1">
        <v>1</v>
      </c>
      <c r="U1727" s="19"/>
      <c r="V1727" s="19"/>
      <c r="W1727" s="218">
        <v>1</v>
      </c>
      <c r="X1727" s="218">
        <v>1</v>
      </c>
      <c r="Y1727" s="218">
        <v>1</v>
      </c>
    </row>
    <row r="1728" spans="1:25" x14ac:dyDescent="0.3">
      <c r="A1728" s="1" t="s">
        <v>4833</v>
      </c>
      <c r="B1728" s="102">
        <v>46134</v>
      </c>
      <c r="C1728" s="6">
        <v>0.58333333333333304</v>
      </c>
      <c r="D1728" s="1" t="s">
        <v>30</v>
      </c>
      <c r="E1728" s="1" t="s">
        <v>31</v>
      </c>
      <c r="F1728" s="1" t="s">
        <v>4834</v>
      </c>
      <c r="G1728" s="39" t="s">
        <v>4768</v>
      </c>
      <c r="H1728" s="1">
        <v>2</v>
      </c>
      <c r="I1728" s="1">
        <v>1</v>
      </c>
      <c r="J1728" s="39" t="s">
        <v>4765</v>
      </c>
      <c r="K1728" s="1">
        <v>1</v>
      </c>
      <c r="L1728" s="1">
        <v>2</v>
      </c>
      <c r="S1728" s="1" t="s">
        <v>10382</v>
      </c>
      <c r="T1728" s="1">
        <v>1</v>
      </c>
      <c r="U1728" s="19"/>
      <c r="V1728" s="19"/>
      <c r="W1728" s="218">
        <v>0</v>
      </c>
      <c r="X1728" s="218">
        <v>1</v>
      </c>
      <c r="Y1728" s="218">
        <v>1</v>
      </c>
    </row>
    <row r="1729" spans="1:25" x14ac:dyDescent="0.3">
      <c r="A1729" s="1" t="s">
        <v>4835</v>
      </c>
      <c r="B1729" s="102">
        <v>46129</v>
      </c>
      <c r="C1729" s="6">
        <v>0.58333333333333304</v>
      </c>
      <c r="D1729" s="1" t="s">
        <v>30</v>
      </c>
      <c r="E1729" s="1" t="s">
        <v>31</v>
      </c>
      <c r="F1729" s="1" t="s">
        <v>4836</v>
      </c>
      <c r="G1729" s="39" t="s">
        <v>4765</v>
      </c>
      <c r="H1729" s="1">
        <v>0</v>
      </c>
      <c r="I1729" s="1">
        <v>1</v>
      </c>
      <c r="J1729" s="39" t="s">
        <v>4771</v>
      </c>
      <c r="K1729" s="1">
        <v>1</v>
      </c>
      <c r="L1729" s="1">
        <v>0</v>
      </c>
      <c r="S1729" s="1" t="s">
        <v>10383</v>
      </c>
      <c r="T1729" s="1">
        <v>1</v>
      </c>
      <c r="U1729" s="19"/>
      <c r="V1729" s="19"/>
      <c r="W1729" s="218">
        <v>0</v>
      </c>
      <c r="X1729" s="218">
        <v>0</v>
      </c>
      <c r="Y1729" s="218">
        <v>0</v>
      </c>
    </row>
    <row r="1730" spans="1:25" x14ac:dyDescent="0.3">
      <c r="A1730" s="1" t="s">
        <v>4837</v>
      </c>
      <c r="B1730" s="102">
        <v>46243</v>
      </c>
      <c r="C1730" s="6">
        <v>0.47916666666666702</v>
      </c>
      <c r="D1730" s="1" t="s">
        <v>30</v>
      </c>
      <c r="E1730" s="1" t="s">
        <v>31</v>
      </c>
      <c r="F1730" s="1" t="s">
        <v>4838</v>
      </c>
      <c r="G1730" s="39" t="s">
        <v>995</v>
      </c>
      <c r="H1730" s="1">
        <v>0</v>
      </c>
      <c r="I1730" s="1">
        <v>2</v>
      </c>
      <c r="J1730" s="39" t="s">
        <v>4748</v>
      </c>
      <c r="K1730" s="1">
        <v>2</v>
      </c>
      <c r="L1730" s="1">
        <v>0</v>
      </c>
      <c r="S1730" s="1" t="s">
        <v>10384</v>
      </c>
      <c r="T1730" s="1">
        <v>1</v>
      </c>
      <c r="U1730" s="19"/>
      <c r="V1730" s="19"/>
      <c r="W1730" s="218">
        <v>1</v>
      </c>
      <c r="X1730" s="218">
        <v>1</v>
      </c>
      <c r="Y1730" s="218">
        <v>1</v>
      </c>
    </row>
    <row r="1731" spans="1:25" x14ac:dyDescent="0.3">
      <c r="A1731" s="1" t="s">
        <v>4839</v>
      </c>
      <c r="B1731" s="102">
        <v>46229</v>
      </c>
      <c r="C1731" s="6">
        <v>0.47916666666666702</v>
      </c>
      <c r="D1731" s="1" t="s">
        <v>30</v>
      </c>
      <c r="E1731" s="1" t="s">
        <v>31</v>
      </c>
      <c r="F1731" s="1" t="s">
        <v>4840</v>
      </c>
      <c r="G1731" s="39" t="s">
        <v>4748</v>
      </c>
      <c r="H1731" s="1">
        <v>1</v>
      </c>
      <c r="I1731" s="1">
        <v>1</v>
      </c>
      <c r="J1731" s="39" t="s">
        <v>995</v>
      </c>
      <c r="K1731" s="1">
        <v>1</v>
      </c>
      <c r="L1731" s="1">
        <v>1</v>
      </c>
      <c r="S1731" s="1" t="s">
        <v>10385</v>
      </c>
      <c r="T1731" s="1">
        <v>1</v>
      </c>
      <c r="U1731" s="19"/>
      <c r="V1731" s="19"/>
      <c r="W1731" s="218">
        <v>1</v>
      </c>
      <c r="X1731" s="218">
        <v>1</v>
      </c>
      <c r="Y1731" s="218">
        <v>1</v>
      </c>
    </row>
    <row r="1732" spans="1:25" x14ac:dyDescent="0.3">
      <c r="A1732" s="1" t="s">
        <v>4841</v>
      </c>
      <c r="B1732" s="102">
        <v>46215</v>
      </c>
      <c r="C1732" s="6">
        <v>0.47916666666666702</v>
      </c>
      <c r="D1732" s="1" t="s">
        <v>30</v>
      </c>
      <c r="E1732" s="1" t="s">
        <v>31</v>
      </c>
      <c r="F1732" s="1" t="s">
        <v>4842</v>
      </c>
      <c r="G1732" s="39" t="s">
        <v>4748</v>
      </c>
      <c r="H1732" s="1">
        <v>1</v>
      </c>
      <c r="I1732" s="1">
        <v>0</v>
      </c>
      <c r="J1732" s="39" t="s">
        <v>4768</v>
      </c>
      <c r="K1732" s="1">
        <v>0</v>
      </c>
      <c r="L1732" s="1">
        <v>1</v>
      </c>
      <c r="S1732" s="1" t="s">
        <v>10386</v>
      </c>
      <c r="T1732" s="1">
        <v>1</v>
      </c>
      <c r="U1732" s="19"/>
      <c r="V1732" s="19"/>
      <c r="W1732" s="218">
        <v>1</v>
      </c>
      <c r="X1732" s="218">
        <v>1</v>
      </c>
      <c r="Y1732" s="218">
        <v>1</v>
      </c>
    </row>
    <row r="1733" spans="1:25" x14ac:dyDescent="0.3">
      <c r="A1733" s="1" t="s">
        <v>4843</v>
      </c>
      <c r="B1733" s="102">
        <v>46209</v>
      </c>
      <c r="C1733" s="6">
        <v>0.58333333333333304</v>
      </c>
      <c r="D1733" s="1" t="s">
        <v>30</v>
      </c>
      <c r="E1733" s="1" t="s">
        <v>31</v>
      </c>
      <c r="F1733" s="1" t="s">
        <v>4844</v>
      </c>
      <c r="G1733" s="39" t="s">
        <v>4810</v>
      </c>
      <c r="H1733" s="1">
        <v>1</v>
      </c>
      <c r="I1733" s="1">
        <v>1</v>
      </c>
      <c r="J1733" s="39" t="s">
        <v>4748</v>
      </c>
      <c r="K1733" s="1">
        <v>1</v>
      </c>
      <c r="L1733" s="1">
        <v>1</v>
      </c>
      <c r="S1733" s="1" t="s">
        <v>10387</v>
      </c>
      <c r="T1733" s="1">
        <v>1</v>
      </c>
      <c r="U1733" s="19"/>
      <c r="V1733" s="19"/>
      <c r="W1733" s="218">
        <v>1</v>
      </c>
      <c r="X1733" s="218">
        <v>1</v>
      </c>
      <c r="Y1733" s="218">
        <v>1</v>
      </c>
    </row>
    <row r="1734" spans="1:25" x14ac:dyDescent="0.3">
      <c r="A1734" s="1" t="s">
        <v>4845</v>
      </c>
      <c r="B1734" s="102">
        <v>46172</v>
      </c>
      <c r="C1734" s="6">
        <v>0.41666666666666702</v>
      </c>
      <c r="D1734" s="1" t="s">
        <v>30</v>
      </c>
      <c r="E1734" s="1" t="s">
        <v>31</v>
      </c>
      <c r="F1734" s="1" t="s">
        <v>4846</v>
      </c>
      <c r="G1734" s="39" t="s">
        <v>4748</v>
      </c>
      <c r="H1734" s="1">
        <v>3</v>
      </c>
      <c r="I1734" s="1">
        <v>0</v>
      </c>
      <c r="J1734" s="39" t="s">
        <v>4776</v>
      </c>
      <c r="K1734" s="1">
        <v>0</v>
      </c>
      <c r="L1734" s="1">
        <v>3</v>
      </c>
      <c r="S1734" s="1" t="s">
        <v>10388</v>
      </c>
      <c r="T1734" s="1">
        <v>1</v>
      </c>
      <c r="U1734" s="19"/>
      <c r="V1734" s="19"/>
      <c r="W1734" s="218">
        <v>1</v>
      </c>
      <c r="X1734" s="218">
        <v>1</v>
      </c>
      <c r="Y1734" s="218">
        <v>1</v>
      </c>
    </row>
    <row r="1735" spans="1:25" x14ac:dyDescent="0.3">
      <c r="A1735" s="1" t="s">
        <v>4847</v>
      </c>
      <c r="B1735" s="102">
        <v>46166</v>
      </c>
      <c r="C1735" s="6">
        <v>0.375</v>
      </c>
      <c r="D1735" s="1" t="s">
        <v>30</v>
      </c>
      <c r="E1735" s="1" t="s">
        <v>31</v>
      </c>
      <c r="F1735" s="1" t="s">
        <v>4848</v>
      </c>
      <c r="G1735" s="39" t="s">
        <v>996</v>
      </c>
      <c r="H1735" s="1">
        <v>2</v>
      </c>
      <c r="I1735" s="1">
        <v>1</v>
      </c>
      <c r="J1735" s="39" t="s">
        <v>4748</v>
      </c>
      <c r="K1735" s="1">
        <v>1</v>
      </c>
      <c r="L1735" s="1">
        <v>2</v>
      </c>
      <c r="S1735" s="1" t="s">
        <v>10389</v>
      </c>
      <c r="T1735" s="1">
        <v>1</v>
      </c>
      <c r="U1735" s="19"/>
      <c r="V1735" s="19"/>
      <c r="W1735" s="218">
        <v>1</v>
      </c>
      <c r="X1735" s="218">
        <v>1</v>
      </c>
      <c r="Y1735" s="218">
        <v>1</v>
      </c>
    </row>
    <row r="1736" spans="1:25" x14ac:dyDescent="0.3">
      <c r="A1736" s="1" t="s">
        <v>4849</v>
      </c>
      <c r="B1736" s="102">
        <v>46162</v>
      </c>
      <c r="C1736" s="6">
        <v>0.58333333333333304</v>
      </c>
      <c r="D1736" s="1" t="s">
        <v>30</v>
      </c>
      <c r="E1736" s="1" t="s">
        <v>31</v>
      </c>
      <c r="F1736" s="1" t="s">
        <v>4850</v>
      </c>
      <c r="G1736" s="39" t="s">
        <v>4748</v>
      </c>
      <c r="H1736" s="1">
        <v>2</v>
      </c>
      <c r="I1736" s="1">
        <v>0</v>
      </c>
      <c r="J1736" s="39" t="s">
        <v>4759</v>
      </c>
      <c r="K1736" s="1">
        <v>0</v>
      </c>
      <c r="L1736" s="1">
        <v>2</v>
      </c>
      <c r="S1736" s="1" t="s">
        <v>10390</v>
      </c>
      <c r="T1736" s="1">
        <v>1</v>
      </c>
      <c r="U1736" s="19"/>
      <c r="V1736" s="19"/>
      <c r="W1736" s="218">
        <v>1</v>
      </c>
      <c r="X1736" s="218">
        <v>1</v>
      </c>
      <c r="Y1736" s="218">
        <v>1</v>
      </c>
    </row>
    <row r="1737" spans="1:25" x14ac:dyDescent="0.3">
      <c r="A1737" s="1" t="s">
        <v>4851</v>
      </c>
      <c r="B1737" s="102">
        <v>46151</v>
      </c>
      <c r="C1737" s="6">
        <v>0.41666666666666702</v>
      </c>
      <c r="D1737" s="1" t="s">
        <v>30</v>
      </c>
      <c r="E1737" s="1" t="s">
        <v>31</v>
      </c>
      <c r="F1737" s="1" t="s">
        <v>4852</v>
      </c>
      <c r="G1737" s="39" t="s">
        <v>4762</v>
      </c>
      <c r="H1737" s="1">
        <v>0</v>
      </c>
      <c r="I1737" s="1">
        <v>1</v>
      </c>
      <c r="J1737" s="39" t="s">
        <v>4748</v>
      </c>
      <c r="K1737" s="1">
        <v>1</v>
      </c>
      <c r="L1737" s="1">
        <v>0</v>
      </c>
      <c r="S1737" s="1" t="s">
        <v>10391</v>
      </c>
      <c r="T1737" s="1">
        <v>1</v>
      </c>
      <c r="U1737" s="19"/>
      <c r="V1737" s="19"/>
      <c r="W1737" s="218">
        <v>1</v>
      </c>
      <c r="X1737" s="218">
        <v>1</v>
      </c>
      <c r="Y1737" s="218">
        <v>1</v>
      </c>
    </row>
    <row r="1738" spans="1:25" x14ac:dyDescent="0.3">
      <c r="A1738" s="1" t="s">
        <v>4853</v>
      </c>
      <c r="B1738" s="102">
        <v>46145</v>
      </c>
      <c r="C1738" s="6">
        <v>0.47916666666666702</v>
      </c>
      <c r="D1738" s="1" t="s">
        <v>30</v>
      </c>
      <c r="E1738" s="1" t="s">
        <v>31</v>
      </c>
      <c r="F1738" s="1" t="s">
        <v>4854</v>
      </c>
      <c r="G1738" s="39" t="s">
        <v>4748</v>
      </c>
      <c r="H1738" s="1">
        <v>4</v>
      </c>
      <c r="I1738" s="1">
        <v>0</v>
      </c>
      <c r="J1738" s="39" t="s">
        <v>4743</v>
      </c>
      <c r="K1738" s="1">
        <v>0</v>
      </c>
      <c r="L1738" s="1">
        <v>4</v>
      </c>
      <c r="S1738" s="1" t="s">
        <v>10392</v>
      </c>
      <c r="T1738" s="1">
        <v>1</v>
      </c>
      <c r="U1738" s="19"/>
      <c r="V1738" s="19"/>
      <c r="W1738" s="218">
        <v>1</v>
      </c>
      <c r="X1738" s="218">
        <v>1</v>
      </c>
      <c r="Y1738" s="218">
        <v>1</v>
      </c>
    </row>
    <row r="1739" spans="1:25" x14ac:dyDescent="0.3">
      <c r="A1739" s="1" t="s">
        <v>4855</v>
      </c>
      <c r="B1739" s="102">
        <v>46138</v>
      </c>
      <c r="C1739" s="6">
        <v>0.47916666666666702</v>
      </c>
      <c r="D1739" s="1" t="s">
        <v>30</v>
      </c>
      <c r="E1739" s="1" t="s">
        <v>31</v>
      </c>
      <c r="F1739" s="1" t="s">
        <v>4856</v>
      </c>
      <c r="G1739" s="39" t="s">
        <v>4754</v>
      </c>
      <c r="H1739" s="1">
        <v>2</v>
      </c>
      <c r="I1739" s="1">
        <v>2</v>
      </c>
      <c r="J1739" s="39" t="s">
        <v>4748</v>
      </c>
      <c r="K1739" s="1">
        <v>2</v>
      </c>
      <c r="L1739" s="1">
        <v>2</v>
      </c>
      <c r="S1739" s="1" t="s">
        <v>10393</v>
      </c>
      <c r="T1739" s="1">
        <v>1</v>
      </c>
      <c r="U1739" s="19"/>
      <c r="V1739" s="19"/>
      <c r="W1739" s="218">
        <v>1</v>
      </c>
      <c r="X1739" s="218">
        <v>1</v>
      </c>
      <c r="Y1739" s="218">
        <v>1</v>
      </c>
    </row>
    <row r="1740" spans="1:25" x14ac:dyDescent="0.3">
      <c r="A1740" s="1" t="s">
        <v>4857</v>
      </c>
      <c r="B1740" s="5">
        <v>46207</v>
      </c>
      <c r="C1740" s="6">
        <v>0.41666666666666702</v>
      </c>
      <c r="D1740" s="1" t="s">
        <v>30</v>
      </c>
      <c r="E1740" s="1" t="s">
        <v>31</v>
      </c>
      <c r="F1740" s="1" t="s">
        <v>4858</v>
      </c>
      <c r="G1740" s="39" t="s">
        <v>995</v>
      </c>
      <c r="H1740" s="1">
        <v>1</v>
      </c>
      <c r="I1740" s="1">
        <v>3</v>
      </c>
      <c r="J1740" s="39" t="s">
        <v>4762</v>
      </c>
      <c r="K1740" s="1">
        <v>3</v>
      </c>
      <c r="L1740" s="1">
        <v>1</v>
      </c>
      <c r="S1740" s="1" t="s">
        <v>4859</v>
      </c>
      <c r="T1740" s="1">
        <v>1</v>
      </c>
      <c r="U1740" s="19"/>
      <c r="V1740" s="19"/>
      <c r="W1740" s="218">
        <v>1</v>
      </c>
      <c r="X1740" s="218">
        <v>1</v>
      </c>
      <c r="Y1740" s="218">
        <v>1</v>
      </c>
    </row>
    <row r="1741" spans="1:25" x14ac:dyDescent="0.3">
      <c r="A1741" s="1" t="s">
        <v>4860</v>
      </c>
      <c r="B1741" s="5">
        <v>46172</v>
      </c>
      <c r="C1741" s="6">
        <v>0.41666666666666702</v>
      </c>
      <c r="D1741" s="1" t="s">
        <v>30</v>
      </c>
      <c r="E1741" s="1" t="s">
        <v>31</v>
      </c>
      <c r="F1741" s="1" t="s">
        <v>4861</v>
      </c>
      <c r="G1741" s="39" t="s">
        <v>4771</v>
      </c>
      <c r="H1741" s="1">
        <v>5</v>
      </c>
      <c r="I1741" s="1">
        <v>2</v>
      </c>
      <c r="J1741" s="39" t="s">
        <v>995</v>
      </c>
      <c r="K1741" s="1">
        <v>2</v>
      </c>
      <c r="L1741" s="1">
        <v>5</v>
      </c>
      <c r="S1741" s="1" t="s">
        <v>4862</v>
      </c>
      <c r="T1741" s="1">
        <v>1</v>
      </c>
      <c r="U1741" s="19"/>
      <c r="V1741" s="19"/>
      <c r="W1741" s="218">
        <v>1</v>
      </c>
      <c r="X1741" s="218">
        <v>1</v>
      </c>
      <c r="Y1741" s="218">
        <v>1</v>
      </c>
    </row>
    <row r="1742" spans="1:25" x14ac:dyDescent="0.3">
      <c r="A1742" s="1" t="s">
        <v>4863</v>
      </c>
      <c r="B1742" s="5">
        <v>46165</v>
      </c>
      <c r="C1742" s="6">
        <v>0.41666666666666702</v>
      </c>
      <c r="D1742" s="1" t="s">
        <v>30</v>
      </c>
      <c r="E1742" s="1" t="s">
        <v>31</v>
      </c>
      <c r="F1742" s="1" t="s">
        <v>4864</v>
      </c>
      <c r="G1742" s="39" t="s">
        <v>995</v>
      </c>
      <c r="H1742" s="1">
        <v>2</v>
      </c>
      <c r="I1742" s="1">
        <v>0</v>
      </c>
      <c r="J1742" s="39" t="s">
        <v>4743</v>
      </c>
      <c r="K1742" s="1">
        <v>0</v>
      </c>
      <c r="L1742" s="1">
        <v>2</v>
      </c>
      <c r="S1742" s="1" t="s">
        <v>4865</v>
      </c>
      <c r="T1742" s="1">
        <v>1</v>
      </c>
      <c r="U1742" s="19"/>
      <c r="V1742" s="19"/>
      <c r="W1742" s="218">
        <v>1</v>
      </c>
      <c r="X1742" s="218">
        <v>1</v>
      </c>
      <c r="Y1742" s="218">
        <v>1</v>
      </c>
    </row>
    <row r="1743" spans="1:25" x14ac:dyDescent="0.3">
      <c r="A1743" s="1" t="s">
        <v>4866</v>
      </c>
      <c r="B1743" s="5">
        <v>46158</v>
      </c>
      <c r="C1743" s="6">
        <v>0.41666666666666702</v>
      </c>
      <c r="D1743" s="1" t="s">
        <v>30</v>
      </c>
      <c r="E1743" s="1" t="s">
        <v>31</v>
      </c>
      <c r="F1743" s="1" t="s">
        <v>4867</v>
      </c>
      <c r="G1743" s="39" t="s">
        <v>995</v>
      </c>
      <c r="H1743" s="1">
        <v>1</v>
      </c>
      <c r="I1743" s="1">
        <v>1</v>
      </c>
      <c r="J1743" s="39" t="s">
        <v>4768</v>
      </c>
      <c r="K1743" s="1">
        <v>1</v>
      </c>
      <c r="L1743" s="1">
        <v>1</v>
      </c>
      <c r="S1743" s="1" t="s">
        <v>4868</v>
      </c>
      <c r="T1743" s="1">
        <v>1</v>
      </c>
      <c r="U1743" s="19"/>
      <c r="V1743" s="19"/>
      <c r="W1743" s="218">
        <v>1</v>
      </c>
      <c r="X1743" s="218">
        <v>1</v>
      </c>
      <c r="Y1743" s="218">
        <v>1</v>
      </c>
    </row>
    <row r="1744" spans="1:25" x14ac:dyDescent="0.3">
      <c r="A1744" s="1" t="s">
        <v>4869</v>
      </c>
      <c r="B1744" s="5">
        <v>46152</v>
      </c>
      <c r="C1744" s="6">
        <v>0.375</v>
      </c>
      <c r="D1744" s="1" t="s">
        <v>30</v>
      </c>
      <c r="E1744" s="1" t="s">
        <v>31</v>
      </c>
      <c r="F1744" s="1" t="s">
        <v>4870</v>
      </c>
      <c r="G1744" s="39" t="s">
        <v>4776</v>
      </c>
      <c r="H1744" s="1">
        <v>2</v>
      </c>
      <c r="I1744" s="1">
        <v>0</v>
      </c>
      <c r="J1744" s="39" t="s">
        <v>995</v>
      </c>
      <c r="K1744" s="1">
        <v>0</v>
      </c>
      <c r="L1744" s="1">
        <v>2</v>
      </c>
      <c r="S1744" s="1" t="s">
        <v>4871</v>
      </c>
      <c r="T1744" s="1">
        <v>1</v>
      </c>
      <c r="U1744" s="19"/>
      <c r="V1744" s="19"/>
      <c r="W1744" s="218">
        <v>1</v>
      </c>
      <c r="X1744" s="218">
        <v>1</v>
      </c>
      <c r="Y1744" s="218">
        <v>1</v>
      </c>
    </row>
    <row r="1745" spans="1:25" x14ac:dyDescent="0.3">
      <c r="A1745" s="1" t="s">
        <v>4872</v>
      </c>
      <c r="B1745" s="5">
        <v>46146</v>
      </c>
      <c r="C1745" s="6">
        <v>0.58333333333333404</v>
      </c>
      <c r="D1745" s="1" t="s">
        <v>30</v>
      </c>
      <c r="E1745" s="1" t="s">
        <v>31</v>
      </c>
      <c r="F1745" s="1" t="s">
        <v>4873</v>
      </c>
      <c r="G1745" s="39" t="s">
        <v>995</v>
      </c>
      <c r="H1745" s="1">
        <v>1</v>
      </c>
      <c r="I1745" s="1">
        <v>3</v>
      </c>
      <c r="J1745" s="39" t="s">
        <v>4810</v>
      </c>
      <c r="K1745" s="1">
        <v>3</v>
      </c>
      <c r="L1745" s="1">
        <v>1</v>
      </c>
      <c r="S1745" s="1" t="s">
        <v>4874</v>
      </c>
      <c r="T1745" s="1">
        <v>1</v>
      </c>
      <c r="U1745" s="19"/>
      <c r="V1745" s="19"/>
      <c r="W1745" s="218">
        <v>1</v>
      </c>
      <c r="X1745" s="218">
        <v>1</v>
      </c>
      <c r="Y1745" s="218">
        <v>1</v>
      </c>
    </row>
    <row r="1746" spans="1:25" x14ac:dyDescent="0.3">
      <c r="A1746" s="1" t="s">
        <v>4875</v>
      </c>
      <c r="B1746" s="5">
        <v>46139</v>
      </c>
      <c r="C1746" s="6">
        <v>0.58333333333333404</v>
      </c>
      <c r="D1746" s="1" t="s">
        <v>30</v>
      </c>
      <c r="E1746" s="1" t="s">
        <v>31</v>
      </c>
      <c r="F1746" s="1" t="s">
        <v>4876</v>
      </c>
      <c r="G1746" s="39" t="s">
        <v>4751</v>
      </c>
      <c r="H1746" s="1">
        <v>2</v>
      </c>
      <c r="I1746" s="1">
        <v>0</v>
      </c>
      <c r="J1746" s="39" t="s">
        <v>995</v>
      </c>
      <c r="K1746" s="1">
        <v>0</v>
      </c>
      <c r="L1746" s="1">
        <v>2</v>
      </c>
      <c r="S1746" s="1" t="s">
        <v>4877</v>
      </c>
      <c r="T1746" s="1">
        <v>1</v>
      </c>
      <c r="U1746" s="19"/>
      <c r="V1746" s="19"/>
      <c r="W1746" s="218">
        <v>1</v>
      </c>
      <c r="X1746" s="218">
        <v>1</v>
      </c>
      <c r="Y1746" s="218">
        <v>1</v>
      </c>
    </row>
    <row r="1747" spans="1:25" x14ac:dyDescent="0.3">
      <c r="A1747" s="1" t="s">
        <v>4878</v>
      </c>
      <c r="B1747" s="5">
        <v>46229</v>
      </c>
      <c r="C1747" s="6">
        <v>0.375</v>
      </c>
      <c r="D1747" s="1" t="s">
        <v>30</v>
      </c>
      <c r="E1747" s="1" t="s">
        <v>31</v>
      </c>
      <c r="F1747" s="1" t="s">
        <v>4879</v>
      </c>
      <c r="G1747" s="39" t="s">
        <v>4810</v>
      </c>
      <c r="H1747" s="1">
        <v>1</v>
      </c>
      <c r="I1747" s="1">
        <v>1</v>
      </c>
      <c r="J1747" s="39" t="s">
        <v>4759</v>
      </c>
      <c r="K1747" s="1">
        <v>1</v>
      </c>
      <c r="L1747" s="1">
        <v>1</v>
      </c>
      <c r="S1747" s="1" t="s">
        <v>4880</v>
      </c>
      <c r="T1747" s="1">
        <v>1</v>
      </c>
      <c r="U1747" s="19"/>
      <c r="V1747" s="19"/>
      <c r="W1747" s="218">
        <v>1</v>
      </c>
      <c r="X1747" s="218">
        <v>1</v>
      </c>
      <c r="Y1747" s="218">
        <v>1</v>
      </c>
    </row>
    <row r="1748" spans="1:25" x14ac:dyDescent="0.3">
      <c r="A1748" s="1" t="s">
        <v>4881</v>
      </c>
      <c r="B1748" s="5">
        <v>46215</v>
      </c>
      <c r="C1748" s="6">
        <v>0.375</v>
      </c>
      <c r="D1748" s="1" t="s">
        <v>30</v>
      </c>
      <c r="E1748" s="1" t="s">
        <v>31</v>
      </c>
      <c r="F1748" s="1" t="s">
        <v>4882</v>
      </c>
      <c r="G1748" s="39" t="s">
        <v>4759</v>
      </c>
      <c r="H1748" s="1">
        <v>2</v>
      </c>
      <c r="I1748" s="1">
        <v>0</v>
      </c>
      <c r="J1748" s="39" t="s">
        <v>4776</v>
      </c>
      <c r="K1748" s="1">
        <v>0</v>
      </c>
      <c r="L1748" s="1">
        <v>2</v>
      </c>
      <c r="S1748" s="1" t="s">
        <v>4883</v>
      </c>
      <c r="T1748" s="1">
        <v>1</v>
      </c>
      <c r="U1748" s="19"/>
      <c r="V1748" s="19"/>
      <c r="W1748" s="218">
        <v>1</v>
      </c>
      <c r="X1748" s="218">
        <v>1</v>
      </c>
      <c r="Y1748" s="218">
        <v>1</v>
      </c>
    </row>
    <row r="1749" spans="1:25" x14ac:dyDescent="0.3">
      <c r="A1749" s="1" t="s">
        <v>4884</v>
      </c>
      <c r="B1749" s="5">
        <v>46208</v>
      </c>
      <c r="C1749" s="6">
        <v>0.47916666666666702</v>
      </c>
      <c r="D1749" s="1" t="s">
        <v>30</v>
      </c>
      <c r="E1749" s="1" t="s">
        <v>31</v>
      </c>
      <c r="F1749" s="1" t="s">
        <v>4885</v>
      </c>
      <c r="G1749" s="39" t="s">
        <v>4768</v>
      </c>
      <c r="H1749" s="1">
        <v>1</v>
      </c>
      <c r="I1749" s="1">
        <v>2</v>
      </c>
      <c r="J1749" s="39" t="s">
        <v>4759</v>
      </c>
      <c r="K1749" s="1">
        <v>2</v>
      </c>
      <c r="L1749" s="1">
        <v>1</v>
      </c>
      <c r="S1749" s="1" t="s">
        <v>4886</v>
      </c>
      <c r="T1749" s="1">
        <v>1</v>
      </c>
      <c r="U1749" s="19"/>
      <c r="V1749" s="19"/>
      <c r="W1749" s="218">
        <v>1</v>
      </c>
      <c r="X1749" s="218">
        <v>1</v>
      </c>
      <c r="Y1749" s="218">
        <v>1</v>
      </c>
    </row>
    <row r="1750" spans="1:25" x14ac:dyDescent="0.3">
      <c r="A1750" s="1" t="s">
        <v>4887</v>
      </c>
      <c r="B1750" s="5">
        <v>46159</v>
      </c>
      <c r="C1750" s="6">
        <v>0.375</v>
      </c>
      <c r="D1750" s="1" t="s">
        <v>30</v>
      </c>
      <c r="E1750" s="1" t="s">
        <v>31</v>
      </c>
      <c r="F1750" s="1" t="s">
        <v>4888</v>
      </c>
      <c r="G1750" s="39" t="s">
        <v>4759</v>
      </c>
      <c r="H1750" s="1">
        <v>4</v>
      </c>
      <c r="I1750" s="1">
        <v>1</v>
      </c>
      <c r="J1750" s="39" t="s">
        <v>4771</v>
      </c>
      <c r="K1750" s="1">
        <v>1</v>
      </c>
      <c r="L1750" s="1">
        <v>4</v>
      </c>
      <c r="S1750" s="1" t="s">
        <v>4889</v>
      </c>
      <c r="T1750" s="1">
        <v>1</v>
      </c>
      <c r="U1750" s="19"/>
      <c r="V1750" s="19"/>
      <c r="W1750" s="218">
        <v>1</v>
      </c>
      <c r="X1750" s="218">
        <v>1</v>
      </c>
      <c r="Y1750" s="218">
        <v>1</v>
      </c>
    </row>
    <row r="1751" spans="1:25" x14ac:dyDescent="0.3">
      <c r="A1751" s="1" t="s">
        <v>4890</v>
      </c>
      <c r="B1751" s="5">
        <v>46151</v>
      </c>
      <c r="C1751" s="6">
        <v>0.41666666666666702</v>
      </c>
      <c r="D1751" s="1" t="s">
        <v>30</v>
      </c>
      <c r="E1751" s="1" t="s">
        <v>31</v>
      </c>
      <c r="F1751" s="1" t="s">
        <v>4891</v>
      </c>
      <c r="G1751" s="39" t="s">
        <v>4754</v>
      </c>
      <c r="H1751" s="1">
        <v>0</v>
      </c>
      <c r="I1751" s="1">
        <v>1</v>
      </c>
      <c r="J1751" s="39" t="s">
        <v>4759</v>
      </c>
      <c r="K1751" s="1">
        <v>1</v>
      </c>
      <c r="L1751" s="1">
        <v>0</v>
      </c>
      <c r="S1751" s="1" t="s">
        <v>4892</v>
      </c>
      <c r="T1751" s="1">
        <v>1</v>
      </c>
      <c r="U1751" s="19"/>
      <c r="V1751" s="19"/>
      <c r="W1751" s="218">
        <v>1</v>
      </c>
      <c r="X1751" s="218">
        <v>1</v>
      </c>
      <c r="Y1751" s="218">
        <v>1</v>
      </c>
    </row>
    <row r="1752" spans="1:25" x14ac:dyDescent="0.3">
      <c r="A1752" s="1" t="s">
        <v>4893</v>
      </c>
      <c r="B1752" s="5">
        <v>46145</v>
      </c>
      <c r="C1752" s="6">
        <v>0.375</v>
      </c>
      <c r="D1752" s="1" t="s">
        <v>30</v>
      </c>
      <c r="E1752" s="1" t="s">
        <v>31</v>
      </c>
      <c r="F1752" s="1" t="s">
        <v>4894</v>
      </c>
      <c r="G1752" s="39" t="s">
        <v>4759</v>
      </c>
      <c r="H1752" s="1">
        <v>3</v>
      </c>
      <c r="I1752" s="1">
        <v>0</v>
      </c>
      <c r="J1752" s="39" t="s">
        <v>4762</v>
      </c>
      <c r="K1752" s="1">
        <v>0</v>
      </c>
      <c r="L1752" s="1">
        <v>3</v>
      </c>
      <c r="S1752" s="1" t="s">
        <v>4895</v>
      </c>
      <c r="T1752" s="1">
        <v>1</v>
      </c>
      <c r="U1752" s="19"/>
      <c r="V1752" s="19"/>
      <c r="W1752" s="218">
        <v>1</v>
      </c>
      <c r="X1752" s="218">
        <v>1</v>
      </c>
      <c r="Y1752" s="218">
        <v>1</v>
      </c>
    </row>
    <row r="1753" spans="1:25" x14ac:dyDescent="0.3">
      <c r="A1753" s="1" t="s">
        <v>4896</v>
      </c>
      <c r="B1753" s="5">
        <v>46244</v>
      </c>
      <c r="C1753" s="6">
        <v>0.58333333333333404</v>
      </c>
      <c r="D1753" s="1" t="s">
        <v>30</v>
      </c>
      <c r="E1753" s="1" t="s">
        <v>31</v>
      </c>
      <c r="F1753" s="1" t="s">
        <v>4897</v>
      </c>
      <c r="G1753" s="39" t="s">
        <v>996</v>
      </c>
      <c r="H1753" s="1">
        <v>2</v>
      </c>
      <c r="I1753" s="1">
        <v>2</v>
      </c>
      <c r="J1753" s="39" t="s">
        <v>4810</v>
      </c>
      <c r="K1753" s="1">
        <v>2</v>
      </c>
      <c r="L1753" s="1">
        <v>2</v>
      </c>
      <c r="S1753" s="1" t="s">
        <v>4898</v>
      </c>
      <c r="T1753" s="1">
        <v>1</v>
      </c>
      <c r="U1753" s="19"/>
      <c r="V1753" s="19"/>
      <c r="W1753" s="218">
        <v>1</v>
      </c>
      <c r="X1753" s="218">
        <v>1</v>
      </c>
      <c r="Y1753" s="218">
        <v>1</v>
      </c>
    </row>
    <row r="1754" spans="1:25" x14ac:dyDescent="0.3">
      <c r="A1754" s="1" t="s">
        <v>4899</v>
      </c>
      <c r="B1754" s="5">
        <v>46236</v>
      </c>
      <c r="C1754" s="6">
        <v>0.375</v>
      </c>
      <c r="D1754" s="1" t="s">
        <v>30</v>
      </c>
      <c r="E1754" s="1" t="s">
        <v>31</v>
      </c>
      <c r="F1754" s="1" t="s">
        <v>4900</v>
      </c>
      <c r="G1754" s="39" t="s">
        <v>4810</v>
      </c>
      <c r="H1754" s="1">
        <v>1</v>
      </c>
      <c r="I1754" s="1">
        <v>2</v>
      </c>
      <c r="J1754" s="39" t="s">
        <v>4771</v>
      </c>
      <c r="K1754" s="1">
        <v>2</v>
      </c>
      <c r="L1754" s="1">
        <v>1</v>
      </c>
      <c r="S1754" s="1" t="s">
        <v>4901</v>
      </c>
      <c r="T1754" s="1">
        <v>1</v>
      </c>
      <c r="U1754" s="19"/>
      <c r="V1754" s="19"/>
      <c r="W1754" s="218">
        <v>1</v>
      </c>
      <c r="X1754" s="218">
        <v>1</v>
      </c>
      <c r="Y1754" s="218">
        <v>1</v>
      </c>
    </row>
    <row r="1755" spans="1:25" x14ac:dyDescent="0.3">
      <c r="A1755" s="1" t="s">
        <v>4902</v>
      </c>
      <c r="B1755" s="5">
        <v>46220</v>
      </c>
      <c r="C1755" s="6">
        <v>0.58333333333333404</v>
      </c>
      <c r="D1755" s="1" t="s">
        <v>30</v>
      </c>
      <c r="E1755" s="1" t="s">
        <v>31</v>
      </c>
      <c r="F1755" s="1" t="s">
        <v>4903</v>
      </c>
      <c r="G1755" s="39" t="s">
        <v>4754</v>
      </c>
      <c r="H1755" s="1">
        <v>2</v>
      </c>
      <c r="I1755" s="1">
        <v>1</v>
      </c>
      <c r="J1755" s="39" t="s">
        <v>4810</v>
      </c>
      <c r="K1755" s="1">
        <v>1</v>
      </c>
      <c r="L1755" s="1">
        <v>2</v>
      </c>
      <c r="S1755" s="1" t="s">
        <v>4904</v>
      </c>
      <c r="T1755" s="1">
        <v>1</v>
      </c>
      <c r="U1755" s="19"/>
      <c r="V1755" s="19"/>
      <c r="W1755" s="218">
        <v>1</v>
      </c>
      <c r="X1755" s="218">
        <v>1</v>
      </c>
      <c r="Y1755" s="218">
        <v>1</v>
      </c>
    </row>
    <row r="1756" spans="1:25" x14ac:dyDescent="0.3">
      <c r="A1756" s="1" t="s">
        <v>4905</v>
      </c>
      <c r="B1756" s="5">
        <v>46215</v>
      </c>
      <c r="C1756" s="6">
        <v>0.47916666666666702</v>
      </c>
      <c r="D1756" s="1" t="s">
        <v>30</v>
      </c>
      <c r="E1756" s="1" t="s">
        <v>31</v>
      </c>
      <c r="F1756" s="1" t="s">
        <v>4906</v>
      </c>
      <c r="G1756" s="39" t="s">
        <v>4810</v>
      </c>
      <c r="H1756" s="1">
        <v>1</v>
      </c>
      <c r="I1756" s="1">
        <v>2</v>
      </c>
      <c r="J1756" s="39" t="s">
        <v>996</v>
      </c>
      <c r="K1756" s="1">
        <v>2</v>
      </c>
      <c r="L1756" s="1">
        <v>1</v>
      </c>
      <c r="S1756" s="1" t="s">
        <v>4907</v>
      </c>
      <c r="T1756" s="1">
        <v>1</v>
      </c>
      <c r="U1756" s="19"/>
      <c r="V1756" s="19"/>
      <c r="W1756" s="218">
        <v>1</v>
      </c>
      <c r="X1756" s="218">
        <v>1</v>
      </c>
      <c r="Y1756" s="218">
        <v>1</v>
      </c>
    </row>
    <row r="1757" spans="1:25" x14ac:dyDescent="0.3">
      <c r="A1757" s="1" t="s">
        <v>4908</v>
      </c>
      <c r="B1757" s="5">
        <v>46159</v>
      </c>
      <c r="C1757" s="6">
        <v>0.375</v>
      </c>
      <c r="D1757" s="1" t="s">
        <v>30</v>
      </c>
      <c r="E1757" s="1" t="s">
        <v>31</v>
      </c>
      <c r="F1757" s="1" t="s">
        <v>4909</v>
      </c>
      <c r="G1757" s="39" t="s">
        <v>4810</v>
      </c>
      <c r="H1757" s="1">
        <v>1</v>
      </c>
      <c r="I1757" s="1">
        <v>0</v>
      </c>
      <c r="J1757" s="39" t="s">
        <v>4776</v>
      </c>
      <c r="K1757" s="1">
        <v>0</v>
      </c>
      <c r="L1757" s="1">
        <v>1</v>
      </c>
      <c r="S1757" s="1" t="s">
        <v>4910</v>
      </c>
      <c r="T1757" s="1">
        <v>1</v>
      </c>
      <c r="U1757" s="19"/>
      <c r="V1757" s="19"/>
      <c r="W1757" s="218">
        <v>1</v>
      </c>
      <c r="X1757" s="218">
        <v>1</v>
      </c>
      <c r="Y1757" s="218">
        <v>1</v>
      </c>
    </row>
    <row r="1758" spans="1:25" x14ac:dyDescent="0.3">
      <c r="A1758" s="1" t="s">
        <v>4911</v>
      </c>
      <c r="B1758" s="5">
        <v>46150</v>
      </c>
      <c r="C1758" s="6">
        <v>0.58333333333333404</v>
      </c>
      <c r="D1758" s="1" t="s">
        <v>30</v>
      </c>
      <c r="E1758" s="1" t="s">
        <v>31</v>
      </c>
      <c r="F1758" s="1" t="s">
        <v>4912</v>
      </c>
      <c r="G1758" s="39" t="s">
        <v>4768</v>
      </c>
      <c r="H1758" s="1">
        <v>2</v>
      </c>
      <c r="I1758" s="1">
        <v>0</v>
      </c>
      <c r="J1758" s="39" t="s">
        <v>4810</v>
      </c>
      <c r="K1758" s="1">
        <v>0</v>
      </c>
      <c r="L1758" s="1">
        <v>2</v>
      </c>
      <c r="S1758" s="1" t="s">
        <v>4913</v>
      </c>
      <c r="T1758" s="1">
        <v>1</v>
      </c>
      <c r="U1758" s="19"/>
      <c r="V1758" s="19"/>
      <c r="W1758" s="218">
        <v>1</v>
      </c>
      <c r="X1758" s="218">
        <v>1</v>
      </c>
      <c r="Y1758" s="218">
        <v>1</v>
      </c>
    </row>
    <row r="1759" spans="1:25" x14ac:dyDescent="0.3">
      <c r="A1759" s="1" t="s">
        <v>4914</v>
      </c>
      <c r="B1759" s="5">
        <v>46138</v>
      </c>
      <c r="C1759" s="6">
        <v>0.47916666666666702</v>
      </c>
      <c r="D1759" s="1" t="s">
        <v>30</v>
      </c>
      <c r="E1759" s="1" t="s">
        <v>31</v>
      </c>
      <c r="F1759" s="1" t="s">
        <v>4915</v>
      </c>
      <c r="G1759" s="39" t="s">
        <v>4810</v>
      </c>
      <c r="H1759" s="1">
        <v>1</v>
      </c>
      <c r="I1759" s="1">
        <v>2</v>
      </c>
      <c r="J1759" s="39" t="s">
        <v>4762</v>
      </c>
      <c r="K1759" s="1">
        <v>2</v>
      </c>
      <c r="L1759" s="1">
        <v>1</v>
      </c>
      <c r="S1759" s="1" t="s">
        <v>4916</v>
      </c>
      <c r="T1759" s="1">
        <v>1</v>
      </c>
      <c r="U1759" s="19"/>
      <c r="V1759" s="19"/>
      <c r="W1759" s="218">
        <v>1</v>
      </c>
      <c r="X1759" s="218">
        <v>1</v>
      </c>
      <c r="Y1759" s="218">
        <v>1</v>
      </c>
    </row>
    <row r="1760" spans="1:25" x14ac:dyDescent="0.3">
      <c r="A1760" s="1" t="s">
        <v>4917</v>
      </c>
      <c r="B1760" s="5">
        <v>46242</v>
      </c>
      <c r="C1760" s="6">
        <v>0.52083333333333404</v>
      </c>
      <c r="D1760" s="1" t="s">
        <v>30</v>
      </c>
      <c r="E1760" s="1" t="s">
        <v>31</v>
      </c>
      <c r="F1760" s="1" t="s">
        <v>4918</v>
      </c>
      <c r="G1760" s="39" t="s">
        <v>4751</v>
      </c>
      <c r="H1760" s="1">
        <v>0</v>
      </c>
      <c r="I1760" s="1">
        <v>1</v>
      </c>
      <c r="J1760" s="39" t="s">
        <v>4768</v>
      </c>
      <c r="K1760" s="1">
        <v>1</v>
      </c>
      <c r="L1760" s="1">
        <v>0</v>
      </c>
      <c r="S1760" s="1" t="s">
        <v>4919</v>
      </c>
      <c r="T1760" s="1">
        <v>1</v>
      </c>
      <c r="U1760" s="19"/>
      <c r="V1760" s="19"/>
      <c r="W1760" s="218">
        <v>1</v>
      </c>
      <c r="X1760" s="218">
        <v>1</v>
      </c>
      <c r="Y1760" s="218">
        <v>1</v>
      </c>
    </row>
    <row r="1761" spans="1:25" x14ac:dyDescent="0.3">
      <c r="A1761" s="1" t="s">
        <v>4920</v>
      </c>
      <c r="B1761" s="5">
        <v>46229</v>
      </c>
      <c r="C1761" s="6">
        <v>0.47916666666666702</v>
      </c>
      <c r="D1761" s="1" t="s">
        <v>30</v>
      </c>
      <c r="E1761" s="1" t="s">
        <v>31</v>
      </c>
      <c r="F1761" s="1" t="s">
        <v>4921</v>
      </c>
      <c r="G1761" s="39" t="s">
        <v>4771</v>
      </c>
      <c r="H1761" s="1">
        <v>1</v>
      </c>
      <c r="I1761" s="1">
        <v>2</v>
      </c>
      <c r="J1761" s="39" t="s">
        <v>4768</v>
      </c>
      <c r="K1761" s="1">
        <v>2</v>
      </c>
      <c r="L1761" s="1">
        <v>1</v>
      </c>
      <c r="S1761" s="1" t="s">
        <v>4922</v>
      </c>
      <c r="T1761" s="1">
        <v>1</v>
      </c>
      <c r="U1761" s="19"/>
      <c r="V1761" s="19"/>
      <c r="W1761" s="218">
        <v>1</v>
      </c>
      <c r="X1761" s="218">
        <v>1</v>
      </c>
      <c r="Y1761" s="218">
        <v>1</v>
      </c>
    </row>
    <row r="1762" spans="1:25" x14ac:dyDescent="0.3">
      <c r="A1762" s="1" t="s">
        <v>4923</v>
      </c>
      <c r="B1762" s="5">
        <v>46222</v>
      </c>
      <c r="C1762" s="6">
        <v>0.47916666666666702</v>
      </c>
      <c r="D1762" s="1" t="s">
        <v>30</v>
      </c>
      <c r="E1762" s="1" t="s">
        <v>31</v>
      </c>
      <c r="F1762" s="1" t="s">
        <v>4924</v>
      </c>
      <c r="G1762" s="39" t="s">
        <v>4768</v>
      </c>
      <c r="H1762" s="1">
        <v>1</v>
      </c>
      <c r="I1762" s="1">
        <v>3</v>
      </c>
      <c r="J1762" s="39" t="s">
        <v>996</v>
      </c>
      <c r="K1762" s="1">
        <v>3</v>
      </c>
      <c r="L1762" s="1">
        <v>1</v>
      </c>
      <c r="S1762" s="1" t="s">
        <v>4925</v>
      </c>
      <c r="T1762" s="1">
        <v>1</v>
      </c>
      <c r="U1762" s="19"/>
      <c r="V1762" s="19"/>
      <c r="W1762" s="218">
        <v>1</v>
      </c>
      <c r="X1762" s="218">
        <v>1</v>
      </c>
      <c r="Y1762" s="218">
        <v>1</v>
      </c>
    </row>
    <row r="1763" spans="1:25" x14ac:dyDescent="0.3">
      <c r="A1763" s="1" t="s">
        <v>4926</v>
      </c>
      <c r="B1763" s="5">
        <v>46171</v>
      </c>
      <c r="C1763" s="6">
        <v>0.58333333333333404</v>
      </c>
      <c r="D1763" s="1" t="s">
        <v>30</v>
      </c>
      <c r="E1763" s="1" t="s">
        <v>31</v>
      </c>
      <c r="F1763" s="1" t="s">
        <v>4927</v>
      </c>
      <c r="G1763" s="39" t="s">
        <v>4743</v>
      </c>
      <c r="H1763" s="1">
        <v>2</v>
      </c>
      <c r="I1763" s="1">
        <v>2</v>
      </c>
      <c r="J1763" s="39" t="s">
        <v>4768</v>
      </c>
      <c r="K1763" s="1">
        <v>2</v>
      </c>
      <c r="L1763" s="1">
        <v>2</v>
      </c>
      <c r="S1763" s="1" t="s">
        <v>4928</v>
      </c>
      <c r="T1763" s="1">
        <v>1</v>
      </c>
      <c r="U1763" s="19"/>
      <c r="V1763" s="19"/>
      <c r="W1763" s="218">
        <v>1</v>
      </c>
      <c r="X1763" s="218">
        <v>1</v>
      </c>
      <c r="Y1763" s="218">
        <v>1</v>
      </c>
    </row>
    <row r="1764" spans="1:25" x14ac:dyDescent="0.3">
      <c r="A1764" s="1" t="s">
        <v>4929</v>
      </c>
      <c r="B1764" s="5">
        <v>46163</v>
      </c>
      <c r="C1764" s="6">
        <v>0.58333333333333404</v>
      </c>
      <c r="D1764" s="1" t="s">
        <v>30</v>
      </c>
      <c r="E1764" s="1" t="s">
        <v>31</v>
      </c>
      <c r="F1764" s="1" t="s">
        <v>4930</v>
      </c>
      <c r="G1764" s="39" t="s">
        <v>4768</v>
      </c>
      <c r="H1764" s="1">
        <v>1</v>
      </c>
      <c r="I1764" s="1">
        <v>1</v>
      </c>
      <c r="J1764" s="39" t="s">
        <v>4751</v>
      </c>
      <c r="K1764" s="1">
        <v>1</v>
      </c>
      <c r="L1764" s="1">
        <v>1</v>
      </c>
      <c r="S1764" s="1" t="s">
        <v>4931</v>
      </c>
      <c r="T1764" s="1">
        <v>1</v>
      </c>
      <c r="U1764" s="19"/>
      <c r="V1764" s="19"/>
      <c r="W1764" s="218">
        <v>1</v>
      </c>
      <c r="X1764" s="218">
        <v>1</v>
      </c>
      <c r="Y1764" s="218">
        <v>1</v>
      </c>
    </row>
    <row r="1765" spans="1:25" x14ac:dyDescent="0.3">
      <c r="A1765" s="1" t="s">
        <v>4932</v>
      </c>
      <c r="B1765" s="5">
        <v>46243</v>
      </c>
      <c r="C1765" s="6">
        <v>0.47916666666666702</v>
      </c>
      <c r="D1765" s="1" t="s">
        <v>30</v>
      </c>
      <c r="E1765" s="1" t="s">
        <v>31</v>
      </c>
      <c r="F1765" s="1" t="s">
        <v>4933</v>
      </c>
      <c r="G1765" s="39" t="s">
        <v>4754</v>
      </c>
      <c r="H1765" s="1">
        <v>3</v>
      </c>
      <c r="I1765" s="1">
        <v>2</v>
      </c>
      <c r="J1765" s="39" t="s">
        <v>4776</v>
      </c>
      <c r="K1765" s="1">
        <v>2</v>
      </c>
      <c r="L1765" s="1">
        <v>3</v>
      </c>
      <c r="S1765" s="1" t="s">
        <v>4934</v>
      </c>
      <c r="T1765" s="1">
        <v>1</v>
      </c>
      <c r="U1765" s="19"/>
      <c r="V1765" s="19"/>
      <c r="W1765" s="218">
        <v>1</v>
      </c>
      <c r="X1765" s="218">
        <v>1</v>
      </c>
      <c r="Y1765" s="218">
        <v>1</v>
      </c>
    </row>
    <row r="1766" spans="1:25" x14ac:dyDescent="0.3">
      <c r="A1766" s="1" t="s">
        <v>4935</v>
      </c>
      <c r="B1766" s="5">
        <v>46229</v>
      </c>
      <c r="C1766" s="6">
        <v>0.375</v>
      </c>
      <c r="D1766" s="1" t="s">
        <v>30</v>
      </c>
      <c r="E1766" s="1" t="s">
        <v>31</v>
      </c>
      <c r="F1766" s="1" t="s">
        <v>4936</v>
      </c>
      <c r="G1766" s="39" t="s">
        <v>996</v>
      </c>
      <c r="H1766" s="1">
        <v>4</v>
      </c>
      <c r="I1766" s="1">
        <v>1</v>
      </c>
      <c r="J1766" s="39" t="s">
        <v>4754</v>
      </c>
      <c r="K1766" s="1">
        <v>1</v>
      </c>
      <c r="L1766" s="1">
        <v>4</v>
      </c>
      <c r="S1766" s="1" t="s">
        <v>4937</v>
      </c>
      <c r="T1766" s="1">
        <v>1</v>
      </c>
      <c r="U1766" s="19"/>
      <c r="V1766" s="19"/>
      <c r="W1766" s="218">
        <v>1</v>
      </c>
      <c r="X1766" s="218">
        <v>1</v>
      </c>
      <c r="Y1766" s="218">
        <v>1</v>
      </c>
    </row>
    <row r="1767" spans="1:25" x14ac:dyDescent="0.3">
      <c r="A1767" s="1" t="s">
        <v>4938</v>
      </c>
      <c r="B1767" s="5">
        <v>46215</v>
      </c>
      <c r="C1767" s="6">
        <v>0.375</v>
      </c>
      <c r="D1767" s="1" t="s">
        <v>30</v>
      </c>
      <c r="E1767" s="1" t="s">
        <v>31</v>
      </c>
      <c r="F1767" s="1" t="s">
        <v>4939</v>
      </c>
      <c r="G1767" s="39" t="s">
        <v>4771</v>
      </c>
      <c r="H1767" s="1">
        <v>4</v>
      </c>
      <c r="I1767" s="1">
        <v>0</v>
      </c>
      <c r="J1767" s="39" t="s">
        <v>4754</v>
      </c>
      <c r="K1767" s="1">
        <v>0</v>
      </c>
      <c r="L1767" s="1">
        <v>4</v>
      </c>
      <c r="S1767" s="1" t="s">
        <v>4940</v>
      </c>
      <c r="T1767" s="1">
        <v>1</v>
      </c>
      <c r="U1767" s="19"/>
      <c r="V1767" s="19"/>
      <c r="W1767" s="218">
        <v>1</v>
      </c>
      <c r="X1767" s="218">
        <v>1</v>
      </c>
      <c r="Y1767" s="218">
        <v>1</v>
      </c>
    </row>
    <row r="1768" spans="1:25" x14ac:dyDescent="0.3">
      <c r="A1768" s="1" t="s">
        <v>4941</v>
      </c>
      <c r="B1768" s="5">
        <v>46173</v>
      </c>
      <c r="C1768" s="6">
        <v>0.375</v>
      </c>
      <c r="D1768" s="1" t="s">
        <v>30</v>
      </c>
      <c r="E1768" s="1" t="s">
        <v>31</v>
      </c>
      <c r="F1768" s="1" t="s">
        <v>4942</v>
      </c>
      <c r="G1768" s="39" t="s">
        <v>4762</v>
      </c>
      <c r="H1768" s="1">
        <v>4</v>
      </c>
      <c r="I1768" s="1">
        <v>5</v>
      </c>
      <c r="J1768" s="39" t="s">
        <v>4754</v>
      </c>
      <c r="K1768" s="1">
        <v>5</v>
      </c>
      <c r="L1768" s="1">
        <v>4</v>
      </c>
      <c r="S1768" s="1" t="s">
        <v>4943</v>
      </c>
      <c r="T1768" s="1">
        <v>1</v>
      </c>
      <c r="U1768" s="19"/>
      <c r="V1768" s="19"/>
      <c r="W1768" s="218">
        <v>1</v>
      </c>
      <c r="X1768" s="218">
        <v>1</v>
      </c>
      <c r="Y1768" s="218">
        <v>1</v>
      </c>
    </row>
    <row r="1769" spans="1:25" x14ac:dyDescent="0.3">
      <c r="A1769" s="1" t="s">
        <v>4944</v>
      </c>
      <c r="B1769" s="5">
        <v>46167</v>
      </c>
      <c r="C1769" s="6">
        <v>0.58333333333333404</v>
      </c>
      <c r="D1769" s="1" t="s">
        <v>30</v>
      </c>
      <c r="E1769" s="1" t="s">
        <v>31</v>
      </c>
      <c r="F1769" s="1" t="s">
        <v>4945</v>
      </c>
      <c r="G1769" s="39" t="s">
        <v>4754</v>
      </c>
      <c r="H1769" s="1">
        <v>1</v>
      </c>
      <c r="I1769" s="1">
        <v>1</v>
      </c>
      <c r="J1769" s="39" t="s">
        <v>4751</v>
      </c>
      <c r="K1769" s="1">
        <v>1</v>
      </c>
      <c r="L1769" s="1">
        <v>1</v>
      </c>
      <c r="S1769" s="1" t="s">
        <v>4946</v>
      </c>
      <c r="T1769" s="1">
        <v>1</v>
      </c>
      <c r="U1769" s="19"/>
      <c r="V1769" s="19"/>
      <c r="W1769" s="218">
        <v>1</v>
      </c>
      <c r="X1769" s="218">
        <v>1</v>
      </c>
      <c r="Y1769" s="218">
        <v>1</v>
      </c>
    </row>
    <row r="1770" spans="1:25" x14ac:dyDescent="0.3">
      <c r="A1770" s="1" t="s">
        <v>4947</v>
      </c>
      <c r="B1770" s="5">
        <v>46161</v>
      </c>
      <c r="C1770" s="6">
        <v>0.41666666666666702</v>
      </c>
      <c r="D1770" s="1" t="s">
        <v>30</v>
      </c>
      <c r="E1770" s="1" t="s">
        <v>31</v>
      </c>
      <c r="F1770" s="1" t="s">
        <v>4948</v>
      </c>
      <c r="G1770" s="39" t="s">
        <v>4743</v>
      </c>
      <c r="H1770" s="1">
        <v>2</v>
      </c>
      <c r="I1770" s="1">
        <v>3</v>
      </c>
      <c r="J1770" s="39" t="s">
        <v>4754</v>
      </c>
      <c r="K1770" s="1">
        <v>3</v>
      </c>
      <c r="L1770" s="1">
        <v>2</v>
      </c>
      <c r="S1770" s="1" t="s">
        <v>4949</v>
      </c>
      <c r="T1770" s="1">
        <v>1</v>
      </c>
      <c r="U1770" s="19"/>
      <c r="V1770" s="19"/>
      <c r="W1770" s="218">
        <v>1</v>
      </c>
      <c r="X1770" s="218">
        <v>1</v>
      </c>
      <c r="Y1770" s="218">
        <v>1</v>
      </c>
    </row>
    <row r="1771" spans="1:25" x14ac:dyDescent="0.3">
      <c r="A1771" s="1" t="s">
        <v>4950</v>
      </c>
      <c r="B1771" s="5">
        <v>46206</v>
      </c>
      <c r="C1771" s="6">
        <v>0.58333333333333404</v>
      </c>
      <c r="D1771" s="1" t="s">
        <v>30</v>
      </c>
      <c r="E1771" s="1" t="s">
        <v>31</v>
      </c>
      <c r="F1771" s="1" t="s">
        <v>4951</v>
      </c>
      <c r="G1771" s="39" t="s">
        <v>996</v>
      </c>
      <c r="H1771" s="1">
        <v>4</v>
      </c>
      <c r="I1771" s="1">
        <v>4</v>
      </c>
      <c r="J1771" s="39" t="s">
        <v>4751</v>
      </c>
      <c r="K1771" s="1">
        <v>4</v>
      </c>
      <c r="L1771" s="1">
        <v>4</v>
      </c>
      <c r="S1771" s="1" t="s">
        <v>4952</v>
      </c>
      <c r="T1771" s="1">
        <v>1</v>
      </c>
      <c r="U1771" s="19"/>
      <c r="V1771" s="19"/>
      <c r="W1771" s="218">
        <v>1</v>
      </c>
      <c r="X1771" s="218">
        <v>1</v>
      </c>
      <c r="Y1771" s="218">
        <v>1</v>
      </c>
    </row>
    <row r="1772" spans="1:25" x14ac:dyDescent="0.3">
      <c r="A1772" s="1" t="s">
        <v>4953</v>
      </c>
      <c r="B1772" s="5">
        <v>46153</v>
      </c>
      <c r="C1772" s="6">
        <v>0.58333333333333404</v>
      </c>
      <c r="D1772" s="1" t="s">
        <v>30</v>
      </c>
      <c r="E1772" s="1" t="s">
        <v>31</v>
      </c>
      <c r="F1772" s="1" t="s">
        <v>4954</v>
      </c>
      <c r="G1772" s="39" t="s">
        <v>996</v>
      </c>
      <c r="H1772" s="1">
        <v>2</v>
      </c>
      <c r="I1772" s="1">
        <v>0</v>
      </c>
      <c r="J1772" s="39" t="s">
        <v>4743</v>
      </c>
      <c r="K1772" s="1">
        <v>0</v>
      </c>
      <c r="L1772" s="1">
        <v>2</v>
      </c>
      <c r="S1772" s="1" t="s">
        <v>4955</v>
      </c>
      <c r="T1772" s="1">
        <v>1</v>
      </c>
      <c r="U1772" s="19"/>
      <c r="V1772" s="19"/>
      <c r="W1772" s="218">
        <v>1</v>
      </c>
      <c r="X1772" s="218">
        <v>1</v>
      </c>
      <c r="Y1772" s="218">
        <v>1</v>
      </c>
    </row>
    <row r="1773" spans="1:25" x14ac:dyDescent="0.3">
      <c r="A1773" s="1" t="s">
        <v>4956</v>
      </c>
      <c r="B1773" s="5">
        <v>46144</v>
      </c>
      <c r="C1773" s="6">
        <v>0.41666666666666702</v>
      </c>
      <c r="D1773" s="1" t="s">
        <v>30</v>
      </c>
      <c r="E1773" s="1" t="s">
        <v>31</v>
      </c>
      <c r="F1773" s="1" t="s">
        <v>4957</v>
      </c>
      <c r="G1773" s="39" t="s">
        <v>996</v>
      </c>
      <c r="H1773" s="1">
        <v>3</v>
      </c>
      <c r="I1773" s="1">
        <v>2</v>
      </c>
      <c r="J1773" s="39" t="s">
        <v>4776</v>
      </c>
      <c r="K1773" s="1">
        <v>2</v>
      </c>
      <c r="L1773" s="1">
        <v>3</v>
      </c>
      <c r="S1773" s="1" t="s">
        <v>4958</v>
      </c>
      <c r="T1773" s="1">
        <v>1</v>
      </c>
      <c r="U1773" s="19"/>
      <c r="V1773" s="19"/>
      <c r="W1773" s="218">
        <v>1</v>
      </c>
      <c r="X1773" s="218">
        <v>1</v>
      </c>
      <c r="Y1773" s="218">
        <v>1</v>
      </c>
    </row>
    <row r="1774" spans="1:25" x14ac:dyDescent="0.3">
      <c r="A1774" s="1" t="s">
        <v>4959</v>
      </c>
      <c r="B1774" s="5">
        <v>46228</v>
      </c>
      <c r="C1774" s="6">
        <v>0.52083333333333404</v>
      </c>
      <c r="D1774" s="1" t="s">
        <v>30</v>
      </c>
      <c r="E1774" s="1" t="s">
        <v>31</v>
      </c>
      <c r="F1774" s="1" t="s">
        <v>4960</v>
      </c>
      <c r="G1774" s="39" t="s">
        <v>4776</v>
      </c>
      <c r="H1774" s="1">
        <v>2</v>
      </c>
      <c r="I1774" s="1">
        <v>1</v>
      </c>
      <c r="J1774" s="39" t="s">
        <v>4751</v>
      </c>
      <c r="K1774" s="1">
        <v>1</v>
      </c>
      <c r="L1774" s="1">
        <v>2</v>
      </c>
      <c r="S1774" s="1" t="s">
        <v>4961</v>
      </c>
      <c r="T1774" s="1">
        <v>1</v>
      </c>
      <c r="U1774" s="19"/>
      <c r="V1774" s="19"/>
      <c r="W1774" s="218">
        <v>1</v>
      </c>
      <c r="X1774" s="218">
        <v>1</v>
      </c>
      <c r="Y1774" s="218">
        <v>1</v>
      </c>
    </row>
    <row r="1775" spans="1:25" x14ac:dyDescent="0.3">
      <c r="A1775" s="1" t="s">
        <v>4962</v>
      </c>
      <c r="B1775" s="5">
        <v>46223</v>
      </c>
      <c r="C1775" s="6">
        <v>0.58333333333333404</v>
      </c>
      <c r="D1775" s="1" t="s">
        <v>30</v>
      </c>
      <c r="E1775" s="1" t="s">
        <v>31</v>
      </c>
      <c r="F1775" s="1" t="s">
        <v>4963</v>
      </c>
      <c r="G1775" s="39" t="s">
        <v>4776</v>
      </c>
      <c r="H1775" s="1">
        <v>2</v>
      </c>
      <c r="I1775" s="1">
        <v>2</v>
      </c>
      <c r="J1775" s="39" t="s">
        <v>4771</v>
      </c>
      <c r="K1775" s="1">
        <v>2</v>
      </c>
      <c r="L1775" s="1">
        <v>2</v>
      </c>
      <c r="S1775" s="1" t="s">
        <v>4964</v>
      </c>
      <c r="T1775" s="1">
        <v>1</v>
      </c>
      <c r="U1775" s="19"/>
      <c r="V1775" s="19"/>
      <c r="W1775" s="218">
        <v>1</v>
      </c>
      <c r="X1775" s="218">
        <v>1</v>
      </c>
      <c r="Y1775" s="218">
        <v>1</v>
      </c>
    </row>
    <row r="1776" spans="1:25" x14ac:dyDescent="0.3">
      <c r="A1776" s="1" t="s">
        <v>4965</v>
      </c>
      <c r="B1776" s="5">
        <v>46208</v>
      </c>
      <c r="C1776" s="6">
        <v>0.375</v>
      </c>
      <c r="D1776" s="1" t="s">
        <v>30</v>
      </c>
      <c r="E1776" s="1" t="s">
        <v>31</v>
      </c>
      <c r="F1776" s="1" t="s">
        <v>4966</v>
      </c>
      <c r="G1776" s="39" t="s">
        <v>4776</v>
      </c>
      <c r="H1776" s="1">
        <v>3</v>
      </c>
      <c r="I1776" s="1">
        <v>0</v>
      </c>
      <c r="J1776" s="39" t="s">
        <v>4743</v>
      </c>
      <c r="K1776" s="1">
        <v>0</v>
      </c>
      <c r="L1776" s="1">
        <v>3</v>
      </c>
      <c r="S1776" s="1" t="s">
        <v>4967</v>
      </c>
      <c r="T1776" s="1">
        <v>1</v>
      </c>
      <c r="U1776" s="19"/>
      <c r="V1776" s="19"/>
      <c r="W1776" s="218">
        <v>1</v>
      </c>
      <c r="X1776" s="218">
        <v>1</v>
      </c>
      <c r="Y1776" s="218">
        <v>1</v>
      </c>
    </row>
    <row r="1777" spans="1:25" x14ac:dyDescent="0.3">
      <c r="A1777" s="1" t="s">
        <v>4968</v>
      </c>
      <c r="B1777" s="5">
        <v>46139</v>
      </c>
      <c r="C1777" s="6">
        <v>0.58333333333333404</v>
      </c>
      <c r="D1777" s="1" t="s">
        <v>30</v>
      </c>
      <c r="E1777" s="1" t="s">
        <v>31</v>
      </c>
      <c r="F1777" s="1" t="s">
        <v>4969</v>
      </c>
      <c r="G1777" s="39" t="s">
        <v>4776</v>
      </c>
      <c r="H1777" s="1">
        <v>2</v>
      </c>
      <c r="I1777" s="1">
        <v>1</v>
      </c>
      <c r="J1777" s="39" t="s">
        <v>4768</v>
      </c>
      <c r="K1777" s="1">
        <v>1</v>
      </c>
      <c r="L1777" s="1">
        <v>2</v>
      </c>
      <c r="S1777" s="1" t="s">
        <v>4970</v>
      </c>
      <c r="T1777" s="1">
        <v>1</v>
      </c>
      <c r="U1777" s="19"/>
      <c r="V1777" s="19"/>
      <c r="W1777" s="218">
        <v>1</v>
      </c>
      <c r="X1777" s="218">
        <v>1</v>
      </c>
      <c r="Y1777" s="218">
        <v>1</v>
      </c>
    </row>
    <row r="1778" spans="1:25" x14ac:dyDescent="0.3">
      <c r="A1778" s="1" t="s">
        <v>4971</v>
      </c>
      <c r="B1778" s="5">
        <v>46166</v>
      </c>
      <c r="C1778" s="6">
        <v>0.47916666666666702</v>
      </c>
      <c r="D1778" s="1" t="s">
        <v>30</v>
      </c>
      <c r="E1778" s="1" t="s">
        <v>31</v>
      </c>
      <c r="F1778" s="1" t="s">
        <v>4972</v>
      </c>
      <c r="G1778" s="39" t="s">
        <v>4771</v>
      </c>
      <c r="H1778" s="1">
        <v>2</v>
      </c>
      <c r="I1778" s="1">
        <v>3</v>
      </c>
      <c r="J1778" s="39" t="s">
        <v>4762</v>
      </c>
      <c r="K1778" s="1">
        <v>3</v>
      </c>
      <c r="L1778" s="1">
        <v>2</v>
      </c>
      <c r="S1778" s="1" t="s">
        <v>4973</v>
      </c>
      <c r="T1778" s="1">
        <v>1</v>
      </c>
      <c r="U1778" s="19"/>
      <c r="V1778" s="19"/>
      <c r="W1778" s="218">
        <v>1</v>
      </c>
      <c r="X1778" s="218">
        <v>1</v>
      </c>
      <c r="Y1778" s="218">
        <v>1</v>
      </c>
    </row>
    <row r="1779" spans="1:25" x14ac:dyDescent="0.3">
      <c r="A1779" s="1" t="s">
        <v>4974</v>
      </c>
      <c r="B1779" s="5">
        <v>46220</v>
      </c>
      <c r="C1779" s="6">
        <v>0.58333333333333404</v>
      </c>
      <c r="D1779" s="1" t="s">
        <v>30</v>
      </c>
      <c r="E1779" s="1" t="s">
        <v>31</v>
      </c>
      <c r="F1779" s="1" t="s">
        <v>4975</v>
      </c>
      <c r="G1779" s="39" t="s">
        <v>4751</v>
      </c>
      <c r="H1779" s="1">
        <v>0</v>
      </c>
      <c r="I1779" s="1">
        <v>0</v>
      </c>
      <c r="J1779" s="39" t="s">
        <v>4762</v>
      </c>
      <c r="K1779" s="1">
        <v>0</v>
      </c>
      <c r="L1779" s="1">
        <v>0</v>
      </c>
      <c r="S1779" s="1" t="s">
        <v>4976</v>
      </c>
      <c r="T1779" s="1">
        <v>1</v>
      </c>
      <c r="U1779" s="19"/>
      <c r="V1779" s="19"/>
      <c r="W1779" s="218">
        <v>1</v>
      </c>
      <c r="X1779" s="218">
        <v>1</v>
      </c>
      <c r="Y1779" s="218">
        <v>1</v>
      </c>
    </row>
    <row r="1780" spans="1:25" x14ac:dyDescent="0.3">
      <c r="A1780" s="1" t="s">
        <v>4977</v>
      </c>
      <c r="B1780" s="5">
        <v>46145</v>
      </c>
      <c r="C1780" s="6">
        <v>0.375</v>
      </c>
      <c r="D1780" s="1" t="s">
        <v>30</v>
      </c>
      <c r="E1780" s="1" t="s">
        <v>31</v>
      </c>
      <c r="F1780" s="1" t="s">
        <v>4978</v>
      </c>
      <c r="G1780" s="39" t="s">
        <v>4771</v>
      </c>
      <c r="H1780" s="1">
        <v>2</v>
      </c>
      <c r="I1780" s="1">
        <v>3</v>
      </c>
      <c r="J1780" s="39" t="s">
        <v>4751</v>
      </c>
      <c r="K1780" s="1">
        <v>3</v>
      </c>
      <c r="L1780" s="1">
        <v>2</v>
      </c>
      <c r="S1780" s="1" t="s">
        <v>4979</v>
      </c>
      <c r="T1780" s="1">
        <v>1</v>
      </c>
      <c r="U1780" s="19"/>
      <c r="V1780" s="19"/>
      <c r="W1780" s="218">
        <v>1</v>
      </c>
      <c r="X1780" s="218">
        <v>1</v>
      </c>
      <c r="Y1780" s="218">
        <v>1</v>
      </c>
    </row>
    <row r="1781" spans="1:25" x14ac:dyDescent="0.3">
      <c r="A1781" s="1" t="s">
        <v>4980</v>
      </c>
      <c r="B1781" s="5">
        <v>46135</v>
      </c>
      <c r="C1781" s="6">
        <v>0.58333333333333404</v>
      </c>
      <c r="D1781" s="1" t="s">
        <v>30</v>
      </c>
      <c r="E1781" s="1" t="s">
        <v>31</v>
      </c>
      <c r="F1781" s="1" t="s">
        <v>4981</v>
      </c>
      <c r="G1781" s="39" t="s">
        <v>4748</v>
      </c>
      <c r="H1781" s="1">
        <v>0</v>
      </c>
      <c r="I1781" s="1">
        <v>0</v>
      </c>
      <c r="J1781" s="39" t="s">
        <v>4751</v>
      </c>
      <c r="K1781" s="1">
        <v>0</v>
      </c>
      <c r="L1781" s="1">
        <v>0</v>
      </c>
      <c r="S1781" s="1" t="s">
        <v>4982</v>
      </c>
      <c r="T1781" s="1">
        <v>1</v>
      </c>
      <c r="U1781" s="19"/>
      <c r="V1781" s="19"/>
      <c r="W1781" s="218">
        <v>0</v>
      </c>
      <c r="X1781" s="218">
        <v>1</v>
      </c>
      <c r="Y1781" s="218">
        <v>1</v>
      </c>
    </row>
    <row r="1782" spans="1:25" x14ac:dyDescent="0.3">
      <c r="A1782" s="1" t="s">
        <v>4983</v>
      </c>
      <c r="B1782" s="5">
        <v>46227</v>
      </c>
      <c r="C1782" s="6">
        <v>0.58333333333333404</v>
      </c>
      <c r="D1782" s="1" t="s">
        <v>30</v>
      </c>
      <c r="E1782" s="1" t="s">
        <v>31</v>
      </c>
      <c r="F1782" s="1" t="s">
        <v>4984</v>
      </c>
      <c r="G1782" s="39" t="s">
        <v>4762</v>
      </c>
      <c r="H1782" s="1">
        <v>2</v>
      </c>
      <c r="I1782" s="1">
        <v>0</v>
      </c>
      <c r="J1782" s="39" t="s">
        <v>4743</v>
      </c>
      <c r="K1782" s="1">
        <v>0</v>
      </c>
      <c r="L1782" s="1">
        <v>2</v>
      </c>
      <c r="S1782" s="1" t="s">
        <v>4985</v>
      </c>
      <c r="T1782" s="1">
        <v>1</v>
      </c>
      <c r="U1782" s="19"/>
      <c r="V1782" s="19"/>
      <c r="W1782" s="218">
        <v>1</v>
      </c>
      <c r="X1782" s="218">
        <v>1</v>
      </c>
      <c r="Y1782" s="218">
        <v>1</v>
      </c>
    </row>
    <row r="1783" spans="1:25" x14ac:dyDescent="0.3">
      <c r="A1783" s="1" t="s">
        <v>4986</v>
      </c>
      <c r="B1783" s="5">
        <v>46244</v>
      </c>
      <c r="C1783" s="6">
        <v>0.58333333333333404</v>
      </c>
      <c r="D1783" s="1" t="s">
        <v>30</v>
      </c>
      <c r="E1783" s="1" t="s">
        <v>31</v>
      </c>
      <c r="F1783" s="1" t="s">
        <v>4987</v>
      </c>
      <c r="G1783" s="39" t="s">
        <v>4762</v>
      </c>
      <c r="H1783" s="1">
        <v>1</v>
      </c>
      <c r="I1783" s="1">
        <v>0</v>
      </c>
      <c r="J1783" s="39" t="s">
        <v>4765</v>
      </c>
      <c r="K1783" s="1">
        <v>0</v>
      </c>
      <c r="L1783" s="1">
        <v>1</v>
      </c>
      <c r="S1783" s="1" t="s">
        <v>4988</v>
      </c>
      <c r="T1783" s="1">
        <v>1</v>
      </c>
      <c r="U1783" s="19"/>
      <c r="V1783" s="19"/>
      <c r="W1783" s="218">
        <v>1</v>
      </c>
      <c r="X1783" s="218">
        <v>1</v>
      </c>
      <c r="Y1783" s="218">
        <v>1</v>
      </c>
    </row>
    <row r="1784" spans="1:25" x14ac:dyDescent="0.3">
      <c r="A1784" s="1" t="s">
        <v>4989</v>
      </c>
      <c r="B1784" s="5">
        <v>46242</v>
      </c>
      <c r="C1784" s="6">
        <v>0.33333333333333398</v>
      </c>
      <c r="D1784" s="1" t="s">
        <v>30</v>
      </c>
      <c r="E1784" s="1" t="s">
        <v>32</v>
      </c>
      <c r="F1784" s="1" t="s">
        <v>4990</v>
      </c>
      <c r="G1784" s="39" t="s">
        <v>4991</v>
      </c>
      <c r="H1784" s="1">
        <v>1</v>
      </c>
      <c r="I1784" s="1">
        <v>1</v>
      </c>
      <c r="J1784" s="39" t="s">
        <v>4992</v>
      </c>
      <c r="K1784" s="1">
        <v>1</v>
      </c>
      <c r="L1784" s="1">
        <v>1</v>
      </c>
      <c r="S1784" s="1" t="s">
        <v>4993</v>
      </c>
      <c r="T1784" s="1">
        <v>1</v>
      </c>
      <c r="U1784" s="19"/>
      <c r="V1784" s="19"/>
      <c r="W1784" s="218">
        <v>1</v>
      </c>
      <c r="X1784" s="218">
        <v>1</v>
      </c>
      <c r="Y1784" s="218">
        <v>1</v>
      </c>
    </row>
    <row r="1785" spans="1:25" x14ac:dyDescent="0.3">
      <c r="A1785" s="1" t="s">
        <v>4994</v>
      </c>
      <c r="B1785" s="5">
        <v>46235</v>
      </c>
      <c r="C1785" s="6">
        <v>0.33333333333333398</v>
      </c>
      <c r="D1785" s="1" t="s">
        <v>30</v>
      </c>
      <c r="E1785" s="1" t="s">
        <v>32</v>
      </c>
      <c r="F1785" s="1" t="s">
        <v>4995</v>
      </c>
      <c r="G1785" s="39" t="s">
        <v>67</v>
      </c>
      <c r="H1785" s="1">
        <v>2</v>
      </c>
      <c r="I1785" s="1">
        <v>1</v>
      </c>
      <c r="J1785" s="39" t="s">
        <v>4991</v>
      </c>
      <c r="K1785" s="1">
        <v>1</v>
      </c>
      <c r="L1785" s="1">
        <v>2</v>
      </c>
      <c r="S1785" s="1" t="s">
        <v>4996</v>
      </c>
      <c r="T1785" s="1">
        <v>1</v>
      </c>
      <c r="U1785" s="19"/>
      <c r="V1785" s="19"/>
      <c r="W1785" s="218">
        <v>1</v>
      </c>
      <c r="X1785" s="218">
        <v>1</v>
      </c>
      <c r="Y1785" s="218">
        <v>1</v>
      </c>
    </row>
    <row r="1786" spans="1:25" x14ac:dyDescent="0.3">
      <c r="A1786" s="1" t="s">
        <v>4997</v>
      </c>
      <c r="B1786" s="5">
        <v>46229</v>
      </c>
      <c r="C1786" s="6">
        <v>0.33333333333333398</v>
      </c>
      <c r="D1786" s="1" t="s">
        <v>30</v>
      </c>
      <c r="E1786" s="1" t="s">
        <v>32</v>
      </c>
      <c r="F1786" s="1" t="s">
        <v>4998</v>
      </c>
      <c r="G1786" s="39" t="s">
        <v>949</v>
      </c>
      <c r="H1786" s="1">
        <v>1</v>
      </c>
      <c r="I1786" s="1">
        <v>2</v>
      </c>
      <c r="J1786" s="39" t="s">
        <v>4991</v>
      </c>
      <c r="K1786" s="1">
        <v>2</v>
      </c>
      <c r="L1786" s="1">
        <v>1</v>
      </c>
      <c r="S1786" s="1" t="s">
        <v>4999</v>
      </c>
      <c r="T1786" s="1">
        <v>1</v>
      </c>
      <c r="U1786" s="19"/>
      <c r="V1786" s="19"/>
      <c r="W1786" s="218">
        <v>1</v>
      </c>
      <c r="X1786" s="218">
        <v>1</v>
      </c>
      <c r="Y1786" s="218">
        <v>1</v>
      </c>
    </row>
    <row r="1787" spans="1:25" x14ac:dyDescent="0.3">
      <c r="A1787" s="1" t="s">
        <v>5000</v>
      </c>
      <c r="B1787" s="5">
        <v>46224</v>
      </c>
      <c r="C1787" s="6">
        <v>0.58333333333333404</v>
      </c>
      <c r="D1787" s="1" t="s">
        <v>30</v>
      </c>
      <c r="E1787" s="1" t="s">
        <v>32</v>
      </c>
      <c r="F1787" s="1" t="s">
        <v>5001</v>
      </c>
      <c r="G1787" s="39" t="s">
        <v>4991</v>
      </c>
      <c r="H1787" s="1">
        <v>2</v>
      </c>
      <c r="I1787" s="1">
        <v>3</v>
      </c>
      <c r="J1787" s="39" t="s">
        <v>5002</v>
      </c>
      <c r="K1787" s="1">
        <v>3</v>
      </c>
      <c r="L1787" s="1">
        <v>2</v>
      </c>
      <c r="S1787" s="1" t="s">
        <v>5003</v>
      </c>
      <c r="T1787" s="1">
        <v>1</v>
      </c>
      <c r="U1787" s="19"/>
      <c r="V1787" s="19"/>
      <c r="W1787" s="218">
        <v>1</v>
      </c>
      <c r="X1787" s="218">
        <v>1</v>
      </c>
      <c r="Y1787" s="218">
        <v>1</v>
      </c>
    </row>
    <row r="1788" spans="1:25" x14ac:dyDescent="0.3">
      <c r="A1788" s="1" t="s">
        <v>5004</v>
      </c>
      <c r="B1788" s="5">
        <v>46199</v>
      </c>
      <c r="C1788" s="6">
        <v>0.58333333333333404</v>
      </c>
      <c r="D1788" s="1" t="s">
        <v>30</v>
      </c>
      <c r="E1788" s="1" t="s">
        <v>32</v>
      </c>
      <c r="F1788" s="1" t="s">
        <v>5005</v>
      </c>
      <c r="G1788" s="39" t="s">
        <v>5006</v>
      </c>
      <c r="H1788" s="1">
        <v>2</v>
      </c>
      <c r="I1788" s="1">
        <v>4</v>
      </c>
      <c r="J1788" s="39" t="s">
        <v>4991</v>
      </c>
      <c r="K1788" s="1">
        <v>4</v>
      </c>
      <c r="L1788" s="1">
        <v>2</v>
      </c>
      <c r="S1788" s="1" t="s">
        <v>5007</v>
      </c>
      <c r="T1788" s="1">
        <v>1</v>
      </c>
      <c r="U1788" s="19"/>
      <c r="V1788" s="19"/>
      <c r="W1788" s="218">
        <v>1</v>
      </c>
      <c r="X1788" s="218">
        <v>1</v>
      </c>
      <c r="Y1788" s="218">
        <v>1</v>
      </c>
    </row>
    <row r="1789" spans="1:25" x14ac:dyDescent="0.3">
      <c r="A1789" s="1" t="s">
        <v>5008</v>
      </c>
      <c r="B1789" s="5">
        <v>46194</v>
      </c>
      <c r="C1789" s="6">
        <v>0.41666666666666702</v>
      </c>
      <c r="D1789" s="1" t="s">
        <v>30</v>
      </c>
      <c r="E1789" s="1" t="s">
        <v>32</v>
      </c>
      <c r="F1789" s="1" t="s">
        <v>5009</v>
      </c>
      <c r="G1789" s="39" t="s">
        <v>5010</v>
      </c>
      <c r="H1789" s="1">
        <v>1</v>
      </c>
      <c r="I1789" s="1">
        <v>3</v>
      </c>
      <c r="J1789" s="39" t="s">
        <v>4991</v>
      </c>
      <c r="K1789" s="1">
        <v>3</v>
      </c>
      <c r="L1789" s="1">
        <v>1</v>
      </c>
      <c r="S1789" s="1" t="s">
        <v>5011</v>
      </c>
      <c r="T1789" s="1">
        <v>1</v>
      </c>
      <c r="U1789" s="19"/>
      <c r="V1789" s="19"/>
      <c r="W1789" s="218">
        <v>1</v>
      </c>
      <c r="X1789" s="218">
        <v>1</v>
      </c>
      <c r="Y1789" s="218">
        <v>1</v>
      </c>
    </row>
    <row r="1790" spans="1:25" x14ac:dyDescent="0.3">
      <c r="A1790" s="1" t="s">
        <v>5012</v>
      </c>
      <c r="B1790" s="5">
        <v>46187</v>
      </c>
      <c r="C1790" s="6">
        <v>0.41666666666666702</v>
      </c>
      <c r="D1790" s="1" t="s">
        <v>30</v>
      </c>
      <c r="E1790" s="1" t="s">
        <v>32</v>
      </c>
      <c r="F1790" s="1" t="s">
        <v>5013</v>
      </c>
      <c r="G1790" s="39" t="s">
        <v>4991</v>
      </c>
      <c r="H1790" s="1">
        <v>1</v>
      </c>
      <c r="I1790" s="1">
        <v>1</v>
      </c>
      <c r="J1790" s="39" t="s">
        <v>5014</v>
      </c>
      <c r="K1790" s="1">
        <v>1</v>
      </c>
      <c r="L1790" s="1">
        <v>1</v>
      </c>
      <c r="S1790" s="1" t="s">
        <v>5015</v>
      </c>
      <c r="T1790" s="1">
        <v>1</v>
      </c>
      <c r="U1790" s="19"/>
      <c r="V1790" s="19"/>
      <c r="W1790" s="218">
        <v>1</v>
      </c>
      <c r="X1790" s="218">
        <v>1</v>
      </c>
      <c r="Y1790" s="218">
        <v>1</v>
      </c>
    </row>
    <row r="1791" spans="1:25" x14ac:dyDescent="0.3">
      <c r="A1791" s="1" t="s">
        <v>5016</v>
      </c>
      <c r="B1791" s="5">
        <v>46182</v>
      </c>
      <c r="C1791" s="6">
        <v>0.58333333333333404</v>
      </c>
      <c r="D1791" s="1" t="s">
        <v>30</v>
      </c>
      <c r="E1791" s="1" t="s">
        <v>32</v>
      </c>
      <c r="F1791" s="1" t="s">
        <v>5017</v>
      </c>
      <c r="G1791" s="39" t="s">
        <v>5018</v>
      </c>
      <c r="H1791" s="1">
        <v>4</v>
      </c>
      <c r="I1791" s="1">
        <v>2</v>
      </c>
      <c r="J1791" s="39" t="s">
        <v>4991</v>
      </c>
      <c r="K1791" s="1">
        <v>2</v>
      </c>
      <c r="L1791" s="1">
        <v>4</v>
      </c>
      <c r="S1791" s="1" t="s">
        <v>5019</v>
      </c>
      <c r="T1791" s="1">
        <v>1</v>
      </c>
      <c r="U1791" s="19"/>
      <c r="V1791" s="19"/>
      <c r="W1791" s="218">
        <v>1</v>
      </c>
      <c r="X1791" s="218">
        <v>1</v>
      </c>
      <c r="Y1791" s="218">
        <v>1</v>
      </c>
    </row>
    <row r="1792" spans="1:25" x14ac:dyDescent="0.3">
      <c r="A1792" s="1" t="s">
        <v>5020</v>
      </c>
      <c r="B1792" s="5">
        <v>46172</v>
      </c>
      <c r="C1792" s="6">
        <v>0.41666666666666702</v>
      </c>
      <c r="D1792" s="1" t="s">
        <v>30</v>
      </c>
      <c r="E1792" s="1" t="s">
        <v>32</v>
      </c>
      <c r="F1792" s="1" t="s">
        <v>5021</v>
      </c>
      <c r="G1792" s="39" t="s">
        <v>4991</v>
      </c>
      <c r="H1792" s="1">
        <v>2</v>
      </c>
      <c r="I1792" s="1">
        <v>1</v>
      </c>
      <c r="J1792" s="39" t="s">
        <v>5022</v>
      </c>
      <c r="K1792" s="1">
        <v>1</v>
      </c>
      <c r="L1792" s="1">
        <v>2</v>
      </c>
      <c r="S1792" s="1" t="s">
        <v>5023</v>
      </c>
      <c r="T1792" s="1">
        <v>1</v>
      </c>
      <c r="U1792" s="19"/>
      <c r="V1792" s="19"/>
      <c r="W1792" s="218">
        <v>1</v>
      </c>
      <c r="X1792" s="218">
        <v>1</v>
      </c>
      <c r="Y1792" s="218">
        <v>1</v>
      </c>
    </row>
    <row r="1793" spans="1:25" x14ac:dyDescent="0.3">
      <c r="A1793" s="1" t="s">
        <v>5024</v>
      </c>
      <c r="B1793" s="5">
        <v>46165</v>
      </c>
      <c r="C1793" s="6">
        <v>0.41666666666666702</v>
      </c>
      <c r="D1793" s="1" t="s">
        <v>30</v>
      </c>
      <c r="E1793" s="1" t="s">
        <v>32</v>
      </c>
      <c r="F1793" s="1" t="s">
        <v>5025</v>
      </c>
      <c r="G1793" s="39" t="s">
        <v>4991</v>
      </c>
      <c r="H1793" s="1">
        <v>3</v>
      </c>
      <c r="I1793" s="1">
        <v>1</v>
      </c>
      <c r="J1793" s="39" t="s">
        <v>5026</v>
      </c>
      <c r="K1793" s="1">
        <v>1</v>
      </c>
      <c r="L1793" s="1">
        <v>3</v>
      </c>
      <c r="S1793" s="1" t="s">
        <v>5027</v>
      </c>
      <c r="T1793" s="1">
        <v>1</v>
      </c>
      <c r="U1793" s="19"/>
      <c r="V1793" s="19"/>
      <c r="W1793" s="218">
        <v>1</v>
      </c>
      <c r="X1793" s="218">
        <v>1</v>
      </c>
      <c r="Y1793" s="218">
        <v>1</v>
      </c>
    </row>
    <row r="1794" spans="1:25" x14ac:dyDescent="0.3">
      <c r="A1794" s="1" t="s">
        <v>5028</v>
      </c>
      <c r="B1794" s="5">
        <v>46159</v>
      </c>
      <c r="C1794" s="6">
        <v>0.41666666666666702</v>
      </c>
      <c r="D1794" s="1" t="s">
        <v>30</v>
      </c>
      <c r="E1794" s="1" t="s">
        <v>32</v>
      </c>
      <c r="F1794" s="1" t="s">
        <v>5029</v>
      </c>
      <c r="G1794" s="39" t="s">
        <v>4992</v>
      </c>
      <c r="H1794" s="1">
        <v>1</v>
      </c>
      <c r="I1794" s="1">
        <v>4</v>
      </c>
      <c r="J1794" s="39" t="s">
        <v>4991</v>
      </c>
      <c r="K1794" s="1">
        <v>4</v>
      </c>
      <c r="L1794" s="1">
        <v>1</v>
      </c>
      <c r="S1794" s="1" t="s">
        <v>5030</v>
      </c>
      <c r="T1794" s="1">
        <v>1</v>
      </c>
      <c r="U1794" s="19"/>
      <c r="V1794" s="19"/>
      <c r="W1794" s="218">
        <v>1</v>
      </c>
      <c r="X1794" s="218">
        <v>1</v>
      </c>
      <c r="Y1794" s="218">
        <v>1</v>
      </c>
    </row>
    <row r="1795" spans="1:25" x14ac:dyDescent="0.3">
      <c r="A1795" s="1" t="s">
        <v>5031</v>
      </c>
      <c r="B1795" s="5">
        <v>46155</v>
      </c>
      <c r="C1795" s="6">
        <v>0.58333333333333404</v>
      </c>
      <c r="D1795" s="1" t="s">
        <v>30</v>
      </c>
      <c r="E1795" s="1" t="s">
        <v>32</v>
      </c>
      <c r="F1795" s="1" t="s">
        <v>5032</v>
      </c>
      <c r="G1795" s="39" t="s">
        <v>4991</v>
      </c>
      <c r="H1795" s="1">
        <v>0</v>
      </c>
      <c r="I1795" s="1">
        <v>3</v>
      </c>
      <c r="J1795" s="39" t="s">
        <v>67</v>
      </c>
      <c r="K1795" s="1">
        <v>3</v>
      </c>
      <c r="L1795" s="1">
        <v>0</v>
      </c>
      <c r="S1795" s="1" t="s">
        <v>5033</v>
      </c>
      <c r="T1795" s="1">
        <v>1</v>
      </c>
      <c r="U1795" s="19"/>
      <c r="V1795" s="19"/>
      <c r="W1795" s="218">
        <v>1</v>
      </c>
      <c r="X1795" s="218">
        <v>1</v>
      </c>
      <c r="Y1795" s="218">
        <v>1</v>
      </c>
    </row>
    <row r="1796" spans="1:25" x14ac:dyDescent="0.3">
      <c r="A1796" s="1" t="s">
        <v>5034</v>
      </c>
      <c r="B1796" s="5">
        <v>46235</v>
      </c>
      <c r="C1796" s="6">
        <v>0.41666666666666702</v>
      </c>
      <c r="D1796" s="1" t="s">
        <v>30</v>
      </c>
      <c r="E1796" s="1" t="s">
        <v>32</v>
      </c>
      <c r="F1796" s="1" t="s">
        <v>5035</v>
      </c>
      <c r="G1796" s="39" t="s">
        <v>5018</v>
      </c>
      <c r="H1796" s="1">
        <v>5</v>
      </c>
      <c r="I1796" s="1">
        <v>0</v>
      </c>
      <c r="J1796" s="39" t="s">
        <v>949</v>
      </c>
      <c r="K1796" s="1">
        <v>0</v>
      </c>
      <c r="L1796" s="1">
        <v>5</v>
      </c>
      <c r="S1796" s="1" t="s">
        <v>5036</v>
      </c>
      <c r="T1796" s="1">
        <v>1</v>
      </c>
      <c r="U1796" s="19"/>
      <c r="V1796" s="19"/>
      <c r="W1796" s="218">
        <v>1</v>
      </c>
      <c r="X1796" s="218">
        <v>1</v>
      </c>
      <c r="Y1796" s="218">
        <v>1</v>
      </c>
    </row>
    <row r="1797" spans="1:25" x14ac:dyDescent="0.3">
      <c r="A1797" s="1" t="s">
        <v>5037</v>
      </c>
      <c r="B1797" s="5">
        <v>46223</v>
      </c>
      <c r="C1797" s="6">
        <v>0.58333333333333404</v>
      </c>
      <c r="D1797" s="1" t="s">
        <v>30</v>
      </c>
      <c r="E1797" s="1" t="s">
        <v>32</v>
      </c>
      <c r="F1797" s="1" t="s">
        <v>5038</v>
      </c>
      <c r="G1797" s="39" t="s">
        <v>5039</v>
      </c>
      <c r="H1797" s="1">
        <v>3</v>
      </c>
      <c r="I1797" s="1">
        <v>1</v>
      </c>
      <c r="J1797" s="39" t="s">
        <v>949</v>
      </c>
      <c r="K1797" s="1">
        <v>1</v>
      </c>
      <c r="L1797" s="1">
        <v>3</v>
      </c>
      <c r="S1797" s="1" t="s">
        <v>5040</v>
      </c>
      <c r="T1797" s="1">
        <v>1</v>
      </c>
      <c r="U1797" s="19"/>
      <c r="V1797" s="19"/>
      <c r="W1797" s="218">
        <v>1</v>
      </c>
      <c r="X1797" s="218">
        <v>1</v>
      </c>
      <c r="Y1797" s="218">
        <v>1</v>
      </c>
    </row>
    <row r="1798" spans="1:25" x14ac:dyDescent="0.3">
      <c r="A1798" s="1" t="s">
        <v>5041</v>
      </c>
      <c r="B1798" s="5">
        <v>46200</v>
      </c>
      <c r="C1798" s="6">
        <v>0.5</v>
      </c>
      <c r="D1798" s="1" t="s">
        <v>30</v>
      </c>
      <c r="E1798" s="1" t="s">
        <v>32</v>
      </c>
      <c r="F1798" s="1" t="s">
        <v>5042</v>
      </c>
      <c r="G1798" s="39" t="s">
        <v>949</v>
      </c>
      <c r="H1798" s="1">
        <v>0</v>
      </c>
      <c r="I1798" s="1">
        <v>2</v>
      </c>
      <c r="J1798" s="39" t="s">
        <v>950</v>
      </c>
      <c r="K1798" s="1">
        <v>2</v>
      </c>
      <c r="L1798" s="1">
        <v>0</v>
      </c>
      <c r="S1798" s="1" t="s">
        <v>5043</v>
      </c>
      <c r="T1798" s="1">
        <v>1</v>
      </c>
      <c r="U1798" s="19"/>
      <c r="V1798" s="19"/>
      <c r="W1798" s="218">
        <v>1</v>
      </c>
      <c r="X1798" s="218">
        <v>1</v>
      </c>
      <c r="Y1798" s="218">
        <v>1</v>
      </c>
    </row>
    <row r="1799" spans="1:25" x14ac:dyDescent="0.3">
      <c r="A1799" s="1" t="s">
        <v>5044</v>
      </c>
      <c r="B1799" s="5">
        <v>46194</v>
      </c>
      <c r="C1799" s="6">
        <v>0.41666666666666702</v>
      </c>
      <c r="D1799" s="1" t="s">
        <v>30</v>
      </c>
      <c r="E1799" s="1" t="s">
        <v>32</v>
      </c>
      <c r="F1799" s="1" t="s">
        <v>5045</v>
      </c>
      <c r="G1799" s="39" t="s">
        <v>5002</v>
      </c>
      <c r="H1799" s="1">
        <v>5</v>
      </c>
      <c r="I1799" s="1">
        <v>2</v>
      </c>
      <c r="J1799" s="39" t="s">
        <v>949</v>
      </c>
      <c r="K1799" s="1">
        <v>2</v>
      </c>
      <c r="L1799" s="1">
        <v>5</v>
      </c>
      <c r="S1799" s="1" t="s">
        <v>5046</v>
      </c>
      <c r="T1799" s="1">
        <v>1</v>
      </c>
      <c r="U1799" s="19"/>
      <c r="V1799" s="19"/>
      <c r="W1799" s="218">
        <v>1</v>
      </c>
      <c r="X1799" s="218">
        <v>1</v>
      </c>
      <c r="Y1799" s="218">
        <v>1</v>
      </c>
    </row>
    <row r="1800" spans="1:25" x14ac:dyDescent="0.3">
      <c r="A1800" s="1" t="s">
        <v>5047</v>
      </c>
      <c r="B1800" s="5">
        <v>46188</v>
      </c>
      <c r="C1800" s="6">
        <v>0.58333333333333404</v>
      </c>
      <c r="D1800" s="1" t="s">
        <v>30</v>
      </c>
      <c r="E1800" s="1" t="s">
        <v>32</v>
      </c>
      <c r="F1800" s="1" t="s">
        <v>5048</v>
      </c>
      <c r="G1800" s="39" t="s">
        <v>949</v>
      </c>
      <c r="H1800" s="1">
        <v>0</v>
      </c>
      <c r="I1800" s="1">
        <v>4</v>
      </c>
      <c r="J1800" s="39" t="s">
        <v>5010</v>
      </c>
      <c r="K1800" s="1">
        <v>4</v>
      </c>
      <c r="L1800" s="1">
        <v>0</v>
      </c>
      <c r="S1800" s="1" t="s">
        <v>5049</v>
      </c>
      <c r="T1800" s="1">
        <v>1</v>
      </c>
      <c r="U1800" s="19"/>
      <c r="V1800" s="19"/>
      <c r="W1800" s="218">
        <v>1</v>
      </c>
      <c r="X1800" s="218">
        <v>1</v>
      </c>
      <c r="Y1800" s="218">
        <v>1</v>
      </c>
    </row>
    <row r="1801" spans="1:25" x14ac:dyDescent="0.3">
      <c r="A1801" s="1" t="s">
        <v>5050</v>
      </c>
      <c r="B1801" s="5">
        <v>46183</v>
      </c>
      <c r="C1801" s="6">
        <v>0.58333333333333404</v>
      </c>
      <c r="D1801" s="1" t="s">
        <v>30</v>
      </c>
      <c r="E1801" s="1" t="s">
        <v>32</v>
      </c>
      <c r="F1801" s="1" t="s">
        <v>5051</v>
      </c>
      <c r="G1801" s="39" t="s">
        <v>5014</v>
      </c>
      <c r="H1801" s="1">
        <v>0</v>
      </c>
      <c r="I1801" s="1">
        <v>1</v>
      </c>
      <c r="J1801" s="39" t="s">
        <v>949</v>
      </c>
      <c r="K1801" s="1">
        <v>1</v>
      </c>
      <c r="L1801" s="1">
        <v>0</v>
      </c>
      <c r="S1801" s="1" t="s">
        <v>5052</v>
      </c>
      <c r="T1801" s="1">
        <v>1</v>
      </c>
      <c r="U1801" s="19"/>
      <c r="V1801" s="19"/>
      <c r="W1801" s="218">
        <v>1</v>
      </c>
      <c r="X1801" s="218">
        <v>1</v>
      </c>
      <c r="Y1801" s="218">
        <v>1</v>
      </c>
    </row>
    <row r="1802" spans="1:25" x14ac:dyDescent="0.3">
      <c r="A1802" s="1" t="s">
        <v>5053</v>
      </c>
      <c r="B1802" s="5">
        <v>46172</v>
      </c>
      <c r="C1802" s="6">
        <v>0.41666666666666702</v>
      </c>
      <c r="D1802" s="1" t="s">
        <v>30</v>
      </c>
      <c r="E1802" s="1" t="s">
        <v>32</v>
      </c>
      <c r="F1802" s="1" t="s">
        <v>5054</v>
      </c>
      <c r="G1802" s="39" t="s">
        <v>949</v>
      </c>
      <c r="H1802" s="1">
        <v>0</v>
      </c>
      <c r="I1802" s="1">
        <v>3</v>
      </c>
      <c r="J1802" s="39" t="s">
        <v>5018</v>
      </c>
      <c r="K1802" s="1">
        <v>3</v>
      </c>
      <c r="L1802" s="1">
        <v>0</v>
      </c>
      <c r="S1802" s="1" t="s">
        <v>5055</v>
      </c>
      <c r="T1802" s="1">
        <v>1</v>
      </c>
      <c r="U1802" s="19"/>
      <c r="V1802" s="19"/>
      <c r="W1802" s="218">
        <v>1</v>
      </c>
      <c r="X1802" s="218">
        <v>1</v>
      </c>
      <c r="Y1802" s="218">
        <v>1</v>
      </c>
    </row>
    <row r="1803" spans="1:25" x14ac:dyDescent="0.3">
      <c r="A1803" s="1" t="s">
        <v>5056</v>
      </c>
      <c r="B1803" s="5">
        <v>46166</v>
      </c>
      <c r="C1803" s="6">
        <v>0.41666666666666702</v>
      </c>
      <c r="D1803" s="1" t="s">
        <v>30</v>
      </c>
      <c r="E1803" s="1" t="s">
        <v>32</v>
      </c>
      <c r="F1803" s="1" t="s">
        <v>5057</v>
      </c>
      <c r="G1803" s="39" t="s">
        <v>67</v>
      </c>
      <c r="H1803" s="1">
        <v>1</v>
      </c>
      <c r="I1803" s="1">
        <v>0</v>
      </c>
      <c r="J1803" s="39" t="s">
        <v>949</v>
      </c>
      <c r="K1803" s="1">
        <v>0</v>
      </c>
      <c r="L1803" s="1">
        <v>1</v>
      </c>
      <c r="S1803" s="1" t="s">
        <v>5058</v>
      </c>
      <c r="T1803" s="1">
        <v>1</v>
      </c>
      <c r="U1803" s="19"/>
      <c r="V1803" s="19"/>
      <c r="W1803" s="218">
        <v>1</v>
      </c>
      <c r="X1803" s="218">
        <v>1</v>
      </c>
      <c r="Y1803" s="218">
        <v>1</v>
      </c>
    </row>
    <row r="1804" spans="1:25" x14ac:dyDescent="0.3">
      <c r="A1804" s="1" t="s">
        <v>5059</v>
      </c>
      <c r="B1804" s="5">
        <v>46160</v>
      </c>
      <c r="C1804" s="6">
        <v>0.58333333333333404</v>
      </c>
      <c r="D1804" s="1" t="s">
        <v>30</v>
      </c>
      <c r="E1804" s="1" t="s">
        <v>32</v>
      </c>
      <c r="F1804" s="1" t="s">
        <v>5060</v>
      </c>
      <c r="G1804" s="39" t="s">
        <v>949</v>
      </c>
      <c r="H1804" s="1">
        <v>2</v>
      </c>
      <c r="I1804" s="1">
        <v>1</v>
      </c>
      <c r="J1804" s="39" t="s">
        <v>5061</v>
      </c>
      <c r="K1804" s="1">
        <v>1</v>
      </c>
      <c r="L1804" s="1">
        <v>2</v>
      </c>
      <c r="S1804" s="1" t="s">
        <v>5062</v>
      </c>
      <c r="T1804" s="1">
        <v>1</v>
      </c>
      <c r="U1804" s="19"/>
      <c r="V1804" s="19"/>
      <c r="W1804" s="218">
        <v>1</v>
      </c>
      <c r="X1804" s="218">
        <v>1</v>
      </c>
      <c r="Y1804" s="218">
        <v>1</v>
      </c>
    </row>
    <row r="1805" spans="1:25" x14ac:dyDescent="0.3">
      <c r="A1805" s="1" t="s">
        <v>5063</v>
      </c>
      <c r="B1805" s="5">
        <v>46156</v>
      </c>
      <c r="C1805" s="6">
        <v>0.54166666666666696</v>
      </c>
      <c r="D1805" s="1" t="s">
        <v>30</v>
      </c>
      <c r="E1805" s="1" t="s">
        <v>32</v>
      </c>
      <c r="F1805" s="1" t="s">
        <v>5064</v>
      </c>
      <c r="G1805" s="39" t="s">
        <v>5065</v>
      </c>
      <c r="H1805" s="1">
        <v>1</v>
      </c>
      <c r="I1805" s="1">
        <v>0</v>
      </c>
      <c r="J1805" s="39" t="s">
        <v>949</v>
      </c>
      <c r="K1805" s="1">
        <v>0</v>
      </c>
      <c r="L1805" s="1">
        <v>1</v>
      </c>
      <c r="S1805" s="1" t="s">
        <v>5066</v>
      </c>
      <c r="T1805" s="1">
        <v>1</v>
      </c>
      <c r="U1805" s="19"/>
      <c r="V1805" s="19"/>
      <c r="W1805" s="218">
        <v>1</v>
      </c>
      <c r="X1805" s="218">
        <v>1</v>
      </c>
      <c r="Y1805" s="218">
        <v>1</v>
      </c>
    </row>
    <row r="1806" spans="1:25" x14ac:dyDescent="0.3">
      <c r="A1806" s="1" t="s">
        <v>5067</v>
      </c>
      <c r="B1806" s="5">
        <v>46235</v>
      </c>
      <c r="C1806" s="6">
        <v>0.5</v>
      </c>
      <c r="D1806" s="1" t="s">
        <v>30</v>
      </c>
      <c r="E1806" s="1" t="s">
        <v>32</v>
      </c>
      <c r="F1806" s="1" t="s">
        <v>5068</v>
      </c>
      <c r="G1806" s="39" t="s">
        <v>5069</v>
      </c>
      <c r="H1806" s="1">
        <v>2</v>
      </c>
      <c r="I1806" s="1">
        <v>0</v>
      </c>
      <c r="J1806" s="39" t="s">
        <v>5002</v>
      </c>
      <c r="K1806" s="1">
        <v>0</v>
      </c>
      <c r="L1806" s="1">
        <v>2</v>
      </c>
      <c r="S1806" s="1" t="s">
        <v>5070</v>
      </c>
      <c r="T1806" s="1">
        <v>1</v>
      </c>
      <c r="U1806" s="19"/>
      <c r="V1806" s="19"/>
      <c r="W1806" s="218">
        <v>1</v>
      </c>
      <c r="X1806" s="218">
        <v>1</v>
      </c>
      <c r="Y1806" s="218">
        <v>1</v>
      </c>
    </row>
    <row r="1807" spans="1:25" x14ac:dyDescent="0.3">
      <c r="A1807" s="1" t="s">
        <v>5071</v>
      </c>
      <c r="B1807" s="5">
        <v>46231</v>
      </c>
      <c r="C1807" s="6">
        <v>0.58333333333333404</v>
      </c>
      <c r="D1807" s="1" t="s">
        <v>30</v>
      </c>
      <c r="E1807" s="1" t="s">
        <v>32</v>
      </c>
      <c r="F1807" s="1" t="s">
        <v>5072</v>
      </c>
      <c r="G1807" s="39" t="s">
        <v>5002</v>
      </c>
      <c r="H1807" s="1">
        <v>1</v>
      </c>
      <c r="I1807" s="1">
        <v>1</v>
      </c>
      <c r="J1807" s="39" t="s">
        <v>4992</v>
      </c>
      <c r="K1807" s="1">
        <v>1</v>
      </c>
      <c r="L1807" s="1">
        <v>1</v>
      </c>
      <c r="S1807" s="1" t="s">
        <v>5073</v>
      </c>
      <c r="T1807" s="1">
        <v>1</v>
      </c>
      <c r="U1807" s="19"/>
      <c r="V1807" s="19"/>
      <c r="W1807" s="218">
        <v>1</v>
      </c>
      <c r="X1807" s="218">
        <v>1</v>
      </c>
      <c r="Y1807" s="218">
        <v>1</v>
      </c>
    </row>
    <row r="1808" spans="1:25" x14ac:dyDescent="0.3">
      <c r="A1808" s="1" t="s">
        <v>5074</v>
      </c>
      <c r="B1808" s="5">
        <v>46201</v>
      </c>
      <c r="C1808" s="6">
        <v>0.41666666666666702</v>
      </c>
      <c r="D1808" s="1" t="s">
        <v>30</v>
      </c>
      <c r="E1808" s="1" t="s">
        <v>32</v>
      </c>
      <c r="F1808" s="1" t="s">
        <v>5075</v>
      </c>
      <c r="G1808" s="39" t="s">
        <v>5018</v>
      </c>
      <c r="H1808" s="1">
        <v>4</v>
      </c>
      <c r="I1808" s="1">
        <v>2</v>
      </c>
      <c r="J1808" s="39" t="s">
        <v>5002</v>
      </c>
      <c r="K1808" s="1">
        <v>2</v>
      </c>
      <c r="L1808" s="1">
        <v>4</v>
      </c>
      <c r="S1808" s="1" t="s">
        <v>5076</v>
      </c>
      <c r="T1808" s="1">
        <v>1</v>
      </c>
      <c r="U1808" s="19"/>
      <c r="V1808" s="19"/>
      <c r="W1808" s="218">
        <v>1</v>
      </c>
      <c r="X1808" s="218">
        <v>1</v>
      </c>
      <c r="Y1808" s="218">
        <v>1</v>
      </c>
    </row>
    <row r="1809" spans="1:25" x14ac:dyDescent="0.3">
      <c r="A1809" s="1" t="s">
        <v>5077</v>
      </c>
      <c r="B1809" s="5">
        <v>46189</v>
      </c>
      <c r="C1809" s="6">
        <v>0.58333333333333404</v>
      </c>
      <c r="D1809" s="1" t="s">
        <v>30</v>
      </c>
      <c r="E1809" s="1" t="s">
        <v>32</v>
      </c>
      <c r="F1809" s="1" t="s">
        <v>5078</v>
      </c>
      <c r="G1809" s="39" t="s">
        <v>5026</v>
      </c>
      <c r="H1809" s="1">
        <v>0</v>
      </c>
      <c r="I1809" s="1">
        <v>1</v>
      </c>
      <c r="J1809" s="39" t="s">
        <v>5002</v>
      </c>
      <c r="K1809" s="1">
        <v>1</v>
      </c>
      <c r="L1809" s="1">
        <v>0</v>
      </c>
      <c r="S1809" s="1" t="s">
        <v>5079</v>
      </c>
      <c r="T1809" s="1">
        <v>1</v>
      </c>
      <c r="U1809" s="19"/>
      <c r="V1809" s="19"/>
      <c r="W1809" s="218">
        <v>1</v>
      </c>
      <c r="X1809" s="218">
        <v>1</v>
      </c>
      <c r="Y1809" s="218">
        <v>1</v>
      </c>
    </row>
    <row r="1810" spans="1:25" x14ac:dyDescent="0.3">
      <c r="A1810" s="1" t="s">
        <v>5080</v>
      </c>
      <c r="B1810" s="5">
        <v>46184</v>
      </c>
      <c r="C1810" s="6">
        <v>0.58333333333333404</v>
      </c>
      <c r="D1810" s="1" t="s">
        <v>30</v>
      </c>
      <c r="E1810" s="1" t="s">
        <v>32</v>
      </c>
      <c r="F1810" s="1" t="s">
        <v>5081</v>
      </c>
      <c r="G1810" s="39" t="s">
        <v>5002</v>
      </c>
      <c r="H1810" s="1">
        <v>0</v>
      </c>
      <c r="I1810" s="1">
        <v>3</v>
      </c>
      <c r="J1810" s="39" t="s">
        <v>5061</v>
      </c>
      <c r="K1810" s="1">
        <v>3</v>
      </c>
      <c r="L1810" s="1">
        <v>0</v>
      </c>
      <c r="S1810" s="1" t="s">
        <v>5082</v>
      </c>
      <c r="T1810" s="1">
        <v>1</v>
      </c>
      <c r="U1810" s="19"/>
      <c r="V1810" s="19"/>
      <c r="W1810" s="218">
        <v>1</v>
      </c>
      <c r="X1810" s="218">
        <v>1</v>
      </c>
      <c r="Y1810" s="218">
        <v>1</v>
      </c>
    </row>
    <row r="1811" spans="1:25" x14ac:dyDescent="0.3">
      <c r="A1811" s="1" t="s">
        <v>5083</v>
      </c>
      <c r="B1811" s="5">
        <v>46173</v>
      </c>
      <c r="C1811" s="6">
        <v>0.58333333333333404</v>
      </c>
      <c r="D1811" s="1" t="s">
        <v>30</v>
      </c>
      <c r="E1811" s="1" t="s">
        <v>32</v>
      </c>
      <c r="F1811" s="1" t="s">
        <v>5084</v>
      </c>
      <c r="G1811" s="39" t="s">
        <v>5002</v>
      </c>
      <c r="H1811" s="1">
        <v>0</v>
      </c>
      <c r="I1811" s="1">
        <v>2</v>
      </c>
      <c r="J1811" s="39" t="s">
        <v>5069</v>
      </c>
      <c r="K1811" s="1">
        <v>2</v>
      </c>
      <c r="L1811" s="1">
        <v>0</v>
      </c>
      <c r="S1811" s="1" t="s">
        <v>5085</v>
      </c>
      <c r="T1811" s="1">
        <v>1</v>
      </c>
      <c r="U1811" s="19"/>
      <c r="V1811" s="19"/>
      <c r="W1811" s="218">
        <v>1</v>
      </c>
      <c r="X1811" s="218">
        <v>1</v>
      </c>
      <c r="Y1811" s="218">
        <v>1</v>
      </c>
    </row>
    <row r="1812" spans="1:25" x14ac:dyDescent="0.3">
      <c r="A1812" s="1" t="s">
        <v>5086</v>
      </c>
      <c r="B1812" s="5">
        <v>46168</v>
      </c>
      <c r="C1812" s="6">
        <v>0.58333333333333404</v>
      </c>
      <c r="D1812" s="1" t="s">
        <v>30</v>
      </c>
      <c r="E1812" s="1" t="s">
        <v>32</v>
      </c>
      <c r="F1812" s="1" t="s">
        <v>5087</v>
      </c>
      <c r="G1812" s="39" t="s">
        <v>5014</v>
      </c>
      <c r="H1812" s="1">
        <v>1</v>
      </c>
      <c r="I1812" s="1">
        <v>2</v>
      </c>
      <c r="J1812" s="39" t="s">
        <v>5002</v>
      </c>
      <c r="K1812" s="1">
        <v>2</v>
      </c>
      <c r="L1812" s="1">
        <v>1</v>
      </c>
      <c r="S1812" s="1" t="s">
        <v>5088</v>
      </c>
      <c r="T1812" s="1">
        <v>1</v>
      </c>
      <c r="U1812" s="19"/>
      <c r="V1812" s="19"/>
      <c r="W1812" s="218">
        <v>1</v>
      </c>
      <c r="X1812" s="218">
        <v>1</v>
      </c>
      <c r="Y1812" s="218">
        <v>1</v>
      </c>
    </row>
    <row r="1813" spans="1:25" x14ac:dyDescent="0.3">
      <c r="A1813" s="1" t="s">
        <v>5089</v>
      </c>
      <c r="B1813" s="5">
        <v>46161</v>
      </c>
      <c r="C1813" s="6">
        <v>0.58333333333333404</v>
      </c>
      <c r="D1813" s="1" t="s">
        <v>30</v>
      </c>
      <c r="E1813" s="1" t="s">
        <v>32</v>
      </c>
      <c r="F1813" s="1" t="s">
        <v>5090</v>
      </c>
      <c r="G1813" s="39" t="s">
        <v>5002</v>
      </c>
      <c r="H1813" s="1">
        <v>1</v>
      </c>
      <c r="I1813" s="1">
        <v>3</v>
      </c>
      <c r="J1813" s="39" t="s">
        <v>67</v>
      </c>
      <c r="K1813" s="1">
        <v>3</v>
      </c>
      <c r="L1813" s="1">
        <v>1</v>
      </c>
      <c r="S1813" s="1" t="s">
        <v>5091</v>
      </c>
      <c r="T1813" s="1">
        <v>1</v>
      </c>
      <c r="U1813" s="19"/>
      <c r="V1813" s="19"/>
      <c r="W1813" s="218">
        <v>1</v>
      </c>
      <c r="X1813" s="218">
        <v>1</v>
      </c>
      <c r="Y1813" s="218">
        <v>1</v>
      </c>
    </row>
    <row r="1814" spans="1:25" x14ac:dyDescent="0.3">
      <c r="A1814" s="1" t="s">
        <v>5092</v>
      </c>
      <c r="B1814" s="5">
        <v>46155</v>
      </c>
      <c r="C1814" s="6">
        <v>0.58333333333333404</v>
      </c>
      <c r="D1814" s="1" t="s">
        <v>30</v>
      </c>
      <c r="E1814" s="1" t="s">
        <v>32</v>
      </c>
      <c r="F1814" s="1" t="s">
        <v>5093</v>
      </c>
      <c r="G1814" s="39" t="s">
        <v>5002</v>
      </c>
      <c r="H1814" s="1">
        <v>2</v>
      </c>
      <c r="I1814" s="1">
        <v>2</v>
      </c>
      <c r="J1814" s="39" t="s">
        <v>5022</v>
      </c>
      <c r="K1814" s="1">
        <v>2</v>
      </c>
      <c r="L1814" s="1">
        <v>2</v>
      </c>
      <c r="S1814" s="1" t="s">
        <v>5094</v>
      </c>
      <c r="T1814" s="1">
        <v>1</v>
      </c>
      <c r="U1814" s="19"/>
      <c r="V1814" s="19"/>
      <c r="W1814" s="218">
        <v>1</v>
      </c>
      <c r="X1814" s="218">
        <v>1</v>
      </c>
      <c r="Y1814" s="218">
        <v>1</v>
      </c>
    </row>
    <row r="1815" spans="1:25" x14ac:dyDescent="0.3">
      <c r="A1815" s="1" t="s">
        <v>5095</v>
      </c>
      <c r="B1815" s="5">
        <v>46242</v>
      </c>
      <c r="C1815" s="6">
        <v>0.33333333333333398</v>
      </c>
      <c r="D1815" s="1" t="s">
        <v>30</v>
      </c>
      <c r="E1815" s="1" t="s">
        <v>32</v>
      </c>
      <c r="F1815" s="1" t="s">
        <v>5096</v>
      </c>
      <c r="G1815" s="39" t="s">
        <v>5069</v>
      </c>
      <c r="H1815" s="1">
        <v>3</v>
      </c>
      <c r="I1815" s="1">
        <v>0</v>
      </c>
      <c r="J1815" s="39" t="s">
        <v>5006</v>
      </c>
      <c r="K1815" s="1">
        <v>0</v>
      </c>
      <c r="L1815" s="1">
        <v>3</v>
      </c>
      <c r="S1815" s="1" t="s">
        <v>5097</v>
      </c>
      <c r="T1815" s="1">
        <v>1</v>
      </c>
      <c r="U1815" s="19"/>
      <c r="V1815" s="19"/>
      <c r="W1815" s="218">
        <v>1</v>
      </c>
      <c r="X1815" s="218">
        <v>1</v>
      </c>
      <c r="Y1815" s="218">
        <v>1</v>
      </c>
    </row>
    <row r="1816" spans="1:25" x14ac:dyDescent="0.3">
      <c r="A1816" s="1" t="s">
        <v>5098</v>
      </c>
      <c r="B1816" s="5">
        <v>46231</v>
      </c>
      <c r="C1816" s="6">
        <v>0.58333333333333404</v>
      </c>
      <c r="D1816" s="1" t="s">
        <v>30</v>
      </c>
      <c r="E1816" s="1" t="s">
        <v>32</v>
      </c>
      <c r="F1816" s="1" t="s">
        <v>5099</v>
      </c>
      <c r="G1816" s="39" t="s">
        <v>5061</v>
      </c>
      <c r="H1816" s="1">
        <v>0</v>
      </c>
      <c r="I1816" s="1">
        <v>1</v>
      </c>
      <c r="J1816" s="39" t="s">
        <v>5069</v>
      </c>
      <c r="K1816" s="1">
        <v>1</v>
      </c>
      <c r="L1816" s="1">
        <v>0</v>
      </c>
      <c r="S1816" s="1" t="s">
        <v>5100</v>
      </c>
      <c r="T1816" s="1">
        <v>1</v>
      </c>
      <c r="U1816" s="19"/>
      <c r="V1816" s="19"/>
      <c r="W1816" s="218">
        <v>1</v>
      </c>
      <c r="X1816" s="218">
        <v>1</v>
      </c>
      <c r="Y1816" s="218">
        <v>1</v>
      </c>
    </row>
    <row r="1817" spans="1:25" x14ac:dyDescent="0.3">
      <c r="A1817" s="1" t="s">
        <v>5101</v>
      </c>
      <c r="B1817" s="5">
        <v>46222</v>
      </c>
      <c r="C1817" s="6">
        <v>0.41666666666666702</v>
      </c>
      <c r="D1817" s="1" t="s">
        <v>30</v>
      </c>
      <c r="E1817" s="1" t="s">
        <v>32</v>
      </c>
      <c r="F1817" s="1" t="s">
        <v>5102</v>
      </c>
      <c r="G1817" s="39" t="s">
        <v>5069</v>
      </c>
      <c r="H1817" s="1">
        <v>3</v>
      </c>
      <c r="I1817" s="1">
        <v>0</v>
      </c>
      <c r="J1817" s="39" t="s">
        <v>5018</v>
      </c>
      <c r="K1817" s="1">
        <v>0</v>
      </c>
      <c r="L1817" s="1">
        <v>3</v>
      </c>
      <c r="S1817" s="1" t="s">
        <v>5103</v>
      </c>
      <c r="T1817" s="1">
        <v>1</v>
      </c>
      <c r="U1817" s="19"/>
      <c r="V1817" s="19"/>
      <c r="W1817" s="218">
        <v>1</v>
      </c>
      <c r="X1817" s="218">
        <v>1</v>
      </c>
      <c r="Y1817" s="218">
        <v>1</v>
      </c>
    </row>
    <row r="1818" spans="1:25" x14ac:dyDescent="0.3">
      <c r="A1818" s="1" t="s">
        <v>5104</v>
      </c>
      <c r="B1818" s="5">
        <v>46201</v>
      </c>
      <c r="C1818" s="6">
        <v>0.41666666666666702</v>
      </c>
      <c r="D1818" s="1" t="s">
        <v>30</v>
      </c>
      <c r="E1818" s="1" t="s">
        <v>32</v>
      </c>
      <c r="F1818" s="1" t="s">
        <v>5105</v>
      </c>
      <c r="G1818" s="39" t="s">
        <v>5069</v>
      </c>
      <c r="H1818" s="1">
        <v>0</v>
      </c>
      <c r="I1818" s="1">
        <v>1</v>
      </c>
      <c r="J1818" s="39" t="s">
        <v>5039</v>
      </c>
      <c r="K1818" s="1">
        <v>1</v>
      </c>
      <c r="L1818" s="1">
        <v>0</v>
      </c>
      <c r="S1818" s="1" t="s">
        <v>5106</v>
      </c>
      <c r="T1818" s="1">
        <v>1</v>
      </c>
      <c r="U1818" s="19"/>
      <c r="V1818" s="19"/>
      <c r="W1818" s="218">
        <v>1</v>
      </c>
      <c r="X1818" s="218">
        <v>1</v>
      </c>
      <c r="Y1818" s="218">
        <v>1</v>
      </c>
    </row>
    <row r="1819" spans="1:25" x14ac:dyDescent="0.3">
      <c r="A1819" s="1" t="s">
        <v>5107</v>
      </c>
      <c r="B1819" s="5">
        <v>46194</v>
      </c>
      <c r="C1819" s="6">
        <v>0.41666666666666702</v>
      </c>
      <c r="D1819" s="1" t="s">
        <v>30</v>
      </c>
      <c r="E1819" s="1" t="s">
        <v>32</v>
      </c>
      <c r="F1819" s="1" t="s">
        <v>5108</v>
      </c>
      <c r="G1819" s="39" t="s">
        <v>950</v>
      </c>
      <c r="H1819" s="1">
        <v>0</v>
      </c>
      <c r="I1819" s="1">
        <v>2</v>
      </c>
      <c r="J1819" s="39" t="s">
        <v>5069</v>
      </c>
      <c r="K1819" s="1">
        <v>2</v>
      </c>
      <c r="L1819" s="1">
        <v>0</v>
      </c>
      <c r="S1819" s="1" t="s">
        <v>5109</v>
      </c>
      <c r="T1819" s="1">
        <v>1</v>
      </c>
      <c r="U1819" s="19"/>
      <c r="V1819" s="19"/>
      <c r="W1819" s="218">
        <v>1</v>
      </c>
      <c r="X1819" s="218">
        <v>1</v>
      </c>
      <c r="Y1819" s="218">
        <v>1</v>
      </c>
    </row>
    <row r="1820" spans="1:25" x14ac:dyDescent="0.3">
      <c r="A1820" s="1" t="s">
        <v>5110</v>
      </c>
      <c r="B1820" s="5">
        <v>46188</v>
      </c>
      <c r="C1820" s="6">
        <v>0.58333333333333404</v>
      </c>
      <c r="D1820" s="1" t="s">
        <v>30</v>
      </c>
      <c r="E1820" s="1" t="s">
        <v>32</v>
      </c>
      <c r="F1820" s="1" t="s">
        <v>5111</v>
      </c>
      <c r="G1820" s="39" t="s">
        <v>5069</v>
      </c>
      <c r="H1820" s="1">
        <v>2</v>
      </c>
      <c r="I1820" s="1">
        <v>0</v>
      </c>
      <c r="J1820" s="39" t="s">
        <v>67</v>
      </c>
      <c r="K1820" s="1">
        <v>0</v>
      </c>
      <c r="L1820" s="1">
        <v>2</v>
      </c>
      <c r="S1820" s="1" t="s">
        <v>5112</v>
      </c>
      <c r="T1820" s="1">
        <v>1</v>
      </c>
      <c r="U1820" s="19"/>
      <c r="V1820" s="19"/>
      <c r="W1820" s="218">
        <v>1</v>
      </c>
      <c r="X1820" s="218">
        <v>1</v>
      </c>
      <c r="Y1820" s="218">
        <v>1</v>
      </c>
    </row>
    <row r="1821" spans="1:25" x14ac:dyDescent="0.3">
      <c r="A1821" s="1" t="s">
        <v>5113</v>
      </c>
      <c r="B1821" s="5">
        <v>46182</v>
      </c>
      <c r="C1821" s="6">
        <v>0.58333333333333404</v>
      </c>
      <c r="D1821" s="1" t="s">
        <v>30</v>
      </c>
      <c r="E1821" s="1" t="s">
        <v>32</v>
      </c>
      <c r="F1821" s="1" t="s">
        <v>5114</v>
      </c>
      <c r="G1821" s="39" t="s">
        <v>5022</v>
      </c>
      <c r="H1821" s="1">
        <v>1</v>
      </c>
      <c r="I1821" s="1">
        <v>2</v>
      </c>
      <c r="J1821" s="39" t="s">
        <v>5069</v>
      </c>
      <c r="K1821" s="1">
        <v>2</v>
      </c>
      <c r="L1821" s="1">
        <v>1</v>
      </c>
      <c r="S1821" s="1" t="s">
        <v>5115</v>
      </c>
      <c r="T1821" s="1">
        <v>1</v>
      </c>
      <c r="U1821" s="19"/>
      <c r="V1821" s="19"/>
      <c r="W1821" s="218">
        <v>1</v>
      </c>
      <c r="X1821" s="218">
        <v>1</v>
      </c>
      <c r="Y1821" s="218">
        <v>1</v>
      </c>
    </row>
    <row r="1822" spans="1:25" x14ac:dyDescent="0.3">
      <c r="A1822" s="1" t="s">
        <v>5116</v>
      </c>
      <c r="B1822" s="5">
        <v>46167</v>
      </c>
      <c r="C1822" s="6">
        <v>0.58333333333333404</v>
      </c>
      <c r="D1822" s="1" t="s">
        <v>30</v>
      </c>
      <c r="E1822" s="1" t="s">
        <v>32</v>
      </c>
      <c r="F1822" s="1" t="s">
        <v>5117</v>
      </c>
      <c r="G1822" s="39" t="s">
        <v>5069</v>
      </c>
      <c r="H1822" s="1">
        <v>2</v>
      </c>
      <c r="I1822" s="1">
        <v>0</v>
      </c>
      <c r="J1822" s="39" t="s">
        <v>5010</v>
      </c>
      <c r="K1822" s="1">
        <v>0</v>
      </c>
      <c r="L1822" s="1">
        <v>2</v>
      </c>
      <c r="S1822" s="1" t="s">
        <v>5118</v>
      </c>
      <c r="T1822" s="1">
        <v>1</v>
      </c>
      <c r="U1822" s="19"/>
      <c r="V1822" s="19"/>
      <c r="W1822" s="218">
        <v>1</v>
      </c>
      <c r="X1822" s="218">
        <v>1</v>
      </c>
      <c r="Y1822" s="218">
        <v>1</v>
      </c>
    </row>
    <row r="1823" spans="1:25" x14ac:dyDescent="0.3">
      <c r="A1823" s="1" t="s">
        <v>5119</v>
      </c>
      <c r="B1823" s="5">
        <v>46158</v>
      </c>
      <c r="C1823" s="6">
        <v>0.41666666666666702</v>
      </c>
      <c r="D1823" s="1" t="s">
        <v>30</v>
      </c>
      <c r="E1823" s="1" t="s">
        <v>32</v>
      </c>
      <c r="F1823" s="1" t="s">
        <v>5120</v>
      </c>
      <c r="G1823" s="39" t="s">
        <v>5006</v>
      </c>
      <c r="H1823" s="1">
        <v>0</v>
      </c>
      <c r="I1823" s="1">
        <v>0</v>
      </c>
      <c r="J1823" s="39" t="s">
        <v>5069</v>
      </c>
      <c r="K1823" s="1">
        <v>0</v>
      </c>
      <c r="L1823" s="1">
        <v>0</v>
      </c>
      <c r="S1823" s="1" t="s">
        <v>5121</v>
      </c>
      <c r="T1823" s="1">
        <v>1</v>
      </c>
      <c r="U1823" s="19"/>
      <c r="V1823" s="19"/>
      <c r="W1823" s="218">
        <v>1</v>
      </c>
      <c r="X1823" s="218">
        <v>1</v>
      </c>
      <c r="Y1823" s="218">
        <v>1</v>
      </c>
    </row>
    <row r="1824" spans="1:25" x14ac:dyDescent="0.3">
      <c r="A1824" s="1" t="s">
        <v>5122</v>
      </c>
      <c r="B1824" s="5">
        <v>46155</v>
      </c>
      <c r="C1824" s="6">
        <v>0.58333333333333404</v>
      </c>
      <c r="D1824" s="1" t="s">
        <v>30</v>
      </c>
      <c r="E1824" s="1" t="s">
        <v>32</v>
      </c>
      <c r="F1824" s="1" t="s">
        <v>5123</v>
      </c>
      <c r="G1824" s="39" t="s">
        <v>5069</v>
      </c>
      <c r="H1824" s="1">
        <v>1</v>
      </c>
      <c r="I1824" s="1">
        <v>1</v>
      </c>
      <c r="J1824" s="39" t="s">
        <v>4992</v>
      </c>
      <c r="K1824" s="1">
        <v>1</v>
      </c>
      <c r="L1824" s="1">
        <v>1</v>
      </c>
      <c r="S1824" s="1" t="s">
        <v>5124</v>
      </c>
      <c r="T1824" s="1">
        <v>1</v>
      </c>
      <c r="U1824" s="19"/>
      <c r="V1824" s="19"/>
      <c r="W1824" s="218">
        <v>1</v>
      </c>
      <c r="X1824" s="218">
        <v>1</v>
      </c>
      <c r="Y1824" s="218">
        <v>1</v>
      </c>
    </row>
    <row r="1825" spans="1:25" x14ac:dyDescent="0.3">
      <c r="A1825" s="1" t="s">
        <v>5125</v>
      </c>
      <c r="B1825" s="5">
        <v>46237</v>
      </c>
      <c r="C1825" s="6">
        <v>0.58680555555416702</v>
      </c>
      <c r="D1825" s="1" t="s">
        <v>30</v>
      </c>
      <c r="E1825" s="1" t="s">
        <v>32</v>
      </c>
      <c r="F1825" s="1" t="s">
        <v>5126</v>
      </c>
      <c r="G1825" s="39" t="s">
        <v>5014</v>
      </c>
      <c r="H1825" s="1">
        <v>1</v>
      </c>
      <c r="I1825" s="1">
        <v>3</v>
      </c>
      <c r="J1825" s="39" t="s">
        <v>5026</v>
      </c>
      <c r="K1825" s="1">
        <v>3</v>
      </c>
      <c r="L1825" s="1">
        <v>1</v>
      </c>
      <c r="S1825" s="1" t="s">
        <v>5127</v>
      </c>
      <c r="T1825" s="1">
        <v>1</v>
      </c>
      <c r="U1825" s="19"/>
      <c r="V1825" s="19"/>
      <c r="W1825" s="218">
        <v>1</v>
      </c>
      <c r="X1825" s="218">
        <v>1</v>
      </c>
      <c r="Y1825" s="218">
        <v>1</v>
      </c>
    </row>
    <row r="1826" spans="1:25" x14ac:dyDescent="0.3">
      <c r="A1826" s="1" t="s">
        <v>5128</v>
      </c>
      <c r="B1826" s="5">
        <v>46228</v>
      </c>
      <c r="C1826" s="6">
        <v>0.5</v>
      </c>
      <c r="D1826" s="1" t="s">
        <v>30</v>
      </c>
      <c r="E1826" s="1" t="s">
        <v>32</v>
      </c>
      <c r="F1826" s="1" t="s">
        <v>5129</v>
      </c>
      <c r="G1826" s="39" t="s">
        <v>5026</v>
      </c>
      <c r="H1826" s="1">
        <v>0</v>
      </c>
      <c r="I1826" s="1">
        <v>0</v>
      </c>
      <c r="J1826" s="39" t="s">
        <v>5006</v>
      </c>
      <c r="K1826" s="1">
        <v>0</v>
      </c>
      <c r="L1826" s="1">
        <v>0</v>
      </c>
      <c r="S1826" s="1" t="s">
        <v>5130</v>
      </c>
      <c r="T1826" s="1">
        <v>1</v>
      </c>
      <c r="U1826" s="19"/>
      <c r="V1826" s="19"/>
      <c r="W1826" s="218">
        <v>1</v>
      </c>
      <c r="X1826" s="218">
        <v>1</v>
      </c>
      <c r="Y1826" s="218">
        <v>1</v>
      </c>
    </row>
    <row r="1827" spans="1:25" x14ac:dyDescent="0.3">
      <c r="A1827" s="1" t="s">
        <v>5131</v>
      </c>
      <c r="B1827" s="5">
        <v>46222</v>
      </c>
      <c r="C1827" s="6">
        <v>0.41666666666666702</v>
      </c>
      <c r="D1827" s="1" t="s">
        <v>30</v>
      </c>
      <c r="E1827" s="1" t="s">
        <v>32</v>
      </c>
      <c r="F1827" s="1" t="s">
        <v>5132</v>
      </c>
      <c r="G1827" s="39" t="s">
        <v>5026</v>
      </c>
      <c r="H1827" s="1">
        <v>2</v>
      </c>
      <c r="I1827" s="1">
        <v>3</v>
      </c>
      <c r="J1827" s="39" t="s">
        <v>5065</v>
      </c>
      <c r="K1827" s="1">
        <v>3</v>
      </c>
      <c r="L1827" s="1">
        <v>2</v>
      </c>
      <c r="S1827" s="1" t="s">
        <v>5133</v>
      </c>
      <c r="T1827" s="1">
        <v>1</v>
      </c>
      <c r="U1827" s="19"/>
      <c r="V1827" s="19"/>
      <c r="W1827" s="218">
        <v>1</v>
      </c>
      <c r="X1827" s="218">
        <v>1</v>
      </c>
      <c r="Y1827" s="218">
        <v>1</v>
      </c>
    </row>
    <row r="1828" spans="1:25" x14ac:dyDescent="0.3">
      <c r="A1828" s="1" t="s">
        <v>5134</v>
      </c>
      <c r="B1828" s="5">
        <v>46201</v>
      </c>
      <c r="C1828" s="6">
        <v>0.41666666666666702</v>
      </c>
      <c r="D1828" s="1" t="s">
        <v>30</v>
      </c>
      <c r="E1828" s="1" t="s">
        <v>32</v>
      </c>
      <c r="F1828" s="1" t="s">
        <v>5135</v>
      </c>
      <c r="G1828" s="39" t="s">
        <v>5061</v>
      </c>
      <c r="H1828" s="1">
        <v>1</v>
      </c>
      <c r="I1828" s="1">
        <v>0</v>
      </c>
      <c r="J1828" s="39" t="s">
        <v>5026</v>
      </c>
      <c r="K1828" s="1">
        <v>0</v>
      </c>
      <c r="L1828" s="1">
        <v>1</v>
      </c>
      <c r="S1828" s="1" t="s">
        <v>5136</v>
      </c>
      <c r="T1828" s="1">
        <v>1</v>
      </c>
      <c r="U1828" s="19"/>
      <c r="V1828" s="19"/>
      <c r="W1828" s="218">
        <v>1</v>
      </c>
      <c r="X1828" s="218">
        <v>1</v>
      </c>
      <c r="Y1828" s="218">
        <v>1</v>
      </c>
    </row>
    <row r="1829" spans="1:25" x14ac:dyDescent="0.3">
      <c r="A1829" s="1" t="s">
        <v>5137</v>
      </c>
      <c r="B1829" s="5">
        <v>46194</v>
      </c>
      <c r="C1829" s="6">
        <v>0.41666666666666702</v>
      </c>
      <c r="D1829" s="1" t="s">
        <v>30</v>
      </c>
      <c r="E1829" s="1" t="s">
        <v>32</v>
      </c>
      <c r="F1829" s="1" t="s">
        <v>5138</v>
      </c>
      <c r="G1829" s="39" t="s">
        <v>5006</v>
      </c>
      <c r="H1829" s="1">
        <v>5</v>
      </c>
      <c r="I1829" s="1">
        <v>1</v>
      </c>
      <c r="J1829" s="39" t="s">
        <v>5026</v>
      </c>
      <c r="K1829" s="1">
        <v>1</v>
      </c>
      <c r="L1829" s="1">
        <v>5</v>
      </c>
      <c r="S1829" s="1" t="s">
        <v>5139</v>
      </c>
      <c r="T1829" s="1">
        <v>1</v>
      </c>
      <c r="U1829" s="19"/>
      <c r="V1829" s="19"/>
      <c r="W1829" s="218">
        <v>1</v>
      </c>
      <c r="X1829" s="218">
        <v>1</v>
      </c>
      <c r="Y1829" s="218">
        <v>1</v>
      </c>
    </row>
    <row r="1830" spans="1:25" x14ac:dyDescent="0.3">
      <c r="A1830" s="1" t="s">
        <v>5140</v>
      </c>
      <c r="B1830" s="5">
        <v>46182</v>
      </c>
      <c r="C1830" s="6">
        <v>0.58333333333333404</v>
      </c>
      <c r="D1830" s="1" t="s">
        <v>30</v>
      </c>
      <c r="E1830" s="1" t="s">
        <v>32</v>
      </c>
      <c r="F1830" s="1" t="s">
        <v>5141</v>
      </c>
      <c r="G1830" s="39" t="s">
        <v>5010</v>
      </c>
      <c r="H1830" s="1">
        <v>3</v>
      </c>
      <c r="I1830" s="1">
        <v>0</v>
      </c>
      <c r="J1830" s="39" t="s">
        <v>5026</v>
      </c>
      <c r="K1830" s="1">
        <v>0</v>
      </c>
      <c r="L1830" s="1">
        <v>3</v>
      </c>
      <c r="S1830" s="1" t="s">
        <v>5142</v>
      </c>
      <c r="T1830" s="1">
        <v>1</v>
      </c>
      <c r="U1830" s="19"/>
      <c r="V1830" s="19"/>
      <c r="W1830" s="218">
        <v>1</v>
      </c>
      <c r="X1830" s="218">
        <v>1</v>
      </c>
      <c r="Y1830" s="218">
        <v>1</v>
      </c>
    </row>
    <row r="1831" spans="1:25" x14ac:dyDescent="0.3">
      <c r="A1831" s="1" t="s">
        <v>5143</v>
      </c>
      <c r="B1831" s="5">
        <v>46173</v>
      </c>
      <c r="C1831" s="6">
        <v>0.41666666666666702</v>
      </c>
      <c r="D1831" s="1" t="s">
        <v>30</v>
      </c>
      <c r="E1831" s="1" t="s">
        <v>32</v>
      </c>
      <c r="F1831" s="1" t="s">
        <v>5144</v>
      </c>
      <c r="G1831" s="39" t="s">
        <v>5026</v>
      </c>
      <c r="H1831" s="1">
        <v>0</v>
      </c>
      <c r="I1831" s="1">
        <v>2</v>
      </c>
      <c r="J1831" s="39" t="s">
        <v>4992</v>
      </c>
      <c r="K1831" s="1">
        <v>2</v>
      </c>
      <c r="L1831" s="1">
        <v>0</v>
      </c>
      <c r="S1831" s="1" t="s">
        <v>5145</v>
      </c>
      <c r="T1831" s="1">
        <v>1</v>
      </c>
      <c r="U1831" s="19"/>
      <c r="V1831" s="19"/>
      <c r="W1831" s="218">
        <v>1</v>
      </c>
      <c r="X1831" s="218">
        <v>1</v>
      </c>
      <c r="Y1831" s="218">
        <v>1</v>
      </c>
    </row>
    <row r="1832" spans="1:25" x14ac:dyDescent="0.3">
      <c r="A1832" s="1" t="s">
        <v>5146</v>
      </c>
      <c r="B1832" s="5">
        <v>46159</v>
      </c>
      <c r="C1832" s="6">
        <v>0.41666666666666702</v>
      </c>
      <c r="D1832" s="1" t="s">
        <v>30</v>
      </c>
      <c r="E1832" s="1" t="s">
        <v>32</v>
      </c>
      <c r="F1832" s="1" t="s">
        <v>5147</v>
      </c>
      <c r="G1832" s="39" t="s">
        <v>5026</v>
      </c>
      <c r="H1832" s="1">
        <v>2</v>
      </c>
      <c r="I1832" s="1">
        <v>2</v>
      </c>
      <c r="J1832" s="39" t="s">
        <v>5039</v>
      </c>
      <c r="K1832" s="1">
        <v>2</v>
      </c>
      <c r="L1832" s="1">
        <v>2</v>
      </c>
      <c r="S1832" s="1" t="s">
        <v>5148</v>
      </c>
      <c r="T1832" s="1">
        <v>1</v>
      </c>
      <c r="U1832" s="19"/>
      <c r="V1832" s="19"/>
      <c r="W1832" s="218">
        <v>1</v>
      </c>
      <c r="X1832" s="218">
        <v>1</v>
      </c>
      <c r="Y1832" s="218">
        <v>1</v>
      </c>
    </row>
    <row r="1833" spans="1:25" x14ac:dyDescent="0.3">
      <c r="A1833" s="1" t="s">
        <v>5149</v>
      </c>
      <c r="B1833" s="5">
        <v>46154</v>
      </c>
      <c r="C1833" s="6">
        <v>0.58333333333333404</v>
      </c>
      <c r="D1833" s="1" t="s">
        <v>30</v>
      </c>
      <c r="E1833" s="1" t="s">
        <v>32</v>
      </c>
      <c r="F1833" s="1" t="s">
        <v>5150</v>
      </c>
      <c r="G1833" s="39" t="s">
        <v>5026</v>
      </c>
      <c r="H1833" s="1">
        <v>0</v>
      </c>
      <c r="I1833" s="1">
        <v>1</v>
      </c>
      <c r="J1833" s="39" t="s">
        <v>5014</v>
      </c>
      <c r="K1833" s="1">
        <v>1</v>
      </c>
      <c r="L1833" s="1">
        <v>0</v>
      </c>
      <c r="S1833" s="1" t="s">
        <v>5151</v>
      </c>
      <c r="T1833" s="1">
        <v>1</v>
      </c>
      <c r="U1833" s="19"/>
      <c r="V1833" s="19"/>
      <c r="W1833" s="218">
        <v>1</v>
      </c>
      <c r="X1833" s="218">
        <v>1</v>
      </c>
      <c r="Y1833" s="218">
        <v>1</v>
      </c>
    </row>
    <row r="1834" spans="1:25" x14ac:dyDescent="0.3">
      <c r="A1834" s="1" t="s">
        <v>5152</v>
      </c>
      <c r="B1834" s="5">
        <v>46235</v>
      </c>
      <c r="C1834" s="6">
        <v>0.41666666666666702</v>
      </c>
      <c r="D1834" s="1" t="s">
        <v>30</v>
      </c>
      <c r="E1834" s="1" t="s">
        <v>32</v>
      </c>
      <c r="F1834" s="1" t="s">
        <v>5153</v>
      </c>
      <c r="G1834" s="39" t="s">
        <v>5006</v>
      </c>
      <c r="H1834" s="1">
        <v>2</v>
      </c>
      <c r="I1834" s="1">
        <v>1</v>
      </c>
      <c r="J1834" s="39" t="s">
        <v>5061</v>
      </c>
      <c r="K1834" s="1">
        <v>1</v>
      </c>
      <c r="L1834" s="1">
        <v>2</v>
      </c>
      <c r="S1834" s="1" t="s">
        <v>5154</v>
      </c>
      <c r="T1834" s="1">
        <v>1</v>
      </c>
      <c r="U1834" s="19"/>
      <c r="V1834" s="19"/>
      <c r="W1834" s="218">
        <v>1</v>
      </c>
      <c r="X1834" s="218">
        <v>1</v>
      </c>
      <c r="Y1834" s="218">
        <v>1</v>
      </c>
    </row>
    <row r="1835" spans="1:25" x14ac:dyDescent="0.3">
      <c r="A1835" s="1" t="s">
        <v>5155</v>
      </c>
      <c r="B1835" s="5">
        <v>46221</v>
      </c>
      <c r="C1835" s="6">
        <v>0.41666666666666702</v>
      </c>
      <c r="D1835" s="1" t="s">
        <v>30</v>
      </c>
      <c r="E1835" s="1" t="s">
        <v>32</v>
      </c>
      <c r="F1835" s="1" t="s">
        <v>5156</v>
      </c>
      <c r="G1835" s="39" t="s">
        <v>5010</v>
      </c>
      <c r="H1835" s="1">
        <v>3</v>
      </c>
      <c r="I1835" s="1">
        <v>2</v>
      </c>
      <c r="J1835" s="39" t="s">
        <v>5006</v>
      </c>
      <c r="K1835" s="1">
        <v>2</v>
      </c>
      <c r="L1835" s="1">
        <v>3</v>
      </c>
      <c r="S1835" s="1" t="s">
        <v>5157</v>
      </c>
      <c r="T1835" s="1">
        <v>1</v>
      </c>
      <c r="U1835" s="19"/>
      <c r="V1835" s="19"/>
      <c r="W1835" s="218">
        <v>1</v>
      </c>
      <c r="X1835" s="218">
        <v>1</v>
      </c>
      <c r="Y1835" s="218">
        <v>1</v>
      </c>
    </row>
    <row r="1836" spans="1:25" x14ac:dyDescent="0.3">
      <c r="A1836" s="1" t="s">
        <v>5158</v>
      </c>
      <c r="B1836" s="5">
        <v>46187</v>
      </c>
      <c r="C1836" s="6">
        <v>0.41666666666666702</v>
      </c>
      <c r="D1836" s="1" t="s">
        <v>30</v>
      </c>
      <c r="E1836" s="1" t="s">
        <v>32</v>
      </c>
      <c r="F1836" s="1" t="s">
        <v>5159</v>
      </c>
      <c r="G1836" s="39" t="s">
        <v>5018</v>
      </c>
      <c r="H1836" s="1">
        <v>3</v>
      </c>
      <c r="I1836" s="1">
        <v>2</v>
      </c>
      <c r="J1836" s="39" t="s">
        <v>5006</v>
      </c>
      <c r="K1836" s="1">
        <v>2</v>
      </c>
      <c r="L1836" s="1">
        <v>3</v>
      </c>
      <c r="S1836" s="1" t="s">
        <v>5160</v>
      </c>
      <c r="T1836" s="1">
        <v>1</v>
      </c>
      <c r="U1836" s="19"/>
      <c r="V1836" s="19"/>
      <c r="W1836" s="218">
        <v>1</v>
      </c>
      <c r="X1836" s="218">
        <v>1</v>
      </c>
      <c r="Y1836" s="218">
        <v>1</v>
      </c>
    </row>
    <row r="1837" spans="1:25" x14ac:dyDescent="0.3">
      <c r="A1837" s="1" t="s">
        <v>5161</v>
      </c>
      <c r="B1837" s="5">
        <v>46182</v>
      </c>
      <c r="C1837" s="6">
        <v>0.58333333333333404</v>
      </c>
      <c r="D1837" s="1" t="s">
        <v>30</v>
      </c>
      <c r="E1837" s="1" t="s">
        <v>32</v>
      </c>
      <c r="F1837" s="1" t="s">
        <v>5162</v>
      </c>
      <c r="G1837" s="39" t="s">
        <v>5006</v>
      </c>
      <c r="H1837" s="1">
        <v>2</v>
      </c>
      <c r="I1837" s="1">
        <v>2</v>
      </c>
      <c r="J1837" s="39" t="s">
        <v>5065</v>
      </c>
      <c r="K1837" s="1">
        <v>2</v>
      </c>
      <c r="L1837" s="1">
        <v>2</v>
      </c>
      <c r="S1837" s="1" t="s">
        <v>5163</v>
      </c>
      <c r="T1837" s="1">
        <v>1</v>
      </c>
      <c r="U1837" s="19"/>
      <c r="V1837" s="19"/>
      <c r="W1837" s="218">
        <v>1</v>
      </c>
      <c r="X1837" s="218">
        <v>1</v>
      </c>
      <c r="Y1837" s="218">
        <v>1</v>
      </c>
    </row>
    <row r="1838" spans="1:25" x14ac:dyDescent="0.3">
      <c r="A1838" s="1" t="s">
        <v>5164</v>
      </c>
      <c r="B1838" s="5">
        <v>46172</v>
      </c>
      <c r="C1838" s="6">
        <v>0.41666666666666702</v>
      </c>
      <c r="D1838" s="1" t="s">
        <v>30</v>
      </c>
      <c r="E1838" s="1" t="s">
        <v>32</v>
      </c>
      <c r="F1838" s="1" t="s">
        <v>5165</v>
      </c>
      <c r="G1838" s="39" t="s">
        <v>5061</v>
      </c>
      <c r="H1838" s="1">
        <v>2</v>
      </c>
      <c r="I1838" s="1">
        <v>2</v>
      </c>
      <c r="J1838" s="39" t="s">
        <v>5006</v>
      </c>
      <c r="K1838" s="1">
        <v>2</v>
      </c>
      <c r="L1838" s="1">
        <v>2</v>
      </c>
      <c r="S1838" s="1" t="s">
        <v>5166</v>
      </c>
      <c r="T1838" s="1">
        <v>1</v>
      </c>
      <c r="U1838" s="19"/>
      <c r="V1838" s="19"/>
      <c r="W1838" s="218">
        <v>1</v>
      </c>
      <c r="X1838" s="218">
        <v>1</v>
      </c>
      <c r="Y1838" s="218">
        <v>1</v>
      </c>
    </row>
    <row r="1839" spans="1:25" x14ac:dyDescent="0.3">
      <c r="A1839" s="1" t="s">
        <v>5167</v>
      </c>
      <c r="B1839" s="5">
        <v>46165</v>
      </c>
      <c r="C1839" s="6">
        <v>0.41666666666666702</v>
      </c>
      <c r="D1839" s="1" t="s">
        <v>30</v>
      </c>
      <c r="E1839" s="1" t="s">
        <v>32</v>
      </c>
      <c r="F1839" s="1" t="s">
        <v>5168</v>
      </c>
      <c r="G1839" s="39" t="s">
        <v>4992</v>
      </c>
      <c r="H1839" s="1">
        <v>1</v>
      </c>
      <c r="I1839" s="1">
        <v>0</v>
      </c>
      <c r="J1839" s="39" t="s">
        <v>5006</v>
      </c>
      <c r="K1839" s="1">
        <v>0</v>
      </c>
      <c r="L1839" s="1">
        <v>1</v>
      </c>
      <c r="S1839" s="1" t="s">
        <v>5169</v>
      </c>
      <c r="T1839" s="1">
        <v>1</v>
      </c>
      <c r="U1839" s="19"/>
      <c r="V1839" s="19"/>
      <c r="W1839" s="218">
        <v>1</v>
      </c>
      <c r="X1839" s="218">
        <v>1</v>
      </c>
      <c r="Y1839" s="218">
        <v>1</v>
      </c>
    </row>
    <row r="1840" spans="1:25" x14ac:dyDescent="0.3">
      <c r="A1840" s="1" t="s">
        <v>5170</v>
      </c>
      <c r="B1840" s="5">
        <v>46155</v>
      </c>
      <c r="C1840" s="6">
        <v>0.58333333333333404</v>
      </c>
      <c r="D1840" s="1" t="s">
        <v>30</v>
      </c>
      <c r="E1840" s="1" t="s">
        <v>32</v>
      </c>
      <c r="F1840" s="1" t="s">
        <v>5171</v>
      </c>
      <c r="G1840" s="39" t="s">
        <v>5006</v>
      </c>
      <c r="H1840" s="1">
        <v>2</v>
      </c>
      <c r="I1840" s="1">
        <v>4</v>
      </c>
      <c r="J1840" s="39" t="s">
        <v>950</v>
      </c>
      <c r="K1840" s="1">
        <v>4</v>
      </c>
      <c r="L1840" s="1">
        <v>2</v>
      </c>
      <c r="S1840" s="1" t="s">
        <v>5172</v>
      </c>
      <c r="T1840" s="1">
        <v>1</v>
      </c>
      <c r="U1840" s="19"/>
      <c r="V1840" s="19"/>
      <c r="W1840" s="218">
        <v>1</v>
      </c>
      <c r="X1840" s="218">
        <v>1</v>
      </c>
      <c r="Y1840" s="218">
        <v>1</v>
      </c>
    </row>
    <row r="1841" spans="1:25" x14ac:dyDescent="0.3">
      <c r="A1841" s="1" t="s">
        <v>5173</v>
      </c>
      <c r="B1841" s="5">
        <v>46242</v>
      </c>
      <c r="C1841" s="6">
        <v>0.33333333333333398</v>
      </c>
      <c r="D1841" s="1" t="s">
        <v>30</v>
      </c>
      <c r="E1841" s="1" t="s">
        <v>32</v>
      </c>
      <c r="F1841" s="1" t="s">
        <v>5174</v>
      </c>
      <c r="G1841" s="39" t="s">
        <v>5065</v>
      </c>
      <c r="H1841" s="1">
        <v>0</v>
      </c>
      <c r="I1841" s="1">
        <v>1</v>
      </c>
      <c r="J1841" s="39" t="s">
        <v>5022</v>
      </c>
      <c r="K1841" s="1">
        <v>1</v>
      </c>
      <c r="L1841" s="1">
        <v>0</v>
      </c>
      <c r="S1841" s="1" t="s">
        <v>5175</v>
      </c>
      <c r="T1841" s="1">
        <v>1</v>
      </c>
      <c r="U1841" s="19"/>
      <c r="V1841" s="19"/>
      <c r="W1841" s="218">
        <v>1</v>
      </c>
      <c r="X1841" s="218">
        <v>1</v>
      </c>
      <c r="Y1841" s="218">
        <v>1</v>
      </c>
    </row>
    <row r="1842" spans="1:25" x14ac:dyDescent="0.3">
      <c r="A1842" s="1" t="s">
        <v>5176</v>
      </c>
      <c r="B1842" s="5">
        <v>46234</v>
      </c>
      <c r="C1842" s="6">
        <v>0.58333333333333404</v>
      </c>
      <c r="D1842" s="1" t="s">
        <v>30</v>
      </c>
      <c r="E1842" s="1" t="s">
        <v>32</v>
      </c>
      <c r="F1842" s="1" t="s">
        <v>5177</v>
      </c>
      <c r="G1842" s="39" t="s">
        <v>5022</v>
      </c>
      <c r="H1842" s="1">
        <v>0</v>
      </c>
      <c r="I1842" s="1">
        <v>0</v>
      </c>
      <c r="J1842" s="39" t="s">
        <v>5039</v>
      </c>
      <c r="K1842" s="1">
        <v>0</v>
      </c>
      <c r="L1842" s="1">
        <v>0</v>
      </c>
      <c r="S1842" s="1" t="s">
        <v>5178</v>
      </c>
      <c r="T1842" s="1">
        <v>1</v>
      </c>
      <c r="U1842" s="19"/>
      <c r="V1842" s="19"/>
      <c r="W1842" s="218">
        <v>1</v>
      </c>
      <c r="X1842" s="218">
        <v>1</v>
      </c>
      <c r="Y1842" s="218">
        <v>1</v>
      </c>
    </row>
    <row r="1843" spans="1:25" x14ac:dyDescent="0.3">
      <c r="A1843" s="1" t="s">
        <v>5179</v>
      </c>
      <c r="B1843" s="5">
        <v>46230</v>
      </c>
      <c r="C1843" s="6">
        <v>0.58333333333333404</v>
      </c>
      <c r="D1843" s="1" t="s">
        <v>30</v>
      </c>
      <c r="E1843" s="1" t="s">
        <v>32</v>
      </c>
      <c r="F1843" s="1" t="s">
        <v>5180</v>
      </c>
      <c r="G1843" s="39" t="s">
        <v>5014</v>
      </c>
      <c r="H1843" s="1">
        <v>0</v>
      </c>
      <c r="I1843" s="1">
        <v>0</v>
      </c>
      <c r="J1843" s="39" t="s">
        <v>5022</v>
      </c>
      <c r="K1843" s="1">
        <v>0</v>
      </c>
      <c r="L1843" s="1">
        <v>0</v>
      </c>
      <c r="S1843" s="1" t="s">
        <v>5181</v>
      </c>
      <c r="T1843" s="1">
        <v>1</v>
      </c>
      <c r="U1843" s="19"/>
      <c r="V1843" s="19"/>
      <c r="W1843" s="218">
        <v>1</v>
      </c>
      <c r="X1843" s="218">
        <v>1</v>
      </c>
      <c r="Y1843" s="218">
        <v>1</v>
      </c>
    </row>
    <row r="1844" spans="1:25" x14ac:dyDescent="0.3">
      <c r="A1844" s="1" t="s">
        <v>5182</v>
      </c>
      <c r="B1844" s="5">
        <v>46221</v>
      </c>
      <c r="C1844" s="6">
        <v>0.41666666666666702</v>
      </c>
      <c r="D1844" s="1" t="s">
        <v>30</v>
      </c>
      <c r="E1844" s="1" t="s">
        <v>32</v>
      </c>
      <c r="F1844" s="1" t="s">
        <v>5183</v>
      </c>
      <c r="G1844" s="39" t="s">
        <v>5022</v>
      </c>
      <c r="H1844" s="1">
        <v>2</v>
      </c>
      <c r="I1844" s="1">
        <v>4</v>
      </c>
      <c r="J1844" s="39" t="s">
        <v>67</v>
      </c>
      <c r="K1844" s="1">
        <v>4</v>
      </c>
      <c r="L1844" s="1">
        <v>2</v>
      </c>
      <c r="S1844" s="1" t="s">
        <v>5184</v>
      </c>
      <c r="T1844" s="1">
        <v>1</v>
      </c>
      <c r="U1844" s="19"/>
      <c r="V1844" s="19"/>
      <c r="W1844" s="218">
        <v>1</v>
      </c>
      <c r="X1844" s="218">
        <v>1</v>
      </c>
      <c r="Y1844" s="218">
        <v>1</v>
      </c>
    </row>
    <row r="1845" spans="1:25" x14ac:dyDescent="0.3">
      <c r="A1845" s="1" t="s">
        <v>5185</v>
      </c>
      <c r="B1845" s="5">
        <v>46200</v>
      </c>
      <c r="C1845" s="6">
        <v>0.41666666666666702</v>
      </c>
      <c r="D1845" s="1" t="s">
        <v>30</v>
      </c>
      <c r="E1845" s="1" t="s">
        <v>32</v>
      </c>
      <c r="F1845" s="1" t="s">
        <v>5186</v>
      </c>
      <c r="G1845" s="39" t="s">
        <v>4992</v>
      </c>
      <c r="H1845" s="1">
        <v>3</v>
      </c>
      <c r="I1845" s="1">
        <v>3</v>
      </c>
      <c r="J1845" s="39" t="s">
        <v>5022</v>
      </c>
      <c r="K1845" s="1">
        <v>3</v>
      </c>
      <c r="L1845" s="1">
        <v>3</v>
      </c>
      <c r="S1845" s="1" t="s">
        <v>5187</v>
      </c>
      <c r="T1845" s="1">
        <v>1</v>
      </c>
      <c r="U1845" s="19"/>
      <c r="V1845" s="19"/>
      <c r="W1845" s="218">
        <v>1</v>
      </c>
      <c r="X1845" s="218">
        <v>1</v>
      </c>
      <c r="Y1845" s="218">
        <v>1</v>
      </c>
    </row>
    <row r="1846" spans="1:25" x14ac:dyDescent="0.3">
      <c r="A1846" s="1" t="s">
        <v>5188</v>
      </c>
      <c r="B1846" s="5">
        <v>46195</v>
      </c>
      <c r="C1846" s="6">
        <v>0.58333333333333404</v>
      </c>
      <c r="D1846" s="1" t="s">
        <v>30</v>
      </c>
      <c r="E1846" s="1" t="s">
        <v>32</v>
      </c>
      <c r="F1846" s="1" t="s">
        <v>5189</v>
      </c>
      <c r="G1846" s="39" t="s">
        <v>5022</v>
      </c>
      <c r="H1846" s="1">
        <v>0</v>
      </c>
      <c r="I1846" s="1">
        <v>0</v>
      </c>
      <c r="J1846" s="39" t="s">
        <v>5065</v>
      </c>
      <c r="K1846" s="1">
        <v>0</v>
      </c>
      <c r="L1846" s="1">
        <v>0</v>
      </c>
      <c r="S1846" s="1" t="s">
        <v>5190</v>
      </c>
      <c r="T1846" s="1">
        <v>1</v>
      </c>
      <c r="U1846" s="19"/>
      <c r="V1846" s="19"/>
      <c r="W1846" s="218">
        <v>1</v>
      </c>
      <c r="X1846" s="218">
        <v>1</v>
      </c>
      <c r="Y1846" s="218">
        <v>1</v>
      </c>
    </row>
    <row r="1847" spans="1:25" x14ac:dyDescent="0.3">
      <c r="A1847" s="1" t="s">
        <v>5191</v>
      </c>
      <c r="B1847" s="5">
        <v>46187</v>
      </c>
      <c r="C1847" s="6">
        <v>0.41666666666666702</v>
      </c>
      <c r="D1847" s="1" t="s">
        <v>30</v>
      </c>
      <c r="E1847" s="1" t="s">
        <v>32</v>
      </c>
      <c r="F1847" s="1" t="s">
        <v>5192</v>
      </c>
      <c r="G1847" s="39" t="s">
        <v>5039</v>
      </c>
      <c r="H1847" s="1">
        <v>0</v>
      </c>
      <c r="I1847" s="1">
        <v>2</v>
      </c>
      <c r="J1847" s="39" t="s">
        <v>5022</v>
      </c>
      <c r="K1847" s="1">
        <v>2</v>
      </c>
      <c r="L1847" s="1">
        <v>0</v>
      </c>
      <c r="S1847" s="1" t="s">
        <v>5193</v>
      </c>
      <c r="T1847" s="1">
        <v>1</v>
      </c>
      <c r="U1847" s="19"/>
      <c r="V1847" s="19"/>
      <c r="W1847" s="218">
        <v>1</v>
      </c>
      <c r="X1847" s="218">
        <v>1</v>
      </c>
      <c r="Y1847" s="218">
        <v>1</v>
      </c>
    </row>
    <row r="1848" spans="1:25" x14ac:dyDescent="0.3">
      <c r="A1848" s="1" t="s">
        <v>5194</v>
      </c>
      <c r="B1848" s="5">
        <v>46165</v>
      </c>
      <c r="C1848" s="6">
        <v>0.41666666666666702</v>
      </c>
      <c r="D1848" s="1" t="s">
        <v>30</v>
      </c>
      <c r="E1848" s="1" t="s">
        <v>32</v>
      </c>
      <c r="F1848" s="1" t="s">
        <v>5195</v>
      </c>
      <c r="G1848" s="39" t="s">
        <v>5022</v>
      </c>
      <c r="H1848" s="1">
        <v>1</v>
      </c>
      <c r="I1848" s="1">
        <v>0</v>
      </c>
      <c r="J1848" s="39" t="s">
        <v>950</v>
      </c>
      <c r="K1848" s="1">
        <v>0</v>
      </c>
      <c r="L1848" s="1">
        <v>1</v>
      </c>
      <c r="S1848" s="1" t="s">
        <v>5196</v>
      </c>
      <c r="T1848" s="1">
        <v>1</v>
      </c>
      <c r="U1848" s="19"/>
      <c r="V1848" s="19"/>
      <c r="W1848" s="218">
        <v>1</v>
      </c>
      <c r="X1848" s="218">
        <v>1</v>
      </c>
      <c r="Y1848" s="218">
        <v>1</v>
      </c>
    </row>
    <row r="1849" spans="1:25" x14ac:dyDescent="0.3">
      <c r="A1849" s="1" t="s">
        <v>5197</v>
      </c>
      <c r="B1849" s="5">
        <v>46160</v>
      </c>
      <c r="C1849" s="6">
        <v>0.58333333333333404</v>
      </c>
      <c r="D1849" s="1" t="s">
        <v>30</v>
      </c>
      <c r="E1849" s="1" t="s">
        <v>32</v>
      </c>
      <c r="F1849" s="1" t="s">
        <v>5198</v>
      </c>
      <c r="G1849" s="39" t="s">
        <v>5022</v>
      </c>
      <c r="H1849" s="1">
        <v>4</v>
      </c>
      <c r="I1849" s="1">
        <v>1</v>
      </c>
      <c r="J1849" s="39" t="s">
        <v>5014</v>
      </c>
      <c r="K1849" s="1">
        <v>1</v>
      </c>
      <c r="L1849" s="1">
        <v>4</v>
      </c>
      <c r="S1849" s="1" t="s">
        <v>5199</v>
      </c>
      <c r="T1849" s="1">
        <v>1</v>
      </c>
      <c r="U1849" s="19"/>
      <c r="V1849" s="19"/>
      <c r="W1849" s="218">
        <v>1</v>
      </c>
      <c r="X1849" s="218">
        <v>1</v>
      </c>
      <c r="Y1849" s="218">
        <v>1</v>
      </c>
    </row>
    <row r="1850" spans="1:25" x14ac:dyDescent="0.3">
      <c r="A1850" s="1" t="s">
        <v>5200</v>
      </c>
      <c r="B1850" s="5">
        <v>46242</v>
      </c>
      <c r="C1850" s="6">
        <v>0.41666666666666702</v>
      </c>
      <c r="D1850" s="1" t="s">
        <v>30</v>
      </c>
      <c r="E1850" s="1" t="s">
        <v>32</v>
      </c>
      <c r="F1850" s="1" t="s">
        <v>5201</v>
      </c>
      <c r="G1850" s="39" t="s">
        <v>5010</v>
      </c>
      <c r="H1850" s="1">
        <v>0</v>
      </c>
      <c r="I1850" s="1">
        <v>1</v>
      </c>
      <c r="J1850" s="39" t="s">
        <v>5061</v>
      </c>
      <c r="K1850" s="1">
        <v>1</v>
      </c>
      <c r="L1850" s="1">
        <v>0</v>
      </c>
      <c r="S1850" s="1" t="s">
        <v>5202</v>
      </c>
      <c r="T1850" s="1">
        <v>1</v>
      </c>
      <c r="U1850" s="19"/>
      <c r="V1850" s="19"/>
      <c r="W1850" s="218">
        <v>1</v>
      </c>
      <c r="X1850" s="218">
        <v>1</v>
      </c>
      <c r="Y1850" s="218">
        <v>1</v>
      </c>
    </row>
    <row r="1851" spans="1:25" x14ac:dyDescent="0.3">
      <c r="A1851" s="1" t="s">
        <v>5203</v>
      </c>
      <c r="B1851" s="5">
        <v>46221</v>
      </c>
      <c r="C1851" s="6">
        <v>0.41666666666666702</v>
      </c>
      <c r="D1851" s="1" t="s">
        <v>30</v>
      </c>
      <c r="E1851" s="1" t="s">
        <v>32</v>
      </c>
      <c r="F1851" s="1" t="s">
        <v>5204</v>
      </c>
      <c r="G1851" s="39" t="s">
        <v>950</v>
      </c>
      <c r="H1851" s="1">
        <v>2</v>
      </c>
      <c r="I1851" s="1">
        <v>0</v>
      </c>
      <c r="J1851" s="39" t="s">
        <v>5061</v>
      </c>
      <c r="K1851" s="1">
        <v>0</v>
      </c>
      <c r="L1851" s="1">
        <v>2</v>
      </c>
      <c r="S1851" s="1" t="s">
        <v>5205</v>
      </c>
      <c r="T1851" s="1">
        <v>1</v>
      </c>
      <c r="U1851" s="19"/>
      <c r="V1851" s="19"/>
      <c r="W1851" s="218">
        <v>1</v>
      </c>
      <c r="X1851" s="218">
        <v>1</v>
      </c>
      <c r="Y1851" s="218">
        <v>1</v>
      </c>
    </row>
    <row r="1852" spans="1:25" x14ac:dyDescent="0.3">
      <c r="A1852" s="1" t="s">
        <v>5206</v>
      </c>
      <c r="B1852" s="5">
        <v>46195</v>
      </c>
      <c r="C1852" s="6">
        <v>0.58333333333333404</v>
      </c>
      <c r="D1852" s="1" t="s">
        <v>30</v>
      </c>
      <c r="E1852" s="1" t="s">
        <v>32</v>
      </c>
      <c r="F1852" s="1" t="s">
        <v>5207</v>
      </c>
      <c r="G1852" s="39" t="s">
        <v>67</v>
      </c>
      <c r="H1852" s="1">
        <v>2</v>
      </c>
      <c r="I1852" s="1">
        <v>3</v>
      </c>
      <c r="J1852" s="39" t="s">
        <v>5061</v>
      </c>
      <c r="K1852" s="1">
        <v>3</v>
      </c>
      <c r="L1852" s="1">
        <v>2</v>
      </c>
      <c r="S1852" s="1" t="s">
        <v>5208</v>
      </c>
      <c r="T1852" s="1">
        <v>1</v>
      </c>
      <c r="U1852" s="19"/>
      <c r="V1852" s="19"/>
      <c r="W1852" s="218">
        <v>1</v>
      </c>
      <c r="X1852" s="218">
        <v>1</v>
      </c>
      <c r="Y1852" s="218">
        <v>1</v>
      </c>
    </row>
    <row r="1853" spans="1:25" x14ac:dyDescent="0.3">
      <c r="A1853" s="1" t="s">
        <v>5209</v>
      </c>
      <c r="B1853" s="5">
        <v>46189</v>
      </c>
      <c r="C1853" s="6">
        <v>0.58333333333333404</v>
      </c>
      <c r="D1853" s="1" t="s">
        <v>30</v>
      </c>
      <c r="E1853" s="1" t="s">
        <v>32</v>
      </c>
      <c r="F1853" s="1" t="s">
        <v>5210</v>
      </c>
      <c r="G1853" s="39" t="s">
        <v>5061</v>
      </c>
      <c r="H1853" s="1">
        <v>2</v>
      </c>
      <c r="I1853" s="1">
        <v>0</v>
      </c>
      <c r="J1853" s="39" t="s">
        <v>4992</v>
      </c>
      <c r="K1853" s="1">
        <v>0</v>
      </c>
      <c r="L1853" s="1">
        <v>2</v>
      </c>
      <c r="S1853" s="1" t="s">
        <v>5211</v>
      </c>
      <c r="T1853" s="1">
        <v>1</v>
      </c>
      <c r="U1853" s="19"/>
      <c r="V1853" s="19"/>
      <c r="W1853" s="218">
        <v>1</v>
      </c>
      <c r="X1853" s="218">
        <v>1</v>
      </c>
      <c r="Y1853" s="218">
        <v>1</v>
      </c>
    </row>
    <row r="1854" spans="1:25" x14ac:dyDescent="0.3">
      <c r="A1854" s="1" t="s">
        <v>5212</v>
      </c>
      <c r="B1854" s="5">
        <v>46166</v>
      </c>
      <c r="C1854" s="6">
        <v>0.41666666666666702</v>
      </c>
      <c r="D1854" s="1" t="s">
        <v>30</v>
      </c>
      <c r="E1854" s="1" t="s">
        <v>32</v>
      </c>
      <c r="F1854" s="1" t="s">
        <v>5213</v>
      </c>
      <c r="G1854" s="39" t="s">
        <v>5018</v>
      </c>
      <c r="H1854" s="1">
        <v>0</v>
      </c>
      <c r="I1854" s="1">
        <v>1</v>
      </c>
      <c r="J1854" s="39" t="s">
        <v>5061</v>
      </c>
      <c r="K1854" s="1">
        <v>1</v>
      </c>
      <c r="L1854" s="1">
        <v>0</v>
      </c>
      <c r="S1854" s="1" t="s">
        <v>5214</v>
      </c>
      <c r="T1854" s="1">
        <v>1</v>
      </c>
      <c r="U1854" s="19"/>
      <c r="V1854" s="19"/>
      <c r="W1854" s="218">
        <v>1</v>
      </c>
      <c r="X1854" s="218">
        <v>1</v>
      </c>
      <c r="Y1854" s="218">
        <v>1</v>
      </c>
    </row>
    <row r="1855" spans="1:25" x14ac:dyDescent="0.3">
      <c r="A1855" s="1" t="s">
        <v>5215</v>
      </c>
      <c r="B1855" s="5">
        <v>46236</v>
      </c>
      <c r="C1855" s="6">
        <v>0.41666666666666702</v>
      </c>
      <c r="D1855" s="1" t="s">
        <v>30</v>
      </c>
      <c r="E1855" s="1" t="s">
        <v>32</v>
      </c>
      <c r="F1855" s="1" t="s">
        <v>5216</v>
      </c>
      <c r="G1855" s="39" t="s">
        <v>4992</v>
      </c>
      <c r="H1855" s="1">
        <v>2</v>
      </c>
      <c r="I1855" s="1">
        <v>2</v>
      </c>
      <c r="J1855" s="39" t="s">
        <v>5065</v>
      </c>
      <c r="K1855" s="1">
        <v>2</v>
      </c>
      <c r="L1855" s="1">
        <v>2</v>
      </c>
      <c r="S1855" s="1" t="s">
        <v>5217</v>
      </c>
      <c r="T1855" s="1">
        <v>1</v>
      </c>
      <c r="U1855" s="19"/>
      <c r="V1855" s="19"/>
      <c r="W1855" s="218">
        <v>1</v>
      </c>
      <c r="X1855" s="218">
        <v>1</v>
      </c>
      <c r="Y1855" s="218">
        <v>1</v>
      </c>
    </row>
    <row r="1856" spans="1:25" x14ac:dyDescent="0.3">
      <c r="A1856" s="1" t="s">
        <v>5218</v>
      </c>
      <c r="B1856" s="5">
        <v>46229</v>
      </c>
      <c r="C1856" s="6">
        <v>0.41666666666666702</v>
      </c>
      <c r="D1856" s="1" t="s">
        <v>30</v>
      </c>
      <c r="E1856" s="1" t="s">
        <v>32</v>
      </c>
      <c r="F1856" s="1" t="s">
        <v>5219</v>
      </c>
      <c r="G1856" s="39" t="s">
        <v>5065</v>
      </c>
      <c r="H1856" s="1">
        <v>2</v>
      </c>
      <c r="I1856" s="1">
        <v>1</v>
      </c>
      <c r="J1856" s="39" t="s">
        <v>5018</v>
      </c>
      <c r="K1856" s="1">
        <v>1</v>
      </c>
      <c r="L1856" s="1">
        <v>2</v>
      </c>
      <c r="S1856" s="1" t="s">
        <v>5220</v>
      </c>
      <c r="T1856" s="1">
        <v>1</v>
      </c>
      <c r="U1856" s="19"/>
      <c r="V1856" s="19"/>
      <c r="W1856" s="218">
        <v>1</v>
      </c>
      <c r="X1856" s="218">
        <v>1</v>
      </c>
      <c r="Y1856" s="218">
        <v>1</v>
      </c>
    </row>
    <row r="1857" spans="1:25" x14ac:dyDescent="0.3">
      <c r="A1857" s="1" t="s">
        <v>5221</v>
      </c>
      <c r="B1857" s="5">
        <v>46200</v>
      </c>
      <c r="C1857" s="6">
        <v>0.41666666666666702</v>
      </c>
      <c r="D1857" s="1" t="s">
        <v>30</v>
      </c>
      <c r="E1857" s="1" t="s">
        <v>32</v>
      </c>
      <c r="F1857" s="1" t="s">
        <v>5222</v>
      </c>
      <c r="G1857" s="39" t="s">
        <v>5065</v>
      </c>
      <c r="H1857" s="1">
        <v>3</v>
      </c>
      <c r="I1857" s="1">
        <v>2</v>
      </c>
      <c r="J1857" s="39" t="s">
        <v>5014</v>
      </c>
      <c r="K1857" s="1">
        <v>2</v>
      </c>
      <c r="L1857" s="1">
        <v>3</v>
      </c>
      <c r="S1857" s="1" t="s">
        <v>5223</v>
      </c>
      <c r="T1857" s="1">
        <v>1</v>
      </c>
      <c r="U1857" s="19"/>
      <c r="V1857" s="19"/>
      <c r="W1857" s="218">
        <v>1</v>
      </c>
      <c r="X1857" s="218">
        <v>1</v>
      </c>
      <c r="Y1857" s="218">
        <v>1</v>
      </c>
    </row>
    <row r="1858" spans="1:25" x14ac:dyDescent="0.3">
      <c r="A1858" s="1" t="s">
        <v>5224</v>
      </c>
      <c r="B1858" s="5">
        <v>46187</v>
      </c>
      <c r="C1858" s="6">
        <v>0.41666666666666702</v>
      </c>
      <c r="D1858" s="1" t="s">
        <v>30</v>
      </c>
      <c r="E1858" s="1" t="s">
        <v>32</v>
      </c>
      <c r="F1858" s="1" t="s">
        <v>5225</v>
      </c>
      <c r="G1858" s="39" t="s">
        <v>5065</v>
      </c>
      <c r="H1858" s="1">
        <v>1</v>
      </c>
      <c r="I1858" s="1">
        <v>1</v>
      </c>
      <c r="J1858" s="39" t="s">
        <v>950</v>
      </c>
      <c r="K1858" s="1">
        <v>1</v>
      </c>
      <c r="L1858" s="1">
        <v>1</v>
      </c>
      <c r="S1858" s="1" t="s">
        <v>5226</v>
      </c>
      <c r="T1858" s="1">
        <v>1</v>
      </c>
      <c r="U1858" s="19"/>
      <c r="V1858" s="19"/>
      <c r="W1858" s="218">
        <v>1</v>
      </c>
      <c r="X1858" s="218">
        <v>1</v>
      </c>
      <c r="Y1858" s="218">
        <v>1</v>
      </c>
    </row>
    <row r="1859" spans="1:25" x14ac:dyDescent="0.3">
      <c r="A1859" s="1" t="s">
        <v>5227</v>
      </c>
      <c r="B1859" s="5">
        <v>46172</v>
      </c>
      <c r="C1859" s="6">
        <v>0.41666666666666702</v>
      </c>
      <c r="D1859" s="1" t="s">
        <v>30</v>
      </c>
      <c r="E1859" s="1" t="s">
        <v>32</v>
      </c>
      <c r="F1859" s="1" t="s">
        <v>5228</v>
      </c>
      <c r="G1859" s="39" t="s">
        <v>5065</v>
      </c>
      <c r="H1859" s="1">
        <v>1</v>
      </c>
      <c r="I1859" s="1">
        <v>3</v>
      </c>
      <c r="J1859" s="39" t="s">
        <v>67</v>
      </c>
      <c r="K1859" s="1">
        <v>3</v>
      </c>
      <c r="L1859" s="1">
        <v>1</v>
      </c>
      <c r="S1859" s="1" t="s">
        <v>5229</v>
      </c>
      <c r="T1859" s="1">
        <v>1</v>
      </c>
      <c r="U1859" s="19"/>
      <c r="V1859" s="19"/>
      <c r="W1859" s="218">
        <v>1</v>
      </c>
      <c r="X1859" s="218">
        <v>1</v>
      </c>
      <c r="Y1859" s="218">
        <v>1</v>
      </c>
    </row>
    <row r="1860" spans="1:25" x14ac:dyDescent="0.3">
      <c r="A1860" s="1" t="s">
        <v>5230</v>
      </c>
      <c r="B1860" s="5">
        <v>46165</v>
      </c>
      <c r="C1860" s="6">
        <v>0.41666666666666702</v>
      </c>
      <c r="D1860" s="1" t="s">
        <v>30</v>
      </c>
      <c r="E1860" s="1" t="s">
        <v>32</v>
      </c>
      <c r="F1860" s="1" t="s">
        <v>5231</v>
      </c>
      <c r="G1860" s="39" t="s">
        <v>5039</v>
      </c>
      <c r="H1860" s="1">
        <v>2</v>
      </c>
      <c r="I1860" s="1">
        <v>1</v>
      </c>
      <c r="J1860" s="39" t="s">
        <v>5065</v>
      </c>
      <c r="K1860" s="1">
        <v>1</v>
      </c>
      <c r="L1860" s="1">
        <v>2</v>
      </c>
      <c r="S1860" s="1" t="s">
        <v>5232</v>
      </c>
      <c r="T1860" s="1">
        <v>1</v>
      </c>
      <c r="U1860" s="19"/>
      <c r="V1860" s="19"/>
      <c r="W1860" s="218">
        <v>1</v>
      </c>
      <c r="X1860" s="218">
        <v>1</v>
      </c>
      <c r="Y1860" s="218">
        <v>1</v>
      </c>
    </row>
    <row r="1861" spans="1:25" x14ac:dyDescent="0.3">
      <c r="A1861" s="1" t="s">
        <v>5233</v>
      </c>
      <c r="B1861" s="5">
        <v>46159</v>
      </c>
      <c r="C1861" s="6">
        <v>0.41666666666666702</v>
      </c>
      <c r="D1861" s="1" t="s">
        <v>30</v>
      </c>
      <c r="E1861" s="1" t="s">
        <v>32</v>
      </c>
      <c r="F1861" s="1" t="s">
        <v>5234</v>
      </c>
      <c r="G1861" s="39" t="s">
        <v>5010</v>
      </c>
      <c r="H1861" s="1">
        <v>1</v>
      </c>
      <c r="I1861" s="1">
        <v>4</v>
      </c>
      <c r="J1861" s="39" t="s">
        <v>5065</v>
      </c>
      <c r="K1861" s="1">
        <v>4</v>
      </c>
      <c r="L1861" s="1">
        <v>1</v>
      </c>
      <c r="S1861" s="1" t="s">
        <v>5235</v>
      </c>
      <c r="T1861" s="1">
        <v>1</v>
      </c>
      <c r="U1861" s="19"/>
      <c r="V1861" s="19"/>
      <c r="W1861" s="218">
        <v>1</v>
      </c>
      <c r="X1861" s="218">
        <v>1</v>
      </c>
      <c r="Y1861" s="218">
        <v>1</v>
      </c>
    </row>
    <row r="1862" spans="1:25" x14ac:dyDescent="0.3">
      <c r="A1862" s="1" t="s">
        <v>5236</v>
      </c>
      <c r="B1862" s="5">
        <v>46222</v>
      </c>
      <c r="C1862" s="6">
        <v>0.41666666666666702</v>
      </c>
      <c r="D1862" s="1" t="s">
        <v>30</v>
      </c>
      <c r="E1862" s="1" t="s">
        <v>32</v>
      </c>
      <c r="F1862" s="1" t="s">
        <v>5237</v>
      </c>
      <c r="G1862" s="39" t="s">
        <v>4992</v>
      </c>
      <c r="H1862" s="1">
        <v>2</v>
      </c>
      <c r="I1862" s="1">
        <v>0</v>
      </c>
      <c r="J1862" s="39" t="s">
        <v>5014</v>
      </c>
      <c r="K1862" s="1">
        <v>0</v>
      </c>
      <c r="L1862" s="1">
        <v>2</v>
      </c>
      <c r="S1862" s="1" t="s">
        <v>5238</v>
      </c>
      <c r="T1862" s="1">
        <v>1</v>
      </c>
      <c r="U1862" s="19"/>
      <c r="V1862" s="19"/>
      <c r="W1862" s="218">
        <v>1</v>
      </c>
      <c r="X1862" s="218">
        <v>1</v>
      </c>
      <c r="Y1862" s="218">
        <v>1</v>
      </c>
    </row>
    <row r="1863" spans="1:25" x14ac:dyDescent="0.3">
      <c r="A1863" s="1" t="s">
        <v>5239</v>
      </c>
      <c r="B1863" s="5">
        <v>46194</v>
      </c>
      <c r="C1863" s="6">
        <v>0.41666666666666702</v>
      </c>
      <c r="D1863" s="1" t="s">
        <v>30</v>
      </c>
      <c r="E1863" s="1" t="s">
        <v>32</v>
      </c>
      <c r="F1863" s="1" t="s">
        <v>5240</v>
      </c>
      <c r="G1863" s="39" t="s">
        <v>5039</v>
      </c>
      <c r="H1863" s="1">
        <v>0</v>
      </c>
      <c r="I1863" s="1">
        <v>0</v>
      </c>
      <c r="J1863" s="39" t="s">
        <v>4992</v>
      </c>
      <c r="K1863" s="1">
        <v>0</v>
      </c>
      <c r="L1863" s="1">
        <v>0</v>
      </c>
      <c r="S1863" s="1" t="s">
        <v>5241</v>
      </c>
      <c r="T1863" s="1">
        <v>1</v>
      </c>
      <c r="U1863" s="19"/>
      <c r="V1863" s="19"/>
      <c r="W1863" s="218">
        <v>1</v>
      </c>
      <c r="X1863" s="218">
        <v>1</v>
      </c>
      <c r="Y1863" s="218">
        <v>1</v>
      </c>
    </row>
    <row r="1864" spans="1:25" x14ac:dyDescent="0.3">
      <c r="A1864" s="1" t="s">
        <v>5242</v>
      </c>
      <c r="B1864" s="5">
        <v>46182</v>
      </c>
      <c r="C1864" s="6">
        <v>0.58333333333333404</v>
      </c>
      <c r="D1864" s="1" t="s">
        <v>30</v>
      </c>
      <c r="E1864" s="1" t="s">
        <v>32</v>
      </c>
      <c r="F1864" s="1" t="s">
        <v>5243</v>
      </c>
      <c r="G1864" s="39" t="s">
        <v>4992</v>
      </c>
      <c r="H1864" s="1">
        <v>1</v>
      </c>
      <c r="I1864" s="1">
        <v>1</v>
      </c>
      <c r="J1864" s="39" t="s">
        <v>950</v>
      </c>
      <c r="K1864" s="1">
        <v>1</v>
      </c>
      <c r="L1864" s="1">
        <v>1</v>
      </c>
      <c r="S1864" s="1" t="s">
        <v>5244</v>
      </c>
      <c r="T1864" s="1">
        <v>1</v>
      </c>
      <c r="U1864" s="19"/>
      <c r="V1864" s="19"/>
      <c r="W1864" s="218">
        <v>1</v>
      </c>
      <c r="X1864" s="218">
        <v>1</v>
      </c>
      <c r="Y1864" s="218">
        <v>1</v>
      </c>
    </row>
    <row r="1865" spans="1:25" x14ac:dyDescent="0.3">
      <c r="A1865" s="1" t="s">
        <v>5245</v>
      </c>
      <c r="B1865" s="5">
        <v>46244</v>
      </c>
      <c r="C1865" s="6">
        <v>0.58333333333333404</v>
      </c>
      <c r="D1865" s="1" t="s">
        <v>30</v>
      </c>
      <c r="E1865" s="1" t="s">
        <v>32</v>
      </c>
      <c r="F1865" s="1" t="s">
        <v>5246</v>
      </c>
      <c r="G1865" s="39" t="s">
        <v>5039</v>
      </c>
      <c r="H1865" s="1">
        <v>3</v>
      </c>
      <c r="I1865" s="1">
        <v>1</v>
      </c>
      <c r="J1865" s="39" t="s">
        <v>5014</v>
      </c>
      <c r="K1865" s="1">
        <v>1</v>
      </c>
      <c r="L1865" s="1">
        <v>3</v>
      </c>
      <c r="S1865" s="1" t="s">
        <v>5247</v>
      </c>
      <c r="T1865" s="1">
        <v>1</v>
      </c>
      <c r="U1865" s="19"/>
      <c r="V1865" s="19"/>
      <c r="W1865" s="218">
        <v>1</v>
      </c>
      <c r="X1865" s="218">
        <v>1</v>
      </c>
      <c r="Y1865" s="218">
        <v>1</v>
      </c>
    </row>
    <row r="1866" spans="1:25" x14ac:dyDescent="0.3">
      <c r="A1866" s="1" t="s">
        <v>5248</v>
      </c>
      <c r="B1866" s="5">
        <v>46229</v>
      </c>
      <c r="C1866" s="6">
        <v>0.41666666666666702</v>
      </c>
      <c r="D1866" s="1" t="s">
        <v>30</v>
      </c>
      <c r="E1866" s="1" t="s">
        <v>32</v>
      </c>
      <c r="F1866" s="1" t="s">
        <v>5249</v>
      </c>
      <c r="G1866" s="39" t="s">
        <v>5039</v>
      </c>
      <c r="H1866" s="1">
        <v>2</v>
      </c>
      <c r="I1866" s="1">
        <v>2</v>
      </c>
      <c r="J1866" s="39" t="s">
        <v>950</v>
      </c>
      <c r="K1866" s="1">
        <v>2</v>
      </c>
      <c r="L1866" s="1">
        <v>2</v>
      </c>
      <c r="S1866" s="1" t="s">
        <v>5250</v>
      </c>
      <c r="T1866" s="1">
        <v>1</v>
      </c>
      <c r="U1866" s="19"/>
      <c r="V1866" s="19"/>
      <c r="W1866" s="218">
        <v>1</v>
      </c>
      <c r="X1866" s="218">
        <v>1</v>
      </c>
      <c r="Y1866" s="218">
        <v>1</v>
      </c>
    </row>
    <row r="1867" spans="1:25" x14ac:dyDescent="0.3">
      <c r="A1867" s="1" t="s">
        <v>5251</v>
      </c>
      <c r="B1867" s="5">
        <v>46183</v>
      </c>
      <c r="C1867" s="6">
        <v>0.58333333333333404</v>
      </c>
      <c r="D1867" s="1" t="s">
        <v>30</v>
      </c>
      <c r="E1867" s="1" t="s">
        <v>32</v>
      </c>
      <c r="F1867" s="1" t="s">
        <v>5252</v>
      </c>
      <c r="G1867" s="39" t="s">
        <v>67</v>
      </c>
      <c r="H1867" s="1">
        <v>2</v>
      </c>
      <c r="I1867" s="1">
        <v>0</v>
      </c>
      <c r="J1867" s="39" t="s">
        <v>5039</v>
      </c>
      <c r="K1867" s="1">
        <v>0</v>
      </c>
      <c r="L1867" s="1">
        <v>2</v>
      </c>
      <c r="S1867" s="1" t="s">
        <v>5253</v>
      </c>
      <c r="T1867" s="1">
        <v>1</v>
      </c>
      <c r="U1867" s="19"/>
      <c r="V1867" s="19"/>
      <c r="W1867" s="218">
        <v>1</v>
      </c>
      <c r="X1867" s="218">
        <v>1</v>
      </c>
      <c r="Y1867" s="218">
        <v>1</v>
      </c>
    </row>
    <row r="1868" spans="1:25" x14ac:dyDescent="0.3">
      <c r="A1868" s="1" t="s">
        <v>5254</v>
      </c>
      <c r="B1868" s="5">
        <v>46172</v>
      </c>
      <c r="C1868" s="6">
        <v>0.41666666666666702</v>
      </c>
      <c r="D1868" s="1" t="s">
        <v>30</v>
      </c>
      <c r="E1868" s="1" t="s">
        <v>32</v>
      </c>
      <c r="F1868" s="1" t="s">
        <v>5255</v>
      </c>
      <c r="G1868" s="39" t="s">
        <v>5010</v>
      </c>
      <c r="H1868" s="1">
        <v>2</v>
      </c>
      <c r="I1868" s="1">
        <v>1</v>
      </c>
      <c r="J1868" s="39" t="s">
        <v>5039</v>
      </c>
      <c r="K1868" s="1">
        <v>1</v>
      </c>
      <c r="L1868" s="1">
        <v>2</v>
      </c>
      <c r="S1868" s="1" t="s">
        <v>5256</v>
      </c>
      <c r="T1868" s="1">
        <v>1</v>
      </c>
      <c r="U1868" s="19"/>
      <c r="V1868" s="19"/>
      <c r="W1868" s="218">
        <v>1</v>
      </c>
      <c r="X1868" s="218">
        <v>1</v>
      </c>
      <c r="Y1868" s="218">
        <v>1</v>
      </c>
    </row>
    <row r="1869" spans="1:25" x14ac:dyDescent="0.3">
      <c r="A1869" s="1" t="s">
        <v>5257</v>
      </c>
      <c r="B1869" s="5">
        <v>46154</v>
      </c>
      <c r="C1869" s="6">
        <v>0.58333333333333404</v>
      </c>
      <c r="D1869" s="1" t="s">
        <v>30</v>
      </c>
      <c r="E1869" s="1" t="s">
        <v>32</v>
      </c>
      <c r="F1869" s="1" t="s">
        <v>5258</v>
      </c>
      <c r="G1869" s="39" t="s">
        <v>5061</v>
      </c>
      <c r="H1869" s="1">
        <v>1</v>
      </c>
      <c r="I1869" s="1">
        <v>1</v>
      </c>
      <c r="J1869" s="39" t="s">
        <v>5039</v>
      </c>
      <c r="K1869" s="1">
        <v>1</v>
      </c>
      <c r="L1869" s="1">
        <v>1</v>
      </c>
      <c r="S1869" s="1" t="s">
        <v>5259</v>
      </c>
      <c r="T1869" s="1">
        <v>1</v>
      </c>
      <c r="U1869" s="19"/>
      <c r="V1869" s="19"/>
      <c r="W1869" s="218">
        <v>1</v>
      </c>
      <c r="X1869" s="218">
        <v>1</v>
      </c>
      <c r="Y1869" s="218">
        <v>1</v>
      </c>
    </row>
    <row r="1870" spans="1:25" x14ac:dyDescent="0.3">
      <c r="A1870" s="1" t="s">
        <v>5260</v>
      </c>
      <c r="B1870" s="5">
        <v>46243</v>
      </c>
      <c r="C1870" s="6">
        <v>0.41666666666666702</v>
      </c>
      <c r="D1870" s="1" t="s">
        <v>30</v>
      </c>
      <c r="E1870" s="1" t="s">
        <v>32</v>
      </c>
      <c r="F1870" s="1" t="s">
        <v>5261</v>
      </c>
      <c r="G1870" s="39" t="s">
        <v>67</v>
      </c>
      <c r="H1870" s="1">
        <v>0</v>
      </c>
      <c r="I1870" s="1">
        <v>1</v>
      </c>
      <c r="J1870" s="39" t="s">
        <v>5018</v>
      </c>
      <c r="K1870" s="1">
        <v>1</v>
      </c>
      <c r="L1870" s="1">
        <v>0</v>
      </c>
      <c r="S1870" s="1" t="s">
        <v>5262</v>
      </c>
      <c r="T1870" s="1">
        <v>1</v>
      </c>
      <c r="U1870" s="19"/>
      <c r="V1870" s="19"/>
      <c r="W1870" s="218">
        <v>1</v>
      </c>
      <c r="X1870" s="218">
        <v>1</v>
      </c>
      <c r="Y1870" s="218">
        <v>1</v>
      </c>
    </row>
    <row r="1871" spans="1:25" x14ac:dyDescent="0.3">
      <c r="A1871" s="1" t="s">
        <v>5263</v>
      </c>
      <c r="B1871" s="5">
        <v>46195</v>
      </c>
      <c r="C1871" s="6">
        <v>0.58333333333333404</v>
      </c>
      <c r="D1871" s="1" t="s">
        <v>30</v>
      </c>
      <c r="E1871" s="1" t="s">
        <v>32</v>
      </c>
      <c r="F1871" s="1" t="s">
        <v>5264</v>
      </c>
      <c r="G1871" s="39" t="s">
        <v>5014</v>
      </c>
      <c r="H1871" s="1">
        <v>1</v>
      </c>
      <c r="I1871" s="1">
        <v>1</v>
      </c>
      <c r="J1871" s="39" t="s">
        <v>5018</v>
      </c>
      <c r="K1871" s="1">
        <v>1</v>
      </c>
      <c r="L1871" s="1">
        <v>1</v>
      </c>
      <c r="S1871" s="1" t="s">
        <v>5265</v>
      </c>
      <c r="T1871" s="1">
        <v>1</v>
      </c>
      <c r="U1871" s="19"/>
      <c r="V1871" s="19"/>
      <c r="W1871" s="218">
        <v>1</v>
      </c>
      <c r="X1871" s="218">
        <v>1</v>
      </c>
      <c r="Y1871" s="218">
        <v>1</v>
      </c>
    </row>
    <row r="1872" spans="1:25" x14ac:dyDescent="0.3">
      <c r="A1872" s="1" t="s">
        <v>5266</v>
      </c>
      <c r="B1872" s="5">
        <v>46159</v>
      </c>
      <c r="C1872" s="6">
        <v>0.41666666666666702</v>
      </c>
      <c r="D1872" s="1" t="s">
        <v>30</v>
      </c>
      <c r="E1872" s="1" t="s">
        <v>32</v>
      </c>
      <c r="F1872" s="1" t="s">
        <v>5267</v>
      </c>
      <c r="G1872" s="39" t="s">
        <v>950</v>
      </c>
      <c r="H1872" s="1">
        <v>2</v>
      </c>
      <c r="I1872" s="1">
        <v>1</v>
      </c>
      <c r="J1872" s="39" t="s">
        <v>5018</v>
      </c>
      <c r="K1872" s="1">
        <v>1</v>
      </c>
      <c r="L1872" s="1">
        <v>2</v>
      </c>
      <c r="S1872" s="1" t="s">
        <v>5268</v>
      </c>
      <c r="T1872" s="1">
        <v>1</v>
      </c>
      <c r="U1872" s="19"/>
      <c r="V1872" s="19"/>
      <c r="W1872" s="218">
        <v>1</v>
      </c>
      <c r="X1872" s="218">
        <v>1</v>
      </c>
      <c r="Y1872" s="218">
        <v>1</v>
      </c>
    </row>
    <row r="1873" spans="1:25" x14ac:dyDescent="0.3">
      <c r="A1873" s="1" t="s">
        <v>5269</v>
      </c>
      <c r="B1873" s="5">
        <v>46155</v>
      </c>
      <c r="C1873" s="6">
        <v>0.58333333333333404</v>
      </c>
      <c r="D1873" s="1" t="s">
        <v>30</v>
      </c>
      <c r="E1873" s="1" t="s">
        <v>32</v>
      </c>
      <c r="F1873" s="1" t="s">
        <v>5270</v>
      </c>
      <c r="G1873" s="39" t="s">
        <v>5010</v>
      </c>
      <c r="H1873" s="1">
        <v>1</v>
      </c>
      <c r="I1873" s="1">
        <v>0</v>
      </c>
      <c r="J1873" s="39" t="s">
        <v>5018</v>
      </c>
      <c r="K1873" s="1">
        <v>0</v>
      </c>
      <c r="L1873" s="1">
        <v>1</v>
      </c>
      <c r="S1873" s="1" t="s">
        <v>5271</v>
      </c>
      <c r="T1873" s="1">
        <v>1</v>
      </c>
      <c r="U1873" s="19"/>
      <c r="V1873" s="19"/>
      <c r="W1873" s="218">
        <v>1</v>
      </c>
      <c r="X1873" s="218">
        <v>1</v>
      </c>
      <c r="Y1873" s="218">
        <v>1</v>
      </c>
    </row>
    <row r="1874" spans="1:25" x14ac:dyDescent="0.3">
      <c r="A1874" s="1" t="s">
        <v>5273</v>
      </c>
      <c r="B1874" s="5">
        <v>46235</v>
      </c>
      <c r="C1874" s="6">
        <v>0.33333333333333398</v>
      </c>
      <c r="D1874" s="1" t="s">
        <v>30</v>
      </c>
      <c r="E1874" s="1" t="s">
        <v>32</v>
      </c>
      <c r="F1874" s="1" t="s">
        <v>5274</v>
      </c>
      <c r="G1874" s="39" t="s">
        <v>950</v>
      </c>
      <c r="H1874" s="1">
        <v>1</v>
      </c>
      <c r="I1874" s="1">
        <v>0</v>
      </c>
      <c r="J1874" s="39" t="s">
        <v>5010</v>
      </c>
      <c r="K1874" s="1">
        <v>0</v>
      </c>
      <c r="L1874" s="1">
        <v>1</v>
      </c>
      <c r="S1874" s="1" t="s">
        <v>5275</v>
      </c>
      <c r="T1874" s="1">
        <v>1</v>
      </c>
      <c r="U1874" s="19"/>
      <c r="V1874" s="19"/>
      <c r="W1874" s="218">
        <v>1</v>
      </c>
      <c r="X1874" s="218">
        <v>1</v>
      </c>
      <c r="Y1874" s="218">
        <v>1</v>
      </c>
    </row>
    <row r="1875" spans="1:25" x14ac:dyDescent="0.3">
      <c r="A1875" s="1" t="s">
        <v>5276</v>
      </c>
      <c r="B1875" s="5">
        <v>46200</v>
      </c>
      <c r="C1875" s="6">
        <v>0.41666666666666702</v>
      </c>
      <c r="D1875" s="1" t="s">
        <v>30</v>
      </c>
      <c r="E1875" s="1" t="s">
        <v>32</v>
      </c>
      <c r="F1875" s="1" t="s">
        <v>5277</v>
      </c>
      <c r="G1875" s="39" t="s">
        <v>67</v>
      </c>
      <c r="H1875" s="1">
        <v>2</v>
      </c>
      <c r="I1875" s="1">
        <v>1</v>
      </c>
      <c r="J1875" s="39" t="s">
        <v>5010</v>
      </c>
      <c r="K1875" s="1">
        <v>1</v>
      </c>
      <c r="L1875" s="1">
        <v>2</v>
      </c>
      <c r="S1875" s="1" t="s">
        <v>5278</v>
      </c>
      <c r="T1875" s="1">
        <v>1</v>
      </c>
      <c r="U1875" s="19"/>
      <c r="V1875" s="19"/>
      <c r="W1875" s="218">
        <v>1</v>
      </c>
      <c r="X1875" s="218">
        <v>1</v>
      </c>
      <c r="Y1875" s="218">
        <v>1</v>
      </c>
    </row>
    <row r="1876" spans="1:25" x14ac:dyDescent="0.3">
      <c r="A1876" s="1" t="s">
        <v>5279</v>
      </c>
      <c r="B1876" s="5">
        <v>46173</v>
      </c>
      <c r="C1876" s="6">
        <v>0.58333333333333404</v>
      </c>
      <c r="D1876" s="1" t="s">
        <v>30</v>
      </c>
      <c r="E1876" s="1" t="s">
        <v>32</v>
      </c>
      <c r="F1876" s="1" t="s">
        <v>5280</v>
      </c>
      <c r="G1876" s="39" t="s">
        <v>950</v>
      </c>
      <c r="H1876" s="1">
        <v>3</v>
      </c>
      <c r="I1876" s="1">
        <v>2</v>
      </c>
      <c r="J1876" s="39" t="s">
        <v>5014</v>
      </c>
      <c r="K1876" s="1">
        <v>2</v>
      </c>
      <c r="L1876" s="1">
        <v>3</v>
      </c>
      <c r="S1876" s="1" t="s">
        <v>5281</v>
      </c>
      <c r="T1876" s="1">
        <v>1</v>
      </c>
      <c r="U1876" s="19"/>
      <c r="V1876" s="19"/>
      <c r="W1876" s="218">
        <v>1</v>
      </c>
      <c r="X1876" s="218">
        <v>1</v>
      </c>
      <c r="Y1876" s="218">
        <v>1</v>
      </c>
    </row>
    <row r="1877" spans="1:25" x14ac:dyDescent="0.3">
      <c r="A1877" s="1" t="s">
        <v>5287</v>
      </c>
      <c r="B1877" s="5">
        <v>46242</v>
      </c>
      <c r="C1877" s="6">
        <v>0.33333333333333298</v>
      </c>
      <c r="D1877" s="1" t="s">
        <v>30</v>
      </c>
      <c r="E1877" s="1" t="s">
        <v>34</v>
      </c>
      <c r="F1877" s="1" t="s">
        <v>10394</v>
      </c>
      <c r="G1877" s="39" t="s">
        <v>10395</v>
      </c>
      <c r="H1877" s="1">
        <v>1</v>
      </c>
      <c r="I1877" s="1">
        <v>2</v>
      </c>
      <c r="J1877" s="39" t="s">
        <v>283</v>
      </c>
      <c r="K1877" s="1">
        <v>2</v>
      </c>
      <c r="L1877" s="1">
        <v>1</v>
      </c>
      <c r="S1877" s="1" t="s">
        <v>10396</v>
      </c>
      <c r="T1877" s="1">
        <v>1</v>
      </c>
      <c r="U1877" s="19"/>
      <c r="V1877" s="19"/>
      <c r="W1877" s="218">
        <v>1</v>
      </c>
      <c r="X1877" s="218">
        <v>1</v>
      </c>
      <c r="Y1877" s="218">
        <v>1</v>
      </c>
    </row>
    <row r="1878" spans="1:25" x14ac:dyDescent="0.3">
      <c r="A1878" s="1" t="s">
        <v>5288</v>
      </c>
      <c r="B1878" s="5">
        <v>46235</v>
      </c>
      <c r="C1878" s="6">
        <v>0.33333333333333298</v>
      </c>
      <c r="D1878" s="1" t="s">
        <v>30</v>
      </c>
      <c r="E1878" s="1" t="s">
        <v>34</v>
      </c>
      <c r="F1878" s="1" t="s">
        <v>10397</v>
      </c>
      <c r="G1878" s="39" t="s">
        <v>5289</v>
      </c>
      <c r="H1878" s="1">
        <v>2</v>
      </c>
      <c r="I1878" s="1">
        <v>2</v>
      </c>
      <c r="J1878" s="39" t="s">
        <v>10395</v>
      </c>
      <c r="K1878" s="1">
        <v>2</v>
      </c>
      <c r="L1878" s="1">
        <v>2</v>
      </c>
      <c r="S1878" s="1" t="s">
        <v>10398</v>
      </c>
      <c r="T1878" s="1">
        <v>1</v>
      </c>
      <c r="U1878" s="19"/>
      <c r="V1878" s="19"/>
      <c r="W1878" s="218">
        <v>1</v>
      </c>
      <c r="X1878" s="218">
        <v>1</v>
      </c>
      <c r="Y1878" s="218">
        <v>1</v>
      </c>
    </row>
    <row r="1879" spans="1:25" x14ac:dyDescent="0.3">
      <c r="A1879" s="1" t="s">
        <v>5290</v>
      </c>
      <c r="B1879" s="5">
        <v>46200</v>
      </c>
      <c r="C1879" s="6">
        <v>0.41666666666666702</v>
      </c>
      <c r="D1879" s="1" t="s">
        <v>30</v>
      </c>
      <c r="E1879" s="1" t="s">
        <v>34</v>
      </c>
      <c r="F1879" s="1" t="s">
        <v>10399</v>
      </c>
      <c r="G1879" s="39" t="s">
        <v>10395</v>
      </c>
      <c r="H1879" s="1">
        <v>1</v>
      </c>
      <c r="I1879" s="1">
        <v>0</v>
      </c>
      <c r="J1879" s="39" t="s">
        <v>5285</v>
      </c>
      <c r="K1879" s="1">
        <v>0</v>
      </c>
      <c r="L1879" s="1">
        <v>1</v>
      </c>
      <c r="S1879" s="1" t="s">
        <v>10400</v>
      </c>
      <c r="T1879" s="1">
        <v>1</v>
      </c>
      <c r="U1879" s="19"/>
      <c r="V1879" s="19"/>
      <c r="W1879" s="218">
        <v>1</v>
      </c>
      <c r="X1879" s="218">
        <v>1</v>
      </c>
      <c r="Y1879" s="218">
        <v>1</v>
      </c>
    </row>
    <row r="1880" spans="1:25" x14ac:dyDescent="0.3">
      <c r="A1880" s="1" t="s">
        <v>5291</v>
      </c>
      <c r="B1880" s="5">
        <v>46194</v>
      </c>
      <c r="C1880" s="6">
        <v>0.41666666666666702</v>
      </c>
      <c r="D1880" s="1" t="s">
        <v>30</v>
      </c>
      <c r="E1880" s="1" t="s">
        <v>34</v>
      </c>
      <c r="F1880" s="1" t="s">
        <v>10401</v>
      </c>
      <c r="G1880" s="39" t="s">
        <v>10395</v>
      </c>
      <c r="H1880" s="1">
        <v>1</v>
      </c>
      <c r="I1880" s="1">
        <v>2</v>
      </c>
      <c r="J1880" s="39" t="s">
        <v>5292</v>
      </c>
      <c r="K1880" s="1">
        <v>2</v>
      </c>
      <c r="L1880" s="1">
        <v>1</v>
      </c>
      <c r="S1880" s="1" t="s">
        <v>10402</v>
      </c>
      <c r="T1880" s="1">
        <v>1</v>
      </c>
      <c r="U1880" s="19"/>
      <c r="V1880" s="19"/>
      <c r="W1880" s="218">
        <v>1</v>
      </c>
      <c r="X1880" s="218">
        <v>1</v>
      </c>
      <c r="Y1880" s="218">
        <v>1</v>
      </c>
    </row>
    <row r="1881" spans="1:25" x14ac:dyDescent="0.3">
      <c r="A1881" s="1" t="s">
        <v>5293</v>
      </c>
      <c r="B1881" s="5">
        <v>46185</v>
      </c>
      <c r="C1881" s="6">
        <v>0.58333333333333304</v>
      </c>
      <c r="D1881" s="1" t="s">
        <v>30</v>
      </c>
      <c r="E1881" s="1" t="s">
        <v>34</v>
      </c>
      <c r="F1881" s="1" t="s">
        <v>10403</v>
      </c>
      <c r="G1881" s="39" t="s">
        <v>284</v>
      </c>
      <c r="H1881" s="1">
        <v>1</v>
      </c>
      <c r="I1881" s="1">
        <v>4</v>
      </c>
      <c r="J1881" s="39" t="s">
        <v>10395</v>
      </c>
      <c r="K1881" s="1">
        <v>4</v>
      </c>
      <c r="L1881" s="1">
        <v>1</v>
      </c>
      <c r="S1881" s="1" t="s">
        <v>10404</v>
      </c>
      <c r="T1881" s="1">
        <v>1</v>
      </c>
      <c r="U1881" s="19"/>
      <c r="V1881" s="19"/>
      <c r="W1881" s="218">
        <v>1</v>
      </c>
      <c r="X1881" s="218">
        <v>1</v>
      </c>
      <c r="Y1881" s="218">
        <v>1</v>
      </c>
    </row>
    <row r="1882" spans="1:25" x14ac:dyDescent="0.3">
      <c r="A1882" s="1" t="s">
        <v>5294</v>
      </c>
      <c r="B1882" s="5">
        <v>46180</v>
      </c>
      <c r="C1882" s="6">
        <v>0.41666666666666702</v>
      </c>
      <c r="D1882" s="1" t="s">
        <v>30</v>
      </c>
      <c r="E1882" s="1" t="s">
        <v>34</v>
      </c>
      <c r="F1882" s="1" t="s">
        <v>10405</v>
      </c>
      <c r="G1882" s="39" t="s">
        <v>10395</v>
      </c>
      <c r="H1882" s="1">
        <v>2</v>
      </c>
      <c r="I1882" s="1">
        <v>1</v>
      </c>
      <c r="J1882" s="39" t="s">
        <v>5295</v>
      </c>
      <c r="K1882" s="1">
        <v>1</v>
      </c>
      <c r="L1882" s="1">
        <v>2</v>
      </c>
      <c r="S1882" s="1" t="s">
        <v>10406</v>
      </c>
      <c r="T1882" s="1">
        <v>1</v>
      </c>
      <c r="U1882" s="19"/>
      <c r="V1882" s="19"/>
      <c r="W1882" s="218">
        <v>1</v>
      </c>
      <c r="X1882" s="218">
        <v>1</v>
      </c>
      <c r="Y1882" s="218">
        <v>1</v>
      </c>
    </row>
    <row r="1883" spans="1:25" x14ac:dyDescent="0.3">
      <c r="A1883" s="1" t="s">
        <v>5296</v>
      </c>
      <c r="B1883" s="5">
        <v>46172</v>
      </c>
      <c r="C1883" s="6">
        <v>0.41666666666666702</v>
      </c>
      <c r="D1883" s="1" t="s">
        <v>30</v>
      </c>
      <c r="E1883" s="1" t="s">
        <v>34</v>
      </c>
      <c r="F1883" s="1" t="s">
        <v>10407</v>
      </c>
      <c r="G1883" s="39" t="s">
        <v>10395</v>
      </c>
      <c r="H1883" s="1">
        <v>4</v>
      </c>
      <c r="I1883" s="1">
        <v>2</v>
      </c>
      <c r="J1883" s="39" t="s">
        <v>5297</v>
      </c>
      <c r="K1883" s="1">
        <v>2</v>
      </c>
      <c r="L1883" s="1">
        <v>4</v>
      </c>
      <c r="S1883" s="1" t="s">
        <v>10408</v>
      </c>
      <c r="T1883" s="1">
        <v>1</v>
      </c>
      <c r="U1883" s="19"/>
      <c r="V1883" s="19"/>
      <c r="W1883" s="218">
        <v>1</v>
      </c>
      <c r="X1883" s="218">
        <v>1</v>
      </c>
      <c r="Y1883" s="218">
        <v>1</v>
      </c>
    </row>
    <row r="1884" spans="1:25" x14ac:dyDescent="0.3">
      <c r="A1884" s="1" t="s">
        <v>5298</v>
      </c>
      <c r="B1884" s="5">
        <v>46165</v>
      </c>
      <c r="C1884" s="6">
        <v>0.41666666666666702</v>
      </c>
      <c r="D1884" s="1" t="s">
        <v>30</v>
      </c>
      <c r="E1884" s="1" t="s">
        <v>34</v>
      </c>
      <c r="F1884" s="1" t="s">
        <v>10409</v>
      </c>
      <c r="G1884" s="39" t="s">
        <v>5299</v>
      </c>
      <c r="H1884" s="1">
        <v>0</v>
      </c>
      <c r="I1884" s="1">
        <v>4</v>
      </c>
      <c r="J1884" s="39" t="s">
        <v>10395</v>
      </c>
      <c r="K1884" s="1">
        <v>4</v>
      </c>
      <c r="L1884" s="1">
        <v>0</v>
      </c>
      <c r="S1884" s="1" t="s">
        <v>10410</v>
      </c>
      <c r="T1884" s="1">
        <v>1</v>
      </c>
      <c r="U1884" s="19"/>
      <c r="V1884" s="19"/>
      <c r="W1884" s="218">
        <v>1</v>
      </c>
      <c r="X1884" s="218">
        <v>1</v>
      </c>
      <c r="Y1884" s="218">
        <v>1</v>
      </c>
    </row>
    <row r="1885" spans="1:25" x14ac:dyDescent="0.3">
      <c r="A1885" s="1" t="s">
        <v>5300</v>
      </c>
      <c r="B1885" s="5">
        <v>46160</v>
      </c>
      <c r="C1885" s="6">
        <v>0.58333333333333304</v>
      </c>
      <c r="D1885" s="1" t="s">
        <v>30</v>
      </c>
      <c r="E1885" s="1" t="s">
        <v>34</v>
      </c>
      <c r="F1885" s="1" t="s">
        <v>10411</v>
      </c>
      <c r="G1885" s="39" t="s">
        <v>10395</v>
      </c>
      <c r="H1885" s="1">
        <v>0</v>
      </c>
      <c r="I1885" s="1">
        <v>1</v>
      </c>
      <c r="J1885" s="39" t="s">
        <v>5301</v>
      </c>
      <c r="K1885" s="1">
        <v>1</v>
      </c>
      <c r="L1885" s="1">
        <v>0</v>
      </c>
      <c r="S1885" s="1" t="s">
        <v>10412</v>
      </c>
      <c r="T1885" s="1">
        <v>1</v>
      </c>
      <c r="U1885" s="19"/>
      <c r="V1885" s="19"/>
      <c r="W1885" s="218">
        <v>1</v>
      </c>
      <c r="X1885" s="218">
        <v>1</v>
      </c>
      <c r="Y1885" s="218">
        <v>1</v>
      </c>
    </row>
    <row r="1886" spans="1:25" x14ac:dyDescent="0.3">
      <c r="A1886" s="1" t="s">
        <v>5302</v>
      </c>
      <c r="B1886" s="5">
        <v>46156</v>
      </c>
      <c r="C1886" s="6">
        <v>0.58333333333333304</v>
      </c>
      <c r="D1886" s="1" t="s">
        <v>30</v>
      </c>
      <c r="E1886" s="1" t="s">
        <v>34</v>
      </c>
      <c r="F1886" s="1" t="s">
        <v>10413</v>
      </c>
      <c r="G1886" s="39" t="s">
        <v>5303</v>
      </c>
      <c r="H1886" s="1">
        <v>0</v>
      </c>
      <c r="I1886" s="1">
        <v>2</v>
      </c>
      <c r="J1886" s="39" t="s">
        <v>10395</v>
      </c>
      <c r="K1886" s="1">
        <v>2</v>
      </c>
      <c r="L1886" s="1">
        <v>0</v>
      </c>
      <c r="S1886" s="1" t="s">
        <v>10414</v>
      </c>
      <c r="T1886" s="1">
        <v>1</v>
      </c>
      <c r="U1886" s="19"/>
      <c r="V1886" s="19"/>
      <c r="W1886" s="218">
        <v>1</v>
      </c>
      <c r="X1886" s="218">
        <v>1</v>
      </c>
      <c r="Y1886" s="218">
        <v>1</v>
      </c>
    </row>
    <row r="1887" spans="1:25" x14ac:dyDescent="0.3">
      <c r="A1887" s="1" t="s">
        <v>5304</v>
      </c>
      <c r="B1887" s="5">
        <v>46150</v>
      </c>
      <c r="C1887" s="6">
        <v>0.58333333333333304</v>
      </c>
      <c r="D1887" s="1" t="s">
        <v>30</v>
      </c>
      <c r="E1887" s="1" t="s">
        <v>34</v>
      </c>
      <c r="F1887" s="1" t="s">
        <v>10415</v>
      </c>
      <c r="G1887" s="39" t="s">
        <v>10395</v>
      </c>
      <c r="H1887" s="1">
        <v>3</v>
      </c>
      <c r="I1887" s="1">
        <v>2</v>
      </c>
      <c r="J1887" s="39" t="s">
        <v>5305</v>
      </c>
      <c r="K1887" s="1">
        <v>2</v>
      </c>
      <c r="L1887" s="1">
        <v>3</v>
      </c>
      <c r="S1887" s="1" t="s">
        <v>10416</v>
      </c>
      <c r="T1887" s="1">
        <v>1</v>
      </c>
      <c r="U1887" s="19"/>
      <c r="V1887" s="19"/>
      <c r="W1887" s="218">
        <v>1</v>
      </c>
      <c r="X1887" s="218">
        <v>1</v>
      </c>
      <c r="Y1887" s="218">
        <v>1</v>
      </c>
    </row>
    <row r="1888" spans="1:25" x14ac:dyDescent="0.3">
      <c r="A1888" s="1" t="s">
        <v>5306</v>
      </c>
      <c r="B1888" s="5">
        <v>46144</v>
      </c>
      <c r="C1888" s="6">
        <v>0.41666666666666702</v>
      </c>
      <c r="D1888" s="1" t="s">
        <v>30</v>
      </c>
      <c r="E1888" s="1" t="s">
        <v>34</v>
      </c>
      <c r="F1888" s="1" t="s">
        <v>10417</v>
      </c>
      <c r="G1888" s="39" t="s">
        <v>5307</v>
      </c>
      <c r="H1888" s="1">
        <v>0</v>
      </c>
      <c r="I1888" s="1">
        <v>3</v>
      </c>
      <c r="J1888" s="39" t="s">
        <v>10395</v>
      </c>
      <c r="K1888" s="1">
        <v>3</v>
      </c>
      <c r="L1888" s="1">
        <v>0</v>
      </c>
      <c r="S1888" s="1" t="s">
        <v>10418</v>
      </c>
      <c r="T1888" s="1">
        <v>1</v>
      </c>
      <c r="U1888" s="19"/>
      <c r="V1888" s="19"/>
      <c r="W1888" s="218">
        <v>1</v>
      </c>
      <c r="X1888" s="218">
        <v>1</v>
      </c>
      <c r="Y1888" s="218">
        <v>1</v>
      </c>
    </row>
    <row r="1889" spans="1:25" x14ac:dyDescent="0.3">
      <c r="A1889" s="1" t="s">
        <v>5308</v>
      </c>
      <c r="B1889" s="5">
        <v>46243</v>
      </c>
      <c r="C1889" s="6">
        <v>0.45833333333333298</v>
      </c>
      <c r="D1889" s="1" t="s">
        <v>30</v>
      </c>
      <c r="E1889" s="1" t="s">
        <v>34</v>
      </c>
      <c r="F1889" s="1" t="s">
        <v>5309</v>
      </c>
      <c r="G1889" s="39" t="s">
        <v>5285</v>
      </c>
      <c r="H1889" s="1">
        <v>2</v>
      </c>
      <c r="I1889" s="1">
        <v>0</v>
      </c>
      <c r="J1889" s="39" t="s">
        <v>5292</v>
      </c>
      <c r="K1889" s="1">
        <v>0</v>
      </c>
      <c r="L1889" s="1">
        <v>2</v>
      </c>
      <c r="S1889" s="1" t="s">
        <v>5310</v>
      </c>
      <c r="T1889" s="1">
        <v>1</v>
      </c>
      <c r="U1889" s="19"/>
      <c r="V1889" s="19"/>
      <c r="W1889" s="218">
        <v>1</v>
      </c>
      <c r="X1889" s="218">
        <v>1</v>
      </c>
      <c r="Y1889" s="218">
        <v>1</v>
      </c>
    </row>
    <row r="1890" spans="1:25" x14ac:dyDescent="0.3">
      <c r="A1890" s="1" t="s">
        <v>5311</v>
      </c>
      <c r="B1890" s="5">
        <v>46235</v>
      </c>
      <c r="C1890" s="6">
        <v>0.45833333333333298</v>
      </c>
      <c r="D1890" s="1" t="s">
        <v>30</v>
      </c>
      <c r="E1890" s="1" t="s">
        <v>34</v>
      </c>
      <c r="F1890" s="1" t="s">
        <v>5312</v>
      </c>
      <c r="G1890" s="39" t="s">
        <v>5292</v>
      </c>
      <c r="H1890" s="1">
        <v>3</v>
      </c>
      <c r="I1890" s="1">
        <v>1</v>
      </c>
      <c r="J1890" s="39" t="s">
        <v>5299</v>
      </c>
      <c r="K1890" s="1">
        <v>1</v>
      </c>
      <c r="L1890" s="1">
        <v>3</v>
      </c>
      <c r="S1890" s="1" t="s">
        <v>5313</v>
      </c>
      <c r="T1890" s="1">
        <v>1</v>
      </c>
      <c r="U1890" s="19"/>
      <c r="V1890" s="19"/>
      <c r="W1890" s="218">
        <v>1</v>
      </c>
      <c r="X1890" s="218">
        <v>1</v>
      </c>
      <c r="Y1890" s="218">
        <v>1</v>
      </c>
    </row>
    <row r="1891" spans="1:25" x14ac:dyDescent="0.3">
      <c r="A1891" s="1" t="s">
        <v>5314</v>
      </c>
      <c r="B1891" s="5">
        <v>46201</v>
      </c>
      <c r="C1891" s="6">
        <v>0.41666666666666702</v>
      </c>
      <c r="D1891" s="1" t="s">
        <v>30</v>
      </c>
      <c r="E1891" s="1" t="s">
        <v>34</v>
      </c>
      <c r="F1891" s="1" t="s">
        <v>5315</v>
      </c>
      <c r="G1891" s="39" t="s">
        <v>5292</v>
      </c>
      <c r="H1891" s="1">
        <v>2</v>
      </c>
      <c r="I1891" s="1">
        <v>1</v>
      </c>
      <c r="J1891" s="39" t="s">
        <v>5295</v>
      </c>
      <c r="K1891" s="1">
        <v>1</v>
      </c>
      <c r="L1891" s="1">
        <v>2</v>
      </c>
      <c r="S1891" s="1" t="s">
        <v>5316</v>
      </c>
      <c r="T1891" s="1">
        <v>1</v>
      </c>
      <c r="U1891" s="19"/>
      <c r="V1891" s="19"/>
      <c r="W1891" s="218">
        <v>1</v>
      </c>
      <c r="X1891" s="218">
        <v>1</v>
      </c>
      <c r="Y1891" s="218">
        <v>1</v>
      </c>
    </row>
    <row r="1892" spans="1:25" x14ac:dyDescent="0.3">
      <c r="A1892" s="1" t="s">
        <v>5317</v>
      </c>
      <c r="B1892" s="5">
        <v>46186</v>
      </c>
      <c r="C1892" s="6">
        <v>0.41666666666666702</v>
      </c>
      <c r="D1892" s="1" t="s">
        <v>30</v>
      </c>
      <c r="E1892" s="1" t="s">
        <v>34</v>
      </c>
      <c r="F1892" s="1" t="s">
        <v>5318</v>
      </c>
      <c r="G1892" s="39" t="s">
        <v>5292</v>
      </c>
      <c r="H1892" s="1">
        <v>3</v>
      </c>
      <c r="I1892" s="1">
        <v>2</v>
      </c>
      <c r="J1892" s="39" t="s">
        <v>5297</v>
      </c>
      <c r="K1892" s="1">
        <v>2</v>
      </c>
      <c r="L1892" s="1">
        <v>3</v>
      </c>
      <c r="S1892" s="1" t="s">
        <v>5319</v>
      </c>
      <c r="T1892" s="1">
        <v>1</v>
      </c>
      <c r="U1892" s="19"/>
      <c r="V1892" s="19"/>
      <c r="W1892" s="218">
        <v>1</v>
      </c>
      <c r="X1892" s="218">
        <v>1</v>
      </c>
      <c r="Y1892" s="218">
        <v>1</v>
      </c>
    </row>
    <row r="1893" spans="1:25" x14ac:dyDescent="0.3">
      <c r="A1893" s="1" t="s">
        <v>5320</v>
      </c>
      <c r="B1893" s="5">
        <v>46181</v>
      </c>
      <c r="C1893" s="6">
        <v>0.58333333333333304</v>
      </c>
      <c r="D1893" s="1" t="s">
        <v>30</v>
      </c>
      <c r="E1893" s="1" t="s">
        <v>34</v>
      </c>
      <c r="F1893" s="1" t="s">
        <v>5321</v>
      </c>
      <c r="G1893" s="39" t="s">
        <v>5289</v>
      </c>
      <c r="H1893" s="1">
        <v>1</v>
      </c>
      <c r="I1893" s="1">
        <v>1</v>
      </c>
      <c r="J1893" s="39" t="s">
        <v>5292</v>
      </c>
      <c r="K1893" s="1">
        <v>1</v>
      </c>
      <c r="L1893" s="1">
        <v>1</v>
      </c>
      <c r="S1893" s="1" t="s">
        <v>5322</v>
      </c>
      <c r="T1893" s="1">
        <v>1</v>
      </c>
      <c r="U1893" s="19"/>
      <c r="V1893" s="19"/>
      <c r="W1893" s="218">
        <v>1</v>
      </c>
      <c r="X1893" s="218">
        <v>1</v>
      </c>
      <c r="Y1893" s="218">
        <v>1</v>
      </c>
    </row>
    <row r="1894" spans="1:25" x14ac:dyDescent="0.3">
      <c r="A1894" s="1" t="s">
        <v>5323</v>
      </c>
      <c r="B1894" s="5">
        <v>46176</v>
      </c>
      <c r="C1894" s="6">
        <v>0.58333333333333304</v>
      </c>
      <c r="D1894" s="1" t="s">
        <v>30</v>
      </c>
      <c r="E1894" s="1" t="s">
        <v>34</v>
      </c>
      <c r="F1894" s="1" t="s">
        <v>5324</v>
      </c>
      <c r="G1894" s="39" t="s">
        <v>5292</v>
      </c>
      <c r="H1894" s="1">
        <v>1</v>
      </c>
      <c r="I1894" s="1">
        <v>3</v>
      </c>
      <c r="J1894" s="39" t="s">
        <v>284</v>
      </c>
      <c r="K1894" s="1">
        <v>3</v>
      </c>
      <c r="L1894" s="1">
        <v>1</v>
      </c>
      <c r="S1894" s="1" t="s">
        <v>5325</v>
      </c>
      <c r="T1894" s="1">
        <v>1</v>
      </c>
      <c r="U1894" s="19"/>
      <c r="V1894" s="19"/>
      <c r="W1894" s="218">
        <v>1</v>
      </c>
      <c r="X1894" s="218">
        <v>1</v>
      </c>
      <c r="Y1894" s="218">
        <v>1</v>
      </c>
    </row>
    <row r="1895" spans="1:25" x14ac:dyDescent="0.3">
      <c r="A1895" s="1" t="s">
        <v>5326</v>
      </c>
      <c r="B1895" s="5">
        <v>46165</v>
      </c>
      <c r="C1895" s="6">
        <v>0.41666666666666702</v>
      </c>
      <c r="D1895" s="1" t="s">
        <v>30</v>
      </c>
      <c r="E1895" s="1" t="s">
        <v>34</v>
      </c>
      <c r="F1895" s="1" t="s">
        <v>5327</v>
      </c>
      <c r="G1895" s="39" t="s">
        <v>5284</v>
      </c>
      <c r="H1895" s="1">
        <v>2</v>
      </c>
      <c r="I1895" s="1">
        <v>1</v>
      </c>
      <c r="J1895" s="39" t="s">
        <v>5292</v>
      </c>
      <c r="K1895" s="1">
        <v>1</v>
      </c>
      <c r="L1895" s="1">
        <v>2</v>
      </c>
      <c r="S1895" s="1" t="s">
        <v>5328</v>
      </c>
      <c r="T1895" s="1">
        <v>1</v>
      </c>
      <c r="U1895" s="19"/>
      <c r="V1895" s="19"/>
      <c r="W1895" s="218">
        <v>1</v>
      </c>
      <c r="X1895" s="218">
        <v>1</v>
      </c>
      <c r="Y1895" s="218">
        <v>1</v>
      </c>
    </row>
    <row r="1896" spans="1:25" x14ac:dyDescent="0.3">
      <c r="A1896" s="1" t="s">
        <v>5329</v>
      </c>
      <c r="B1896" s="5">
        <v>46159</v>
      </c>
      <c r="C1896" s="6">
        <v>0.41666666666666702</v>
      </c>
      <c r="D1896" s="1" t="s">
        <v>30</v>
      </c>
      <c r="E1896" s="1" t="s">
        <v>34</v>
      </c>
      <c r="F1896" s="1" t="s">
        <v>5330</v>
      </c>
      <c r="G1896" s="39" t="s">
        <v>5292</v>
      </c>
      <c r="H1896" s="1">
        <v>2</v>
      </c>
      <c r="I1896" s="1">
        <v>3</v>
      </c>
      <c r="J1896" s="39" t="s">
        <v>5331</v>
      </c>
      <c r="K1896" s="1">
        <v>3</v>
      </c>
      <c r="L1896" s="1">
        <v>2</v>
      </c>
      <c r="S1896" s="1" t="s">
        <v>5332</v>
      </c>
      <c r="T1896" s="1">
        <v>1</v>
      </c>
      <c r="U1896" s="19"/>
      <c r="V1896" s="19"/>
      <c r="W1896" s="218">
        <v>1</v>
      </c>
      <c r="X1896" s="218">
        <v>1</v>
      </c>
      <c r="Y1896" s="218">
        <v>1</v>
      </c>
    </row>
    <row r="1897" spans="1:25" x14ac:dyDescent="0.3">
      <c r="A1897" s="1" t="s">
        <v>5333</v>
      </c>
      <c r="B1897" s="5">
        <v>46156</v>
      </c>
      <c r="C1897" s="6">
        <v>0.58333333333333304</v>
      </c>
      <c r="D1897" s="1" t="s">
        <v>30</v>
      </c>
      <c r="E1897" s="1" t="s">
        <v>34</v>
      </c>
      <c r="F1897" s="1" t="s">
        <v>5334</v>
      </c>
      <c r="G1897" s="39" t="s">
        <v>5301</v>
      </c>
      <c r="H1897" s="1">
        <v>1</v>
      </c>
      <c r="I1897" s="1">
        <v>0</v>
      </c>
      <c r="J1897" s="39" t="s">
        <v>5292</v>
      </c>
      <c r="K1897" s="1">
        <v>0</v>
      </c>
      <c r="L1897" s="1">
        <v>1</v>
      </c>
      <c r="S1897" s="1" t="s">
        <v>5335</v>
      </c>
      <c r="T1897" s="1">
        <v>1</v>
      </c>
      <c r="U1897" s="19"/>
      <c r="V1897" s="19"/>
      <c r="W1897" s="218">
        <v>1</v>
      </c>
      <c r="X1897" s="218">
        <v>1</v>
      </c>
      <c r="Y1897" s="218">
        <v>1</v>
      </c>
    </row>
    <row r="1898" spans="1:25" x14ac:dyDescent="0.3">
      <c r="A1898" s="1" t="s">
        <v>5336</v>
      </c>
      <c r="B1898" s="5">
        <v>46151</v>
      </c>
      <c r="C1898" s="6">
        <v>0.41666666666666702</v>
      </c>
      <c r="D1898" s="1" t="s">
        <v>30</v>
      </c>
      <c r="E1898" s="1" t="s">
        <v>34</v>
      </c>
      <c r="F1898" s="1" t="s">
        <v>5337</v>
      </c>
      <c r="G1898" s="39" t="s">
        <v>5292</v>
      </c>
      <c r="H1898" s="1">
        <v>2</v>
      </c>
      <c r="I1898" s="1">
        <v>0</v>
      </c>
      <c r="J1898" s="39" t="s">
        <v>5338</v>
      </c>
      <c r="K1898" s="1">
        <v>0</v>
      </c>
      <c r="L1898" s="1">
        <v>2</v>
      </c>
      <c r="S1898" s="1" t="s">
        <v>5339</v>
      </c>
      <c r="T1898" s="1">
        <v>1</v>
      </c>
      <c r="U1898" s="19"/>
      <c r="V1898" s="19"/>
      <c r="W1898" s="218">
        <v>1</v>
      </c>
      <c r="X1898" s="218">
        <v>1</v>
      </c>
      <c r="Y1898" s="218">
        <v>1</v>
      </c>
    </row>
    <row r="1899" spans="1:25" x14ac:dyDescent="0.3">
      <c r="A1899" s="1" t="s">
        <v>5340</v>
      </c>
      <c r="B1899" s="5">
        <v>46144</v>
      </c>
      <c r="C1899" s="6">
        <v>0.41666666666666702</v>
      </c>
      <c r="D1899" s="1" t="s">
        <v>30</v>
      </c>
      <c r="E1899" s="1" t="s">
        <v>34</v>
      </c>
      <c r="F1899" s="1" t="s">
        <v>5341</v>
      </c>
      <c r="G1899" s="39" t="s">
        <v>283</v>
      </c>
      <c r="H1899" s="1">
        <v>2</v>
      </c>
      <c r="I1899" s="1">
        <v>1</v>
      </c>
      <c r="J1899" s="39" t="s">
        <v>5292</v>
      </c>
      <c r="K1899" s="1">
        <v>1</v>
      </c>
      <c r="L1899" s="1">
        <v>2</v>
      </c>
      <c r="S1899" s="1" t="s">
        <v>5342</v>
      </c>
      <c r="T1899" s="1">
        <v>1</v>
      </c>
      <c r="U1899" s="19"/>
      <c r="V1899" s="19"/>
      <c r="W1899" s="218">
        <v>1</v>
      </c>
      <c r="X1899" s="218">
        <v>1</v>
      </c>
      <c r="Y1899" s="218">
        <v>1</v>
      </c>
    </row>
    <row r="1900" spans="1:25" x14ac:dyDescent="0.3">
      <c r="A1900" s="1" t="s">
        <v>5343</v>
      </c>
      <c r="B1900" s="5">
        <v>46242</v>
      </c>
      <c r="C1900" s="6">
        <v>0.33333333333333298</v>
      </c>
      <c r="D1900" s="1" t="s">
        <v>30</v>
      </c>
      <c r="E1900" s="1" t="s">
        <v>34</v>
      </c>
      <c r="F1900" s="1" t="s">
        <v>5344</v>
      </c>
      <c r="G1900" s="39" t="s">
        <v>5295</v>
      </c>
      <c r="H1900" s="1">
        <v>0</v>
      </c>
      <c r="I1900" s="1">
        <v>0</v>
      </c>
      <c r="J1900" s="39" t="s">
        <v>5284</v>
      </c>
      <c r="K1900" s="1">
        <v>0</v>
      </c>
      <c r="L1900" s="1">
        <v>0</v>
      </c>
      <c r="S1900" s="1" t="s">
        <v>5345</v>
      </c>
      <c r="T1900" s="1">
        <v>1</v>
      </c>
      <c r="U1900" s="19"/>
      <c r="V1900" s="19"/>
      <c r="W1900" s="218">
        <v>1</v>
      </c>
      <c r="X1900" s="218">
        <v>1</v>
      </c>
      <c r="Y1900" s="218">
        <v>1</v>
      </c>
    </row>
    <row r="1901" spans="1:25" x14ac:dyDescent="0.3">
      <c r="A1901" s="1" t="s">
        <v>5346</v>
      </c>
      <c r="B1901" s="5">
        <v>46204</v>
      </c>
      <c r="C1901" s="6">
        <v>0.58333333333333304</v>
      </c>
      <c r="D1901" s="1" t="s">
        <v>30</v>
      </c>
      <c r="E1901" s="1" t="s">
        <v>34</v>
      </c>
      <c r="F1901" s="1" t="s">
        <v>5347</v>
      </c>
      <c r="G1901" s="39" t="s">
        <v>5295</v>
      </c>
      <c r="H1901" s="1">
        <v>3</v>
      </c>
      <c r="I1901" s="1">
        <v>2</v>
      </c>
      <c r="J1901" s="39" t="s">
        <v>5338</v>
      </c>
      <c r="K1901" s="1">
        <v>2</v>
      </c>
      <c r="L1901" s="1">
        <v>3</v>
      </c>
      <c r="S1901" s="1" t="s">
        <v>5348</v>
      </c>
      <c r="T1901" s="1">
        <v>1</v>
      </c>
      <c r="U1901" s="19"/>
      <c r="V1901" s="19"/>
      <c r="W1901" s="218">
        <v>1</v>
      </c>
      <c r="X1901" s="218">
        <v>1</v>
      </c>
      <c r="Y1901" s="218">
        <v>1</v>
      </c>
    </row>
    <row r="1902" spans="1:25" x14ac:dyDescent="0.3">
      <c r="A1902" s="1" t="s">
        <v>5349</v>
      </c>
      <c r="B1902" s="5">
        <v>46191</v>
      </c>
      <c r="C1902" s="6">
        <v>0.58333333333333304</v>
      </c>
      <c r="D1902" s="1" t="s">
        <v>30</v>
      </c>
      <c r="E1902" s="1" t="s">
        <v>34</v>
      </c>
      <c r="F1902" s="1" t="s">
        <v>5350</v>
      </c>
      <c r="G1902" s="39" t="s">
        <v>5295</v>
      </c>
      <c r="H1902" s="1">
        <v>2</v>
      </c>
      <c r="I1902" s="1">
        <v>0</v>
      </c>
      <c r="J1902" s="39" t="s">
        <v>5303</v>
      </c>
      <c r="K1902" s="1">
        <v>0</v>
      </c>
      <c r="L1902" s="1">
        <v>2</v>
      </c>
      <c r="S1902" s="1" t="s">
        <v>5351</v>
      </c>
      <c r="T1902" s="1">
        <v>1</v>
      </c>
      <c r="U1902" s="19"/>
      <c r="V1902" s="19"/>
      <c r="W1902" s="218">
        <v>1</v>
      </c>
      <c r="X1902" s="218">
        <v>1</v>
      </c>
      <c r="Y1902" s="218">
        <v>1</v>
      </c>
    </row>
    <row r="1903" spans="1:25" x14ac:dyDescent="0.3">
      <c r="A1903" s="1" t="s">
        <v>5352</v>
      </c>
      <c r="B1903" s="5">
        <v>46186</v>
      </c>
      <c r="C1903" s="6">
        <v>0.41666666666666702</v>
      </c>
      <c r="D1903" s="1" t="s">
        <v>30</v>
      </c>
      <c r="E1903" s="1" t="s">
        <v>34</v>
      </c>
      <c r="F1903" s="1" t="s">
        <v>5353</v>
      </c>
      <c r="G1903" s="39" t="s">
        <v>5331</v>
      </c>
      <c r="H1903" s="1">
        <v>4</v>
      </c>
      <c r="I1903" s="1">
        <v>0</v>
      </c>
      <c r="J1903" s="39" t="s">
        <v>5295</v>
      </c>
      <c r="K1903" s="1">
        <v>0</v>
      </c>
      <c r="L1903" s="1">
        <v>4</v>
      </c>
      <c r="S1903" s="1" t="s">
        <v>5354</v>
      </c>
      <c r="T1903" s="1">
        <v>1</v>
      </c>
      <c r="U1903" s="19"/>
      <c r="V1903" s="19"/>
      <c r="W1903" s="218">
        <v>1</v>
      </c>
      <c r="X1903" s="218">
        <v>1</v>
      </c>
      <c r="Y1903" s="218">
        <v>1</v>
      </c>
    </row>
    <row r="1904" spans="1:25" x14ac:dyDescent="0.3">
      <c r="A1904" s="1" t="s">
        <v>5355</v>
      </c>
      <c r="B1904" s="5">
        <v>46172</v>
      </c>
      <c r="C1904" s="6">
        <v>0.41666666666666702</v>
      </c>
      <c r="D1904" s="1" t="s">
        <v>30</v>
      </c>
      <c r="E1904" s="1" t="s">
        <v>34</v>
      </c>
      <c r="F1904" s="1" t="s">
        <v>5356</v>
      </c>
      <c r="G1904" s="39" t="s">
        <v>5295</v>
      </c>
      <c r="H1904" s="1">
        <v>2</v>
      </c>
      <c r="I1904" s="1">
        <v>3</v>
      </c>
      <c r="J1904" s="39" t="s">
        <v>283</v>
      </c>
      <c r="K1904" s="1">
        <v>3</v>
      </c>
      <c r="L1904" s="1">
        <v>2</v>
      </c>
      <c r="S1904" s="1" t="s">
        <v>5357</v>
      </c>
      <c r="T1904" s="1">
        <v>1</v>
      </c>
      <c r="U1904" s="19"/>
      <c r="V1904" s="19"/>
      <c r="W1904" s="218">
        <v>1</v>
      </c>
      <c r="X1904" s="218">
        <v>1</v>
      </c>
      <c r="Y1904" s="218">
        <v>1</v>
      </c>
    </row>
    <row r="1905" spans="1:25" x14ac:dyDescent="0.3">
      <c r="A1905" s="1" t="s">
        <v>5358</v>
      </c>
      <c r="B1905" s="5">
        <v>46164</v>
      </c>
      <c r="C1905" s="6">
        <v>0.58333333333333304</v>
      </c>
      <c r="D1905" s="1" t="s">
        <v>30</v>
      </c>
      <c r="E1905" s="1" t="s">
        <v>34</v>
      </c>
      <c r="F1905" s="1" t="s">
        <v>5359</v>
      </c>
      <c r="G1905" s="39" t="s">
        <v>284</v>
      </c>
      <c r="H1905" s="1">
        <v>4</v>
      </c>
      <c r="I1905" s="1">
        <v>2</v>
      </c>
      <c r="J1905" s="39" t="s">
        <v>5295</v>
      </c>
      <c r="K1905" s="1">
        <v>2</v>
      </c>
      <c r="L1905" s="1">
        <v>4</v>
      </c>
      <c r="S1905" s="1" t="s">
        <v>5360</v>
      </c>
      <c r="T1905" s="1">
        <v>1</v>
      </c>
      <c r="U1905" s="19"/>
      <c r="V1905" s="19"/>
      <c r="W1905" s="218">
        <v>1</v>
      </c>
      <c r="X1905" s="218">
        <v>1</v>
      </c>
      <c r="Y1905" s="218">
        <v>1</v>
      </c>
    </row>
    <row r="1906" spans="1:25" x14ac:dyDescent="0.3">
      <c r="A1906" s="1" t="s">
        <v>5361</v>
      </c>
      <c r="B1906" s="5">
        <v>46159</v>
      </c>
      <c r="C1906" s="6">
        <v>0.41666666666666702</v>
      </c>
      <c r="D1906" s="1" t="s">
        <v>30</v>
      </c>
      <c r="E1906" s="1" t="s">
        <v>34</v>
      </c>
      <c r="F1906" s="1" t="s">
        <v>5362</v>
      </c>
      <c r="G1906" s="39" t="s">
        <v>5295</v>
      </c>
      <c r="H1906" s="1">
        <v>1</v>
      </c>
      <c r="I1906" s="1">
        <v>1</v>
      </c>
      <c r="J1906" s="39" t="s">
        <v>5299</v>
      </c>
      <c r="K1906" s="1">
        <v>1</v>
      </c>
      <c r="L1906" s="1">
        <v>1</v>
      </c>
      <c r="S1906" s="1" t="s">
        <v>5363</v>
      </c>
      <c r="T1906" s="1">
        <v>1</v>
      </c>
      <c r="U1906" s="19"/>
      <c r="V1906" s="19"/>
      <c r="W1906" s="218">
        <v>1</v>
      </c>
      <c r="X1906" s="218">
        <v>1</v>
      </c>
      <c r="Y1906" s="218">
        <v>1</v>
      </c>
    </row>
    <row r="1907" spans="1:25" x14ac:dyDescent="0.3">
      <c r="A1907" s="1" t="s">
        <v>5364</v>
      </c>
      <c r="B1907" s="5">
        <v>46155</v>
      </c>
      <c r="C1907" s="6">
        <v>0.58333333333333304</v>
      </c>
      <c r="D1907" s="1" t="s">
        <v>30</v>
      </c>
      <c r="E1907" s="1" t="s">
        <v>34</v>
      </c>
      <c r="F1907" s="1" t="s">
        <v>5365</v>
      </c>
      <c r="G1907" s="39" t="s">
        <v>5305</v>
      </c>
      <c r="H1907" s="1">
        <v>1</v>
      </c>
      <c r="I1907" s="1">
        <v>3</v>
      </c>
      <c r="J1907" s="39" t="s">
        <v>5295</v>
      </c>
      <c r="K1907" s="1">
        <v>3</v>
      </c>
      <c r="L1907" s="1">
        <v>1</v>
      </c>
      <c r="S1907" s="1" t="s">
        <v>5366</v>
      </c>
      <c r="T1907" s="1">
        <v>1</v>
      </c>
      <c r="U1907" s="19"/>
      <c r="V1907" s="19"/>
      <c r="W1907" s="218">
        <v>1</v>
      </c>
      <c r="X1907" s="218">
        <v>1</v>
      </c>
      <c r="Y1907" s="218">
        <v>1</v>
      </c>
    </row>
    <row r="1908" spans="1:25" x14ac:dyDescent="0.3">
      <c r="A1908" s="1" t="s">
        <v>5367</v>
      </c>
      <c r="B1908" s="5">
        <v>46151</v>
      </c>
      <c r="C1908" s="6">
        <v>0.41666666666666702</v>
      </c>
      <c r="D1908" s="1" t="s">
        <v>30</v>
      </c>
      <c r="E1908" s="1" t="s">
        <v>34</v>
      </c>
      <c r="F1908" s="1" t="s">
        <v>5368</v>
      </c>
      <c r="G1908" s="39" t="s">
        <v>5295</v>
      </c>
      <c r="H1908" s="1">
        <v>4</v>
      </c>
      <c r="I1908" s="1">
        <v>0</v>
      </c>
      <c r="J1908" s="39" t="s">
        <v>5307</v>
      </c>
      <c r="K1908" s="1">
        <v>0</v>
      </c>
      <c r="L1908" s="1">
        <v>4</v>
      </c>
      <c r="S1908" s="1" t="s">
        <v>5369</v>
      </c>
      <c r="T1908" s="1">
        <v>1</v>
      </c>
      <c r="U1908" s="19"/>
      <c r="V1908" s="19"/>
      <c r="W1908" s="218">
        <v>1</v>
      </c>
      <c r="X1908" s="218">
        <v>1</v>
      </c>
      <c r="Y1908" s="218">
        <v>1</v>
      </c>
    </row>
    <row r="1909" spans="1:25" x14ac:dyDescent="0.3">
      <c r="A1909" s="1" t="s">
        <v>5370</v>
      </c>
      <c r="B1909" s="5">
        <v>46143</v>
      </c>
      <c r="C1909" s="6">
        <v>0.58333333333333304</v>
      </c>
      <c r="D1909" s="1" t="s">
        <v>30</v>
      </c>
      <c r="E1909" s="1" t="s">
        <v>34</v>
      </c>
      <c r="F1909" s="1" t="s">
        <v>5371</v>
      </c>
      <c r="G1909" s="39" t="s">
        <v>5295</v>
      </c>
      <c r="H1909" s="1">
        <v>0</v>
      </c>
      <c r="I1909" s="1">
        <v>6</v>
      </c>
      <c r="J1909" s="39" t="s">
        <v>5289</v>
      </c>
      <c r="K1909" s="1">
        <v>6</v>
      </c>
      <c r="L1909" s="1">
        <v>0</v>
      </c>
      <c r="S1909" s="1" t="s">
        <v>5372</v>
      </c>
      <c r="T1909" s="1">
        <v>1</v>
      </c>
      <c r="U1909" s="19"/>
      <c r="V1909" s="19"/>
      <c r="W1909" s="218">
        <v>1</v>
      </c>
      <c r="X1909" s="218">
        <v>1</v>
      </c>
      <c r="Y1909" s="218">
        <v>1</v>
      </c>
    </row>
    <row r="1910" spans="1:25" x14ac:dyDescent="0.3">
      <c r="A1910" s="1" t="s">
        <v>5373</v>
      </c>
      <c r="B1910" s="5">
        <v>46200</v>
      </c>
      <c r="C1910" s="6">
        <v>0.41666666666666702</v>
      </c>
      <c r="D1910" s="1" t="s">
        <v>30</v>
      </c>
      <c r="E1910" s="1" t="s">
        <v>34</v>
      </c>
      <c r="F1910" s="1" t="s">
        <v>5374</v>
      </c>
      <c r="G1910" s="39" t="s">
        <v>5331</v>
      </c>
      <c r="H1910" s="1">
        <v>3</v>
      </c>
      <c r="I1910" s="1">
        <v>3</v>
      </c>
      <c r="J1910" s="39" t="s">
        <v>5284</v>
      </c>
      <c r="K1910" s="1">
        <v>3</v>
      </c>
      <c r="L1910" s="1">
        <v>3</v>
      </c>
      <c r="S1910" s="1" t="s">
        <v>5375</v>
      </c>
      <c r="T1910" s="1">
        <v>1</v>
      </c>
      <c r="U1910" s="19"/>
      <c r="V1910" s="19"/>
      <c r="W1910" s="218">
        <v>1</v>
      </c>
      <c r="X1910" s="218">
        <v>1</v>
      </c>
      <c r="Y1910" s="218">
        <v>1</v>
      </c>
    </row>
    <row r="1911" spans="1:25" x14ac:dyDescent="0.3">
      <c r="A1911" s="1" t="s">
        <v>5376</v>
      </c>
      <c r="B1911" s="5">
        <v>46191</v>
      </c>
      <c r="C1911" s="6">
        <v>0.58333333333333304</v>
      </c>
      <c r="D1911" s="1" t="s">
        <v>30</v>
      </c>
      <c r="E1911" s="1" t="s">
        <v>34</v>
      </c>
      <c r="F1911" s="1" t="s">
        <v>5377</v>
      </c>
      <c r="G1911" s="39" t="s">
        <v>283</v>
      </c>
      <c r="H1911" s="1">
        <v>3</v>
      </c>
      <c r="I1911" s="1">
        <v>2</v>
      </c>
      <c r="J1911" s="39" t="s">
        <v>5284</v>
      </c>
      <c r="K1911" s="1">
        <v>2</v>
      </c>
      <c r="L1911" s="1">
        <v>3</v>
      </c>
      <c r="S1911" s="1" t="s">
        <v>5378</v>
      </c>
      <c r="T1911" s="1">
        <v>1</v>
      </c>
      <c r="U1911" s="19"/>
      <c r="V1911" s="19"/>
      <c r="W1911" s="218">
        <v>1</v>
      </c>
      <c r="X1911" s="218">
        <v>1</v>
      </c>
      <c r="Y1911" s="218">
        <v>1</v>
      </c>
    </row>
    <row r="1912" spans="1:25" x14ac:dyDescent="0.3">
      <c r="A1912" s="1" t="s">
        <v>5379</v>
      </c>
      <c r="B1912" s="5">
        <v>46187</v>
      </c>
      <c r="C1912" s="6">
        <v>0.41666666666666702</v>
      </c>
      <c r="D1912" s="1" t="s">
        <v>30</v>
      </c>
      <c r="E1912" s="1" t="s">
        <v>34</v>
      </c>
      <c r="F1912" s="1" t="s">
        <v>5380</v>
      </c>
      <c r="G1912" s="39" t="s">
        <v>5284</v>
      </c>
      <c r="H1912" s="1">
        <v>3</v>
      </c>
      <c r="I1912" s="1">
        <v>0</v>
      </c>
      <c r="J1912" s="39" t="s">
        <v>5299</v>
      </c>
      <c r="K1912" s="1">
        <v>0</v>
      </c>
      <c r="L1912" s="1">
        <v>3</v>
      </c>
      <c r="S1912" s="1" t="s">
        <v>5381</v>
      </c>
      <c r="T1912" s="1">
        <v>1</v>
      </c>
      <c r="U1912" s="19"/>
      <c r="V1912" s="19"/>
      <c r="W1912" s="218">
        <v>1</v>
      </c>
      <c r="X1912" s="218">
        <v>1</v>
      </c>
      <c r="Y1912" s="218">
        <v>1</v>
      </c>
    </row>
    <row r="1913" spans="1:25" x14ac:dyDescent="0.3">
      <c r="A1913" s="1" t="s">
        <v>5382</v>
      </c>
      <c r="B1913" s="5">
        <v>46181</v>
      </c>
      <c r="C1913" s="6">
        <v>0.58333333333333304</v>
      </c>
      <c r="D1913" s="1" t="s">
        <v>30</v>
      </c>
      <c r="E1913" s="1" t="s">
        <v>34</v>
      </c>
      <c r="F1913" s="1" t="s">
        <v>5383</v>
      </c>
      <c r="G1913" s="39" t="s">
        <v>5307</v>
      </c>
      <c r="H1913" s="1">
        <v>0</v>
      </c>
      <c r="I1913" s="1">
        <v>1</v>
      </c>
      <c r="J1913" s="39" t="s">
        <v>5284</v>
      </c>
      <c r="K1913" s="1">
        <v>1</v>
      </c>
      <c r="L1913" s="1">
        <v>0</v>
      </c>
      <c r="S1913" s="1" t="s">
        <v>5384</v>
      </c>
      <c r="T1913" s="1">
        <v>1</v>
      </c>
      <c r="U1913" s="19"/>
      <c r="V1913" s="19"/>
      <c r="W1913" s="218">
        <v>1</v>
      </c>
      <c r="X1913" s="218">
        <v>1</v>
      </c>
      <c r="Y1913" s="218">
        <v>1</v>
      </c>
    </row>
    <row r="1914" spans="1:25" x14ac:dyDescent="0.3">
      <c r="A1914" s="1" t="s">
        <v>5385</v>
      </c>
      <c r="B1914" s="5">
        <v>46175</v>
      </c>
      <c r="C1914" s="6">
        <v>0.58333333333333304</v>
      </c>
      <c r="D1914" s="1" t="s">
        <v>30</v>
      </c>
      <c r="E1914" s="1" t="s">
        <v>34</v>
      </c>
      <c r="F1914" s="1" t="s">
        <v>5386</v>
      </c>
      <c r="G1914" s="39" t="s">
        <v>5284</v>
      </c>
      <c r="H1914" s="1">
        <v>1</v>
      </c>
      <c r="I1914" s="1">
        <v>2</v>
      </c>
      <c r="J1914" s="39" t="s">
        <v>5289</v>
      </c>
      <c r="K1914" s="1">
        <v>2</v>
      </c>
      <c r="L1914" s="1">
        <v>1</v>
      </c>
      <c r="S1914" s="1" t="s">
        <v>5387</v>
      </c>
      <c r="T1914" s="1">
        <v>1</v>
      </c>
      <c r="U1914" s="19"/>
      <c r="V1914" s="19"/>
      <c r="W1914" s="218">
        <v>1</v>
      </c>
      <c r="X1914" s="218">
        <v>1</v>
      </c>
      <c r="Y1914" s="218">
        <v>1</v>
      </c>
    </row>
    <row r="1915" spans="1:25" x14ac:dyDescent="0.3">
      <c r="A1915" s="1" t="s">
        <v>5388</v>
      </c>
      <c r="B1915" s="5">
        <v>46160</v>
      </c>
      <c r="C1915" s="6">
        <v>0.58333333333333304</v>
      </c>
      <c r="D1915" s="1" t="s">
        <v>30</v>
      </c>
      <c r="E1915" s="1" t="s">
        <v>34</v>
      </c>
      <c r="F1915" s="1" t="s">
        <v>5389</v>
      </c>
      <c r="G1915" s="39" t="s">
        <v>5297</v>
      </c>
      <c r="H1915" s="1">
        <v>1</v>
      </c>
      <c r="I1915" s="1">
        <v>3</v>
      </c>
      <c r="J1915" s="39" t="s">
        <v>5284</v>
      </c>
      <c r="K1915" s="1">
        <v>3</v>
      </c>
      <c r="L1915" s="1">
        <v>1</v>
      </c>
      <c r="S1915" s="1" t="s">
        <v>5390</v>
      </c>
      <c r="T1915" s="1">
        <v>1</v>
      </c>
      <c r="U1915" s="19"/>
      <c r="V1915" s="19"/>
      <c r="W1915" s="218">
        <v>1</v>
      </c>
      <c r="X1915" s="218">
        <v>1</v>
      </c>
      <c r="Y1915" s="218">
        <v>1</v>
      </c>
    </row>
    <row r="1916" spans="1:25" x14ac:dyDescent="0.3">
      <c r="A1916" s="1" t="s">
        <v>5391</v>
      </c>
      <c r="B1916" s="5">
        <v>46155</v>
      </c>
      <c r="C1916" s="6">
        <v>0.58333333333333304</v>
      </c>
      <c r="D1916" s="1" t="s">
        <v>30</v>
      </c>
      <c r="E1916" s="1" t="s">
        <v>34</v>
      </c>
      <c r="F1916" s="1" t="s">
        <v>5392</v>
      </c>
      <c r="G1916" s="39" t="s">
        <v>5338</v>
      </c>
      <c r="H1916" s="1">
        <v>1</v>
      </c>
      <c r="I1916" s="1">
        <v>2</v>
      </c>
      <c r="J1916" s="39" t="s">
        <v>5284</v>
      </c>
      <c r="K1916" s="1">
        <v>2</v>
      </c>
      <c r="L1916" s="1">
        <v>1</v>
      </c>
      <c r="S1916" s="1" t="s">
        <v>5393</v>
      </c>
      <c r="T1916" s="1">
        <v>1</v>
      </c>
      <c r="U1916" s="19"/>
      <c r="V1916" s="19"/>
      <c r="W1916" s="218">
        <v>1</v>
      </c>
      <c r="X1916" s="218">
        <v>1</v>
      </c>
      <c r="Y1916" s="218">
        <v>1</v>
      </c>
    </row>
    <row r="1917" spans="1:25" x14ac:dyDescent="0.3">
      <c r="A1917" s="1" t="s">
        <v>5394</v>
      </c>
      <c r="B1917" s="5">
        <v>46151</v>
      </c>
      <c r="C1917" s="6">
        <v>0.33333333333333298</v>
      </c>
      <c r="D1917" s="1" t="s">
        <v>30</v>
      </c>
      <c r="E1917" s="1" t="s">
        <v>34</v>
      </c>
      <c r="F1917" s="1" t="s">
        <v>5395</v>
      </c>
      <c r="G1917" s="39" t="s">
        <v>5284</v>
      </c>
      <c r="H1917" s="1">
        <v>0</v>
      </c>
      <c r="I1917" s="1">
        <v>1</v>
      </c>
      <c r="J1917" s="39" t="s">
        <v>5301</v>
      </c>
      <c r="K1917" s="1">
        <v>1</v>
      </c>
      <c r="L1917" s="1">
        <v>0</v>
      </c>
      <c r="S1917" s="1" t="s">
        <v>5396</v>
      </c>
      <c r="T1917" s="1">
        <v>1</v>
      </c>
      <c r="U1917" s="19"/>
      <c r="V1917" s="19"/>
      <c r="W1917" s="218">
        <v>1</v>
      </c>
      <c r="X1917" s="218">
        <v>1</v>
      </c>
      <c r="Y1917" s="218">
        <v>1</v>
      </c>
    </row>
    <row r="1918" spans="1:25" x14ac:dyDescent="0.3">
      <c r="A1918" s="1" t="s">
        <v>5397</v>
      </c>
      <c r="B1918" s="5">
        <v>46144</v>
      </c>
      <c r="C1918" s="6">
        <v>0.41666666666666702</v>
      </c>
      <c r="D1918" s="1" t="s">
        <v>30</v>
      </c>
      <c r="E1918" s="1" t="s">
        <v>34</v>
      </c>
      <c r="F1918" s="1" t="s">
        <v>5398</v>
      </c>
      <c r="G1918" s="39" t="s">
        <v>5303</v>
      </c>
      <c r="H1918" s="1">
        <v>0</v>
      </c>
      <c r="I1918" s="1">
        <v>2</v>
      </c>
      <c r="J1918" s="39" t="s">
        <v>5284</v>
      </c>
      <c r="K1918" s="1">
        <v>2</v>
      </c>
      <c r="L1918" s="1">
        <v>0</v>
      </c>
      <c r="S1918" s="1" t="s">
        <v>5399</v>
      </c>
      <c r="T1918" s="1">
        <v>1</v>
      </c>
      <c r="U1918" s="19"/>
      <c r="V1918" s="19"/>
      <c r="W1918" s="218">
        <v>1</v>
      </c>
      <c r="X1918" s="218">
        <v>1</v>
      </c>
      <c r="Y1918" s="218">
        <v>1</v>
      </c>
    </row>
    <row r="1919" spans="1:25" x14ac:dyDescent="0.3">
      <c r="A1919" s="1" t="s">
        <v>5400</v>
      </c>
      <c r="B1919" s="5">
        <v>46242</v>
      </c>
      <c r="C1919" s="6">
        <v>0.45833333333333298</v>
      </c>
      <c r="D1919" s="1" t="s">
        <v>30</v>
      </c>
      <c r="E1919" s="1" t="s">
        <v>34</v>
      </c>
      <c r="F1919" s="1" t="s">
        <v>5401</v>
      </c>
      <c r="G1919" s="39" t="s">
        <v>5303</v>
      </c>
      <c r="H1919" s="1">
        <v>0</v>
      </c>
      <c r="I1919" s="1">
        <v>1</v>
      </c>
      <c r="J1919" s="39" t="s">
        <v>5297</v>
      </c>
      <c r="K1919" s="1">
        <v>1</v>
      </c>
      <c r="L1919" s="1">
        <v>0</v>
      </c>
      <c r="S1919" s="1" t="s">
        <v>5402</v>
      </c>
      <c r="T1919" s="1">
        <v>1</v>
      </c>
      <c r="U1919" s="19"/>
      <c r="V1919" s="19"/>
      <c r="W1919" s="218">
        <v>1</v>
      </c>
      <c r="X1919" s="218">
        <v>1</v>
      </c>
      <c r="Y1919" s="218">
        <v>1</v>
      </c>
    </row>
    <row r="1920" spans="1:25" x14ac:dyDescent="0.3">
      <c r="A1920" s="1" t="s">
        <v>5403</v>
      </c>
      <c r="B1920" s="5">
        <v>46235</v>
      </c>
      <c r="C1920" s="6">
        <v>0.45833333333333298</v>
      </c>
      <c r="D1920" s="1" t="s">
        <v>30</v>
      </c>
      <c r="E1920" s="1" t="s">
        <v>34</v>
      </c>
      <c r="F1920" s="1" t="s">
        <v>5404</v>
      </c>
      <c r="G1920" s="39" t="s">
        <v>5297</v>
      </c>
      <c r="H1920" s="1">
        <v>0</v>
      </c>
      <c r="I1920" s="1">
        <v>1</v>
      </c>
      <c r="J1920" s="39" t="s">
        <v>5303</v>
      </c>
      <c r="K1920" s="1">
        <v>1</v>
      </c>
      <c r="L1920" s="1">
        <v>0</v>
      </c>
      <c r="S1920" s="1" t="s">
        <v>5405</v>
      </c>
      <c r="T1920" s="1">
        <v>1</v>
      </c>
      <c r="U1920" s="19"/>
      <c r="V1920" s="19"/>
      <c r="W1920" s="218">
        <v>1</v>
      </c>
      <c r="X1920" s="218">
        <v>1</v>
      </c>
      <c r="Y1920" s="218">
        <v>1</v>
      </c>
    </row>
    <row r="1921" spans="1:25" x14ac:dyDescent="0.3">
      <c r="A1921" s="1" t="s">
        <v>5406</v>
      </c>
      <c r="B1921" s="5">
        <v>46200</v>
      </c>
      <c r="C1921" s="6">
        <v>0.33333333333333298</v>
      </c>
      <c r="D1921" s="1" t="s">
        <v>30</v>
      </c>
      <c r="E1921" s="1" t="s">
        <v>34</v>
      </c>
      <c r="F1921" s="1" t="s">
        <v>5407</v>
      </c>
      <c r="G1921" s="39" t="s">
        <v>5303</v>
      </c>
      <c r="H1921" s="1">
        <v>1</v>
      </c>
      <c r="I1921" s="1">
        <v>1</v>
      </c>
      <c r="J1921" s="39" t="s">
        <v>5289</v>
      </c>
      <c r="K1921" s="1">
        <v>1</v>
      </c>
      <c r="L1921" s="1">
        <v>1</v>
      </c>
      <c r="S1921" s="1" t="s">
        <v>5408</v>
      </c>
      <c r="T1921" s="1">
        <v>1</v>
      </c>
      <c r="U1921" s="19"/>
      <c r="V1921" s="19"/>
      <c r="W1921" s="218">
        <v>1</v>
      </c>
      <c r="X1921" s="218">
        <v>1</v>
      </c>
      <c r="Y1921" s="218">
        <v>1</v>
      </c>
    </row>
    <row r="1922" spans="1:25" x14ac:dyDescent="0.3">
      <c r="A1922" s="1" t="s">
        <v>5409</v>
      </c>
      <c r="B1922" s="5">
        <v>46186</v>
      </c>
      <c r="C1922" s="6">
        <v>0.45833333333333298</v>
      </c>
      <c r="D1922" s="1" t="s">
        <v>30</v>
      </c>
      <c r="E1922" s="1" t="s">
        <v>34</v>
      </c>
      <c r="F1922" s="1" t="s">
        <v>5410</v>
      </c>
      <c r="G1922" s="39" t="s">
        <v>5303</v>
      </c>
      <c r="H1922" s="1">
        <v>1</v>
      </c>
      <c r="I1922" s="1">
        <v>1</v>
      </c>
      <c r="J1922" s="39" t="s">
        <v>5338</v>
      </c>
      <c r="K1922" s="1">
        <v>1</v>
      </c>
      <c r="L1922" s="1">
        <v>1</v>
      </c>
      <c r="S1922" s="1" t="s">
        <v>5411</v>
      </c>
      <c r="T1922" s="1">
        <v>1</v>
      </c>
      <c r="U1922" s="19"/>
      <c r="V1922" s="19"/>
      <c r="W1922" s="218">
        <v>1</v>
      </c>
      <c r="X1922" s="218">
        <v>1</v>
      </c>
      <c r="Y1922" s="218">
        <v>1</v>
      </c>
    </row>
    <row r="1923" spans="1:25" x14ac:dyDescent="0.3">
      <c r="A1923" s="1" t="s">
        <v>5412</v>
      </c>
      <c r="B1923" s="5">
        <v>46179</v>
      </c>
      <c r="C1923" s="6">
        <v>0.45833333333333298</v>
      </c>
      <c r="D1923" s="1" t="s">
        <v>30</v>
      </c>
      <c r="E1923" s="1" t="s">
        <v>34</v>
      </c>
      <c r="F1923" s="1" t="s">
        <v>5413</v>
      </c>
      <c r="G1923" s="39" t="s">
        <v>5285</v>
      </c>
      <c r="H1923" s="1">
        <v>4</v>
      </c>
      <c r="I1923" s="1">
        <v>1</v>
      </c>
      <c r="J1923" s="39" t="s">
        <v>5303</v>
      </c>
      <c r="K1923" s="1">
        <v>1</v>
      </c>
      <c r="L1923" s="1">
        <v>4</v>
      </c>
      <c r="S1923" s="1" t="s">
        <v>5414</v>
      </c>
      <c r="T1923" s="1">
        <v>1</v>
      </c>
      <c r="U1923" s="19"/>
      <c r="V1923" s="19"/>
      <c r="W1923" s="218">
        <v>1</v>
      </c>
      <c r="X1923" s="218">
        <v>1</v>
      </c>
      <c r="Y1923" s="218">
        <v>1</v>
      </c>
    </row>
    <row r="1924" spans="1:25" x14ac:dyDescent="0.3">
      <c r="A1924" s="1" t="s">
        <v>5415</v>
      </c>
      <c r="B1924" s="5">
        <v>46172</v>
      </c>
      <c r="C1924" s="6">
        <v>0.45833333333333298</v>
      </c>
      <c r="D1924" s="1" t="s">
        <v>30</v>
      </c>
      <c r="E1924" s="1" t="s">
        <v>34</v>
      </c>
      <c r="F1924" s="1" t="s">
        <v>5416</v>
      </c>
      <c r="G1924" s="39" t="s">
        <v>5303</v>
      </c>
      <c r="H1924" s="1">
        <v>3</v>
      </c>
      <c r="I1924" s="1">
        <v>3</v>
      </c>
      <c r="J1924" s="39" t="s">
        <v>5331</v>
      </c>
      <c r="K1924" s="1">
        <v>3</v>
      </c>
      <c r="L1924" s="1">
        <v>3</v>
      </c>
      <c r="S1924" s="1" t="s">
        <v>5417</v>
      </c>
      <c r="T1924" s="1">
        <v>1</v>
      </c>
      <c r="U1924" s="19"/>
      <c r="V1924" s="19"/>
      <c r="W1924" s="218">
        <v>1</v>
      </c>
      <c r="X1924" s="218">
        <v>1</v>
      </c>
      <c r="Y1924" s="218">
        <v>1</v>
      </c>
    </row>
    <row r="1925" spans="1:25" x14ac:dyDescent="0.3">
      <c r="A1925" s="1" t="s">
        <v>5418</v>
      </c>
      <c r="B1925" s="5">
        <v>46165</v>
      </c>
      <c r="C1925" s="6">
        <v>0.45833333333333298</v>
      </c>
      <c r="D1925" s="1" t="s">
        <v>30</v>
      </c>
      <c r="E1925" s="1" t="s">
        <v>34</v>
      </c>
      <c r="F1925" s="1" t="s">
        <v>5419</v>
      </c>
      <c r="G1925" s="39" t="s">
        <v>5301</v>
      </c>
      <c r="H1925" s="1">
        <v>1</v>
      </c>
      <c r="I1925" s="1">
        <v>1</v>
      </c>
      <c r="J1925" s="39" t="s">
        <v>5303</v>
      </c>
      <c r="K1925" s="1">
        <v>1</v>
      </c>
      <c r="L1925" s="1">
        <v>1</v>
      </c>
      <c r="S1925" s="1" t="s">
        <v>5420</v>
      </c>
      <c r="T1925" s="1">
        <v>1</v>
      </c>
      <c r="U1925" s="19"/>
      <c r="V1925" s="19"/>
      <c r="W1925" s="218">
        <v>1</v>
      </c>
      <c r="X1925" s="218">
        <v>1</v>
      </c>
      <c r="Y1925" s="218">
        <v>1</v>
      </c>
    </row>
    <row r="1926" spans="1:25" x14ac:dyDescent="0.3">
      <c r="A1926" s="1" t="s">
        <v>5421</v>
      </c>
      <c r="B1926" s="5">
        <v>46159</v>
      </c>
      <c r="C1926" s="6">
        <v>0.45833333333333298</v>
      </c>
      <c r="D1926" s="1" t="s">
        <v>30</v>
      </c>
      <c r="E1926" s="1" t="s">
        <v>34</v>
      </c>
      <c r="F1926" s="1" t="s">
        <v>5422</v>
      </c>
      <c r="G1926" s="39" t="s">
        <v>283</v>
      </c>
      <c r="H1926" s="1">
        <v>2</v>
      </c>
      <c r="I1926" s="1">
        <v>2</v>
      </c>
      <c r="J1926" s="39" t="s">
        <v>5303</v>
      </c>
      <c r="K1926" s="1">
        <v>2</v>
      </c>
      <c r="L1926" s="1">
        <v>2</v>
      </c>
      <c r="S1926" s="1" t="s">
        <v>5423</v>
      </c>
      <c r="T1926" s="1">
        <v>1</v>
      </c>
      <c r="U1926" s="19"/>
      <c r="V1926" s="19"/>
      <c r="W1926" s="218">
        <v>1</v>
      </c>
      <c r="X1926" s="218">
        <v>1</v>
      </c>
      <c r="Y1926" s="218">
        <v>1</v>
      </c>
    </row>
    <row r="1927" spans="1:25" x14ac:dyDescent="0.3">
      <c r="A1927" s="1" t="s">
        <v>5424</v>
      </c>
      <c r="B1927" s="5">
        <v>46151</v>
      </c>
      <c r="C1927" s="6">
        <v>0.45833333333333298</v>
      </c>
      <c r="D1927" s="1" t="s">
        <v>30</v>
      </c>
      <c r="E1927" s="1" t="s">
        <v>34</v>
      </c>
      <c r="F1927" s="1" t="s">
        <v>5425</v>
      </c>
      <c r="G1927" s="39" t="s">
        <v>5303</v>
      </c>
      <c r="H1927" s="1">
        <v>1</v>
      </c>
      <c r="I1927" s="1">
        <v>1</v>
      </c>
      <c r="J1927" s="39" t="s">
        <v>284</v>
      </c>
      <c r="K1927" s="1">
        <v>1</v>
      </c>
      <c r="L1927" s="1">
        <v>1</v>
      </c>
      <c r="S1927" s="1" t="s">
        <v>5426</v>
      </c>
      <c r="T1927" s="1">
        <v>1</v>
      </c>
      <c r="U1927" s="19"/>
      <c r="V1927" s="19"/>
      <c r="W1927" s="218">
        <v>1</v>
      </c>
      <c r="X1927" s="218">
        <v>1</v>
      </c>
      <c r="Y1927" s="218">
        <v>1</v>
      </c>
    </row>
    <row r="1928" spans="1:25" x14ac:dyDescent="0.3">
      <c r="A1928" s="1" t="s">
        <v>5427</v>
      </c>
      <c r="B1928" s="5">
        <v>46242</v>
      </c>
      <c r="C1928" s="6">
        <v>0.5</v>
      </c>
      <c r="D1928" s="1" t="s">
        <v>30</v>
      </c>
      <c r="E1928" s="1" t="s">
        <v>34</v>
      </c>
      <c r="F1928" s="1" t="s">
        <v>5428</v>
      </c>
      <c r="G1928" s="39" t="s">
        <v>5307</v>
      </c>
      <c r="H1928" s="1">
        <v>0</v>
      </c>
      <c r="I1928" s="1">
        <v>2</v>
      </c>
      <c r="J1928" s="39" t="s">
        <v>5305</v>
      </c>
      <c r="K1928" s="1">
        <v>2</v>
      </c>
      <c r="L1928" s="1">
        <v>0</v>
      </c>
      <c r="S1928" s="1" t="s">
        <v>5429</v>
      </c>
      <c r="T1928" s="1">
        <v>1</v>
      </c>
      <c r="U1928" s="19"/>
      <c r="V1928" s="19"/>
      <c r="W1928" s="218">
        <v>1</v>
      </c>
      <c r="X1928" s="218">
        <v>1</v>
      </c>
      <c r="Y1928" s="218">
        <v>1</v>
      </c>
    </row>
    <row r="1929" spans="1:25" x14ac:dyDescent="0.3">
      <c r="A1929" s="1" t="s">
        <v>5430</v>
      </c>
      <c r="B1929" s="5">
        <v>46235</v>
      </c>
      <c r="C1929" s="6">
        <v>0.45833333333333298</v>
      </c>
      <c r="D1929" s="1" t="s">
        <v>30</v>
      </c>
      <c r="E1929" s="1" t="s">
        <v>34</v>
      </c>
      <c r="F1929" s="1" t="s">
        <v>5431</v>
      </c>
      <c r="G1929" s="39" t="s">
        <v>5305</v>
      </c>
      <c r="H1929" s="1">
        <v>2</v>
      </c>
      <c r="I1929" s="1">
        <v>0</v>
      </c>
      <c r="J1929" s="39" t="s">
        <v>5331</v>
      </c>
      <c r="K1929" s="1">
        <v>0</v>
      </c>
      <c r="L1929" s="1">
        <v>2</v>
      </c>
      <c r="S1929" s="1" t="s">
        <v>5432</v>
      </c>
      <c r="T1929" s="1">
        <v>1</v>
      </c>
      <c r="U1929" s="19"/>
      <c r="V1929" s="19"/>
      <c r="W1929" s="218">
        <v>1</v>
      </c>
      <c r="X1929" s="218">
        <v>1</v>
      </c>
      <c r="Y1929" s="218">
        <v>1</v>
      </c>
    </row>
    <row r="1930" spans="1:25" x14ac:dyDescent="0.3">
      <c r="A1930" s="1" t="s">
        <v>5433</v>
      </c>
      <c r="B1930" s="5">
        <v>46199</v>
      </c>
      <c r="C1930" s="6">
        <v>0.60416666666666696</v>
      </c>
      <c r="D1930" s="1" t="s">
        <v>30</v>
      </c>
      <c r="E1930" s="1" t="s">
        <v>34</v>
      </c>
      <c r="F1930" s="1" t="s">
        <v>5434</v>
      </c>
      <c r="G1930" s="39" t="s">
        <v>5305</v>
      </c>
      <c r="H1930" s="1">
        <v>4</v>
      </c>
      <c r="I1930" s="1">
        <v>2</v>
      </c>
      <c r="J1930" s="39" t="s">
        <v>5301</v>
      </c>
      <c r="K1930" s="1">
        <v>2</v>
      </c>
      <c r="L1930" s="1">
        <v>4</v>
      </c>
      <c r="S1930" s="1" t="s">
        <v>5435</v>
      </c>
      <c r="T1930" s="1">
        <v>1</v>
      </c>
      <c r="U1930" s="19"/>
      <c r="V1930" s="19"/>
      <c r="W1930" s="218">
        <v>1</v>
      </c>
      <c r="X1930" s="218">
        <v>1</v>
      </c>
      <c r="Y1930" s="218">
        <v>1</v>
      </c>
    </row>
    <row r="1931" spans="1:25" x14ac:dyDescent="0.3">
      <c r="A1931" s="1" t="s">
        <v>5436</v>
      </c>
      <c r="B1931" s="5">
        <v>46191</v>
      </c>
      <c r="C1931" s="6">
        <v>0.58333333333333304</v>
      </c>
      <c r="D1931" s="1" t="s">
        <v>30</v>
      </c>
      <c r="E1931" s="1" t="s">
        <v>34</v>
      </c>
      <c r="F1931" s="1" t="s">
        <v>5437</v>
      </c>
      <c r="G1931" s="39" t="s">
        <v>5299</v>
      </c>
      <c r="H1931" s="1">
        <v>2</v>
      </c>
      <c r="I1931" s="1">
        <v>2</v>
      </c>
      <c r="J1931" s="39" t="s">
        <v>5305</v>
      </c>
      <c r="K1931" s="1">
        <v>2</v>
      </c>
      <c r="L1931" s="1">
        <v>2</v>
      </c>
      <c r="S1931" s="1" t="s">
        <v>5438</v>
      </c>
      <c r="T1931" s="1">
        <v>1</v>
      </c>
      <c r="U1931" s="19"/>
      <c r="V1931" s="19"/>
      <c r="W1931" s="218">
        <v>1</v>
      </c>
      <c r="X1931" s="218">
        <v>1</v>
      </c>
      <c r="Y1931" s="218">
        <v>1</v>
      </c>
    </row>
    <row r="1932" spans="1:25" x14ac:dyDescent="0.3">
      <c r="A1932" s="1" t="s">
        <v>5439</v>
      </c>
      <c r="B1932" s="5">
        <v>46187</v>
      </c>
      <c r="C1932" s="6">
        <v>0.45833333333333298</v>
      </c>
      <c r="D1932" s="1" t="s">
        <v>30</v>
      </c>
      <c r="E1932" s="1" t="s">
        <v>34</v>
      </c>
      <c r="F1932" s="1" t="s">
        <v>5440</v>
      </c>
      <c r="G1932" s="39" t="s">
        <v>5305</v>
      </c>
      <c r="H1932" s="1">
        <v>0</v>
      </c>
      <c r="I1932" s="1">
        <v>2</v>
      </c>
      <c r="J1932" s="39" t="s">
        <v>283</v>
      </c>
      <c r="K1932" s="1">
        <v>2</v>
      </c>
      <c r="L1932" s="1">
        <v>0</v>
      </c>
      <c r="S1932" s="1" t="s">
        <v>5441</v>
      </c>
      <c r="T1932" s="1">
        <v>1</v>
      </c>
      <c r="U1932" s="19"/>
      <c r="V1932" s="19"/>
      <c r="W1932" s="218">
        <v>1</v>
      </c>
      <c r="X1932" s="218">
        <v>1</v>
      </c>
      <c r="Y1932" s="218">
        <v>1</v>
      </c>
    </row>
    <row r="1933" spans="1:25" x14ac:dyDescent="0.3">
      <c r="A1933" s="1" t="s">
        <v>5442</v>
      </c>
      <c r="B1933" s="5">
        <v>46177</v>
      </c>
      <c r="C1933" s="6">
        <v>0.58333333333333304</v>
      </c>
      <c r="D1933" s="1" t="s">
        <v>30</v>
      </c>
      <c r="E1933" s="1" t="s">
        <v>34</v>
      </c>
      <c r="F1933" s="1" t="s">
        <v>5443</v>
      </c>
      <c r="G1933" s="39" t="s">
        <v>5297</v>
      </c>
      <c r="H1933" s="1">
        <v>1</v>
      </c>
      <c r="I1933" s="1">
        <v>2</v>
      </c>
      <c r="J1933" s="39" t="s">
        <v>5305</v>
      </c>
      <c r="K1933" s="1">
        <v>2</v>
      </c>
      <c r="L1933" s="1">
        <v>1</v>
      </c>
      <c r="S1933" s="1" t="s">
        <v>5444</v>
      </c>
      <c r="T1933" s="1">
        <v>1</v>
      </c>
      <c r="U1933" s="19"/>
      <c r="V1933" s="19"/>
      <c r="W1933" s="218">
        <v>1</v>
      </c>
      <c r="X1933" s="218">
        <v>1</v>
      </c>
      <c r="Y1933" s="218">
        <v>1</v>
      </c>
    </row>
    <row r="1934" spans="1:25" x14ac:dyDescent="0.3">
      <c r="A1934" s="1" t="s">
        <v>5445</v>
      </c>
      <c r="B1934" s="5">
        <v>46172</v>
      </c>
      <c r="C1934" s="6">
        <v>0.45833333333333298</v>
      </c>
      <c r="D1934" s="1" t="s">
        <v>30</v>
      </c>
      <c r="E1934" s="1" t="s">
        <v>34</v>
      </c>
      <c r="F1934" s="1" t="s">
        <v>5446</v>
      </c>
      <c r="G1934" s="39" t="s">
        <v>5305</v>
      </c>
      <c r="H1934" s="1">
        <v>3</v>
      </c>
      <c r="I1934" s="1">
        <v>0</v>
      </c>
      <c r="J1934" s="39" t="s">
        <v>5307</v>
      </c>
      <c r="K1934" s="1">
        <v>0</v>
      </c>
      <c r="L1934" s="1">
        <v>3</v>
      </c>
      <c r="S1934" s="1" t="s">
        <v>5447</v>
      </c>
      <c r="T1934" s="1">
        <v>1</v>
      </c>
      <c r="U1934" s="19"/>
      <c r="V1934" s="19"/>
      <c r="W1934" s="218">
        <v>1</v>
      </c>
      <c r="X1934" s="218">
        <v>1</v>
      </c>
      <c r="Y1934" s="218">
        <v>1</v>
      </c>
    </row>
    <row r="1935" spans="1:25" x14ac:dyDescent="0.3">
      <c r="A1935" s="1" t="s">
        <v>5448</v>
      </c>
      <c r="B1935" s="5">
        <v>46164</v>
      </c>
      <c r="C1935" s="6">
        <v>0.58333333333333304</v>
      </c>
      <c r="D1935" s="1" t="s">
        <v>30</v>
      </c>
      <c r="E1935" s="1" t="s">
        <v>34</v>
      </c>
      <c r="F1935" s="1" t="s">
        <v>5449</v>
      </c>
      <c r="G1935" s="39" t="s">
        <v>5338</v>
      </c>
      <c r="H1935" s="1">
        <v>1</v>
      </c>
      <c r="I1935" s="1">
        <v>3</v>
      </c>
      <c r="J1935" s="39" t="s">
        <v>5305</v>
      </c>
      <c r="K1935" s="1">
        <v>3</v>
      </c>
      <c r="L1935" s="1">
        <v>1</v>
      </c>
      <c r="S1935" s="1" t="s">
        <v>5450</v>
      </c>
      <c r="T1935" s="1">
        <v>1</v>
      </c>
      <c r="U1935" s="19"/>
      <c r="V1935" s="19"/>
      <c r="W1935" s="218">
        <v>1</v>
      </c>
      <c r="X1935" s="218">
        <v>1</v>
      </c>
      <c r="Y1935" s="218">
        <v>1</v>
      </c>
    </row>
    <row r="1936" spans="1:25" x14ac:dyDescent="0.3">
      <c r="A1936" s="1" t="s">
        <v>5451</v>
      </c>
      <c r="B1936" s="5">
        <v>46159</v>
      </c>
      <c r="C1936" s="6">
        <v>0.33333333333333298</v>
      </c>
      <c r="D1936" s="1" t="s">
        <v>30</v>
      </c>
      <c r="E1936" s="1" t="s">
        <v>34</v>
      </c>
      <c r="F1936" s="1" t="s">
        <v>5452</v>
      </c>
      <c r="G1936" s="39" t="s">
        <v>5285</v>
      </c>
      <c r="H1936" s="1">
        <v>2</v>
      </c>
      <c r="I1936" s="1">
        <v>0</v>
      </c>
      <c r="J1936" s="39" t="s">
        <v>5305</v>
      </c>
      <c r="K1936" s="1">
        <v>0</v>
      </c>
      <c r="L1936" s="1">
        <v>2</v>
      </c>
      <c r="S1936" s="1" t="s">
        <v>5453</v>
      </c>
      <c r="T1936" s="1">
        <v>1</v>
      </c>
      <c r="U1936" s="19"/>
      <c r="V1936" s="19"/>
      <c r="W1936" s="218">
        <v>1</v>
      </c>
      <c r="X1936" s="218">
        <v>1</v>
      </c>
      <c r="Y1936" s="218">
        <v>1</v>
      </c>
    </row>
    <row r="1937" spans="1:25" x14ac:dyDescent="0.3">
      <c r="A1937" s="1" t="s">
        <v>5454</v>
      </c>
      <c r="B1937" s="5">
        <v>46143</v>
      </c>
      <c r="C1937" s="6">
        <v>0.58333333333333304</v>
      </c>
      <c r="D1937" s="1" t="s">
        <v>30</v>
      </c>
      <c r="E1937" s="1" t="s">
        <v>34</v>
      </c>
      <c r="F1937" s="1" t="s">
        <v>5455</v>
      </c>
      <c r="G1937" s="39" t="s">
        <v>5305</v>
      </c>
      <c r="H1937" s="1">
        <v>0</v>
      </c>
      <c r="I1937" s="1">
        <v>1</v>
      </c>
      <c r="J1937" s="39" t="s">
        <v>284</v>
      </c>
      <c r="K1937" s="1">
        <v>1</v>
      </c>
      <c r="L1937" s="1">
        <v>0</v>
      </c>
      <c r="S1937" s="1" t="s">
        <v>5456</v>
      </c>
      <c r="T1937" s="1">
        <v>1</v>
      </c>
      <c r="U1937" s="19"/>
      <c r="V1937" s="19"/>
      <c r="W1937" s="218">
        <v>1</v>
      </c>
      <c r="X1937" s="218">
        <v>1</v>
      </c>
      <c r="Y1937" s="218">
        <v>1</v>
      </c>
    </row>
    <row r="1938" spans="1:25" x14ac:dyDescent="0.3">
      <c r="A1938" s="1" t="s">
        <v>5457</v>
      </c>
      <c r="B1938" s="5">
        <v>46191</v>
      </c>
      <c r="C1938" s="6">
        <v>0.58333333333333304</v>
      </c>
      <c r="D1938" s="1" t="s">
        <v>30</v>
      </c>
      <c r="E1938" s="1" t="s">
        <v>34</v>
      </c>
      <c r="F1938" s="1" t="s">
        <v>5458</v>
      </c>
      <c r="G1938" s="39" t="s">
        <v>5285</v>
      </c>
      <c r="H1938" s="1">
        <v>0</v>
      </c>
      <c r="I1938" s="1">
        <v>0</v>
      </c>
      <c r="J1938" s="39" t="s">
        <v>284</v>
      </c>
      <c r="K1938" s="1">
        <v>0</v>
      </c>
      <c r="L1938" s="1">
        <v>0</v>
      </c>
      <c r="S1938" s="1" t="s">
        <v>5459</v>
      </c>
      <c r="T1938" s="1">
        <v>1</v>
      </c>
      <c r="U1938" s="19"/>
      <c r="V1938" s="19"/>
      <c r="W1938" s="218">
        <v>1</v>
      </c>
      <c r="X1938" s="218">
        <v>1</v>
      </c>
      <c r="Y1938" s="218">
        <v>1</v>
      </c>
    </row>
    <row r="1939" spans="1:25" x14ac:dyDescent="0.3">
      <c r="A1939" s="1" t="s">
        <v>5460</v>
      </c>
      <c r="B1939" s="5">
        <v>46186</v>
      </c>
      <c r="C1939" s="6">
        <v>0.45833333333333298</v>
      </c>
      <c r="D1939" s="1" t="s">
        <v>30</v>
      </c>
      <c r="E1939" s="1" t="s">
        <v>34</v>
      </c>
      <c r="F1939" s="1" t="s">
        <v>5461</v>
      </c>
      <c r="G1939" s="39" t="s">
        <v>5301</v>
      </c>
      <c r="H1939" s="1">
        <v>2</v>
      </c>
      <c r="I1939" s="1">
        <v>1</v>
      </c>
      <c r="J1939" s="39" t="s">
        <v>5285</v>
      </c>
      <c r="K1939" s="1">
        <v>1</v>
      </c>
      <c r="L1939" s="1">
        <v>2</v>
      </c>
      <c r="S1939" s="1" t="s">
        <v>5462</v>
      </c>
      <c r="T1939" s="1">
        <v>1</v>
      </c>
      <c r="U1939" s="19"/>
      <c r="V1939" s="19"/>
      <c r="W1939" s="218">
        <v>1</v>
      </c>
      <c r="X1939" s="218">
        <v>1</v>
      </c>
      <c r="Y1939" s="218">
        <v>1</v>
      </c>
    </row>
    <row r="1940" spans="1:25" x14ac:dyDescent="0.3">
      <c r="A1940" s="1" t="s">
        <v>5463</v>
      </c>
      <c r="B1940" s="5">
        <v>46174</v>
      </c>
      <c r="C1940" s="6">
        <v>0.58333333333333304</v>
      </c>
      <c r="D1940" s="1" t="s">
        <v>30</v>
      </c>
      <c r="E1940" s="1" t="s">
        <v>34</v>
      </c>
      <c r="F1940" s="1" t="s">
        <v>5464</v>
      </c>
      <c r="G1940" s="39" t="s">
        <v>5299</v>
      </c>
      <c r="H1940" s="1">
        <v>1</v>
      </c>
      <c r="I1940" s="1">
        <v>0</v>
      </c>
      <c r="J1940" s="39" t="s">
        <v>5285</v>
      </c>
      <c r="K1940" s="1">
        <v>0</v>
      </c>
      <c r="L1940" s="1">
        <v>1</v>
      </c>
      <c r="S1940" s="1" t="s">
        <v>5465</v>
      </c>
      <c r="T1940" s="1">
        <v>1</v>
      </c>
      <c r="U1940" s="19"/>
      <c r="V1940" s="19"/>
      <c r="W1940" s="218">
        <v>1</v>
      </c>
      <c r="X1940" s="218">
        <v>1</v>
      </c>
      <c r="Y1940" s="218">
        <v>1</v>
      </c>
    </row>
    <row r="1941" spans="1:25" x14ac:dyDescent="0.3">
      <c r="A1941" s="1" t="s">
        <v>5466</v>
      </c>
      <c r="B1941" s="5">
        <v>46166</v>
      </c>
      <c r="C1941" s="6">
        <v>0.45833333333333298</v>
      </c>
      <c r="D1941" s="1" t="s">
        <v>30</v>
      </c>
      <c r="E1941" s="1" t="s">
        <v>34</v>
      </c>
      <c r="F1941" s="1" t="s">
        <v>5467</v>
      </c>
      <c r="G1941" s="39" t="s">
        <v>5285</v>
      </c>
      <c r="H1941" s="1">
        <v>3</v>
      </c>
      <c r="I1941" s="1">
        <v>0</v>
      </c>
      <c r="J1941" s="39" t="s">
        <v>5289</v>
      </c>
      <c r="K1941" s="1">
        <v>0</v>
      </c>
      <c r="L1941" s="1">
        <v>3</v>
      </c>
      <c r="S1941" s="1" t="s">
        <v>5468</v>
      </c>
      <c r="T1941" s="1">
        <v>1</v>
      </c>
      <c r="U1941" s="19"/>
      <c r="V1941" s="19"/>
      <c r="W1941" s="218">
        <v>1</v>
      </c>
      <c r="X1941" s="218">
        <v>1</v>
      </c>
      <c r="Y1941" s="218">
        <v>1</v>
      </c>
    </row>
    <row r="1942" spans="1:25" x14ac:dyDescent="0.3">
      <c r="A1942" s="1" t="s">
        <v>5469</v>
      </c>
      <c r="B1942" s="5">
        <v>46156</v>
      </c>
      <c r="C1942" s="6">
        <v>0.58333333333333304</v>
      </c>
      <c r="D1942" s="1" t="s">
        <v>30</v>
      </c>
      <c r="E1942" s="1" t="s">
        <v>34</v>
      </c>
      <c r="F1942" s="1" t="s">
        <v>5470</v>
      </c>
      <c r="G1942" s="39" t="s">
        <v>283</v>
      </c>
      <c r="H1942" s="1">
        <v>1</v>
      </c>
      <c r="I1942" s="1">
        <v>1</v>
      </c>
      <c r="J1942" s="39" t="s">
        <v>5285</v>
      </c>
      <c r="K1942" s="1">
        <v>1</v>
      </c>
      <c r="L1942" s="1">
        <v>1</v>
      </c>
      <c r="S1942" s="1" t="s">
        <v>5471</v>
      </c>
      <c r="T1942" s="1">
        <v>1</v>
      </c>
      <c r="U1942" s="19"/>
      <c r="V1942" s="19"/>
      <c r="W1942" s="218">
        <v>1</v>
      </c>
      <c r="X1942" s="218">
        <v>1</v>
      </c>
      <c r="Y1942" s="218">
        <v>1</v>
      </c>
    </row>
    <row r="1943" spans="1:25" x14ac:dyDescent="0.3">
      <c r="A1943" s="1" t="s">
        <v>5472</v>
      </c>
      <c r="B1943" s="5">
        <v>46152</v>
      </c>
      <c r="C1943" s="6">
        <v>0.45833333333333298</v>
      </c>
      <c r="D1943" s="1" t="s">
        <v>30</v>
      </c>
      <c r="E1943" s="1" t="s">
        <v>34</v>
      </c>
      <c r="F1943" s="1" t="s">
        <v>5473</v>
      </c>
      <c r="G1943" s="39" t="s">
        <v>5285</v>
      </c>
      <c r="H1943" s="1">
        <v>2</v>
      </c>
      <c r="I1943" s="1">
        <v>1</v>
      </c>
      <c r="J1943" s="39" t="s">
        <v>5297</v>
      </c>
      <c r="K1943" s="1">
        <v>1</v>
      </c>
      <c r="L1943" s="1">
        <v>2</v>
      </c>
      <c r="S1943" s="1" t="s">
        <v>5474</v>
      </c>
      <c r="T1943" s="1">
        <v>1</v>
      </c>
      <c r="U1943" s="19"/>
      <c r="V1943" s="19"/>
      <c r="W1943" s="218">
        <v>1</v>
      </c>
      <c r="X1943" s="218">
        <v>1</v>
      </c>
      <c r="Y1943" s="218">
        <v>1</v>
      </c>
    </row>
    <row r="1944" spans="1:25" x14ac:dyDescent="0.3">
      <c r="A1944" s="1" t="s">
        <v>5475</v>
      </c>
      <c r="B1944" s="5">
        <v>46144</v>
      </c>
      <c r="C1944" s="6">
        <v>0.45833333333333298</v>
      </c>
      <c r="D1944" s="1" t="s">
        <v>30</v>
      </c>
      <c r="E1944" s="1" t="s">
        <v>34</v>
      </c>
      <c r="F1944" s="1" t="s">
        <v>5476</v>
      </c>
      <c r="G1944" s="39" t="s">
        <v>5285</v>
      </c>
      <c r="H1944" s="1">
        <v>3</v>
      </c>
      <c r="I1944" s="1">
        <v>0</v>
      </c>
      <c r="J1944" s="39" t="s">
        <v>5338</v>
      </c>
      <c r="K1944" s="1">
        <v>0</v>
      </c>
      <c r="L1944" s="1">
        <v>3</v>
      </c>
      <c r="S1944" s="1" t="s">
        <v>5477</v>
      </c>
      <c r="T1944" s="1">
        <v>1</v>
      </c>
      <c r="U1944" s="19"/>
      <c r="V1944" s="19"/>
      <c r="W1944" s="218">
        <v>1</v>
      </c>
      <c r="X1944" s="218">
        <v>1</v>
      </c>
      <c r="Y1944" s="218">
        <v>1</v>
      </c>
    </row>
    <row r="1945" spans="1:25" x14ac:dyDescent="0.3">
      <c r="A1945" s="1" t="s">
        <v>5478</v>
      </c>
      <c r="B1945" s="5">
        <v>46241</v>
      </c>
      <c r="C1945" s="6">
        <v>0.58333333333333304</v>
      </c>
      <c r="D1945" s="1" t="s">
        <v>30</v>
      </c>
      <c r="E1945" s="1" t="s">
        <v>34</v>
      </c>
      <c r="F1945" s="1" t="s">
        <v>5479</v>
      </c>
      <c r="G1945" s="39" t="s">
        <v>5338</v>
      </c>
      <c r="H1945" s="1">
        <v>1</v>
      </c>
      <c r="I1945" s="1">
        <v>0</v>
      </c>
      <c r="J1945" s="39" t="s">
        <v>5289</v>
      </c>
      <c r="K1945" s="1">
        <v>0</v>
      </c>
      <c r="L1945" s="1">
        <v>1</v>
      </c>
      <c r="S1945" s="1" t="s">
        <v>5480</v>
      </c>
      <c r="T1945" s="1">
        <v>1</v>
      </c>
      <c r="U1945" s="19"/>
      <c r="V1945" s="19"/>
      <c r="W1945" s="218">
        <v>1</v>
      </c>
      <c r="X1945" s="218">
        <v>1</v>
      </c>
      <c r="Y1945" s="218">
        <v>1</v>
      </c>
    </row>
    <row r="1946" spans="1:25" x14ac:dyDescent="0.3">
      <c r="A1946" s="1" t="s">
        <v>5481</v>
      </c>
      <c r="B1946" s="5">
        <v>46199</v>
      </c>
      <c r="C1946" s="6">
        <v>0.58333333333333304</v>
      </c>
      <c r="D1946" s="1" t="s">
        <v>30</v>
      </c>
      <c r="E1946" s="1" t="s">
        <v>34</v>
      </c>
      <c r="F1946" s="1" t="s">
        <v>5482</v>
      </c>
      <c r="G1946" s="39" t="s">
        <v>5338</v>
      </c>
      <c r="H1946" s="1">
        <v>0</v>
      </c>
      <c r="I1946" s="1">
        <v>0</v>
      </c>
      <c r="J1946" s="39" t="s">
        <v>283</v>
      </c>
      <c r="K1946" s="1">
        <v>0</v>
      </c>
      <c r="L1946" s="1">
        <v>0</v>
      </c>
      <c r="S1946" s="1" t="s">
        <v>5483</v>
      </c>
      <c r="T1946" s="1">
        <v>1</v>
      </c>
      <c r="U1946" s="19"/>
      <c r="V1946" s="19"/>
      <c r="W1946" s="218">
        <v>1</v>
      </c>
      <c r="X1946" s="218">
        <v>1</v>
      </c>
      <c r="Y1946" s="218">
        <v>1</v>
      </c>
    </row>
    <row r="1947" spans="1:25" x14ac:dyDescent="0.3">
      <c r="A1947" s="1" t="s">
        <v>5484</v>
      </c>
      <c r="B1947" s="5">
        <v>46194</v>
      </c>
      <c r="C1947" s="6">
        <v>0.45833333333333298</v>
      </c>
      <c r="D1947" s="1" t="s">
        <v>30</v>
      </c>
      <c r="E1947" s="1" t="s">
        <v>34</v>
      </c>
      <c r="F1947" s="1" t="s">
        <v>5485</v>
      </c>
      <c r="G1947" s="39" t="s">
        <v>5338</v>
      </c>
      <c r="H1947" s="1">
        <v>0</v>
      </c>
      <c r="I1947" s="1">
        <v>3</v>
      </c>
      <c r="J1947" s="39" t="s">
        <v>5297</v>
      </c>
      <c r="K1947" s="1">
        <v>3</v>
      </c>
      <c r="L1947" s="1">
        <v>0</v>
      </c>
      <c r="S1947" s="1" t="s">
        <v>5486</v>
      </c>
      <c r="T1947" s="1">
        <v>1</v>
      </c>
      <c r="U1947" s="19"/>
      <c r="V1947" s="19"/>
      <c r="W1947" s="218">
        <v>1</v>
      </c>
      <c r="X1947" s="218">
        <v>1</v>
      </c>
      <c r="Y1947" s="218">
        <v>1</v>
      </c>
    </row>
    <row r="1948" spans="1:25" x14ac:dyDescent="0.3">
      <c r="A1948" s="1" t="s">
        <v>5487</v>
      </c>
      <c r="B1948" s="5">
        <v>46180</v>
      </c>
      <c r="C1948" s="6">
        <v>0.45833333333333298</v>
      </c>
      <c r="D1948" s="1" t="s">
        <v>30</v>
      </c>
      <c r="E1948" s="1" t="s">
        <v>34</v>
      </c>
      <c r="F1948" s="1" t="s">
        <v>5488</v>
      </c>
      <c r="G1948" s="39" t="s">
        <v>5338</v>
      </c>
      <c r="H1948" s="1">
        <v>1</v>
      </c>
      <c r="I1948" s="1">
        <v>1</v>
      </c>
      <c r="J1948" s="39" t="s">
        <v>284</v>
      </c>
      <c r="K1948" s="1">
        <v>1</v>
      </c>
      <c r="L1948" s="1">
        <v>1</v>
      </c>
      <c r="S1948" s="1" t="s">
        <v>5489</v>
      </c>
      <c r="T1948" s="1">
        <v>1</v>
      </c>
      <c r="U1948" s="19"/>
      <c r="V1948" s="19"/>
      <c r="W1948" s="218">
        <v>1</v>
      </c>
      <c r="X1948" s="218">
        <v>1</v>
      </c>
      <c r="Y1948" s="218">
        <v>1</v>
      </c>
    </row>
    <row r="1949" spans="1:25" x14ac:dyDescent="0.3">
      <c r="A1949" s="1" t="s">
        <v>5490</v>
      </c>
      <c r="B1949" s="5">
        <v>46172</v>
      </c>
      <c r="C1949" s="6">
        <v>0.45833333333333298</v>
      </c>
      <c r="D1949" s="1" t="s">
        <v>30</v>
      </c>
      <c r="E1949" s="1" t="s">
        <v>34</v>
      </c>
      <c r="F1949" s="1" t="s">
        <v>5491</v>
      </c>
      <c r="G1949" s="39" t="s">
        <v>5301</v>
      </c>
      <c r="H1949" s="1">
        <v>1</v>
      </c>
      <c r="I1949" s="1">
        <v>2</v>
      </c>
      <c r="J1949" s="39" t="s">
        <v>5338</v>
      </c>
      <c r="K1949" s="1">
        <v>2</v>
      </c>
      <c r="L1949" s="1">
        <v>1</v>
      </c>
      <c r="S1949" s="1" t="s">
        <v>5492</v>
      </c>
      <c r="T1949" s="1">
        <v>1</v>
      </c>
      <c r="U1949" s="19"/>
      <c r="V1949" s="19"/>
      <c r="W1949" s="218">
        <v>1</v>
      </c>
      <c r="X1949" s="218">
        <v>1</v>
      </c>
      <c r="Y1949" s="218">
        <v>1</v>
      </c>
    </row>
    <row r="1950" spans="1:25" x14ac:dyDescent="0.3">
      <c r="A1950" s="1" t="s">
        <v>5493</v>
      </c>
      <c r="B1950" s="5">
        <v>46160</v>
      </c>
      <c r="C1950" s="6">
        <v>0.58333333333333304</v>
      </c>
      <c r="D1950" s="1" t="s">
        <v>30</v>
      </c>
      <c r="E1950" s="1" t="s">
        <v>34</v>
      </c>
      <c r="F1950" s="1" t="s">
        <v>5494</v>
      </c>
      <c r="G1950" s="39" t="s">
        <v>5289</v>
      </c>
      <c r="H1950" s="1">
        <v>0</v>
      </c>
      <c r="I1950" s="1">
        <v>1</v>
      </c>
      <c r="J1950" s="39" t="s">
        <v>5338</v>
      </c>
      <c r="K1950" s="1">
        <v>1</v>
      </c>
      <c r="L1950" s="1">
        <v>0</v>
      </c>
      <c r="S1950" s="1" t="s">
        <v>5495</v>
      </c>
      <c r="T1950" s="1">
        <v>1</v>
      </c>
      <c r="U1950" s="19"/>
      <c r="V1950" s="19"/>
      <c r="W1950" s="218">
        <v>1</v>
      </c>
      <c r="X1950" s="218">
        <v>1</v>
      </c>
      <c r="Y1950" s="218">
        <v>1</v>
      </c>
    </row>
    <row r="1951" spans="1:25" x14ac:dyDescent="0.3">
      <c r="A1951" s="1" t="s">
        <v>5496</v>
      </c>
      <c r="B1951" s="5">
        <v>46200</v>
      </c>
      <c r="C1951" s="6">
        <v>0.33333333333333298</v>
      </c>
      <c r="D1951" s="1" t="s">
        <v>30</v>
      </c>
      <c r="E1951" s="1" t="s">
        <v>34</v>
      </c>
      <c r="F1951" s="1" t="s">
        <v>5497</v>
      </c>
      <c r="G1951" s="39" t="s">
        <v>5297</v>
      </c>
      <c r="H1951" s="1">
        <v>3</v>
      </c>
      <c r="I1951" s="1">
        <v>1</v>
      </c>
      <c r="J1951" s="39" t="s">
        <v>5307</v>
      </c>
      <c r="K1951" s="1">
        <v>1</v>
      </c>
      <c r="L1951" s="1">
        <v>3</v>
      </c>
      <c r="S1951" s="1" t="s">
        <v>5498</v>
      </c>
      <c r="T1951" s="1">
        <v>1</v>
      </c>
      <c r="U1951" s="19"/>
      <c r="V1951" s="19"/>
      <c r="W1951" s="218">
        <v>1</v>
      </c>
      <c r="X1951" s="218">
        <v>1</v>
      </c>
      <c r="Y1951" s="218">
        <v>1</v>
      </c>
    </row>
    <row r="1952" spans="1:25" x14ac:dyDescent="0.3">
      <c r="A1952" s="1" t="s">
        <v>5499</v>
      </c>
      <c r="B1952" s="5">
        <v>46166</v>
      </c>
      <c r="C1952" s="6">
        <v>0.45833333333333298</v>
      </c>
      <c r="D1952" s="1" t="s">
        <v>30</v>
      </c>
      <c r="E1952" s="1" t="s">
        <v>34</v>
      </c>
      <c r="F1952" s="1" t="s">
        <v>5500</v>
      </c>
      <c r="G1952" s="39" t="s">
        <v>5331</v>
      </c>
      <c r="H1952" s="1">
        <v>3</v>
      </c>
      <c r="I1952" s="1">
        <v>1</v>
      </c>
      <c r="J1952" s="39" t="s">
        <v>5297</v>
      </c>
      <c r="K1952" s="1">
        <v>1</v>
      </c>
      <c r="L1952" s="1">
        <v>3</v>
      </c>
      <c r="S1952" s="1" t="s">
        <v>5501</v>
      </c>
      <c r="T1952" s="1">
        <v>1</v>
      </c>
      <c r="U1952" s="19"/>
      <c r="V1952" s="19"/>
      <c r="W1952" s="218">
        <v>1</v>
      </c>
      <c r="X1952" s="218">
        <v>1</v>
      </c>
      <c r="Y1952" s="218">
        <v>1</v>
      </c>
    </row>
    <row r="1953" spans="1:25" x14ac:dyDescent="0.3">
      <c r="A1953" s="1" t="s">
        <v>5502</v>
      </c>
      <c r="B1953" s="5">
        <v>46155</v>
      </c>
      <c r="C1953" s="6">
        <v>0.58333333333333304</v>
      </c>
      <c r="D1953" s="1" t="s">
        <v>30</v>
      </c>
      <c r="E1953" s="1" t="s">
        <v>34</v>
      </c>
      <c r="F1953" s="1" t="s">
        <v>5503</v>
      </c>
      <c r="G1953" s="39" t="s">
        <v>5297</v>
      </c>
      <c r="H1953" s="1">
        <v>4</v>
      </c>
      <c r="I1953" s="1">
        <v>3</v>
      </c>
      <c r="J1953" s="39" t="s">
        <v>284</v>
      </c>
      <c r="K1953" s="1">
        <v>3</v>
      </c>
      <c r="L1953" s="1">
        <v>4</v>
      </c>
      <c r="S1953" s="1" t="s">
        <v>5504</v>
      </c>
      <c r="T1953" s="1">
        <v>1</v>
      </c>
      <c r="U1953" s="19"/>
      <c r="V1953" s="19"/>
      <c r="W1953" s="218">
        <v>1</v>
      </c>
      <c r="X1953" s="218">
        <v>1</v>
      </c>
      <c r="Y1953" s="218">
        <v>1</v>
      </c>
    </row>
    <row r="1954" spans="1:25" x14ac:dyDescent="0.3">
      <c r="A1954" s="1" t="s">
        <v>5505</v>
      </c>
      <c r="B1954" s="5">
        <v>46144</v>
      </c>
      <c r="C1954" s="6">
        <v>0.45833333333333298</v>
      </c>
      <c r="D1954" s="1" t="s">
        <v>30</v>
      </c>
      <c r="E1954" s="1" t="s">
        <v>34</v>
      </c>
      <c r="F1954" s="1" t="s">
        <v>5506</v>
      </c>
      <c r="G1954" s="39" t="s">
        <v>5301</v>
      </c>
      <c r="H1954" s="1">
        <v>1</v>
      </c>
      <c r="I1954" s="1">
        <v>2</v>
      </c>
      <c r="J1954" s="39" t="s">
        <v>5297</v>
      </c>
      <c r="K1954" s="1">
        <v>2</v>
      </c>
      <c r="L1954" s="1">
        <v>1</v>
      </c>
      <c r="S1954" s="1" t="s">
        <v>5507</v>
      </c>
      <c r="T1954" s="1">
        <v>1</v>
      </c>
      <c r="U1954" s="19"/>
      <c r="V1954" s="19"/>
      <c r="W1954" s="218">
        <v>1</v>
      </c>
      <c r="X1954" s="218">
        <v>1</v>
      </c>
      <c r="Y1954" s="218">
        <v>1</v>
      </c>
    </row>
    <row r="1955" spans="1:25" x14ac:dyDescent="0.3">
      <c r="A1955" s="1" t="s">
        <v>5508</v>
      </c>
      <c r="B1955" s="5">
        <v>46242</v>
      </c>
      <c r="C1955" s="6">
        <v>0.45833333333333298</v>
      </c>
      <c r="D1955" s="1" t="s">
        <v>30</v>
      </c>
      <c r="E1955" s="1" t="s">
        <v>34</v>
      </c>
      <c r="F1955" s="1" t="s">
        <v>5509</v>
      </c>
      <c r="G1955" s="39" t="s">
        <v>5299</v>
      </c>
      <c r="H1955" s="1">
        <v>1</v>
      </c>
      <c r="I1955" s="1">
        <v>1</v>
      </c>
      <c r="J1955" s="39" t="s">
        <v>284</v>
      </c>
      <c r="K1955" s="1">
        <v>1</v>
      </c>
      <c r="L1955" s="1">
        <v>1</v>
      </c>
      <c r="S1955" s="1" t="s">
        <v>5510</v>
      </c>
      <c r="T1955" s="1">
        <v>1</v>
      </c>
      <c r="U1955" s="19"/>
      <c r="V1955" s="19"/>
      <c r="W1955" s="218">
        <v>1</v>
      </c>
      <c r="X1955" s="218">
        <v>1</v>
      </c>
      <c r="Y1955" s="218">
        <v>1</v>
      </c>
    </row>
    <row r="1956" spans="1:25" x14ac:dyDescent="0.3">
      <c r="A1956" s="1" t="s">
        <v>5511</v>
      </c>
      <c r="B1956" s="5">
        <v>46200</v>
      </c>
      <c r="C1956" s="6">
        <v>0.45833333333333298</v>
      </c>
      <c r="D1956" s="1" t="s">
        <v>30</v>
      </c>
      <c r="E1956" s="1" t="s">
        <v>34</v>
      </c>
      <c r="F1956" s="1" t="s">
        <v>5512</v>
      </c>
      <c r="G1956" s="39" t="s">
        <v>284</v>
      </c>
      <c r="H1956" s="1">
        <v>2</v>
      </c>
      <c r="I1956" s="1">
        <v>1</v>
      </c>
      <c r="J1956" s="39" t="s">
        <v>5299</v>
      </c>
      <c r="K1956" s="1">
        <v>1</v>
      </c>
      <c r="L1956" s="1">
        <v>2</v>
      </c>
      <c r="S1956" s="1" t="s">
        <v>5513</v>
      </c>
      <c r="T1956" s="1">
        <v>1</v>
      </c>
      <c r="U1956" s="19"/>
      <c r="V1956" s="19"/>
      <c r="W1956" s="218">
        <v>1</v>
      </c>
      <c r="X1956" s="218">
        <v>1</v>
      </c>
      <c r="Y1956" s="218">
        <v>1</v>
      </c>
    </row>
    <row r="1957" spans="1:25" x14ac:dyDescent="0.3">
      <c r="A1957" s="1" t="s">
        <v>5514</v>
      </c>
      <c r="B1957" s="5">
        <v>46159</v>
      </c>
      <c r="C1957" s="6">
        <v>0.45833333333333298</v>
      </c>
      <c r="D1957" s="1" t="s">
        <v>30</v>
      </c>
      <c r="E1957" s="1" t="s">
        <v>34</v>
      </c>
      <c r="F1957" s="1" t="s">
        <v>5515</v>
      </c>
      <c r="G1957" s="39" t="s">
        <v>284</v>
      </c>
      <c r="H1957" s="1">
        <v>5</v>
      </c>
      <c r="I1957" s="1">
        <v>0</v>
      </c>
      <c r="J1957" s="39" t="s">
        <v>5307</v>
      </c>
      <c r="K1957" s="1">
        <v>0</v>
      </c>
      <c r="L1957" s="1">
        <v>5</v>
      </c>
      <c r="S1957" s="1" t="s">
        <v>5516</v>
      </c>
      <c r="T1957" s="1">
        <v>1</v>
      </c>
      <c r="U1957" s="19"/>
      <c r="V1957" s="19"/>
      <c r="W1957" s="218">
        <v>1</v>
      </c>
      <c r="X1957" s="218">
        <v>1</v>
      </c>
      <c r="Y1957" s="218">
        <v>1</v>
      </c>
    </row>
    <row r="1958" spans="1:25" x14ac:dyDescent="0.3">
      <c r="A1958" s="1" t="s">
        <v>5517</v>
      </c>
      <c r="B1958" s="5">
        <v>46180</v>
      </c>
      <c r="C1958" s="6">
        <v>0.45833333333333298</v>
      </c>
      <c r="D1958" s="1" t="s">
        <v>30</v>
      </c>
      <c r="E1958" s="1" t="s">
        <v>34</v>
      </c>
      <c r="F1958" s="1" t="s">
        <v>5518</v>
      </c>
      <c r="G1958" s="39" t="s">
        <v>283</v>
      </c>
      <c r="H1958" s="1">
        <v>4</v>
      </c>
      <c r="I1958" s="1">
        <v>0</v>
      </c>
      <c r="J1958" s="39" t="s">
        <v>5299</v>
      </c>
      <c r="K1958" s="1">
        <v>0</v>
      </c>
      <c r="L1958" s="1">
        <v>4</v>
      </c>
      <c r="S1958" s="1" t="s">
        <v>5519</v>
      </c>
      <c r="T1958" s="1">
        <v>1</v>
      </c>
      <c r="U1958" s="19"/>
      <c r="V1958" s="19"/>
      <c r="W1958" s="218">
        <v>1</v>
      </c>
      <c r="X1958" s="218">
        <v>1</v>
      </c>
      <c r="Y1958" s="218">
        <v>1</v>
      </c>
    </row>
    <row r="1959" spans="1:25" x14ac:dyDescent="0.3">
      <c r="A1959" s="1" t="s">
        <v>5520</v>
      </c>
      <c r="B1959" s="5">
        <v>46155</v>
      </c>
      <c r="C1959" s="6">
        <v>0.58333333333333304</v>
      </c>
      <c r="D1959" s="1" t="s">
        <v>30</v>
      </c>
      <c r="E1959" s="1" t="s">
        <v>34</v>
      </c>
      <c r="F1959" s="1" t="s">
        <v>5521</v>
      </c>
      <c r="G1959" s="39" t="s">
        <v>5307</v>
      </c>
      <c r="H1959" s="1">
        <v>2</v>
      </c>
      <c r="I1959" s="1">
        <v>3</v>
      </c>
      <c r="J1959" s="39" t="s">
        <v>5299</v>
      </c>
      <c r="K1959" s="1">
        <v>3</v>
      </c>
      <c r="L1959" s="1">
        <v>2</v>
      </c>
      <c r="S1959" s="1" t="s">
        <v>5522</v>
      </c>
      <c r="T1959" s="1">
        <v>1</v>
      </c>
      <c r="U1959" s="19"/>
      <c r="V1959" s="19"/>
      <c r="W1959" s="218">
        <v>1</v>
      </c>
      <c r="X1959" s="218">
        <v>1</v>
      </c>
      <c r="Y1959" s="218">
        <v>1</v>
      </c>
    </row>
    <row r="1960" spans="1:25" x14ac:dyDescent="0.3">
      <c r="A1960" s="1" t="s">
        <v>5523</v>
      </c>
      <c r="B1960" s="5">
        <v>46151</v>
      </c>
      <c r="C1960" s="6">
        <v>0.45833333333333298</v>
      </c>
      <c r="D1960" s="1" t="s">
        <v>30</v>
      </c>
      <c r="E1960" s="1" t="s">
        <v>34</v>
      </c>
      <c r="F1960" s="1" t="s">
        <v>5524</v>
      </c>
      <c r="G1960" s="39" t="s">
        <v>5299</v>
      </c>
      <c r="H1960" s="1">
        <v>1</v>
      </c>
      <c r="I1960" s="1">
        <v>1</v>
      </c>
      <c r="J1960" s="39" t="s">
        <v>5289</v>
      </c>
      <c r="K1960" s="1">
        <v>1</v>
      </c>
      <c r="L1960" s="1">
        <v>1</v>
      </c>
      <c r="S1960" s="1" t="s">
        <v>5525</v>
      </c>
      <c r="T1960" s="1">
        <v>1</v>
      </c>
      <c r="U1960" s="19"/>
      <c r="V1960" s="19"/>
      <c r="W1960" s="218">
        <v>1</v>
      </c>
      <c r="X1960" s="218">
        <v>1</v>
      </c>
      <c r="Y1960" s="218">
        <v>1</v>
      </c>
    </row>
    <row r="1961" spans="1:25" x14ac:dyDescent="0.3">
      <c r="A1961" s="1" t="s">
        <v>5526</v>
      </c>
      <c r="B1961" s="5">
        <v>46144</v>
      </c>
      <c r="C1961" s="6">
        <v>0.45833333333333298</v>
      </c>
      <c r="D1961" s="1" t="s">
        <v>30</v>
      </c>
      <c r="E1961" s="1" t="s">
        <v>34</v>
      </c>
      <c r="F1961" s="1" t="s">
        <v>5527</v>
      </c>
      <c r="G1961" s="39" t="s">
        <v>5299</v>
      </c>
      <c r="H1961" s="1">
        <v>0</v>
      </c>
      <c r="I1961" s="1">
        <v>0</v>
      </c>
      <c r="J1961" s="39" t="s">
        <v>5331</v>
      </c>
      <c r="K1961" s="1">
        <v>0</v>
      </c>
      <c r="L1961" s="1">
        <v>0</v>
      </c>
      <c r="S1961" s="1" t="s">
        <v>5528</v>
      </c>
      <c r="T1961" s="1">
        <v>1</v>
      </c>
      <c r="U1961" s="19"/>
      <c r="V1961" s="19"/>
      <c r="W1961" s="218">
        <v>1</v>
      </c>
      <c r="X1961" s="218">
        <v>1</v>
      </c>
      <c r="Y1961" s="218">
        <v>1</v>
      </c>
    </row>
    <row r="1962" spans="1:25" x14ac:dyDescent="0.3">
      <c r="A1962" s="1" t="s">
        <v>5529</v>
      </c>
      <c r="B1962" s="5">
        <v>46165</v>
      </c>
      <c r="C1962" s="6">
        <v>0.45833333333333298</v>
      </c>
      <c r="D1962" s="1" t="s">
        <v>30</v>
      </c>
      <c r="E1962" s="1" t="s">
        <v>34</v>
      </c>
      <c r="F1962" s="1" t="s">
        <v>5530</v>
      </c>
      <c r="G1962" s="39" t="s">
        <v>5307</v>
      </c>
      <c r="H1962" s="1">
        <v>0</v>
      </c>
      <c r="I1962" s="1">
        <v>0</v>
      </c>
      <c r="J1962" s="39" t="s">
        <v>283</v>
      </c>
      <c r="K1962" s="1">
        <v>0</v>
      </c>
      <c r="L1962" s="1">
        <v>0</v>
      </c>
      <c r="S1962" s="1" t="s">
        <v>5531</v>
      </c>
      <c r="T1962" s="1">
        <v>1</v>
      </c>
      <c r="U1962" s="19"/>
      <c r="V1962" s="19"/>
      <c r="W1962" s="218">
        <v>1</v>
      </c>
      <c r="X1962" s="218">
        <v>1</v>
      </c>
      <c r="Y1962" s="218">
        <v>1</v>
      </c>
    </row>
    <row r="1963" spans="1:25" x14ac:dyDescent="0.3">
      <c r="A1963" s="1" t="s">
        <v>5532</v>
      </c>
      <c r="B1963" s="5">
        <v>46152</v>
      </c>
      <c r="C1963" s="6">
        <v>0.45833333333333298</v>
      </c>
      <c r="D1963" s="1" t="s">
        <v>30</v>
      </c>
      <c r="E1963" s="1" t="s">
        <v>34</v>
      </c>
      <c r="F1963" s="1" t="s">
        <v>5533</v>
      </c>
      <c r="G1963" s="39" t="s">
        <v>5331</v>
      </c>
      <c r="H1963" s="1">
        <v>1</v>
      </c>
      <c r="I1963" s="1">
        <v>2</v>
      </c>
      <c r="J1963" s="39" t="s">
        <v>283</v>
      </c>
      <c r="K1963" s="1">
        <v>2</v>
      </c>
      <c r="L1963" s="1">
        <v>1</v>
      </c>
      <c r="S1963" s="1" t="s">
        <v>5534</v>
      </c>
      <c r="T1963" s="1">
        <v>1</v>
      </c>
      <c r="U1963" s="19"/>
      <c r="V1963" s="19"/>
      <c r="W1963" s="218">
        <v>1</v>
      </c>
      <c r="X1963" s="218">
        <v>1</v>
      </c>
      <c r="Y1963" s="218">
        <v>1</v>
      </c>
    </row>
    <row r="1964" spans="1:25" x14ac:dyDescent="0.3">
      <c r="A1964" s="1" t="s">
        <v>5535</v>
      </c>
      <c r="B1964" s="5">
        <v>46242</v>
      </c>
      <c r="C1964" s="6">
        <v>0.45833333333333298</v>
      </c>
      <c r="D1964" s="1" t="s">
        <v>30</v>
      </c>
      <c r="E1964" s="1" t="s">
        <v>34</v>
      </c>
      <c r="F1964" s="1" t="s">
        <v>5536</v>
      </c>
      <c r="G1964" s="39" t="s">
        <v>5301</v>
      </c>
      <c r="H1964" s="1">
        <v>1</v>
      </c>
      <c r="I1964" s="1">
        <v>2</v>
      </c>
      <c r="J1964" s="39" t="s">
        <v>5331</v>
      </c>
      <c r="K1964" s="1">
        <v>2</v>
      </c>
      <c r="L1964" s="1">
        <v>1</v>
      </c>
      <c r="S1964" s="1" t="s">
        <v>5537</v>
      </c>
      <c r="T1964" s="1">
        <v>1</v>
      </c>
      <c r="U1964" s="19"/>
      <c r="V1964" s="19"/>
      <c r="W1964" s="218">
        <v>1</v>
      </c>
      <c r="X1964" s="218">
        <v>1</v>
      </c>
      <c r="Y1964" s="218">
        <v>1</v>
      </c>
    </row>
    <row r="1965" spans="1:25" x14ac:dyDescent="0.3">
      <c r="A1965" s="1" t="s">
        <v>5538</v>
      </c>
      <c r="B1965" s="5">
        <v>46235</v>
      </c>
      <c r="C1965" s="6">
        <v>0.33333333333333298</v>
      </c>
      <c r="D1965" s="1" t="s">
        <v>30</v>
      </c>
      <c r="E1965" s="1" t="s">
        <v>34</v>
      </c>
      <c r="F1965" s="1" t="s">
        <v>5539</v>
      </c>
      <c r="G1965" s="39" t="s">
        <v>5301</v>
      </c>
      <c r="H1965" s="1">
        <v>2</v>
      </c>
      <c r="I1965" s="1">
        <v>2</v>
      </c>
      <c r="J1965" s="39" t="s">
        <v>5307</v>
      </c>
      <c r="K1965" s="1">
        <v>2</v>
      </c>
      <c r="L1965" s="1">
        <v>2</v>
      </c>
      <c r="S1965" s="1" t="s">
        <v>5540</v>
      </c>
      <c r="T1965" s="1">
        <v>1</v>
      </c>
      <c r="U1965" s="19"/>
      <c r="V1965" s="19"/>
      <c r="W1965" s="218">
        <v>1</v>
      </c>
      <c r="X1965" s="218">
        <v>1</v>
      </c>
      <c r="Y1965" s="218">
        <v>1</v>
      </c>
    </row>
    <row r="1966" spans="1:25" x14ac:dyDescent="0.3">
      <c r="A1966" s="1" t="s">
        <v>5541</v>
      </c>
      <c r="B1966" s="5">
        <v>46191</v>
      </c>
      <c r="C1966" s="6">
        <v>0.58333333333333304</v>
      </c>
      <c r="D1966" s="1" t="s">
        <v>30</v>
      </c>
      <c r="E1966" s="1" t="s">
        <v>34</v>
      </c>
      <c r="F1966" s="1" t="s">
        <v>5542</v>
      </c>
      <c r="G1966" s="39" t="s">
        <v>5301</v>
      </c>
      <c r="H1966" s="1">
        <v>3</v>
      </c>
      <c r="I1966" s="1">
        <v>2</v>
      </c>
      <c r="J1966" s="39" t="s">
        <v>5289</v>
      </c>
      <c r="K1966" s="1">
        <v>2</v>
      </c>
      <c r="L1966" s="1">
        <v>3</v>
      </c>
      <c r="S1966" s="1" t="s">
        <v>5543</v>
      </c>
      <c r="T1966" s="1">
        <v>1</v>
      </c>
      <c r="U1966" s="19"/>
      <c r="V1966" s="19"/>
      <c r="W1966" s="218">
        <v>1</v>
      </c>
      <c r="X1966" s="218">
        <v>1</v>
      </c>
      <c r="Y1966" s="218">
        <v>1</v>
      </c>
    </row>
    <row r="1967" spans="1:25" x14ac:dyDescent="0.3">
      <c r="A1967" s="1" t="s">
        <v>5544</v>
      </c>
      <c r="B1967" s="5">
        <v>46190</v>
      </c>
      <c r="C1967" s="6">
        <v>0.58333333333333304</v>
      </c>
      <c r="D1967" s="1" t="s">
        <v>30</v>
      </c>
      <c r="E1967" s="1" t="s">
        <v>34</v>
      </c>
      <c r="F1967" s="1" t="s">
        <v>5545</v>
      </c>
      <c r="G1967" s="39" t="s">
        <v>5307</v>
      </c>
      <c r="H1967" s="1">
        <v>0</v>
      </c>
      <c r="I1967" s="1">
        <v>3</v>
      </c>
      <c r="J1967" s="39" t="s">
        <v>5331</v>
      </c>
      <c r="K1967" s="1">
        <v>3</v>
      </c>
      <c r="L1967" s="1">
        <v>0</v>
      </c>
      <c r="S1967" s="1" t="s">
        <v>5546</v>
      </c>
      <c r="T1967" s="1">
        <v>1</v>
      </c>
      <c r="U1967" s="19"/>
      <c r="V1967" s="19"/>
      <c r="W1967" s="218">
        <v>1</v>
      </c>
      <c r="X1967" s="218">
        <v>1</v>
      </c>
      <c r="Y1967" s="218">
        <v>1</v>
      </c>
    </row>
    <row r="1968" spans="1:25" x14ac:dyDescent="0.3">
      <c r="A1968" s="1" t="s">
        <v>5547</v>
      </c>
      <c r="B1968" s="5">
        <v>46186</v>
      </c>
      <c r="C1968" s="6">
        <v>0.45833333333333298</v>
      </c>
      <c r="D1968" s="1" t="s">
        <v>30</v>
      </c>
      <c r="E1968" s="1" t="s">
        <v>34</v>
      </c>
      <c r="F1968" s="1" t="s">
        <v>5548</v>
      </c>
      <c r="G1968" s="39" t="s">
        <v>5289</v>
      </c>
      <c r="H1968" s="1">
        <v>4</v>
      </c>
      <c r="I1968" s="1">
        <v>2</v>
      </c>
      <c r="J1968" s="39" t="s">
        <v>5307</v>
      </c>
      <c r="K1968" s="1">
        <v>2</v>
      </c>
      <c r="L1968" s="1">
        <v>4</v>
      </c>
      <c r="S1968" s="1" t="s">
        <v>5549</v>
      </c>
      <c r="T1968" s="1">
        <v>1</v>
      </c>
      <c r="U1968" s="19"/>
      <c r="V1968" s="19"/>
      <c r="W1968" s="218">
        <v>1</v>
      </c>
      <c r="X1968" s="218">
        <v>1</v>
      </c>
      <c r="Y1968" s="218">
        <v>1</v>
      </c>
    </row>
    <row r="1969" spans="1:25" x14ac:dyDescent="0.3">
      <c r="A1969" s="1" t="s">
        <v>5550</v>
      </c>
      <c r="B1969" s="5">
        <v>46180</v>
      </c>
      <c r="C1969" s="6">
        <v>0.45833333333333298</v>
      </c>
      <c r="D1969" s="1" t="s">
        <v>30</v>
      </c>
      <c r="E1969" s="1" t="s">
        <v>34</v>
      </c>
      <c r="F1969" s="1" t="s">
        <v>5551</v>
      </c>
      <c r="G1969" s="39" t="s">
        <v>5331</v>
      </c>
      <c r="H1969" s="1">
        <v>2</v>
      </c>
      <c r="I1969" s="1">
        <v>2</v>
      </c>
      <c r="J1969" s="39" t="s">
        <v>5301</v>
      </c>
      <c r="K1969" s="1">
        <v>2</v>
      </c>
      <c r="L1969" s="1">
        <v>2</v>
      </c>
      <c r="S1969" s="1" t="s">
        <v>5552</v>
      </c>
      <c r="T1969" s="1">
        <v>1</v>
      </c>
      <c r="U1969" s="19"/>
      <c r="V1969" s="19"/>
      <c r="W1969" s="218">
        <v>1</v>
      </c>
      <c r="X1969" s="218">
        <v>1</v>
      </c>
      <c r="Y1969" s="218">
        <v>1</v>
      </c>
    </row>
    <row r="1970" spans="1:25" x14ac:dyDescent="0.3">
      <c r="A1970" s="1" t="s">
        <v>5553</v>
      </c>
      <c r="B1970" s="5">
        <v>46156</v>
      </c>
      <c r="C1970" s="6">
        <v>0.58333333333333304</v>
      </c>
      <c r="D1970" s="1" t="s">
        <v>30</v>
      </c>
      <c r="E1970" s="1" t="s">
        <v>34</v>
      </c>
      <c r="F1970" s="1" t="s">
        <v>5554</v>
      </c>
      <c r="G1970" s="39" t="s">
        <v>5289</v>
      </c>
      <c r="H1970" s="1">
        <v>2</v>
      </c>
      <c r="I1970" s="1">
        <v>2</v>
      </c>
      <c r="J1970" s="39" t="s">
        <v>5331</v>
      </c>
      <c r="K1970" s="1">
        <v>2</v>
      </c>
      <c r="L1970" s="1">
        <v>2</v>
      </c>
      <c r="S1970" s="1" t="s">
        <v>5555</v>
      </c>
      <c r="T1970" s="1">
        <v>1</v>
      </c>
      <c r="U1970" s="19"/>
      <c r="V1970" s="19"/>
      <c r="W1970" s="218">
        <v>1</v>
      </c>
      <c r="X1970" s="218">
        <v>1</v>
      </c>
      <c r="Y1970" s="218">
        <v>1</v>
      </c>
    </row>
    <row r="1971" spans="1:25" x14ac:dyDescent="0.3">
      <c r="A1971" s="1" t="s">
        <v>5559</v>
      </c>
      <c r="B1971" s="5">
        <v>46243</v>
      </c>
      <c r="C1971" s="6">
        <v>0.33333333333333298</v>
      </c>
      <c r="D1971" s="1" t="s">
        <v>30</v>
      </c>
      <c r="E1971" s="1" t="s">
        <v>33</v>
      </c>
      <c r="F1971" s="1" t="s">
        <v>5560</v>
      </c>
      <c r="G1971" s="39" t="s">
        <v>279</v>
      </c>
      <c r="H1971" s="1">
        <v>1</v>
      </c>
      <c r="I1971" s="1">
        <v>3</v>
      </c>
      <c r="J1971" s="39" t="s">
        <v>278</v>
      </c>
      <c r="K1971" s="1">
        <v>3</v>
      </c>
      <c r="L1971" s="1">
        <v>1</v>
      </c>
      <c r="S1971" s="1" t="s">
        <v>5561</v>
      </c>
      <c r="T1971" s="1">
        <v>1</v>
      </c>
      <c r="U1971" s="19"/>
      <c r="V1971" s="19"/>
      <c r="W1971" s="218">
        <v>1</v>
      </c>
      <c r="X1971" s="218">
        <v>1</v>
      </c>
      <c r="Y1971" s="218">
        <v>1</v>
      </c>
    </row>
    <row r="1972" spans="1:25" x14ac:dyDescent="0.3">
      <c r="A1972" s="1" t="s">
        <v>5562</v>
      </c>
      <c r="B1972" s="5">
        <v>46199</v>
      </c>
      <c r="C1972" s="6">
        <v>0.58333333333333304</v>
      </c>
      <c r="D1972" s="1" t="s">
        <v>30</v>
      </c>
      <c r="E1972" s="1" t="s">
        <v>33</v>
      </c>
      <c r="F1972" s="1" t="s">
        <v>5563</v>
      </c>
      <c r="G1972" s="39" t="s">
        <v>980</v>
      </c>
      <c r="H1972" s="1">
        <v>1</v>
      </c>
      <c r="I1972" s="1">
        <v>4</v>
      </c>
      <c r="J1972" s="39" t="s">
        <v>278</v>
      </c>
      <c r="K1972" s="1">
        <v>4</v>
      </c>
      <c r="L1972" s="1">
        <v>1</v>
      </c>
      <c r="S1972" s="1" t="s">
        <v>5564</v>
      </c>
      <c r="T1972" s="1">
        <v>1</v>
      </c>
      <c r="U1972" s="19"/>
      <c r="V1972" s="19"/>
      <c r="W1972" s="218">
        <v>1</v>
      </c>
      <c r="X1972" s="218">
        <v>1</v>
      </c>
      <c r="Y1972" s="218">
        <v>1</v>
      </c>
    </row>
    <row r="1973" spans="1:25" x14ac:dyDescent="0.3">
      <c r="A1973" s="1" t="s">
        <v>5565</v>
      </c>
      <c r="B1973" s="5">
        <v>46194</v>
      </c>
      <c r="C1973" s="6">
        <v>0.41666666666666702</v>
      </c>
      <c r="D1973" s="1" t="s">
        <v>30</v>
      </c>
      <c r="E1973" s="1" t="s">
        <v>33</v>
      </c>
      <c r="F1973" s="1" t="s">
        <v>5566</v>
      </c>
      <c r="G1973" s="39" t="s">
        <v>5567</v>
      </c>
      <c r="H1973" s="1">
        <v>2</v>
      </c>
      <c r="I1973" s="1">
        <v>2</v>
      </c>
      <c r="J1973" s="39" t="s">
        <v>278</v>
      </c>
      <c r="K1973" s="1">
        <v>2</v>
      </c>
      <c r="L1973" s="1">
        <v>2</v>
      </c>
      <c r="S1973" s="1" t="s">
        <v>5568</v>
      </c>
      <c r="T1973" s="1">
        <v>1</v>
      </c>
      <c r="U1973" s="19"/>
      <c r="V1973" s="19"/>
      <c r="W1973" s="218">
        <v>1</v>
      </c>
      <c r="X1973" s="218">
        <v>1</v>
      </c>
      <c r="Y1973" s="218">
        <v>1</v>
      </c>
    </row>
    <row r="1974" spans="1:25" x14ac:dyDescent="0.3">
      <c r="A1974" s="1" t="s">
        <v>5569</v>
      </c>
      <c r="B1974" s="5">
        <v>46187</v>
      </c>
      <c r="C1974" s="6">
        <v>0.41666666666666702</v>
      </c>
      <c r="D1974" s="1" t="s">
        <v>30</v>
      </c>
      <c r="E1974" s="1" t="s">
        <v>33</v>
      </c>
      <c r="F1974" s="1" t="s">
        <v>5570</v>
      </c>
      <c r="G1974" s="39" t="s">
        <v>278</v>
      </c>
      <c r="H1974" s="1">
        <v>1</v>
      </c>
      <c r="I1974" s="1">
        <v>0</v>
      </c>
      <c r="J1974" s="39" t="s">
        <v>5557</v>
      </c>
      <c r="K1974" s="1">
        <v>0</v>
      </c>
      <c r="L1974" s="1">
        <v>1</v>
      </c>
      <c r="S1974" s="1" t="s">
        <v>5571</v>
      </c>
      <c r="T1974" s="1">
        <v>1</v>
      </c>
      <c r="U1974" s="19"/>
      <c r="V1974" s="19"/>
      <c r="W1974" s="218">
        <v>1</v>
      </c>
      <c r="X1974" s="218">
        <v>1</v>
      </c>
      <c r="Y1974" s="218">
        <v>1</v>
      </c>
    </row>
    <row r="1975" spans="1:25" x14ac:dyDescent="0.3">
      <c r="A1975" s="1" t="s">
        <v>5572</v>
      </c>
      <c r="B1975" s="5">
        <v>46177</v>
      </c>
      <c r="C1975" s="6">
        <v>0.58333333333333304</v>
      </c>
      <c r="D1975" s="1" t="s">
        <v>30</v>
      </c>
      <c r="E1975" s="1" t="s">
        <v>33</v>
      </c>
      <c r="F1975" s="1" t="s">
        <v>5573</v>
      </c>
      <c r="G1975" s="39" t="s">
        <v>278</v>
      </c>
      <c r="H1975" s="1">
        <v>3</v>
      </c>
      <c r="I1975" s="1">
        <v>2</v>
      </c>
      <c r="J1975" s="39" t="s">
        <v>962</v>
      </c>
      <c r="K1975" s="1">
        <v>2</v>
      </c>
      <c r="L1975" s="1">
        <v>3</v>
      </c>
      <c r="S1975" s="1" t="s">
        <v>5574</v>
      </c>
      <c r="T1975" s="1">
        <v>1</v>
      </c>
      <c r="U1975" s="19"/>
      <c r="V1975" s="19"/>
      <c r="W1975" s="218">
        <v>1</v>
      </c>
      <c r="X1975" s="218">
        <v>1</v>
      </c>
      <c r="Y1975" s="218">
        <v>1</v>
      </c>
    </row>
    <row r="1976" spans="1:25" x14ac:dyDescent="0.3">
      <c r="A1976" s="1" t="s">
        <v>5575</v>
      </c>
      <c r="B1976" s="5">
        <v>46172</v>
      </c>
      <c r="C1976" s="6">
        <v>0.41666666666666702</v>
      </c>
      <c r="D1976" s="1" t="s">
        <v>30</v>
      </c>
      <c r="E1976" s="1" t="s">
        <v>33</v>
      </c>
      <c r="F1976" s="1" t="s">
        <v>5576</v>
      </c>
      <c r="G1976" s="39" t="s">
        <v>5577</v>
      </c>
      <c r="H1976" s="1">
        <v>1</v>
      </c>
      <c r="I1976" s="1">
        <v>2</v>
      </c>
      <c r="J1976" s="39" t="s">
        <v>278</v>
      </c>
      <c r="K1976" s="1">
        <v>2</v>
      </c>
      <c r="L1976" s="1">
        <v>1</v>
      </c>
      <c r="S1976" s="1" t="s">
        <v>5578</v>
      </c>
      <c r="T1976" s="1">
        <v>1</v>
      </c>
      <c r="U1976" s="19"/>
      <c r="V1976" s="19"/>
      <c r="W1976" s="218">
        <v>1</v>
      </c>
      <c r="X1976" s="218">
        <v>1</v>
      </c>
      <c r="Y1976" s="218">
        <v>1</v>
      </c>
    </row>
    <row r="1977" spans="1:25" x14ac:dyDescent="0.3">
      <c r="A1977" s="1" t="s">
        <v>5579</v>
      </c>
      <c r="B1977" s="5">
        <v>46166</v>
      </c>
      <c r="C1977" s="6">
        <v>0.41666666666666702</v>
      </c>
      <c r="D1977" s="1" t="s">
        <v>30</v>
      </c>
      <c r="E1977" s="1" t="s">
        <v>33</v>
      </c>
      <c r="F1977" s="1" t="s">
        <v>5580</v>
      </c>
      <c r="G1977" s="39" t="s">
        <v>278</v>
      </c>
      <c r="H1977" s="1">
        <v>0</v>
      </c>
      <c r="I1977" s="1">
        <v>3</v>
      </c>
      <c r="J1977" s="39" t="s">
        <v>981</v>
      </c>
      <c r="K1977" s="1">
        <v>3</v>
      </c>
      <c r="L1977" s="1">
        <v>0</v>
      </c>
      <c r="S1977" s="1" t="s">
        <v>5581</v>
      </c>
      <c r="T1977" s="1">
        <v>1</v>
      </c>
      <c r="U1977" s="19"/>
      <c r="V1977" s="19"/>
      <c r="W1977" s="218">
        <v>1</v>
      </c>
      <c r="X1977" s="218">
        <v>1</v>
      </c>
      <c r="Y1977" s="218">
        <v>1</v>
      </c>
    </row>
    <row r="1978" spans="1:25" x14ac:dyDescent="0.3">
      <c r="A1978" s="1" t="s">
        <v>5582</v>
      </c>
      <c r="B1978" s="5">
        <v>46160</v>
      </c>
      <c r="C1978" s="6">
        <v>0.58333333333333304</v>
      </c>
      <c r="D1978" s="1" t="s">
        <v>30</v>
      </c>
      <c r="E1978" s="1" t="s">
        <v>33</v>
      </c>
      <c r="F1978" s="1" t="s">
        <v>5583</v>
      </c>
      <c r="G1978" s="39" t="s">
        <v>278</v>
      </c>
      <c r="H1978" s="1">
        <v>0</v>
      </c>
      <c r="I1978" s="1">
        <v>0</v>
      </c>
      <c r="J1978" s="39" t="s">
        <v>5584</v>
      </c>
      <c r="K1978" s="1">
        <v>0</v>
      </c>
      <c r="L1978" s="1">
        <v>0</v>
      </c>
      <c r="S1978" s="1" t="s">
        <v>5585</v>
      </c>
      <c r="T1978" s="1">
        <v>1</v>
      </c>
      <c r="U1978" s="19"/>
      <c r="V1978" s="19"/>
      <c r="W1978" s="218">
        <v>1</v>
      </c>
      <c r="X1978" s="218">
        <v>1</v>
      </c>
      <c r="Y1978" s="218">
        <v>1</v>
      </c>
    </row>
    <row r="1979" spans="1:25" x14ac:dyDescent="0.3">
      <c r="A1979" s="1" t="s">
        <v>5586</v>
      </c>
      <c r="B1979" s="5">
        <v>46155</v>
      </c>
      <c r="C1979" s="6">
        <v>0.58333333333333304</v>
      </c>
      <c r="D1979" s="1" t="s">
        <v>30</v>
      </c>
      <c r="E1979" s="1" t="s">
        <v>33</v>
      </c>
      <c r="F1979" s="1" t="s">
        <v>5587</v>
      </c>
      <c r="G1979" s="39" t="s">
        <v>215</v>
      </c>
      <c r="H1979" s="1">
        <v>0</v>
      </c>
      <c r="I1979" s="1">
        <v>2</v>
      </c>
      <c r="J1979" s="39" t="s">
        <v>278</v>
      </c>
      <c r="K1979" s="1">
        <v>2</v>
      </c>
      <c r="L1979" s="1">
        <v>0</v>
      </c>
      <c r="S1979" s="1" t="s">
        <v>5588</v>
      </c>
      <c r="T1979" s="1">
        <v>1</v>
      </c>
      <c r="U1979" s="19"/>
      <c r="V1979" s="19"/>
      <c r="W1979" s="218">
        <v>1</v>
      </c>
      <c r="X1979" s="218">
        <v>1</v>
      </c>
      <c r="Y1979" s="218">
        <v>1</v>
      </c>
    </row>
    <row r="1980" spans="1:25" x14ac:dyDescent="0.3">
      <c r="A1980" s="1" t="s">
        <v>5589</v>
      </c>
      <c r="B1980" s="5">
        <v>46150</v>
      </c>
      <c r="C1980" s="6">
        <v>0.58333333333333304</v>
      </c>
      <c r="D1980" s="1" t="s">
        <v>30</v>
      </c>
      <c r="E1980" s="1" t="s">
        <v>33</v>
      </c>
      <c r="F1980" s="1" t="s">
        <v>5590</v>
      </c>
      <c r="G1980" s="39" t="s">
        <v>961</v>
      </c>
      <c r="H1980" s="1">
        <v>2</v>
      </c>
      <c r="I1980" s="1">
        <v>1</v>
      </c>
      <c r="J1980" s="39" t="s">
        <v>278</v>
      </c>
      <c r="K1980" s="1">
        <v>1</v>
      </c>
      <c r="L1980" s="1">
        <v>2</v>
      </c>
      <c r="S1980" s="1" t="s">
        <v>5591</v>
      </c>
      <c r="T1980" s="1">
        <v>1</v>
      </c>
      <c r="U1980" s="19"/>
      <c r="V1980" s="19"/>
      <c r="W1980" s="218">
        <v>1</v>
      </c>
      <c r="X1980" s="218">
        <v>1</v>
      </c>
      <c r="Y1980" s="218">
        <v>1</v>
      </c>
    </row>
    <row r="1981" spans="1:25" x14ac:dyDescent="0.3">
      <c r="A1981" s="1" t="s">
        <v>5592</v>
      </c>
      <c r="B1981" s="5">
        <v>46144</v>
      </c>
      <c r="C1981" s="6">
        <v>0.41666666666666702</v>
      </c>
      <c r="D1981" s="1" t="s">
        <v>30</v>
      </c>
      <c r="E1981" s="1" t="s">
        <v>33</v>
      </c>
      <c r="F1981" s="1" t="s">
        <v>5593</v>
      </c>
      <c r="G1981" s="39" t="s">
        <v>278</v>
      </c>
      <c r="H1981" s="1">
        <v>0</v>
      </c>
      <c r="I1981" s="1">
        <v>2</v>
      </c>
      <c r="J1981" s="39" t="s">
        <v>218</v>
      </c>
      <c r="K1981" s="1">
        <v>2</v>
      </c>
      <c r="L1981" s="1">
        <v>0</v>
      </c>
      <c r="S1981" s="1" t="s">
        <v>5594</v>
      </c>
      <c r="T1981" s="1">
        <v>1</v>
      </c>
      <c r="U1981" s="19"/>
      <c r="V1981" s="19"/>
      <c r="W1981" s="218">
        <v>1</v>
      </c>
      <c r="X1981" s="218">
        <v>1</v>
      </c>
      <c r="Y1981" s="218">
        <v>1</v>
      </c>
    </row>
    <row r="1982" spans="1:25" x14ac:dyDescent="0.3">
      <c r="A1982" s="1" t="s">
        <v>5595</v>
      </c>
      <c r="B1982" s="5">
        <v>46243</v>
      </c>
      <c r="C1982" s="6">
        <v>0.54166666666666696</v>
      </c>
      <c r="D1982" s="1" t="s">
        <v>30</v>
      </c>
      <c r="E1982" s="1" t="s">
        <v>33</v>
      </c>
      <c r="F1982" s="1" t="s">
        <v>5596</v>
      </c>
      <c r="G1982" s="39" t="s">
        <v>5557</v>
      </c>
      <c r="H1982" s="1">
        <v>3</v>
      </c>
      <c r="I1982" s="1">
        <v>0</v>
      </c>
      <c r="J1982" s="39" t="s">
        <v>980</v>
      </c>
      <c r="K1982" s="1">
        <v>0</v>
      </c>
      <c r="L1982" s="1">
        <v>3</v>
      </c>
      <c r="S1982" s="1" t="s">
        <v>5597</v>
      </c>
      <c r="T1982" s="1">
        <v>1</v>
      </c>
      <c r="U1982" s="19"/>
      <c r="V1982" s="19"/>
      <c r="W1982" s="218">
        <v>1</v>
      </c>
      <c r="X1982" s="218">
        <v>1</v>
      </c>
      <c r="Y1982" s="218">
        <v>1</v>
      </c>
    </row>
    <row r="1983" spans="1:25" x14ac:dyDescent="0.3">
      <c r="A1983" s="1" t="s">
        <v>5598</v>
      </c>
      <c r="B1983" s="5">
        <v>46199</v>
      </c>
      <c r="C1983" s="6">
        <v>0.58333333333333304</v>
      </c>
      <c r="D1983" s="1" t="s">
        <v>30</v>
      </c>
      <c r="E1983" s="1" t="s">
        <v>33</v>
      </c>
      <c r="F1983" s="1" t="s">
        <v>5599</v>
      </c>
      <c r="G1983" s="39" t="s">
        <v>5557</v>
      </c>
      <c r="H1983" s="1">
        <v>3</v>
      </c>
      <c r="I1983" s="1">
        <v>1</v>
      </c>
      <c r="J1983" s="39" t="s">
        <v>981</v>
      </c>
      <c r="K1983" s="1">
        <v>1</v>
      </c>
      <c r="L1983" s="1">
        <v>3</v>
      </c>
      <c r="S1983" s="1" t="s">
        <v>5600</v>
      </c>
      <c r="T1983" s="1">
        <v>1</v>
      </c>
      <c r="U1983" s="19"/>
      <c r="V1983" s="19"/>
      <c r="W1983" s="218">
        <v>1</v>
      </c>
      <c r="X1983" s="218">
        <v>1</v>
      </c>
      <c r="Y1983" s="218">
        <v>1</v>
      </c>
    </row>
    <row r="1984" spans="1:25" x14ac:dyDescent="0.3">
      <c r="A1984" s="1" t="s">
        <v>5601</v>
      </c>
      <c r="B1984" s="5">
        <v>46194</v>
      </c>
      <c r="C1984" s="6">
        <v>0.41666666666666702</v>
      </c>
      <c r="D1984" s="1" t="s">
        <v>30</v>
      </c>
      <c r="E1984" s="1" t="s">
        <v>33</v>
      </c>
      <c r="F1984" s="1" t="s">
        <v>5602</v>
      </c>
      <c r="G1984" s="39" t="s">
        <v>5557</v>
      </c>
      <c r="H1984" s="1">
        <v>2</v>
      </c>
      <c r="I1984" s="1">
        <v>2</v>
      </c>
      <c r="J1984" s="39" t="s">
        <v>5603</v>
      </c>
      <c r="K1984" s="1">
        <v>2</v>
      </c>
      <c r="L1984" s="1">
        <v>2</v>
      </c>
      <c r="S1984" s="1" t="s">
        <v>5604</v>
      </c>
      <c r="T1984" s="1">
        <v>1</v>
      </c>
      <c r="U1984" s="19"/>
      <c r="V1984" s="19"/>
      <c r="W1984" s="218">
        <v>1</v>
      </c>
      <c r="X1984" s="218">
        <v>1</v>
      </c>
      <c r="Y1984" s="218">
        <v>1</v>
      </c>
    </row>
    <row r="1985" spans="1:25" x14ac:dyDescent="0.3">
      <c r="A1985" s="1" t="s">
        <v>5605</v>
      </c>
      <c r="B1985" s="5">
        <v>46180</v>
      </c>
      <c r="C1985" s="6">
        <v>0.41666666666666702</v>
      </c>
      <c r="D1985" s="1" t="s">
        <v>30</v>
      </c>
      <c r="E1985" s="1" t="s">
        <v>33</v>
      </c>
      <c r="F1985" s="1" t="s">
        <v>5606</v>
      </c>
      <c r="G1985" s="39" t="s">
        <v>5584</v>
      </c>
      <c r="H1985" s="1">
        <v>2</v>
      </c>
      <c r="I1985" s="1">
        <v>0</v>
      </c>
      <c r="J1985" s="39" t="s">
        <v>5557</v>
      </c>
      <c r="K1985" s="1">
        <v>0</v>
      </c>
      <c r="L1985" s="1">
        <v>2</v>
      </c>
      <c r="S1985" s="1" t="s">
        <v>5607</v>
      </c>
      <c r="T1985" s="1">
        <v>1</v>
      </c>
      <c r="U1985" s="19"/>
      <c r="V1985" s="19"/>
      <c r="W1985" s="218">
        <v>1</v>
      </c>
      <c r="X1985" s="218">
        <v>1</v>
      </c>
      <c r="Y1985" s="218">
        <v>1</v>
      </c>
    </row>
    <row r="1986" spans="1:25" x14ac:dyDescent="0.3">
      <c r="A1986" s="1" t="s">
        <v>5608</v>
      </c>
      <c r="B1986" s="5">
        <v>46175</v>
      </c>
      <c r="C1986" s="6">
        <v>0.58333333333333304</v>
      </c>
      <c r="D1986" s="1" t="s">
        <v>30</v>
      </c>
      <c r="E1986" s="1" t="s">
        <v>33</v>
      </c>
      <c r="F1986" s="1" t="s">
        <v>5609</v>
      </c>
      <c r="G1986" s="39" t="s">
        <v>5557</v>
      </c>
      <c r="H1986" s="1">
        <v>4</v>
      </c>
      <c r="I1986" s="1">
        <v>2</v>
      </c>
      <c r="J1986" s="39" t="s">
        <v>961</v>
      </c>
      <c r="K1986" s="1">
        <v>2</v>
      </c>
      <c r="L1986" s="1">
        <v>4</v>
      </c>
      <c r="S1986" s="1" t="s">
        <v>5610</v>
      </c>
      <c r="T1986" s="1">
        <v>1</v>
      </c>
      <c r="U1986" s="19"/>
      <c r="V1986" s="19"/>
      <c r="W1986" s="218">
        <v>1</v>
      </c>
      <c r="X1986" s="218">
        <v>1</v>
      </c>
      <c r="Y1986" s="218">
        <v>1</v>
      </c>
    </row>
    <row r="1987" spans="1:25" x14ac:dyDescent="0.3">
      <c r="A1987" s="1" t="s">
        <v>5611</v>
      </c>
      <c r="B1987" s="5">
        <v>46165</v>
      </c>
      <c r="C1987" s="6">
        <v>0.58333333333333304</v>
      </c>
      <c r="D1987" s="1" t="s">
        <v>30</v>
      </c>
      <c r="E1987" s="1" t="s">
        <v>33</v>
      </c>
      <c r="F1987" s="1" t="s">
        <v>5612</v>
      </c>
      <c r="G1987" s="39" t="s">
        <v>5613</v>
      </c>
      <c r="H1987" s="1">
        <v>3</v>
      </c>
      <c r="I1987" s="1">
        <v>3</v>
      </c>
      <c r="J1987" s="39" t="s">
        <v>5557</v>
      </c>
      <c r="K1987" s="1">
        <v>3</v>
      </c>
      <c r="L1987" s="1">
        <v>3</v>
      </c>
      <c r="S1987" s="1" t="s">
        <v>5614</v>
      </c>
      <c r="T1987" s="1">
        <v>1</v>
      </c>
      <c r="U1987" s="19"/>
      <c r="V1987" s="19"/>
      <c r="W1987" s="218">
        <v>1</v>
      </c>
      <c r="X1987" s="218">
        <v>1</v>
      </c>
      <c r="Y1987" s="218">
        <v>1</v>
      </c>
    </row>
    <row r="1988" spans="1:25" x14ac:dyDescent="0.3">
      <c r="A1988" s="1" t="s">
        <v>5615</v>
      </c>
      <c r="B1988" s="5">
        <v>46159</v>
      </c>
      <c r="C1988" s="6">
        <v>0.41666666666666702</v>
      </c>
      <c r="D1988" s="1" t="s">
        <v>30</v>
      </c>
      <c r="E1988" s="1" t="s">
        <v>33</v>
      </c>
      <c r="F1988" s="1" t="s">
        <v>5616</v>
      </c>
      <c r="G1988" s="39" t="s">
        <v>5617</v>
      </c>
      <c r="H1988" s="1">
        <v>0</v>
      </c>
      <c r="I1988" s="1">
        <v>0</v>
      </c>
      <c r="J1988" s="39" t="s">
        <v>5557</v>
      </c>
      <c r="K1988" s="1">
        <v>0</v>
      </c>
      <c r="L1988" s="1">
        <v>0</v>
      </c>
      <c r="S1988" s="1" t="s">
        <v>5618</v>
      </c>
      <c r="T1988" s="1">
        <v>1</v>
      </c>
      <c r="U1988" s="19"/>
      <c r="V1988" s="19"/>
      <c r="W1988" s="218">
        <v>1</v>
      </c>
      <c r="X1988" s="218">
        <v>1</v>
      </c>
      <c r="Y1988" s="218">
        <v>1</v>
      </c>
    </row>
    <row r="1989" spans="1:25" x14ac:dyDescent="0.3">
      <c r="A1989" s="1" t="s">
        <v>5619</v>
      </c>
      <c r="B1989" s="5">
        <v>46156</v>
      </c>
      <c r="C1989" s="6">
        <v>0.58333333333333304</v>
      </c>
      <c r="D1989" s="1" t="s">
        <v>30</v>
      </c>
      <c r="E1989" s="1" t="s">
        <v>33</v>
      </c>
      <c r="F1989" s="1" t="s">
        <v>5620</v>
      </c>
      <c r="G1989" s="39" t="s">
        <v>5557</v>
      </c>
      <c r="H1989" s="1">
        <v>1</v>
      </c>
      <c r="I1989" s="1">
        <v>5</v>
      </c>
      <c r="J1989" s="39" t="s">
        <v>279</v>
      </c>
      <c r="K1989" s="1">
        <v>5</v>
      </c>
      <c r="L1989" s="1">
        <v>1</v>
      </c>
      <c r="S1989" s="1" t="s">
        <v>5621</v>
      </c>
      <c r="T1989" s="1">
        <v>1</v>
      </c>
      <c r="U1989" s="19"/>
      <c r="V1989" s="19"/>
      <c r="W1989" s="218">
        <v>1</v>
      </c>
      <c r="X1989" s="218">
        <v>1</v>
      </c>
      <c r="Y1989" s="218">
        <v>1</v>
      </c>
    </row>
    <row r="1990" spans="1:25" x14ac:dyDescent="0.3">
      <c r="A1990" s="1" t="s">
        <v>5622</v>
      </c>
      <c r="B1990" s="5">
        <v>46151</v>
      </c>
      <c r="C1990" s="6">
        <v>0.41666666666666702</v>
      </c>
      <c r="D1990" s="1" t="s">
        <v>30</v>
      </c>
      <c r="E1990" s="1" t="s">
        <v>33</v>
      </c>
      <c r="F1990" s="1" t="s">
        <v>5623</v>
      </c>
      <c r="G1990" s="39" t="s">
        <v>5577</v>
      </c>
      <c r="H1990" s="1">
        <v>4</v>
      </c>
      <c r="I1990" s="1">
        <v>0</v>
      </c>
      <c r="J1990" s="39" t="s">
        <v>5557</v>
      </c>
      <c r="K1990" s="1">
        <v>0</v>
      </c>
      <c r="L1990" s="1">
        <v>4</v>
      </c>
      <c r="S1990" s="1" t="s">
        <v>5624</v>
      </c>
      <c r="T1990" s="1">
        <v>1</v>
      </c>
      <c r="U1990" s="19"/>
      <c r="V1990" s="19"/>
      <c r="W1990" s="218">
        <v>1</v>
      </c>
      <c r="X1990" s="218">
        <v>1</v>
      </c>
      <c r="Y1990" s="218">
        <v>1</v>
      </c>
    </row>
    <row r="1991" spans="1:25" x14ac:dyDescent="0.3">
      <c r="A1991" s="1" t="s">
        <v>5625</v>
      </c>
      <c r="B1991" s="5">
        <v>46145</v>
      </c>
      <c r="C1991" s="6">
        <v>0.45833333333333298</v>
      </c>
      <c r="D1991" s="1" t="s">
        <v>30</v>
      </c>
      <c r="E1991" s="1" t="s">
        <v>33</v>
      </c>
      <c r="F1991" s="1" t="s">
        <v>5626</v>
      </c>
      <c r="G1991" s="39" t="s">
        <v>5557</v>
      </c>
      <c r="H1991" s="1">
        <v>3</v>
      </c>
      <c r="I1991" s="1">
        <v>3</v>
      </c>
      <c r="J1991" s="39" t="s">
        <v>214</v>
      </c>
      <c r="K1991" s="1">
        <v>3</v>
      </c>
      <c r="L1991" s="1">
        <v>3</v>
      </c>
      <c r="S1991" s="1" t="s">
        <v>5627</v>
      </c>
      <c r="T1991" s="1">
        <v>1</v>
      </c>
      <c r="U1991" s="19"/>
      <c r="V1991" s="19"/>
      <c r="W1991" s="218">
        <v>1</v>
      </c>
      <c r="X1991" s="218">
        <v>1</v>
      </c>
      <c r="Y1991" s="218">
        <v>1</v>
      </c>
    </row>
    <row r="1992" spans="1:25" x14ac:dyDescent="0.3">
      <c r="A1992" s="1" t="s">
        <v>5628</v>
      </c>
      <c r="B1992" s="5">
        <v>46236</v>
      </c>
      <c r="C1992" s="6">
        <v>0.41666666666666702</v>
      </c>
      <c r="D1992" s="1" t="s">
        <v>30</v>
      </c>
      <c r="E1992" s="1" t="s">
        <v>33</v>
      </c>
      <c r="F1992" s="1" t="s">
        <v>5629</v>
      </c>
      <c r="G1992" s="39" t="s">
        <v>5603</v>
      </c>
      <c r="H1992" s="1">
        <v>2</v>
      </c>
      <c r="I1992" s="1">
        <v>1</v>
      </c>
      <c r="J1992" s="39" t="s">
        <v>961</v>
      </c>
      <c r="K1992" s="1">
        <v>1</v>
      </c>
      <c r="L1992" s="1">
        <v>2</v>
      </c>
      <c r="S1992" s="1" t="s">
        <v>5630</v>
      </c>
      <c r="T1992" s="1">
        <v>1</v>
      </c>
      <c r="U1992" s="19"/>
      <c r="V1992" s="19"/>
      <c r="W1992" s="218">
        <v>1</v>
      </c>
      <c r="X1992" s="218">
        <v>1</v>
      </c>
      <c r="Y1992" s="218">
        <v>1</v>
      </c>
    </row>
    <row r="1993" spans="1:25" x14ac:dyDescent="0.3">
      <c r="A1993" s="1" t="s">
        <v>5631</v>
      </c>
      <c r="B1993" s="5">
        <v>46200</v>
      </c>
      <c r="C1993" s="6">
        <v>0.41666666666666702</v>
      </c>
      <c r="D1993" s="1" t="s">
        <v>30</v>
      </c>
      <c r="E1993" s="1" t="s">
        <v>33</v>
      </c>
      <c r="F1993" s="1" t="s">
        <v>5632</v>
      </c>
      <c r="G1993" s="39" t="s">
        <v>215</v>
      </c>
      <c r="H1993" s="1">
        <v>2</v>
      </c>
      <c r="I1993" s="1">
        <v>0</v>
      </c>
      <c r="J1993" s="39" t="s">
        <v>961</v>
      </c>
      <c r="K1993" s="1">
        <v>0</v>
      </c>
      <c r="L1993" s="1">
        <v>2</v>
      </c>
      <c r="S1993" s="1" t="s">
        <v>5633</v>
      </c>
      <c r="T1993" s="1">
        <v>1</v>
      </c>
      <c r="U1993" s="19"/>
      <c r="V1993" s="19"/>
      <c r="W1993" s="218">
        <v>1</v>
      </c>
      <c r="X1993" s="218">
        <v>1</v>
      </c>
      <c r="Y1993" s="218">
        <v>1</v>
      </c>
    </row>
    <row r="1994" spans="1:25" x14ac:dyDescent="0.3">
      <c r="A1994" s="1" t="s">
        <v>5634</v>
      </c>
      <c r="B1994" s="5">
        <v>46194</v>
      </c>
      <c r="C1994" s="6">
        <v>0.41666666666666702</v>
      </c>
      <c r="D1994" s="1" t="s">
        <v>30</v>
      </c>
      <c r="E1994" s="1" t="s">
        <v>33</v>
      </c>
      <c r="F1994" s="1" t="s">
        <v>5635</v>
      </c>
      <c r="G1994" s="39" t="s">
        <v>961</v>
      </c>
      <c r="H1994" s="1">
        <v>3</v>
      </c>
      <c r="I1994" s="1">
        <v>1</v>
      </c>
      <c r="J1994" s="39" t="s">
        <v>279</v>
      </c>
      <c r="K1994" s="1">
        <v>1</v>
      </c>
      <c r="L1994" s="1">
        <v>3</v>
      </c>
      <c r="S1994" s="1" t="s">
        <v>5636</v>
      </c>
      <c r="T1994" s="1">
        <v>1</v>
      </c>
      <c r="U1994" s="19"/>
      <c r="V1994" s="19"/>
      <c r="W1994" s="218">
        <v>1</v>
      </c>
      <c r="X1994" s="218">
        <v>1</v>
      </c>
      <c r="Y1994" s="218">
        <v>1</v>
      </c>
    </row>
    <row r="1995" spans="1:25" x14ac:dyDescent="0.3">
      <c r="A1995" s="1" t="s">
        <v>5637</v>
      </c>
      <c r="B1995" s="5">
        <v>46187</v>
      </c>
      <c r="C1995" s="6">
        <v>0.41666666666666702</v>
      </c>
      <c r="D1995" s="1" t="s">
        <v>30</v>
      </c>
      <c r="E1995" s="1" t="s">
        <v>33</v>
      </c>
      <c r="F1995" s="1" t="s">
        <v>5638</v>
      </c>
      <c r="G1995" s="39" t="s">
        <v>961</v>
      </c>
      <c r="H1995" s="1">
        <v>1</v>
      </c>
      <c r="I1995" s="1">
        <v>1</v>
      </c>
      <c r="J1995" s="39" t="s">
        <v>981</v>
      </c>
      <c r="K1995" s="1">
        <v>1</v>
      </c>
      <c r="L1995" s="1">
        <v>1</v>
      </c>
      <c r="S1995" s="1" t="s">
        <v>5639</v>
      </c>
      <c r="T1995" s="1">
        <v>1</v>
      </c>
      <c r="U1995" s="19"/>
      <c r="V1995" s="19"/>
      <c r="W1995" s="218">
        <v>1</v>
      </c>
      <c r="X1995" s="218">
        <v>1</v>
      </c>
      <c r="Y1995" s="218">
        <v>1</v>
      </c>
    </row>
    <row r="1996" spans="1:25" x14ac:dyDescent="0.3">
      <c r="A1996" s="1" t="s">
        <v>5640</v>
      </c>
      <c r="B1996" s="5">
        <v>46180</v>
      </c>
      <c r="C1996" s="6">
        <v>0.41666666666666702</v>
      </c>
      <c r="D1996" s="1" t="s">
        <v>30</v>
      </c>
      <c r="E1996" s="1" t="s">
        <v>33</v>
      </c>
      <c r="F1996" s="1" t="s">
        <v>5641</v>
      </c>
      <c r="G1996" s="39" t="s">
        <v>5567</v>
      </c>
      <c r="H1996" s="1">
        <v>0</v>
      </c>
      <c r="I1996" s="1">
        <v>2</v>
      </c>
      <c r="J1996" s="39" t="s">
        <v>961</v>
      </c>
      <c r="K1996" s="1">
        <v>2</v>
      </c>
      <c r="L1996" s="1">
        <v>0</v>
      </c>
      <c r="S1996" s="1" t="s">
        <v>5642</v>
      </c>
      <c r="T1996" s="1">
        <v>1</v>
      </c>
      <c r="U1996" s="19"/>
      <c r="V1996" s="19"/>
      <c r="W1996" s="218">
        <v>1</v>
      </c>
      <c r="X1996" s="218">
        <v>1</v>
      </c>
      <c r="Y1996" s="218">
        <v>1</v>
      </c>
    </row>
    <row r="1997" spans="1:25" x14ac:dyDescent="0.3">
      <c r="A1997" s="1" t="s">
        <v>5643</v>
      </c>
      <c r="B1997" s="5">
        <v>46165</v>
      </c>
      <c r="C1997" s="6">
        <v>0.33333333333333298</v>
      </c>
      <c r="D1997" s="1" t="s">
        <v>30</v>
      </c>
      <c r="E1997" s="1" t="s">
        <v>33</v>
      </c>
      <c r="F1997" s="1" t="s">
        <v>5644</v>
      </c>
      <c r="G1997" s="39" t="s">
        <v>961</v>
      </c>
      <c r="H1997" s="1">
        <v>0</v>
      </c>
      <c r="I1997" s="1">
        <v>1</v>
      </c>
      <c r="J1997" s="39" t="s">
        <v>5577</v>
      </c>
      <c r="K1997" s="1">
        <v>1</v>
      </c>
      <c r="L1997" s="1">
        <v>0</v>
      </c>
      <c r="S1997" s="1" t="s">
        <v>5645</v>
      </c>
      <c r="T1997" s="1">
        <v>1</v>
      </c>
      <c r="U1997" s="19"/>
      <c r="V1997" s="19"/>
      <c r="W1997" s="218">
        <v>1</v>
      </c>
      <c r="X1997" s="218">
        <v>1</v>
      </c>
      <c r="Y1997" s="218">
        <v>1</v>
      </c>
    </row>
    <row r="1998" spans="1:25" x14ac:dyDescent="0.3">
      <c r="A1998" s="1" t="s">
        <v>5646</v>
      </c>
      <c r="B1998" s="5">
        <v>46159</v>
      </c>
      <c r="C1998" s="6">
        <v>0.41666666666666702</v>
      </c>
      <c r="D1998" s="1" t="s">
        <v>30</v>
      </c>
      <c r="E1998" s="1" t="s">
        <v>33</v>
      </c>
      <c r="F1998" s="1" t="s">
        <v>5647</v>
      </c>
      <c r="G1998" s="39" t="s">
        <v>961</v>
      </c>
      <c r="H1998" s="1">
        <v>1</v>
      </c>
      <c r="I1998" s="1">
        <v>0</v>
      </c>
      <c r="J1998" s="39" t="s">
        <v>980</v>
      </c>
      <c r="K1998" s="1">
        <v>0</v>
      </c>
      <c r="L1998" s="1">
        <v>1</v>
      </c>
      <c r="S1998" s="1" t="s">
        <v>5648</v>
      </c>
      <c r="T1998" s="1">
        <v>1</v>
      </c>
      <c r="U1998" s="19"/>
      <c r="V1998" s="19"/>
      <c r="W1998" s="218">
        <v>1</v>
      </c>
      <c r="X1998" s="218">
        <v>1</v>
      </c>
      <c r="Y1998" s="218">
        <v>1</v>
      </c>
    </row>
    <row r="1999" spans="1:25" x14ac:dyDescent="0.3">
      <c r="A1999" s="1" t="s">
        <v>5649</v>
      </c>
      <c r="B1999" s="5">
        <v>46155</v>
      </c>
      <c r="C1999" s="6">
        <v>0.60416666666666696</v>
      </c>
      <c r="D1999" s="1" t="s">
        <v>30</v>
      </c>
      <c r="E1999" s="1" t="s">
        <v>33</v>
      </c>
      <c r="F1999" s="1" t="s">
        <v>5650</v>
      </c>
      <c r="G1999" s="39" t="s">
        <v>214</v>
      </c>
      <c r="H1999" s="1">
        <v>0</v>
      </c>
      <c r="I1999" s="1">
        <v>3</v>
      </c>
      <c r="J1999" s="39" t="s">
        <v>961</v>
      </c>
      <c r="K1999" s="1">
        <v>3</v>
      </c>
      <c r="L1999" s="1">
        <v>0</v>
      </c>
      <c r="S1999" s="1" t="s">
        <v>5651</v>
      </c>
      <c r="T1999" s="1">
        <v>1</v>
      </c>
      <c r="U1999" s="19"/>
      <c r="V1999" s="19"/>
      <c r="W1999" s="218">
        <v>1</v>
      </c>
      <c r="X1999" s="218">
        <v>1</v>
      </c>
      <c r="Y1999" s="218">
        <v>1</v>
      </c>
    </row>
    <row r="2000" spans="1:25" x14ac:dyDescent="0.3">
      <c r="A2000" s="1" t="s">
        <v>5652</v>
      </c>
      <c r="B2000" s="5">
        <v>46144</v>
      </c>
      <c r="C2000" s="6">
        <v>0.41666666666666702</v>
      </c>
      <c r="D2000" s="1" t="s">
        <v>30</v>
      </c>
      <c r="E2000" s="1" t="s">
        <v>33</v>
      </c>
      <c r="F2000" s="1" t="s">
        <v>5653</v>
      </c>
      <c r="G2000" s="39" t="s">
        <v>5617</v>
      </c>
      <c r="H2000" s="1">
        <v>2</v>
      </c>
      <c r="I2000" s="1">
        <v>1</v>
      </c>
      <c r="J2000" s="39" t="s">
        <v>961</v>
      </c>
      <c r="K2000" s="1">
        <v>1</v>
      </c>
      <c r="L2000" s="1">
        <v>2</v>
      </c>
      <c r="S2000" s="1" t="s">
        <v>5654</v>
      </c>
      <c r="T2000" s="1">
        <v>1</v>
      </c>
      <c r="U2000" s="19"/>
      <c r="V2000" s="19"/>
      <c r="W2000" s="218">
        <v>1</v>
      </c>
      <c r="X2000" s="218">
        <v>1</v>
      </c>
      <c r="Y2000" s="218">
        <v>1</v>
      </c>
    </row>
    <row r="2001" spans="1:25" x14ac:dyDescent="0.3">
      <c r="A2001" s="1" t="s">
        <v>5655</v>
      </c>
      <c r="B2001" s="5">
        <v>46243</v>
      </c>
      <c r="C2001" s="6">
        <v>0.45833333333333298</v>
      </c>
      <c r="D2001" s="1" t="s">
        <v>30</v>
      </c>
      <c r="E2001" s="1" t="s">
        <v>33</v>
      </c>
      <c r="F2001" s="1" t="s">
        <v>5656</v>
      </c>
      <c r="G2001" s="39" t="s">
        <v>5577</v>
      </c>
      <c r="H2001" s="1">
        <v>1</v>
      </c>
      <c r="I2001" s="1">
        <v>1</v>
      </c>
      <c r="J2001" s="39" t="s">
        <v>218</v>
      </c>
      <c r="K2001" s="1">
        <v>1</v>
      </c>
      <c r="L2001" s="1">
        <v>1</v>
      </c>
      <c r="S2001" s="1" t="s">
        <v>5657</v>
      </c>
      <c r="T2001" s="1">
        <v>1</v>
      </c>
      <c r="U2001" s="19"/>
      <c r="V2001" s="19"/>
      <c r="W2001" s="218">
        <v>1</v>
      </c>
      <c r="X2001" s="218">
        <v>1</v>
      </c>
      <c r="Y2001" s="218">
        <v>1</v>
      </c>
    </row>
    <row r="2002" spans="1:25" x14ac:dyDescent="0.3">
      <c r="A2002" s="1" t="s">
        <v>5658</v>
      </c>
      <c r="B2002" s="5">
        <v>46199</v>
      </c>
      <c r="C2002" s="6">
        <v>0.58333333333333304</v>
      </c>
      <c r="D2002" s="1" t="s">
        <v>30</v>
      </c>
      <c r="E2002" s="1" t="s">
        <v>33</v>
      </c>
      <c r="F2002" s="1" t="s">
        <v>5659</v>
      </c>
      <c r="G2002" s="39" t="s">
        <v>218</v>
      </c>
      <c r="H2002" s="1">
        <v>0</v>
      </c>
      <c r="I2002" s="1">
        <v>7</v>
      </c>
      <c r="J2002" s="39" t="s">
        <v>5577</v>
      </c>
      <c r="K2002" s="1">
        <v>7</v>
      </c>
      <c r="L2002" s="1">
        <v>0</v>
      </c>
      <c r="S2002" s="1" t="s">
        <v>5660</v>
      </c>
      <c r="T2002" s="1">
        <v>1</v>
      </c>
      <c r="U2002" s="19"/>
      <c r="V2002" s="19"/>
      <c r="W2002" s="218">
        <v>1</v>
      </c>
      <c r="X2002" s="218">
        <v>1</v>
      </c>
      <c r="Y2002" s="218">
        <v>1</v>
      </c>
    </row>
    <row r="2003" spans="1:25" x14ac:dyDescent="0.3">
      <c r="A2003" s="1" t="s">
        <v>5661</v>
      </c>
      <c r="B2003" s="5">
        <v>46191</v>
      </c>
      <c r="C2003" s="6">
        <v>0.60416666666666696</v>
      </c>
      <c r="D2003" s="1" t="s">
        <v>30</v>
      </c>
      <c r="E2003" s="1" t="s">
        <v>33</v>
      </c>
      <c r="F2003" s="1" t="s">
        <v>5662</v>
      </c>
      <c r="G2003" s="39" t="s">
        <v>980</v>
      </c>
      <c r="H2003" s="1">
        <v>0</v>
      </c>
      <c r="I2003" s="1">
        <v>2</v>
      </c>
      <c r="J2003" s="39" t="s">
        <v>218</v>
      </c>
      <c r="K2003" s="1">
        <v>2</v>
      </c>
      <c r="L2003" s="1">
        <v>0</v>
      </c>
      <c r="S2003" s="1" t="s">
        <v>5663</v>
      </c>
      <c r="T2003" s="1">
        <v>1</v>
      </c>
      <c r="U2003" s="19"/>
      <c r="V2003" s="19"/>
      <c r="W2003" s="218">
        <v>1</v>
      </c>
      <c r="X2003" s="218">
        <v>1</v>
      </c>
      <c r="Y2003" s="218">
        <v>1</v>
      </c>
    </row>
    <row r="2004" spans="1:25" x14ac:dyDescent="0.3">
      <c r="A2004" s="1" t="s">
        <v>5664</v>
      </c>
      <c r="B2004" s="5">
        <v>46187</v>
      </c>
      <c r="C2004" s="6">
        <v>0.41666666666666702</v>
      </c>
      <c r="D2004" s="1" t="s">
        <v>30</v>
      </c>
      <c r="E2004" s="1" t="s">
        <v>33</v>
      </c>
      <c r="F2004" s="1" t="s">
        <v>5665</v>
      </c>
      <c r="G2004" s="39" t="s">
        <v>215</v>
      </c>
      <c r="H2004" s="1">
        <v>3</v>
      </c>
      <c r="I2004" s="1">
        <v>1</v>
      </c>
      <c r="J2004" s="39" t="s">
        <v>218</v>
      </c>
      <c r="K2004" s="1">
        <v>1</v>
      </c>
      <c r="L2004" s="1">
        <v>3</v>
      </c>
      <c r="S2004" s="1" t="s">
        <v>5666</v>
      </c>
      <c r="T2004" s="1">
        <v>1</v>
      </c>
      <c r="U2004" s="19"/>
      <c r="V2004" s="19"/>
      <c r="W2004" s="218">
        <v>1</v>
      </c>
      <c r="X2004" s="218">
        <v>1</v>
      </c>
      <c r="Y2004" s="218">
        <v>1</v>
      </c>
    </row>
    <row r="2005" spans="1:25" x14ac:dyDescent="0.3">
      <c r="A2005" s="1" t="s">
        <v>5667</v>
      </c>
      <c r="B2005" s="5">
        <v>46178</v>
      </c>
      <c r="C2005" s="6">
        <v>0.58333333333333304</v>
      </c>
      <c r="D2005" s="1" t="s">
        <v>30</v>
      </c>
      <c r="E2005" s="1" t="s">
        <v>33</v>
      </c>
      <c r="F2005" s="1" t="s">
        <v>5668</v>
      </c>
      <c r="G2005" s="39" t="s">
        <v>218</v>
      </c>
      <c r="H2005" s="1">
        <v>2</v>
      </c>
      <c r="I2005" s="1">
        <v>3</v>
      </c>
      <c r="J2005" s="39" t="s">
        <v>5603</v>
      </c>
      <c r="K2005" s="1">
        <v>3</v>
      </c>
      <c r="L2005" s="1">
        <v>2</v>
      </c>
      <c r="S2005" s="1" t="s">
        <v>5669</v>
      </c>
      <c r="T2005" s="1">
        <v>1</v>
      </c>
      <c r="U2005" s="19"/>
      <c r="V2005" s="19"/>
      <c r="W2005" s="218">
        <v>1</v>
      </c>
      <c r="X2005" s="218">
        <v>1</v>
      </c>
      <c r="Y2005" s="218">
        <v>1</v>
      </c>
    </row>
    <row r="2006" spans="1:25" x14ac:dyDescent="0.3">
      <c r="A2006" s="1" t="s">
        <v>5670</v>
      </c>
      <c r="B2006" s="5">
        <v>46173</v>
      </c>
      <c r="C2006" s="6">
        <v>0.41666666666666702</v>
      </c>
      <c r="D2006" s="1" t="s">
        <v>30</v>
      </c>
      <c r="E2006" s="1" t="s">
        <v>33</v>
      </c>
      <c r="F2006" s="1" t="s">
        <v>5671</v>
      </c>
      <c r="G2006" s="39" t="s">
        <v>962</v>
      </c>
      <c r="H2006" s="1">
        <v>1</v>
      </c>
      <c r="I2006" s="1">
        <v>1</v>
      </c>
      <c r="J2006" s="39" t="s">
        <v>218</v>
      </c>
      <c r="K2006" s="1">
        <v>1</v>
      </c>
      <c r="L2006" s="1">
        <v>1</v>
      </c>
      <c r="S2006" s="1" t="s">
        <v>5672</v>
      </c>
      <c r="T2006" s="1">
        <v>1</v>
      </c>
      <c r="U2006" s="19"/>
      <c r="V2006" s="19"/>
      <c r="W2006" s="218">
        <v>1</v>
      </c>
      <c r="X2006" s="218">
        <v>1</v>
      </c>
      <c r="Y2006" s="218">
        <v>1</v>
      </c>
    </row>
    <row r="2007" spans="1:25" x14ac:dyDescent="0.3">
      <c r="A2007" s="1" t="s">
        <v>5673</v>
      </c>
      <c r="B2007" s="5">
        <v>46165</v>
      </c>
      <c r="C2007" s="6">
        <v>0.41666666666666702</v>
      </c>
      <c r="D2007" s="1" t="s">
        <v>30</v>
      </c>
      <c r="E2007" s="1" t="s">
        <v>33</v>
      </c>
      <c r="F2007" s="1" t="s">
        <v>5674</v>
      </c>
      <c r="G2007" s="39" t="s">
        <v>218</v>
      </c>
      <c r="H2007" s="1">
        <v>0</v>
      </c>
      <c r="I2007" s="1">
        <v>0</v>
      </c>
      <c r="J2007" s="39" t="s">
        <v>5584</v>
      </c>
      <c r="K2007" s="1">
        <v>0</v>
      </c>
      <c r="L2007" s="1">
        <v>0</v>
      </c>
      <c r="S2007" s="1" t="s">
        <v>5675</v>
      </c>
      <c r="T2007" s="1">
        <v>1</v>
      </c>
      <c r="U2007" s="19"/>
      <c r="V2007" s="19"/>
      <c r="W2007" s="218">
        <v>1</v>
      </c>
      <c r="X2007" s="218">
        <v>1</v>
      </c>
      <c r="Y2007" s="218">
        <v>1</v>
      </c>
    </row>
    <row r="2008" spans="1:25" x14ac:dyDescent="0.3">
      <c r="A2008" s="1" t="s">
        <v>5676</v>
      </c>
      <c r="B2008" s="5">
        <v>46159</v>
      </c>
      <c r="C2008" s="6">
        <v>0.41666666666666702</v>
      </c>
      <c r="D2008" s="1" t="s">
        <v>30</v>
      </c>
      <c r="E2008" s="1" t="s">
        <v>33</v>
      </c>
      <c r="F2008" s="1" t="s">
        <v>5677</v>
      </c>
      <c r="G2008" s="39" t="s">
        <v>218</v>
      </c>
      <c r="H2008" s="1">
        <v>1</v>
      </c>
      <c r="I2008" s="1">
        <v>1</v>
      </c>
      <c r="J2008" s="39" t="s">
        <v>279</v>
      </c>
      <c r="K2008" s="1">
        <v>1</v>
      </c>
      <c r="L2008" s="1">
        <v>1</v>
      </c>
      <c r="S2008" s="1" t="s">
        <v>5678</v>
      </c>
      <c r="T2008" s="1">
        <v>1</v>
      </c>
      <c r="U2008" s="19"/>
      <c r="V2008" s="19"/>
      <c r="W2008" s="218">
        <v>1</v>
      </c>
      <c r="X2008" s="218">
        <v>1</v>
      </c>
      <c r="Y2008" s="218">
        <v>1</v>
      </c>
    </row>
    <row r="2009" spans="1:25" x14ac:dyDescent="0.3">
      <c r="A2009" s="1" t="s">
        <v>5679</v>
      </c>
      <c r="B2009" s="5">
        <v>46156</v>
      </c>
      <c r="C2009" s="6">
        <v>0.58333333333333304</v>
      </c>
      <c r="D2009" s="1" t="s">
        <v>30</v>
      </c>
      <c r="E2009" s="1" t="s">
        <v>33</v>
      </c>
      <c r="F2009" s="1" t="s">
        <v>5680</v>
      </c>
      <c r="G2009" s="39" t="s">
        <v>5567</v>
      </c>
      <c r="H2009" s="1">
        <v>1</v>
      </c>
      <c r="I2009" s="1">
        <v>5</v>
      </c>
      <c r="J2009" s="39" t="s">
        <v>218</v>
      </c>
      <c r="K2009" s="1">
        <v>5</v>
      </c>
      <c r="L2009" s="1">
        <v>1</v>
      </c>
      <c r="S2009" s="1" t="s">
        <v>5681</v>
      </c>
      <c r="T2009" s="1">
        <v>1</v>
      </c>
      <c r="U2009" s="19"/>
      <c r="V2009" s="19"/>
      <c r="W2009" s="218">
        <v>1</v>
      </c>
      <c r="X2009" s="218">
        <v>1</v>
      </c>
      <c r="Y2009" s="218">
        <v>1</v>
      </c>
    </row>
    <row r="2010" spans="1:25" x14ac:dyDescent="0.3">
      <c r="A2010" s="1" t="s">
        <v>5682</v>
      </c>
      <c r="B2010" s="5">
        <v>46151</v>
      </c>
      <c r="C2010" s="6">
        <v>0.41666666666666702</v>
      </c>
      <c r="D2010" s="1" t="s">
        <v>30</v>
      </c>
      <c r="E2010" s="1" t="s">
        <v>33</v>
      </c>
      <c r="F2010" s="1" t="s">
        <v>5683</v>
      </c>
      <c r="G2010" s="39" t="s">
        <v>218</v>
      </c>
      <c r="H2010" s="1">
        <v>2</v>
      </c>
      <c r="I2010" s="1">
        <v>0</v>
      </c>
      <c r="J2010" s="39" t="s">
        <v>214</v>
      </c>
      <c r="K2010" s="1">
        <v>0</v>
      </c>
      <c r="L2010" s="1">
        <v>2</v>
      </c>
      <c r="S2010" s="1" t="s">
        <v>5684</v>
      </c>
      <c r="T2010" s="1">
        <v>1</v>
      </c>
      <c r="U2010" s="19"/>
      <c r="V2010" s="19"/>
      <c r="W2010" s="218">
        <v>1</v>
      </c>
      <c r="X2010" s="218">
        <v>1</v>
      </c>
      <c r="Y2010" s="218">
        <v>1</v>
      </c>
    </row>
    <row r="2011" spans="1:25" x14ac:dyDescent="0.3">
      <c r="A2011" s="1" t="s">
        <v>5685</v>
      </c>
      <c r="B2011" s="5">
        <v>46243</v>
      </c>
      <c r="C2011" s="6">
        <v>0.58333333333333304</v>
      </c>
      <c r="D2011" s="1" t="s">
        <v>30</v>
      </c>
      <c r="E2011" s="1" t="s">
        <v>33</v>
      </c>
      <c r="F2011" s="1" t="s">
        <v>5686</v>
      </c>
      <c r="G2011" s="39" t="s">
        <v>5584</v>
      </c>
      <c r="H2011" s="1">
        <v>0</v>
      </c>
      <c r="I2011" s="1">
        <v>0</v>
      </c>
      <c r="J2011" s="39" t="s">
        <v>5567</v>
      </c>
      <c r="K2011" s="1">
        <v>0</v>
      </c>
      <c r="L2011" s="1">
        <v>0</v>
      </c>
      <c r="S2011" s="1" t="s">
        <v>5687</v>
      </c>
      <c r="T2011" s="1">
        <v>1</v>
      </c>
      <c r="U2011" s="19"/>
      <c r="V2011" s="19"/>
      <c r="W2011" s="218">
        <v>1</v>
      </c>
      <c r="X2011" s="218">
        <v>1</v>
      </c>
      <c r="Y2011" s="218">
        <v>1</v>
      </c>
    </row>
    <row r="2012" spans="1:25" x14ac:dyDescent="0.3">
      <c r="A2012" s="1" t="s">
        <v>5688</v>
      </c>
      <c r="B2012" s="5">
        <v>46237</v>
      </c>
      <c r="C2012" s="6">
        <v>0.4375</v>
      </c>
      <c r="D2012" s="1" t="s">
        <v>30</v>
      </c>
      <c r="E2012" s="1" t="s">
        <v>33</v>
      </c>
      <c r="F2012" s="1" t="s">
        <v>5689</v>
      </c>
      <c r="G2012" s="39" t="s">
        <v>5577</v>
      </c>
      <c r="H2012" s="1">
        <v>5</v>
      </c>
      <c r="I2012" s="1">
        <v>1</v>
      </c>
      <c r="J2012" s="39" t="s">
        <v>5584</v>
      </c>
      <c r="K2012" s="1">
        <v>1</v>
      </c>
      <c r="L2012" s="1">
        <v>5</v>
      </c>
      <c r="S2012" s="1" t="s">
        <v>5690</v>
      </c>
      <c r="T2012" s="1">
        <v>1</v>
      </c>
      <c r="U2012" s="19"/>
      <c r="V2012" s="19"/>
      <c r="W2012" s="218">
        <v>1</v>
      </c>
      <c r="X2012" s="218">
        <v>1</v>
      </c>
      <c r="Y2012" s="218">
        <v>1</v>
      </c>
    </row>
    <row r="2013" spans="1:25" x14ac:dyDescent="0.3">
      <c r="A2013" s="1" t="s">
        <v>5691</v>
      </c>
      <c r="B2013" s="5">
        <v>46200</v>
      </c>
      <c r="C2013" s="6">
        <v>0.41666666666666702</v>
      </c>
      <c r="D2013" s="1" t="s">
        <v>30</v>
      </c>
      <c r="E2013" s="1" t="s">
        <v>33</v>
      </c>
      <c r="F2013" s="1" t="s">
        <v>5692</v>
      </c>
      <c r="G2013" s="39" t="s">
        <v>5584</v>
      </c>
      <c r="H2013" s="1">
        <v>1</v>
      </c>
      <c r="I2013" s="1">
        <v>0</v>
      </c>
      <c r="J2013" s="39" t="s">
        <v>5603</v>
      </c>
      <c r="K2013" s="1">
        <v>0</v>
      </c>
      <c r="L2013" s="1">
        <v>1</v>
      </c>
      <c r="S2013" s="1" t="s">
        <v>5693</v>
      </c>
      <c r="T2013" s="1">
        <v>1</v>
      </c>
      <c r="U2013" s="19"/>
      <c r="V2013" s="19"/>
      <c r="W2013" s="218">
        <v>1</v>
      </c>
      <c r="X2013" s="218">
        <v>1</v>
      </c>
      <c r="Y2013" s="218">
        <v>1</v>
      </c>
    </row>
    <row r="2014" spans="1:25" x14ac:dyDescent="0.3">
      <c r="A2014" s="1" t="s">
        <v>5694</v>
      </c>
      <c r="B2014" s="5">
        <v>46191</v>
      </c>
      <c r="C2014" s="6">
        <v>0.58333333333333304</v>
      </c>
      <c r="D2014" s="1" t="s">
        <v>30</v>
      </c>
      <c r="E2014" s="1" t="s">
        <v>33</v>
      </c>
      <c r="F2014" s="1" t="s">
        <v>5695</v>
      </c>
      <c r="G2014" s="39" t="s">
        <v>5584</v>
      </c>
      <c r="H2014" s="1">
        <v>1</v>
      </c>
      <c r="I2014" s="1">
        <v>0</v>
      </c>
      <c r="J2014" s="39" t="s">
        <v>5613</v>
      </c>
      <c r="K2014" s="1">
        <v>0</v>
      </c>
      <c r="L2014" s="1">
        <v>1</v>
      </c>
      <c r="S2014" s="1" t="s">
        <v>5696</v>
      </c>
      <c r="T2014" s="1">
        <v>1</v>
      </c>
      <c r="U2014" s="19"/>
      <c r="V2014" s="19"/>
      <c r="W2014" s="218">
        <v>1</v>
      </c>
      <c r="X2014" s="218">
        <v>1</v>
      </c>
      <c r="Y2014" s="218">
        <v>1</v>
      </c>
    </row>
    <row r="2015" spans="1:25" x14ac:dyDescent="0.3">
      <c r="A2015" s="1" t="s">
        <v>5697</v>
      </c>
      <c r="B2015" s="5">
        <v>46186</v>
      </c>
      <c r="C2015" s="6">
        <v>0.41666666666666702</v>
      </c>
      <c r="D2015" s="1" t="s">
        <v>30</v>
      </c>
      <c r="E2015" s="1" t="s">
        <v>33</v>
      </c>
      <c r="F2015" s="1" t="s">
        <v>5698</v>
      </c>
      <c r="G2015" s="39" t="s">
        <v>214</v>
      </c>
      <c r="H2015" s="1">
        <v>2</v>
      </c>
      <c r="I2015" s="1">
        <v>3</v>
      </c>
      <c r="J2015" s="39" t="s">
        <v>5584</v>
      </c>
      <c r="K2015" s="1">
        <v>3</v>
      </c>
      <c r="L2015" s="1">
        <v>2</v>
      </c>
      <c r="S2015" s="1" t="s">
        <v>5699</v>
      </c>
      <c r="T2015" s="1">
        <v>1</v>
      </c>
      <c r="U2015" s="19"/>
      <c r="V2015" s="19"/>
      <c r="W2015" s="218">
        <v>1</v>
      </c>
      <c r="X2015" s="218">
        <v>1</v>
      </c>
      <c r="Y2015" s="218">
        <v>1</v>
      </c>
    </row>
    <row r="2016" spans="1:25" x14ac:dyDescent="0.3">
      <c r="A2016" s="1" t="s">
        <v>5700</v>
      </c>
      <c r="B2016" s="5">
        <v>46174</v>
      </c>
      <c r="C2016" s="6">
        <v>0.58333333333333304</v>
      </c>
      <c r="D2016" s="1" t="s">
        <v>30</v>
      </c>
      <c r="E2016" s="1" t="s">
        <v>33</v>
      </c>
      <c r="F2016" s="1" t="s">
        <v>5701</v>
      </c>
      <c r="G2016" s="39" t="s">
        <v>5584</v>
      </c>
      <c r="H2016" s="1">
        <v>2</v>
      </c>
      <c r="I2016" s="1">
        <v>3</v>
      </c>
      <c r="J2016" s="39" t="s">
        <v>5617</v>
      </c>
      <c r="K2016" s="1">
        <v>3</v>
      </c>
      <c r="L2016" s="1">
        <v>2</v>
      </c>
      <c r="S2016" s="1" t="s">
        <v>5702</v>
      </c>
      <c r="T2016" s="1">
        <v>1</v>
      </c>
      <c r="U2016" s="19"/>
      <c r="V2016" s="19"/>
      <c r="W2016" s="218">
        <v>1</v>
      </c>
      <c r="X2016" s="218">
        <v>1</v>
      </c>
      <c r="Y2016" s="218">
        <v>1</v>
      </c>
    </row>
    <row r="2017" spans="1:25" x14ac:dyDescent="0.3">
      <c r="A2017" s="1" t="s">
        <v>5703</v>
      </c>
      <c r="B2017" s="5">
        <v>46155</v>
      </c>
      <c r="C2017" s="6">
        <v>0.58333333333333304</v>
      </c>
      <c r="D2017" s="1" t="s">
        <v>30</v>
      </c>
      <c r="E2017" s="1" t="s">
        <v>33</v>
      </c>
      <c r="F2017" s="1" t="s">
        <v>5704</v>
      </c>
      <c r="G2017" s="39" t="s">
        <v>5584</v>
      </c>
      <c r="H2017" s="1">
        <v>1</v>
      </c>
      <c r="I2017" s="1">
        <v>1</v>
      </c>
      <c r="J2017" s="39" t="s">
        <v>962</v>
      </c>
      <c r="K2017" s="1">
        <v>1</v>
      </c>
      <c r="L2017" s="1">
        <v>1</v>
      </c>
      <c r="S2017" s="1" t="s">
        <v>5705</v>
      </c>
      <c r="T2017" s="1">
        <v>1</v>
      </c>
      <c r="U2017" s="19"/>
      <c r="V2017" s="19"/>
      <c r="W2017" s="218">
        <v>1</v>
      </c>
      <c r="X2017" s="218">
        <v>1</v>
      </c>
      <c r="Y2017" s="218">
        <v>1</v>
      </c>
    </row>
    <row r="2018" spans="1:25" x14ac:dyDescent="0.3">
      <c r="A2018" s="1" t="s">
        <v>5706</v>
      </c>
      <c r="B2018" s="5">
        <v>46151</v>
      </c>
      <c r="C2018" s="6">
        <v>0.41666666666666702</v>
      </c>
      <c r="D2018" s="1" t="s">
        <v>30</v>
      </c>
      <c r="E2018" s="1" t="s">
        <v>33</v>
      </c>
      <c r="F2018" s="1" t="s">
        <v>5707</v>
      </c>
      <c r="G2018" s="39" t="s">
        <v>5584</v>
      </c>
      <c r="H2018" s="1">
        <v>1</v>
      </c>
      <c r="I2018" s="1">
        <v>1</v>
      </c>
      <c r="J2018" s="39" t="s">
        <v>980</v>
      </c>
      <c r="K2018" s="1">
        <v>1</v>
      </c>
      <c r="L2018" s="1">
        <v>1</v>
      </c>
      <c r="S2018" s="1" t="s">
        <v>5708</v>
      </c>
      <c r="T2018" s="1">
        <v>1</v>
      </c>
      <c r="U2018" s="19"/>
      <c r="V2018" s="19"/>
      <c r="W2018" s="218">
        <v>1</v>
      </c>
      <c r="X2018" s="218">
        <v>1</v>
      </c>
      <c r="Y2018" s="218">
        <v>1</v>
      </c>
    </row>
    <row r="2019" spans="1:25" x14ac:dyDescent="0.3">
      <c r="A2019" s="1" t="s">
        <v>5709</v>
      </c>
      <c r="B2019" s="5">
        <v>46145</v>
      </c>
      <c r="C2019" s="6">
        <v>0.41666666666666702</v>
      </c>
      <c r="D2019" s="1" t="s">
        <v>30</v>
      </c>
      <c r="E2019" s="1" t="s">
        <v>33</v>
      </c>
      <c r="F2019" s="1" t="s">
        <v>5710</v>
      </c>
      <c r="G2019" s="39" t="s">
        <v>5567</v>
      </c>
      <c r="H2019" s="1">
        <v>1</v>
      </c>
      <c r="I2019" s="1">
        <v>2</v>
      </c>
      <c r="J2019" s="39" t="s">
        <v>5584</v>
      </c>
      <c r="K2019" s="1">
        <v>2</v>
      </c>
      <c r="L2019" s="1">
        <v>1</v>
      </c>
      <c r="S2019" s="1" t="s">
        <v>5711</v>
      </c>
      <c r="T2019" s="1">
        <v>1</v>
      </c>
      <c r="U2019" s="19"/>
      <c r="V2019" s="19"/>
      <c r="W2019" s="218">
        <v>1</v>
      </c>
      <c r="X2019" s="218">
        <v>1</v>
      </c>
      <c r="Y2019" s="218">
        <v>1</v>
      </c>
    </row>
    <row r="2020" spans="1:25" x14ac:dyDescent="0.3">
      <c r="A2020" s="1" t="s">
        <v>5712</v>
      </c>
      <c r="B2020" s="5">
        <v>46242</v>
      </c>
      <c r="C2020" s="6">
        <v>0.45833333333333298</v>
      </c>
      <c r="D2020" s="1" t="s">
        <v>30</v>
      </c>
      <c r="E2020" s="1" t="s">
        <v>33</v>
      </c>
      <c r="F2020" s="1" t="s">
        <v>5713</v>
      </c>
      <c r="G2020" s="39" t="s">
        <v>214</v>
      </c>
      <c r="H2020" s="1">
        <v>1</v>
      </c>
      <c r="I2020" s="1">
        <v>4</v>
      </c>
      <c r="J2020" s="39" t="s">
        <v>5603</v>
      </c>
      <c r="K2020" s="1">
        <v>4</v>
      </c>
      <c r="L2020" s="1">
        <v>1</v>
      </c>
      <c r="S2020" s="1" t="s">
        <v>5714</v>
      </c>
      <c r="T2020" s="1">
        <v>1</v>
      </c>
      <c r="U2020" s="19"/>
      <c r="V2020" s="19"/>
      <c r="W2020" s="218">
        <v>1</v>
      </c>
      <c r="X2020" s="218">
        <v>1</v>
      </c>
      <c r="Y2020" s="218">
        <v>1</v>
      </c>
    </row>
    <row r="2021" spans="1:25" x14ac:dyDescent="0.3">
      <c r="A2021" s="1" t="s">
        <v>5715</v>
      </c>
      <c r="B2021" s="5">
        <v>46201</v>
      </c>
      <c r="C2021" s="6">
        <v>0.41666666666666702</v>
      </c>
      <c r="D2021" s="1" t="s">
        <v>30</v>
      </c>
      <c r="E2021" s="1" t="s">
        <v>33</v>
      </c>
      <c r="F2021" s="1" t="s">
        <v>5716</v>
      </c>
      <c r="G2021" s="39" t="s">
        <v>279</v>
      </c>
      <c r="H2021" s="1">
        <v>1</v>
      </c>
      <c r="I2021" s="1">
        <v>3</v>
      </c>
      <c r="J2021" s="39" t="s">
        <v>214</v>
      </c>
      <c r="K2021" s="1">
        <v>3</v>
      </c>
      <c r="L2021" s="1">
        <v>1</v>
      </c>
      <c r="S2021" s="1" t="s">
        <v>5717</v>
      </c>
      <c r="T2021" s="1">
        <v>1</v>
      </c>
      <c r="U2021" s="19"/>
      <c r="V2021" s="19"/>
      <c r="W2021" s="218">
        <v>1</v>
      </c>
      <c r="X2021" s="218">
        <v>1</v>
      </c>
      <c r="Y2021" s="218">
        <v>1</v>
      </c>
    </row>
    <row r="2022" spans="1:25" x14ac:dyDescent="0.3">
      <c r="A2022" s="1" t="s">
        <v>5718</v>
      </c>
      <c r="B2022" s="5">
        <v>46191</v>
      </c>
      <c r="C2022" s="6">
        <v>0.58333333333333304</v>
      </c>
      <c r="D2022" s="1" t="s">
        <v>30</v>
      </c>
      <c r="E2022" s="1" t="s">
        <v>33</v>
      </c>
      <c r="F2022" s="1" t="s">
        <v>5719</v>
      </c>
      <c r="G2022" s="39" t="s">
        <v>5577</v>
      </c>
      <c r="H2022" s="1">
        <v>1</v>
      </c>
      <c r="I2022" s="1">
        <v>1</v>
      </c>
      <c r="J2022" s="39" t="s">
        <v>214</v>
      </c>
      <c r="K2022" s="1">
        <v>1</v>
      </c>
      <c r="L2022" s="1">
        <v>1</v>
      </c>
      <c r="S2022" s="1" t="s">
        <v>5720</v>
      </c>
      <c r="T2022" s="1">
        <v>1</v>
      </c>
      <c r="U2022" s="19"/>
      <c r="V2022" s="19"/>
      <c r="W2022" s="218">
        <v>1</v>
      </c>
      <c r="X2022" s="218">
        <v>1</v>
      </c>
      <c r="Y2022" s="218">
        <v>1</v>
      </c>
    </row>
    <row r="2023" spans="1:25" x14ac:dyDescent="0.3">
      <c r="A2023" s="1" t="s">
        <v>5721</v>
      </c>
      <c r="B2023" s="5">
        <v>46181</v>
      </c>
      <c r="C2023" s="6">
        <v>0.58333333333333304</v>
      </c>
      <c r="D2023" s="1" t="s">
        <v>30</v>
      </c>
      <c r="E2023" s="1" t="s">
        <v>33</v>
      </c>
      <c r="F2023" s="1" t="s">
        <v>5722</v>
      </c>
      <c r="G2023" s="39" t="s">
        <v>214</v>
      </c>
      <c r="H2023" s="1">
        <v>1</v>
      </c>
      <c r="I2023" s="1">
        <v>6</v>
      </c>
      <c r="J2023" s="39" t="s">
        <v>5613</v>
      </c>
      <c r="K2023" s="1">
        <v>6</v>
      </c>
      <c r="L2023" s="1">
        <v>1</v>
      </c>
      <c r="S2023" s="1" t="s">
        <v>5723</v>
      </c>
      <c r="T2023" s="1">
        <v>1</v>
      </c>
      <c r="U2023" s="19"/>
      <c r="V2023" s="19"/>
      <c r="W2023" s="218">
        <v>1</v>
      </c>
      <c r="X2023" s="218">
        <v>1</v>
      </c>
      <c r="Y2023" s="218">
        <v>1</v>
      </c>
    </row>
    <row r="2024" spans="1:25" x14ac:dyDescent="0.3">
      <c r="A2024" s="1" t="s">
        <v>5724</v>
      </c>
      <c r="B2024" s="5">
        <v>46176</v>
      </c>
      <c r="C2024" s="6">
        <v>0.58333333333333304</v>
      </c>
      <c r="D2024" s="1" t="s">
        <v>30</v>
      </c>
      <c r="E2024" s="1" t="s">
        <v>33</v>
      </c>
      <c r="F2024" s="1" t="s">
        <v>5725</v>
      </c>
      <c r="G2024" s="39" t="s">
        <v>981</v>
      </c>
      <c r="H2024" s="1">
        <v>3</v>
      </c>
      <c r="I2024" s="1">
        <v>1</v>
      </c>
      <c r="J2024" s="39" t="s">
        <v>214</v>
      </c>
      <c r="K2024" s="1">
        <v>1</v>
      </c>
      <c r="L2024" s="1">
        <v>3</v>
      </c>
      <c r="S2024" s="1" t="s">
        <v>5726</v>
      </c>
      <c r="T2024" s="1">
        <v>1</v>
      </c>
      <c r="U2024" s="19"/>
      <c r="V2024" s="19"/>
      <c r="W2024" s="218">
        <v>1</v>
      </c>
      <c r="X2024" s="218">
        <v>1</v>
      </c>
      <c r="Y2024" s="218">
        <v>1</v>
      </c>
    </row>
    <row r="2025" spans="1:25" x14ac:dyDescent="0.3">
      <c r="A2025" s="1" t="s">
        <v>5727</v>
      </c>
      <c r="B2025" s="5">
        <v>46165</v>
      </c>
      <c r="C2025" s="6">
        <v>0.41666666666666702</v>
      </c>
      <c r="D2025" s="1" t="s">
        <v>30</v>
      </c>
      <c r="E2025" s="1" t="s">
        <v>33</v>
      </c>
      <c r="F2025" s="1" t="s">
        <v>5728</v>
      </c>
      <c r="G2025" s="39" t="s">
        <v>214</v>
      </c>
      <c r="H2025" s="1">
        <v>4</v>
      </c>
      <c r="I2025" s="1">
        <v>0</v>
      </c>
      <c r="J2025" s="39" t="s">
        <v>5617</v>
      </c>
      <c r="K2025" s="1">
        <v>0</v>
      </c>
      <c r="L2025" s="1">
        <v>4</v>
      </c>
      <c r="S2025" s="1" t="s">
        <v>5729</v>
      </c>
      <c r="T2025" s="1">
        <v>1</v>
      </c>
      <c r="U2025" s="19"/>
      <c r="V2025" s="19"/>
      <c r="W2025" s="218">
        <v>1</v>
      </c>
      <c r="X2025" s="218">
        <v>1</v>
      </c>
      <c r="Y2025" s="218">
        <v>1</v>
      </c>
    </row>
    <row r="2026" spans="1:25" x14ac:dyDescent="0.3">
      <c r="A2026" s="1" t="s">
        <v>5730</v>
      </c>
      <c r="B2026" s="5">
        <v>46158</v>
      </c>
      <c r="C2026" s="6">
        <v>0.41666666666666702</v>
      </c>
      <c r="D2026" s="1" t="s">
        <v>30</v>
      </c>
      <c r="E2026" s="1" t="s">
        <v>33</v>
      </c>
      <c r="F2026" s="1" t="s">
        <v>5731</v>
      </c>
      <c r="G2026" s="39" t="s">
        <v>962</v>
      </c>
      <c r="H2026" s="1">
        <v>1</v>
      </c>
      <c r="I2026" s="1">
        <v>3</v>
      </c>
      <c r="J2026" s="39" t="s">
        <v>214</v>
      </c>
      <c r="K2026" s="1">
        <v>3</v>
      </c>
      <c r="L2026" s="1">
        <v>1</v>
      </c>
      <c r="S2026" s="1" t="s">
        <v>5732</v>
      </c>
      <c r="T2026" s="1">
        <v>1</v>
      </c>
      <c r="U2026" s="19"/>
      <c r="V2026" s="19"/>
      <c r="W2026" s="218">
        <v>1</v>
      </c>
      <c r="X2026" s="218">
        <v>1</v>
      </c>
      <c r="Y2026" s="218">
        <v>1</v>
      </c>
    </row>
    <row r="2027" spans="1:25" x14ac:dyDescent="0.3">
      <c r="A2027" s="1" t="s">
        <v>5733</v>
      </c>
      <c r="B2027" s="5">
        <v>46243</v>
      </c>
      <c r="C2027" s="6">
        <v>0.33333333333333298</v>
      </c>
      <c r="D2027" s="1" t="s">
        <v>30</v>
      </c>
      <c r="E2027" s="1" t="s">
        <v>33</v>
      </c>
      <c r="F2027" s="1" t="s">
        <v>5734</v>
      </c>
      <c r="G2027" s="39" t="s">
        <v>981</v>
      </c>
      <c r="H2027" s="1">
        <v>2</v>
      </c>
      <c r="I2027" s="1">
        <v>0</v>
      </c>
      <c r="J2027" s="39" t="s">
        <v>215</v>
      </c>
      <c r="K2027" s="1">
        <v>0</v>
      </c>
      <c r="L2027" s="1">
        <v>2</v>
      </c>
      <c r="S2027" s="1" t="s">
        <v>5735</v>
      </c>
      <c r="T2027" s="1">
        <v>1</v>
      </c>
      <c r="U2027" s="19"/>
      <c r="V2027" s="19"/>
      <c r="W2027" s="218">
        <v>1</v>
      </c>
      <c r="X2027" s="218">
        <v>1</v>
      </c>
      <c r="Y2027" s="218">
        <v>1</v>
      </c>
    </row>
    <row r="2028" spans="1:25" x14ac:dyDescent="0.3">
      <c r="A2028" s="1" t="s">
        <v>5736</v>
      </c>
      <c r="B2028" s="5">
        <v>46191</v>
      </c>
      <c r="C2028" s="6">
        <v>0.58333333333333304</v>
      </c>
      <c r="D2028" s="1" t="s">
        <v>30</v>
      </c>
      <c r="E2028" s="1" t="s">
        <v>33</v>
      </c>
      <c r="F2028" s="1" t="s">
        <v>5737</v>
      </c>
      <c r="G2028" s="39" t="s">
        <v>5617</v>
      </c>
      <c r="H2028" s="1">
        <v>0</v>
      </c>
      <c r="I2028" s="1">
        <v>2</v>
      </c>
      <c r="J2028" s="39" t="s">
        <v>215</v>
      </c>
      <c r="K2028" s="1">
        <v>2</v>
      </c>
      <c r="L2028" s="1">
        <v>0</v>
      </c>
      <c r="S2028" s="1" t="s">
        <v>5738</v>
      </c>
      <c r="T2028" s="1">
        <v>1</v>
      </c>
      <c r="U2028" s="19"/>
      <c r="V2028" s="19"/>
      <c r="W2028" s="218">
        <v>1</v>
      </c>
      <c r="X2028" s="218">
        <v>1</v>
      </c>
      <c r="Y2028" s="218">
        <v>1</v>
      </c>
    </row>
    <row r="2029" spans="1:25" x14ac:dyDescent="0.3">
      <c r="A2029" s="1" t="s">
        <v>5739</v>
      </c>
      <c r="B2029" s="5">
        <v>46181</v>
      </c>
      <c r="C2029" s="6">
        <v>0.58333333333333304</v>
      </c>
      <c r="D2029" s="1" t="s">
        <v>30</v>
      </c>
      <c r="E2029" s="1" t="s">
        <v>33</v>
      </c>
      <c r="F2029" s="1" t="s">
        <v>5740</v>
      </c>
      <c r="G2029" s="39" t="s">
        <v>215</v>
      </c>
      <c r="H2029" s="1">
        <v>4</v>
      </c>
      <c r="I2029" s="1">
        <v>1</v>
      </c>
      <c r="J2029" s="39" t="s">
        <v>981</v>
      </c>
      <c r="K2029" s="1">
        <v>1</v>
      </c>
      <c r="L2029" s="1">
        <v>4</v>
      </c>
      <c r="S2029" s="1" t="s">
        <v>5741</v>
      </c>
      <c r="T2029" s="1">
        <v>1</v>
      </c>
      <c r="U2029" s="19"/>
      <c r="V2029" s="19"/>
      <c r="W2029" s="218">
        <v>1</v>
      </c>
      <c r="X2029" s="218">
        <v>1</v>
      </c>
      <c r="Y2029" s="218">
        <v>1</v>
      </c>
    </row>
    <row r="2030" spans="1:25" x14ac:dyDescent="0.3">
      <c r="A2030" s="1" t="s">
        <v>5742</v>
      </c>
      <c r="B2030" s="5">
        <v>46165</v>
      </c>
      <c r="C2030" s="6">
        <v>0.41666666666666702</v>
      </c>
      <c r="D2030" s="1" t="s">
        <v>30</v>
      </c>
      <c r="E2030" s="1" t="s">
        <v>33</v>
      </c>
      <c r="F2030" s="1" t="s">
        <v>5743</v>
      </c>
      <c r="G2030" s="39" t="s">
        <v>215</v>
      </c>
      <c r="H2030" s="1">
        <v>2</v>
      </c>
      <c r="I2030" s="1">
        <v>1</v>
      </c>
      <c r="J2030" s="39" t="s">
        <v>962</v>
      </c>
      <c r="K2030" s="1">
        <v>1</v>
      </c>
      <c r="L2030" s="1">
        <v>2</v>
      </c>
      <c r="S2030" s="1" t="s">
        <v>5744</v>
      </c>
      <c r="T2030" s="1">
        <v>1</v>
      </c>
      <c r="U2030" s="19"/>
      <c r="V2030" s="19"/>
      <c r="W2030" s="218">
        <v>1</v>
      </c>
      <c r="X2030" s="218">
        <v>1</v>
      </c>
      <c r="Y2030" s="218">
        <v>1</v>
      </c>
    </row>
    <row r="2031" spans="1:25" x14ac:dyDescent="0.3">
      <c r="A2031" s="1" t="s">
        <v>5745</v>
      </c>
      <c r="B2031" s="5">
        <v>46158</v>
      </c>
      <c r="C2031" s="6">
        <v>0.41666666666666702</v>
      </c>
      <c r="D2031" s="1" t="s">
        <v>30</v>
      </c>
      <c r="E2031" s="1" t="s">
        <v>33</v>
      </c>
      <c r="F2031" s="1" t="s">
        <v>5746</v>
      </c>
      <c r="G2031" s="39" t="s">
        <v>5577</v>
      </c>
      <c r="H2031" s="1">
        <v>3</v>
      </c>
      <c r="I2031" s="1">
        <v>1</v>
      </c>
      <c r="J2031" s="39" t="s">
        <v>215</v>
      </c>
      <c r="K2031" s="1">
        <v>1</v>
      </c>
      <c r="L2031" s="1">
        <v>3</v>
      </c>
      <c r="S2031" s="1" t="s">
        <v>5747</v>
      </c>
      <c r="T2031" s="1">
        <v>1</v>
      </c>
      <c r="U2031" s="19"/>
      <c r="V2031" s="19"/>
      <c r="W2031" s="218">
        <v>1</v>
      </c>
      <c r="X2031" s="218">
        <v>1</v>
      </c>
      <c r="Y2031" s="218">
        <v>1</v>
      </c>
    </row>
    <row r="2032" spans="1:25" x14ac:dyDescent="0.3">
      <c r="A2032" s="1" t="s">
        <v>5748</v>
      </c>
      <c r="B2032" s="5">
        <v>46151</v>
      </c>
      <c r="C2032" s="6">
        <v>0.41666666666666702</v>
      </c>
      <c r="D2032" s="1" t="s">
        <v>30</v>
      </c>
      <c r="E2032" s="1" t="s">
        <v>33</v>
      </c>
      <c r="F2032" s="1" t="s">
        <v>5749</v>
      </c>
      <c r="G2032" s="39" t="s">
        <v>5613</v>
      </c>
      <c r="H2032" s="1">
        <v>1</v>
      </c>
      <c r="I2032" s="1">
        <v>6</v>
      </c>
      <c r="J2032" s="39" t="s">
        <v>215</v>
      </c>
      <c r="K2032" s="1">
        <v>6</v>
      </c>
      <c r="L2032" s="1">
        <v>1</v>
      </c>
      <c r="S2032" s="1" t="s">
        <v>5750</v>
      </c>
      <c r="T2032" s="1">
        <v>1</v>
      </c>
      <c r="U2032" s="19"/>
      <c r="V2032" s="19"/>
      <c r="W2032" s="218">
        <v>1</v>
      </c>
      <c r="X2032" s="218">
        <v>1</v>
      </c>
      <c r="Y2032" s="218">
        <v>1</v>
      </c>
    </row>
    <row r="2033" spans="1:25" x14ac:dyDescent="0.3">
      <c r="A2033" s="1" t="s">
        <v>5751</v>
      </c>
      <c r="B2033" s="5">
        <v>46145</v>
      </c>
      <c r="C2033" s="6">
        <v>0.41666666666666702</v>
      </c>
      <c r="D2033" s="1" t="s">
        <v>30</v>
      </c>
      <c r="E2033" s="1" t="s">
        <v>33</v>
      </c>
      <c r="F2033" s="1" t="s">
        <v>5752</v>
      </c>
      <c r="G2033" s="39" t="s">
        <v>215</v>
      </c>
      <c r="H2033" s="1">
        <v>1</v>
      </c>
      <c r="I2033" s="1">
        <v>1</v>
      </c>
      <c r="J2033" s="39" t="s">
        <v>980</v>
      </c>
      <c r="K2033" s="1">
        <v>1</v>
      </c>
      <c r="L2033" s="1">
        <v>1</v>
      </c>
      <c r="S2033" s="1" t="s">
        <v>5753</v>
      </c>
      <c r="T2033" s="1">
        <v>1</v>
      </c>
      <c r="U2033" s="19"/>
      <c r="V2033" s="19"/>
      <c r="W2033" s="218">
        <v>1</v>
      </c>
      <c r="X2033" s="218">
        <v>1</v>
      </c>
      <c r="Y2033" s="218">
        <v>1</v>
      </c>
    </row>
    <row r="2034" spans="1:25" x14ac:dyDescent="0.3">
      <c r="A2034" s="1" t="s">
        <v>5754</v>
      </c>
      <c r="B2034" s="5">
        <v>46130</v>
      </c>
      <c r="C2034" s="6">
        <v>0.41666666666666702</v>
      </c>
      <c r="D2034" s="1" t="s">
        <v>30</v>
      </c>
      <c r="E2034" s="1" t="s">
        <v>33</v>
      </c>
      <c r="F2034" s="1" t="s">
        <v>5755</v>
      </c>
      <c r="G2034" s="39" t="s">
        <v>5584</v>
      </c>
      <c r="H2034" s="1">
        <v>0</v>
      </c>
      <c r="I2034" s="1">
        <v>0</v>
      </c>
      <c r="J2034" s="39" t="s">
        <v>215</v>
      </c>
      <c r="K2034" s="1">
        <v>0</v>
      </c>
      <c r="L2034" s="1">
        <v>0</v>
      </c>
      <c r="S2034" s="1" t="s">
        <v>5756</v>
      </c>
      <c r="T2034" s="1">
        <v>1</v>
      </c>
      <c r="U2034" s="19"/>
      <c r="V2034" s="19"/>
      <c r="W2034" s="218">
        <v>0</v>
      </c>
      <c r="X2034" s="218">
        <v>0</v>
      </c>
      <c r="Y2034" s="218">
        <v>0</v>
      </c>
    </row>
    <row r="2035" spans="1:25" x14ac:dyDescent="0.3">
      <c r="A2035" s="1" t="s">
        <v>5757</v>
      </c>
      <c r="B2035" s="5">
        <v>46242</v>
      </c>
      <c r="C2035" s="6">
        <v>0.45833333333333298</v>
      </c>
      <c r="D2035" s="1" t="s">
        <v>30</v>
      </c>
      <c r="E2035" s="1" t="s">
        <v>33</v>
      </c>
      <c r="F2035" s="1" t="s">
        <v>5758</v>
      </c>
      <c r="G2035" s="39" t="s">
        <v>5613</v>
      </c>
      <c r="H2035" s="1">
        <v>5</v>
      </c>
      <c r="I2035" s="1">
        <v>0</v>
      </c>
      <c r="J2035" s="39" t="s">
        <v>5617</v>
      </c>
      <c r="K2035" s="1">
        <v>0</v>
      </c>
      <c r="L2035" s="1">
        <v>5</v>
      </c>
      <c r="S2035" s="1" t="s">
        <v>5759</v>
      </c>
      <c r="T2035" s="1">
        <v>1</v>
      </c>
      <c r="U2035" s="19"/>
      <c r="V2035" s="19"/>
      <c r="W2035" s="218">
        <v>1</v>
      </c>
      <c r="X2035" s="218">
        <v>1</v>
      </c>
      <c r="Y2035" s="218">
        <v>1</v>
      </c>
    </row>
    <row r="2036" spans="1:25" x14ac:dyDescent="0.3">
      <c r="A2036" s="1" t="s">
        <v>5760</v>
      </c>
      <c r="B2036" s="5">
        <v>46235</v>
      </c>
      <c r="C2036" s="6">
        <v>0.41666666666666702</v>
      </c>
      <c r="D2036" s="1" t="s">
        <v>30</v>
      </c>
      <c r="E2036" s="1" t="s">
        <v>33</v>
      </c>
      <c r="F2036" s="1" t="s">
        <v>5761</v>
      </c>
      <c r="G2036" s="39" t="s">
        <v>5567</v>
      </c>
      <c r="H2036" s="1">
        <v>0</v>
      </c>
      <c r="I2036" s="1">
        <v>2</v>
      </c>
      <c r="J2036" s="39" t="s">
        <v>5617</v>
      </c>
      <c r="K2036" s="1">
        <v>2</v>
      </c>
      <c r="L2036" s="1">
        <v>0</v>
      </c>
      <c r="S2036" s="1" t="s">
        <v>5762</v>
      </c>
      <c r="T2036" s="1">
        <v>1</v>
      </c>
      <c r="U2036" s="19"/>
      <c r="V2036" s="19"/>
      <c r="W2036" s="218">
        <v>1</v>
      </c>
      <c r="X2036" s="218">
        <v>1</v>
      </c>
      <c r="Y2036" s="218">
        <v>1</v>
      </c>
    </row>
    <row r="2037" spans="1:25" x14ac:dyDescent="0.3">
      <c r="A2037" s="1" t="s">
        <v>5763</v>
      </c>
      <c r="B2037" s="5">
        <v>46200</v>
      </c>
      <c r="C2037" s="6">
        <v>0.41666666666666702</v>
      </c>
      <c r="D2037" s="1" t="s">
        <v>30</v>
      </c>
      <c r="E2037" s="1" t="s">
        <v>33</v>
      </c>
      <c r="F2037" s="1" t="s">
        <v>5764</v>
      </c>
      <c r="G2037" s="39" t="s">
        <v>5617</v>
      </c>
      <c r="H2037" s="1">
        <v>2</v>
      </c>
      <c r="I2037" s="1">
        <v>1</v>
      </c>
      <c r="J2037" s="39" t="s">
        <v>5613</v>
      </c>
      <c r="K2037" s="1">
        <v>1</v>
      </c>
      <c r="L2037" s="1">
        <v>2</v>
      </c>
      <c r="S2037" s="1" t="s">
        <v>5765</v>
      </c>
      <c r="T2037" s="1">
        <v>1</v>
      </c>
      <c r="U2037" s="19"/>
      <c r="V2037" s="19"/>
      <c r="W2037" s="218">
        <v>1</v>
      </c>
      <c r="X2037" s="218">
        <v>1</v>
      </c>
      <c r="Y2037" s="218">
        <v>1</v>
      </c>
    </row>
    <row r="2038" spans="1:25" x14ac:dyDescent="0.3">
      <c r="A2038" s="1" t="s">
        <v>5766</v>
      </c>
      <c r="B2038" s="5">
        <v>46186</v>
      </c>
      <c r="C2038" s="6">
        <v>0.41666666666666702</v>
      </c>
      <c r="D2038" s="1" t="s">
        <v>30</v>
      </c>
      <c r="E2038" s="1" t="s">
        <v>33</v>
      </c>
      <c r="F2038" s="1" t="s">
        <v>5767</v>
      </c>
      <c r="G2038" s="39" t="s">
        <v>5603</v>
      </c>
      <c r="H2038" s="1">
        <v>2</v>
      </c>
      <c r="I2038" s="1">
        <v>0</v>
      </c>
      <c r="J2038" s="39" t="s">
        <v>5617</v>
      </c>
      <c r="K2038" s="1">
        <v>0</v>
      </c>
      <c r="L2038" s="1">
        <v>2</v>
      </c>
      <c r="S2038" s="1" t="s">
        <v>5768</v>
      </c>
      <c r="T2038" s="1">
        <v>1</v>
      </c>
      <c r="U2038" s="19"/>
      <c r="V2038" s="19"/>
      <c r="W2038" s="218">
        <v>1</v>
      </c>
      <c r="X2038" s="218">
        <v>1</v>
      </c>
      <c r="Y2038" s="218">
        <v>1</v>
      </c>
    </row>
    <row r="2039" spans="1:25" x14ac:dyDescent="0.3">
      <c r="A2039" s="1" t="s">
        <v>5769</v>
      </c>
      <c r="B2039" s="5">
        <v>46179</v>
      </c>
      <c r="C2039" s="6">
        <v>0.41666666666666702</v>
      </c>
      <c r="D2039" s="1" t="s">
        <v>30</v>
      </c>
      <c r="E2039" s="1" t="s">
        <v>33</v>
      </c>
      <c r="F2039" s="1" t="s">
        <v>5770</v>
      </c>
      <c r="G2039" s="39" t="s">
        <v>5617</v>
      </c>
      <c r="H2039" s="1">
        <v>0</v>
      </c>
      <c r="I2039" s="1">
        <v>4</v>
      </c>
      <c r="J2039" s="39" t="s">
        <v>5577</v>
      </c>
      <c r="K2039" s="1">
        <v>4</v>
      </c>
      <c r="L2039" s="1">
        <v>0</v>
      </c>
      <c r="S2039" s="1" t="s">
        <v>5771</v>
      </c>
      <c r="T2039" s="1">
        <v>1</v>
      </c>
      <c r="U2039" s="19"/>
      <c r="V2039" s="19"/>
      <c r="W2039" s="218">
        <v>1</v>
      </c>
      <c r="X2039" s="218">
        <v>1</v>
      </c>
      <c r="Y2039" s="218">
        <v>1</v>
      </c>
    </row>
    <row r="2040" spans="1:25" x14ac:dyDescent="0.3">
      <c r="A2040" s="1" t="s">
        <v>5772</v>
      </c>
      <c r="B2040" s="5">
        <v>46156</v>
      </c>
      <c r="C2040" s="6">
        <v>0.58333333333333304</v>
      </c>
      <c r="D2040" s="1" t="s">
        <v>30</v>
      </c>
      <c r="E2040" s="1" t="s">
        <v>33</v>
      </c>
      <c r="F2040" s="1" t="s">
        <v>5773</v>
      </c>
      <c r="G2040" s="39" t="s">
        <v>981</v>
      </c>
      <c r="H2040" s="1">
        <v>1</v>
      </c>
      <c r="I2040" s="1">
        <v>0</v>
      </c>
      <c r="J2040" s="39" t="s">
        <v>5617</v>
      </c>
      <c r="K2040" s="1">
        <v>0</v>
      </c>
      <c r="L2040" s="1">
        <v>1</v>
      </c>
      <c r="S2040" s="1" t="s">
        <v>5774</v>
      </c>
      <c r="T2040" s="1">
        <v>1</v>
      </c>
      <c r="U2040" s="19"/>
      <c r="V2040" s="19"/>
      <c r="W2040" s="218">
        <v>1</v>
      </c>
      <c r="X2040" s="218">
        <v>1</v>
      </c>
      <c r="Y2040" s="218">
        <v>1</v>
      </c>
    </row>
    <row r="2041" spans="1:25" x14ac:dyDescent="0.3">
      <c r="A2041" s="1" t="s">
        <v>5775</v>
      </c>
      <c r="B2041" s="5">
        <v>46151</v>
      </c>
      <c r="C2041" s="6">
        <v>0.41666666666666702</v>
      </c>
      <c r="D2041" s="1" t="s">
        <v>30</v>
      </c>
      <c r="E2041" s="1" t="s">
        <v>33</v>
      </c>
      <c r="F2041" s="1" t="s">
        <v>5776</v>
      </c>
      <c r="G2041" s="39" t="s">
        <v>279</v>
      </c>
      <c r="H2041" s="1">
        <v>2</v>
      </c>
      <c r="I2041" s="1">
        <v>2</v>
      </c>
      <c r="J2041" s="39" t="s">
        <v>5617</v>
      </c>
      <c r="K2041" s="1">
        <v>2</v>
      </c>
      <c r="L2041" s="1">
        <v>2</v>
      </c>
      <c r="S2041" s="1" t="s">
        <v>5777</v>
      </c>
      <c r="T2041" s="1">
        <v>1</v>
      </c>
      <c r="U2041" s="19"/>
      <c r="V2041" s="19"/>
      <c r="W2041" s="218">
        <v>1</v>
      </c>
      <c r="X2041" s="218">
        <v>1</v>
      </c>
      <c r="Y2041" s="218">
        <v>1</v>
      </c>
    </row>
    <row r="2042" spans="1:25" x14ac:dyDescent="0.3">
      <c r="A2042" s="1" t="s">
        <v>5778</v>
      </c>
      <c r="B2042" s="5">
        <v>46187</v>
      </c>
      <c r="C2042" s="6">
        <v>0.45833333333333298</v>
      </c>
      <c r="D2042" s="1" t="s">
        <v>30</v>
      </c>
      <c r="E2042" s="1" t="s">
        <v>33</v>
      </c>
      <c r="F2042" s="1" t="s">
        <v>5779</v>
      </c>
      <c r="G2042" s="39" t="s">
        <v>962</v>
      </c>
      <c r="H2042" s="1">
        <v>0</v>
      </c>
      <c r="I2042" s="1">
        <v>2</v>
      </c>
      <c r="J2042" s="39" t="s">
        <v>5577</v>
      </c>
      <c r="K2042" s="1">
        <v>2</v>
      </c>
      <c r="L2042" s="1">
        <v>0</v>
      </c>
      <c r="S2042" s="1" t="s">
        <v>5780</v>
      </c>
      <c r="T2042" s="1">
        <v>1</v>
      </c>
      <c r="U2042" s="19"/>
      <c r="V2042" s="19"/>
      <c r="W2042" s="218">
        <v>1</v>
      </c>
      <c r="X2042" s="218">
        <v>1</v>
      </c>
      <c r="Y2042" s="218">
        <v>1</v>
      </c>
    </row>
    <row r="2043" spans="1:25" x14ac:dyDescent="0.3">
      <c r="A2043" s="1" t="s">
        <v>5781</v>
      </c>
      <c r="B2043" s="5">
        <v>46155</v>
      </c>
      <c r="C2043" s="6">
        <v>0.58333333333333304</v>
      </c>
      <c r="D2043" s="1" t="s">
        <v>30</v>
      </c>
      <c r="E2043" s="1" t="s">
        <v>33</v>
      </c>
      <c r="F2043" s="1" t="s">
        <v>5782</v>
      </c>
      <c r="G2043" s="39" t="s">
        <v>980</v>
      </c>
      <c r="H2043" s="1">
        <v>0</v>
      </c>
      <c r="I2043" s="1">
        <v>2</v>
      </c>
      <c r="J2043" s="39" t="s">
        <v>5577</v>
      </c>
      <c r="K2043" s="1">
        <v>2</v>
      </c>
      <c r="L2043" s="1">
        <v>0</v>
      </c>
      <c r="S2043" s="1" t="s">
        <v>5783</v>
      </c>
      <c r="T2043" s="1">
        <v>1</v>
      </c>
      <c r="U2043" s="19"/>
      <c r="V2043" s="19"/>
      <c r="W2043" s="218">
        <v>1</v>
      </c>
      <c r="X2043" s="218">
        <v>1</v>
      </c>
      <c r="Y2043" s="218">
        <v>1</v>
      </c>
    </row>
    <row r="2044" spans="1:25" x14ac:dyDescent="0.3">
      <c r="A2044" s="1" t="s">
        <v>5784</v>
      </c>
      <c r="B2044" s="5">
        <v>46144</v>
      </c>
      <c r="C2044" s="6">
        <v>0.41666666666666702</v>
      </c>
      <c r="D2044" s="1" t="s">
        <v>30</v>
      </c>
      <c r="E2044" s="1" t="s">
        <v>33</v>
      </c>
      <c r="F2044" s="1" t="s">
        <v>5785</v>
      </c>
      <c r="G2044" s="39" t="s">
        <v>5603</v>
      </c>
      <c r="H2044" s="1">
        <v>0</v>
      </c>
      <c r="I2044" s="1">
        <v>2</v>
      </c>
      <c r="J2044" s="39" t="s">
        <v>5577</v>
      </c>
      <c r="K2044" s="1">
        <v>2</v>
      </c>
      <c r="L2044" s="1">
        <v>0</v>
      </c>
      <c r="S2044" s="1" t="s">
        <v>5786</v>
      </c>
      <c r="T2044" s="1">
        <v>1</v>
      </c>
      <c r="U2044" s="19"/>
      <c r="V2044" s="19"/>
      <c r="W2044" s="218">
        <v>1</v>
      </c>
      <c r="X2044" s="218">
        <v>1</v>
      </c>
      <c r="Y2044" s="218">
        <v>1</v>
      </c>
    </row>
    <row r="2045" spans="1:25" x14ac:dyDescent="0.3">
      <c r="A2045" s="1" t="s">
        <v>5787</v>
      </c>
      <c r="B2045" s="5">
        <v>46172</v>
      </c>
      <c r="C2045" s="6">
        <v>0.41666666666666702</v>
      </c>
      <c r="D2045" s="1" t="s">
        <v>30</v>
      </c>
      <c r="E2045" s="1" t="s">
        <v>33</v>
      </c>
      <c r="F2045" s="1" t="s">
        <v>5788</v>
      </c>
      <c r="G2045" s="39" t="s">
        <v>5603</v>
      </c>
      <c r="H2045" s="1">
        <v>0</v>
      </c>
      <c r="I2045" s="1">
        <v>0</v>
      </c>
      <c r="J2045" s="39" t="s">
        <v>980</v>
      </c>
      <c r="K2045" s="1">
        <v>0</v>
      </c>
      <c r="L2045" s="1">
        <v>0</v>
      </c>
      <c r="S2045" s="1" t="s">
        <v>5789</v>
      </c>
      <c r="T2045" s="1">
        <v>1</v>
      </c>
      <c r="U2045" s="19"/>
      <c r="V2045" s="19"/>
      <c r="W2045" s="218">
        <v>1</v>
      </c>
      <c r="X2045" s="218">
        <v>1</v>
      </c>
      <c r="Y2045" s="218">
        <v>1</v>
      </c>
    </row>
    <row r="2046" spans="1:25" x14ac:dyDescent="0.3">
      <c r="A2046" s="1" t="s">
        <v>5790</v>
      </c>
      <c r="B2046" s="5">
        <v>46166</v>
      </c>
      <c r="C2046" s="6">
        <v>0.41666666666666702</v>
      </c>
      <c r="D2046" s="1" t="s">
        <v>30</v>
      </c>
      <c r="E2046" s="1" t="s">
        <v>33</v>
      </c>
      <c r="F2046" s="1" t="s">
        <v>5791</v>
      </c>
      <c r="G2046" s="39" t="s">
        <v>279</v>
      </c>
      <c r="H2046" s="1">
        <v>0</v>
      </c>
      <c r="I2046" s="1">
        <v>2</v>
      </c>
      <c r="J2046" s="39" t="s">
        <v>5603</v>
      </c>
      <c r="K2046" s="1">
        <v>2</v>
      </c>
      <c r="L2046" s="1">
        <v>0</v>
      </c>
      <c r="S2046" s="1" t="s">
        <v>5792</v>
      </c>
      <c r="T2046" s="1">
        <v>1</v>
      </c>
      <c r="U2046" s="19"/>
      <c r="V2046" s="19"/>
      <c r="W2046" s="218">
        <v>1</v>
      </c>
      <c r="X2046" s="218">
        <v>1</v>
      </c>
      <c r="Y2046" s="218">
        <v>1</v>
      </c>
    </row>
    <row r="2047" spans="1:25" x14ac:dyDescent="0.3">
      <c r="A2047" s="1" t="s">
        <v>5793</v>
      </c>
      <c r="B2047" s="5">
        <v>46159</v>
      </c>
      <c r="C2047" s="6">
        <v>0.41666666666666702</v>
      </c>
      <c r="D2047" s="1" t="s">
        <v>30</v>
      </c>
      <c r="E2047" s="1" t="s">
        <v>33</v>
      </c>
      <c r="F2047" s="1" t="s">
        <v>5794</v>
      </c>
      <c r="G2047" s="39" t="s">
        <v>5603</v>
      </c>
      <c r="H2047" s="1">
        <v>5</v>
      </c>
      <c r="I2047" s="1">
        <v>0</v>
      </c>
      <c r="J2047" s="39" t="s">
        <v>981</v>
      </c>
      <c r="K2047" s="1">
        <v>0</v>
      </c>
      <c r="L2047" s="1">
        <v>5</v>
      </c>
      <c r="S2047" s="1" t="s">
        <v>5795</v>
      </c>
      <c r="T2047" s="1">
        <v>1</v>
      </c>
      <c r="U2047" s="19"/>
      <c r="V2047" s="19"/>
      <c r="W2047" s="218">
        <v>1</v>
      </c>
      <c r="X2047" s="218">
        <v>1</v>
      </c>
      <c r="Y2047" s="218">
        <v>1</v>
      </c>
    </row>
    <row r="2048" spans="1:25" x14ac:dyDescent="0.3">
      <c r="A2048" s="1" t="s">
        <v>5796</v>
      </c>
      <c r="B2048" s="5">
        <v>46156</v>
      </c>
      <c r="C2048" s="6">
        <v>0.58333333333333304</v>
      </c>
      <c r="D2048" s="1" t="s">
        <v>30</v>
      </c>
      <c r="E2048" s="1" t="s">
        <v>33</v>
      </c>
      <c r="F2048" s="1" t="s">
        <v>5797</v>
      </c>
      <c r="G2048" s="39" t="s">
        <v>5603</v>
      </c>
      <c r="H2048" s="1">
        <v>1</v>
      </c>
      <c r="I2048" s="1">
        <v>0</v>
      </c>
      <c r="J2048" s="39" t="s">
        <v>5613</v>
      </c>
      <c r="K2048" s="1">
        <v>0</v>
      </c>
      <c r="L2048" s="1">
        <v>1</v>
      </c>
      <c r="S2048" s="1" t="s">
        <v>5798</v>
      </c>
      <c r="T2048" s="1">
        <v>1</v>
      </c>
      <c r="U2048" s="19"/>
      <c r="V2048" s="19"/>
      <c r="W2048" s="218">
        <v>1</v>
      </c>
      <c r="X2048" s="218">
        <v>1</v>
      </c>
      <c r="Y2048" s="218">
        <v>1</v>
      </c>
    </row>
    <row r="2049" spans="1:25" x14ac:dyDescent="0.3">
      <c r="A2049" s="1" t="s">
        <v>5799</v>
      </c>
      <c r="B2049" s="5">
        <v>46151</v>
      </c>
      <c r="C2049" s="6">
        <v>0.41666666666666702</v>
      </c>
      <c r="D2049" s="1" t="s">
        <v>30</v>
      </c>
      <c r="E2049" s="1" t="s">
        <v>33</v>
      </c>
      <c r="F2049" s="1" t="s">
        <v>5800</v>
      </c>
      <c r="G2049" s="39" t="s">
        <v>962</v>
      </c>
      <c r="H2049" s="1">
        <v>0</v>
      </c>
      <c r="I2049" s="1">
        <v>0</v>
      </c>
      <c r="J2049" s="39" t="s">
        <v>5603</v>
      </c>
      <c r="K2049" s="1">
        <v>0</v>
      </c>
      <c r="L2049" s="1">
        <v>0</v>
      </c>
      <c r="S2049" s="1" t="s">
        <v>5801</v>
      </c>
      <c r="T2049" s="1">
        <v>1</v>
      </c>
      <c r="U2049" s="19"/>
      <c r="V2049" s="19"/>
      <c r="W2049" s="218">
        <v>1</v>
      </c>
      <c r="X2049" s="218">
        <v>1</v>
      </c>
      <c r="Y2049" s="218">
        <v>1</v>
      </c>
    </row>
    <row r="2050" spans="1:25" x14ac:dyDescent="0.3">
      <c r="A2050" s="1" t="s">
        <v>5802</v>
      </c>
      <c r="B2050" s="5">
        <v>46235</v>
      </c>
      <c r="C2050" s="6">
        <v>0.33333333333333298</v>
      </c>
      <c r="D2050" s="1" t="s">
        <v>30</v>
      </c>
      <c r="E2050" s="1" t="s">
        <v>33</v>
      </c>
      <c r="F2050" s="1" t="s">
        <v>5803</v>
      </c>
      <c r="G2050" s="39" t="s">
        <v>5613</v>
      </c>
      <c r="H2050" s="1">
        <v>0</v>
      </c>
      <c r="I2050" s="1">
        <v>2</v>
      </c>
      <c r="J2050" s="39" t="s">
        <v>962</v>
      </c>
      <c r="K2050" s="1">
        <v>2</v>
      </c>
      <c r="L2050" s="1">
        <v>0</v>
      </c>
      <c r="S2050" s="1" t="s">
        <v>5804</v>
      </c>
      <c r="T2050" s="1">
        <v>1</v>
      </c>
      <c r="U2050" s="19"/>
      <c r="V2050" s="19"/>
      <c r="W2050" s="218">
        <v>1</v>
      </c>
      <c r="X2050" s="218">
        <v>1</v>
      </c>
      <c r="Y2050" s="218">
        <v>1</v>
      </c>
    </row>
    <row r="2051" spans="1:25" x14ac:dyDescent="0.3">
      <c r="A2051" s="1" t="s">
        <v>5805</v>
      </c>
      <c r="B2051" s="5">
        <v>46186</v>
      </c>
      <c r="C2051" s="6">
        <v>0.45833333333333298</v>
      </c>
      <c r="D2051" s="1" t="s">
        <v>30</v>
      </c>
      <c r="E2051" s="1" t="s">
        <v>33</v>
      </c>
      <c r="F2051" s="1" t="s">
        <v>5806</v>
      </c>
      <c r="G2051" s="39" t="s">
        <v>5613</v>
      </c>
      <c r="H2051" s="1">
        <v>3</v>
      </c>
      <c r="I2051" s="1">
        <v>3</v>
      </c>
      <c r="J2051" s="39" t="s">
        <v>980</v>
      </c>
      <c r="K2051" s="1">
        <v>3</v>
      </c>
      <c r="L2051" s="1">
        <v>3</v>
      </c>
      <c r="S2051" s="1" t="s">
        <v>5807</v>
      </c>
      <c r="T2051" s="1">
        <v>1</v>
      </c>
      <c r="U2051" s="19"/>
      <c r="V2051" s="19"/>
      <c r="W2051" s="218">
        <v>1</v>
      </c>
      <c r="X2051" s="218">
        <v>1</v>
      </c>
      <c r="Y2051" s="218">
        <v>1</v>
      </c>
    </row>
    <row r="2052" spans="1:25" x14ac:dyDescent="0.3">
      <c r="A2052" s="1" t="s">
        <v>5808</v>
      </c>
      <c r="B2052" s="5">
        <v>46173</v>
      </c>
      <c r="C2052" s="6">
        <v>0.41666666666666702</v>
      </c>
      <c r="D2052" s="1" t="s">
        <v>30</v>
      </c>
      <c r="E2052" s="1" t="s">
        <v>33</v>
      </c>
      <c r="F2052" s="1" t="s">
        <v>5809</v>
      </c>
      <c r="G2052" s="39" t="s">
        <v>279</v>
      </c>
      <c r="H2052" s="1">
        <v>2</v>
      </c>
      <c r="I2052" s="1">
        <v>2</v>
      </c>
      <c r="J2052" s="39" t="s">
        <v>5613</v>
      </c>
      <c r="K2052" s="1">
        <v>2</v>
      </c>
      <c r="L2052" s="1">
        <v>2</v>
      </c>
      <c r="S2052" s="1" t="s">
        <v>5810</v>
      </c>
      <c r="T2052" s="1">
        <v>1</v>
      </c>
      <c r="U2052" s="19"/>
      <c r="V2052" s="19"/>
      <c r="W2052" s="218">
        <v>1</v>
      </c>
      <c r="X2052" s="218">
        <v>1</v>
      </c>
      <c r="Y2052" s="218">
        <v>1</v>
      </c>
    </row>
    <row r="2053" spans="1:25" x14ac:dyDescent="0.3">
      <c r="A2053" s="1" t="s">
        <v>5811</v>
      </c>
      <c r="B2053" s="5">
        <v>46159</v>
      </c>
      <c r="C2053" s="6">
        <v>0.41666666666666702</v>
      </c>
      <c r="D2053" s="1" t="s">
        <v>30</v>
      </c>
      <c r="E2053" s="1" t="s">
        <v>33</v>
      </c>
      <c r="F2053" s="1" t="s">
        <v>5812</v>
      </c>
      <c r="G2053" s="39" t="s">
        <v>5613</v>
      </c>
      <c r="H2053" s="1">
        <v>2</v>
      </c>
      <c r="I2053" s="1">
        <v>3</v>
      </c>
      <c r="J2053" s="39" t="s">
        <v>5567</v>
      </c>
      <c r="K2053" s="1">
        <v>3</v>
      </c>
      <c r="L2053" s="1">
        <v>2</v>
      </c>
      <c r="S2053" s="1" t="s">
        <v>5813</v>
      </c>
      <c r="T2053" s="1">
        <v>1</v>
      </c>
      <c r="U2053" s="19"/>
      <c r="V2053" s="19"/>
      <c r="W2053" s="218">
        <v>1</v>
      </c>
      <c r="X2053" s="218">
        <v>1</v>
      </c>
      <c r="Y2053" s="218">
        <v>1</v>
      </c>
    </row>
    <row r="2054" spans="1:25" x14ac:dyDescent="0.3">
      <c r="A2054" s="1" t="s">
        <v>5814</v>
      </c>
      <c r="B2054" s="5">
        <v>46143</v>
      </c>
      <c r="C2054" s="6">
        <v>0.58333333333333304</v>
      </c>
      <c r="D2054" s="1" t="s">
        <v>30</v>
      </c>
      <c r="E2054" s="1" t="s">
        <v>33</v>
      </c>
      <c r="F2054" s="1" t="s">
        <v>5815</v>
      </c>
      <c r="G2054" s="39" t="s">
        <v>5613</v>
      </c>
      <c r="H2054" s="1">
        <v>2</v>
      </c>
      <c r="I2054" s="1">
        <v>2</v>
      </c>
      <c r="J2054" s="39" t="s">
        <v>981</v>
      </c>
      <c r="K2054" s="1">
        <v>2</v>
      </c>
      <c r="L2054" s="1">
        <v>2</v>
      </c>
      <c r="S2054" s="1" t="s">
        <v>5816</v>
      </c>
      <c r="T2054" s="1">
        <v>1</v>
      </c>
      <c r="U2054" s="19"/>
      <c r="V2054" s="19"/>
      <c r="W2054" s="218">
        <v>1</v>
      </c>
      <c r="X2054" s="218">
        <v>1</v>
      </c>
      <c r="Y2054" s="218">
        <v>1</v>
      </c>
    </row>
    <row r="2055" spans="1:25" x14ac:dyDescent="0.3">
      <c r="A2055" s="1" t="s">
        <v>5817</v>
      </c>
      <c r="B2055" s="5">
        <v>46197</v>
      </c>
      <c r="C2055" s="6">
        <v>0.58333333333333304</v>
      </c>
      <c r="D2055" s="1" t="s">
        <v>30</v>
      </c>
      <c r="E2055" s="1" t="s">
        <v>33</v>
      </c>
      <c r="F2055" s="1" t="s">
        <v>5818</v>
      </c>
      <c r="G2055" s="39" t="s">
        <v>962</v>
      </c>
      <c r="H2055" s="1">
        <v>3</v>
      </c>
      <c r="I2055" s="1">
        <v>1</v>
      </c>
      <c r="J2055" s="39" t="s">
        <v>5567</v>
      </c>
      <c r="K2055" s="1">
        <v>1</v>
      </c>
      <c r="L2055" s="1">
        <v>3</v>
      </c>
      <c r="S2055" s="1" t="s">
        <v>5819</v>
      </c>
      <c r="T2055" s="1">
        <v>1</v>
      </c>
      <c r="U2055" s="19"/>
      <c r="V2055" s="19"/>
      <c r="W2055" s="218">
        <v>1</v>
      </c>
      <c r="X2055" s="218">
        <v>1</v>
      </c>
      <c r="Y2055" s="218">
        <v>1</v>
      </c>
    </row>
    <row r="2056" spans="1:25" x14ac:dyDescent="0.3">
      <c r="A2056" s="1" t="s">
        <v>5820</v>
      </c>
      <c r="B2056" s="5">
        <v>46191</v>
      </c>
      <c r="C2056" s="6">
        <v>0.58333333333333304</v>
      </c>
      <c r="D2056" s="1" t="s">
        <v>30</v>
      </c>
      <c r="E2056" s="1" t="s">
        <v>33</v>
      </c>
      <c r="F2056" s="1" t="s">
        <v>5821</v>
      </c>
      <c r="G2056" s="39" t="s">
        <v>981</v>
      </c>
      <c r="H2056" s="1">
        <v>0</v>
      </c>
      <c r="I2056" s="1">
        <v>4</v>
      </c>
      <c r="J2056" s="39" t="s">
        <v>962</v>
      </c>
      <c r="K2056" s="1">
        <v>4</v>
      </c>
      <c r="L2056" s="1">
        <v>0</v>
      </c>
      <c r="S2056" s="1" t="s">
        <v>5822</v>
      </c>
      <c r="T2056" s="1">
        <v>1</v>
      </c>
      <c r="U2056" s="19"/>
      <c r="V2056" s="19"/>
      <c r="W2056" s="218">
        <v>1</v>
      </c>
      <c r="X2056" s="218">
        <v>1</v>
      </c>
      <c r="Y2056" s="218">
        <v>1</v>
      </c>
    </row>
    <row r="2057" spans="1:25" x14ac:dyDescent="0.3">
      <c r="A2057" s="1" t="s">
        <v>5823</v>
      </c>
      <c r="B2057" s="5">
        <v>46145</v>
      </c>
      <c r="C2057" s="6">
        <v>0.41666666666666702</v>
      </c>
      <c r="D2057" s="1" t="s">
        <v>30</v>
      </c>
      <c r="E2057" s="1" t="s">
        <v>33</v>
      </c>
      <c r="F2057" s="1" t="s">
        <v>5824</v>
      </c>
      <c r="G2057" s="39" t="s">
        <v>279</v>
      </c>
      <c r="H2057" s="1">
        <v>2</v>
      </c>
      <c r="I2057" s="1">
        <v>1</v>
      </c>
      <c r="J2057" s="39" t="s">
        <v>962</v>
      </c>
      <c r="K2057" s="1">
        <v>1</v>
      </c>
      <c r="L2057" s="1">
        <v>2</v>
      </c>
      <c r="S2057" s="1" t="s">
        <v>5825</v>
      </c>
      <c r="T2057" s="1">
        <v>1</v>
      </c>
      <c r="U2057" s="19"/>
      <c r="V2057" s="19"/>
      <c r="W2057" s="218">
        <v>1</v>
      </c>
      <c r="X2057" s="218">
        <v>1</v>
      </c>
      <c r="Y2057" s="218">
        <v>1</v>
      </c>
    </row>
    <row r="2058" spans="1:25" x14ac:dyDescent="0.3">
      <c r="A2058" s="1" t="s">
        <v>5826</v>
      </c>
      <c r="B2058" s="5">
        <v>46185</v>
      </c>
      <c r="C2058" s="6">
        <v>0.58333333333333304</v>
      </c>
      <c r="D2058" s="1" t="s">
        <v>30</v>
      </c>
      <c r="E2058" s="1" t="s">
        <v>33</v>
      </c>
      <c r="F2058" s="1" t="s">
        <v>5827</v>
      </c>
      <c r="G2058" s="39" t="s">
        <v>279</v>
      </c>
      <c r="H2058" s="1">
        <v>2</v>
      </c>
      <c r="I2058" s="1">
        <v>0</v>
      </c>
      <c r="J2058" s="39" t="s">
        <v>5567</v>
      </c>
      <c r="K2058" s="1">
        <v>0</v>
      </c>
      <c r="L2058" s="1">
        <v>2</v>
      </c>
      <c r="S2058" s="1" t="s">
        <v>5828</v>
      </c>
      <c r="T2058" s="1">
        <v>1</v>
      </c>
      <c r="U2058" s="19"/>
      <c r="V2058" s="19"/>
      <c r="W2058" s="218">
        <v>1</v>
      </c>
      <c r="X2058" s="218">
        <v>1</v>
      </c>
      <c r="Y2058" s="218">
        <v>1</v>
      </c>
    </row>
    <row r="2059" spans="1:25" x14ac:dyDescent="0.3">
      <c r="A2059" s="1" t="s">
        <v>5829</v>
      </c>
      <c r="B2059" s="5">
        <v>46180</v>
      </c>
      <c r="C2059" s="6">
        <v>0.41666666666666702</v>
      </c>
      <c r="D2059" s="1" t="s">
        <v>30</v>
      </c>
      <c r="E2059" s="1" t="s">
        <v>33</v>
      </c>
      <c r="F2059" s="1" t="s">
        <v>5830</v>
      </c>
      <c r="G2059" s="39" t="s">
        <v>980</v>
      </c>
      <c r="H2059" s="1">
        <v>1</v>
      </c>
      <c r="I2059" s="1">
        <v>1</v>
      </c>
      <c r="J2059" s="39" t="s">
        <v>279</v>
      </c>
      <c r="K2059" s="1">
        <v>1</v>
      </c>
      <c r="L2059" s="1">
        <v>1</v>
      </c>
      <c r="S2059" s="1" t="s">
        <v>5831</v>
      </c>
      <c r="T2059" s="1">
        <v>1</v>
      </c>
      <c r="U2059" s="19"/>
      <c r="V2059" s="19"/>
      <c r="W2059" s="218">
        <v>1</v>
      </c>
      <c r="X2059" s="218">
        <v>1</v>
      </c>
      <c r="Y2059" s="218">
        <v>1</v>
      </c>
    </row>
    <row r="2060" spans="1:25" x14ac:dyDescent="0.3">
      <c r="A2060" s="1" t="s">
        <v>5832</v>
      </c>
      <c r="B2060" s="5">
        <v>46173</v>
      </c>
      <c r="C2060" s="6">
        <v>0.375</v>
      </c>
      <c r="D2060" s="1" t="s">
        <v>30</v>
      </c>
      <c r="E2060" s="1" t="s">
        <v>33</v>
      </c>
      <c r="F2060" s="1" t="s">
        <v>5833</v>
      </c>
      <c r="G2060" s="39" t="s">
        <v>5567</v>
      </c>
      <c r="H2060" s="1">
        <v>2</v>
      </c>
      <c r="I2060" s="1">
        <v>2</v>
      </c>
      <c r="J2060" s="39" t="s">
        <v>215</v>
      </c>
      <c r="K2060" s="1">
        <v>2</v>
      </c>
      <c r="L2060" s="1">
        <v>2</v>
      </c>
      <c r="S2060" s="1" t="s">
        <v>5834</v>
      </c>
      <c r="T2060" s="1">
        <v>1</v>
      </c>
      <c r="U2060" s="19"/>
      <c r="V2060" s="19"/>
      <c r="W2060" s="218">
        <v>1</v>
      </c>
      <c r="X2060" s="218">
        <v>1</v>
      </c>
      <c r="Y2060" s="218">
        <v>1</v>
      </c>
    </row>
    <row r="2061" spans="1:25" x14ac:dyDescent="0.3">
      <c r="A2061" s="1" t="s">
        <v>5835</v>
      </c>
      <c r="B2061" s="5">
        <v>46166</v>
      </c>
      <c r="C2061" s="6">
        <v>0.45833333333333298</v>
      </c>
      <c r="D2061" s="1" t="s">
        <v>30</v>
      </c>
      <c r="E2061" s="1" t="s">
        <v>33</v>
      </c>
      <c r="F2061" s="1" t="s">
        <v>5836</v>
      </c>
      <c r="G2061" s="39" t="s">
        <v>980</v>
      </c>
      <c r="H2061" s="1">
        <v>2</v>
      </c>
      <c r="I2061" s="1">
        <v>2</v>
      </c>
      <c r="J2061" s="39" t="s">
        <v>5567</v>
      </c>
      <c r="K2061" s="1">
        <v>2</v>
      </c>
      <c r="L2061" s="1">
        <v>2</v>
      </c>
      <c r="S2061" s="1" t="s">
        <v>5837</v>
      </c>
      <c r="T2061" s="1">
        <v>1</v>
      </c>
      <c r="U2061" s="19"/>
      <c r="V2061" s="19"/>
      <c r="W2061" s="218">
        <v>1</v>
      </c>
      <c r="X2061" s="218">
        <v>1</v>
      </c>
      <c r="Y2061" s="218">
        <v>1</v>
      </c>
    </row>
    <row r="2062" spans="1:25" x14ac:dyDescent="0.3">
      <c r="A2062" s="1" t="s">
        <v>5838</v>
      </c>
      <c r="B2062" s="5">
        <v>46152</v>
      </c>
      <c r="C2062" s="6">
        <v>0.45833333333333298</v>
      </c>
      <c r="D2062" s="1" t="s">
        <v>30</v>
      </c>
      <c r="E2062" s="1" t="s">
        <v>33</v>
      </c>
      <c r="F2062" s="1" t="s">
        <v>5839</v>
      </c>
      <c r="G2062" s="39" t="s">
        <v>981</v>
      </c>
      <c r="H2062" s="1">
        <v>1</v>
      </c>
      <c r="I2062" s="1">
        <v>2</v>
      </c>
      <c r="J2062" s="39" t="s">
        <v>5567</v>
      </c>
      <c r="K2062" s="1">
        <v>2</v>
      </c>
      <c r="L2062" s="1">
        <v>1</v>
      </c>
      <c r="S2062" s="1" t="s">
        <v>5840</v>
      </c>
      <c r="T2062" s="1">
        <v>1</v>
      </c>
      <c r="U2062" s="19"/>
      <c r="V2062" s="19"/>
      <c r="W2062" s="218">
        <v>1</v>
      </c>
      <c r="X2062" s="218">
        <v>1</v>
      </c>
      <c r="Y2062" s="218">
        <v>1</v>
      </c>
    </row>
    <row r="2063" spans="1:25" x14ac:dyDescent="0.3">
      <c r="A2063" s="1" t="s">
        <v>5841</v>
      </c>
      <c r="B2063" s="5">
        <v>46242</v>
      </c>
      <c r="C2063" s="6">
        <v>0.375</v>
      </c>
      <c r="D2063" s="1" t="s">
        <v>30</v>
      </c>
      <c r="E2063" s="1" t="s">
        <v>35</v>
      </c>
      <c r="F2063" s="1" t="s">
        <v>5842</v>
      </c>
      <c r="G2063" s="39" t="s">
        <v>166</v>
      </c>
      <c r="H2063" s="1">
        <v>5</v>
      </c>
      <c r="I2063" s="1">
        <v>0</v>
      </c>
      <c r="J2063" s="39" t="s">
        <v>5843</v>
      </c>
      <c r="K2063" s="1">
        <v>0</v>
      </c>
      <c r="L2063" s="1">
        <v>5</v>
      </c>
      <c r="S2063" s="1" t="s">
        <v>5844</v>
      </c>
      <c r="T2063" s="1">
        <v>1</v>
      </c>
      <c r="U2063" s="19"/>
      <c r="V2063" s="19"/>
      <c r="W2063" s="218">
        <v>1</v>
      </c>
      <c r="X2063" s="218">
        <v>1</v>
      </c>
      <c r="Y2063" s="218">
        <v>1</v>
      </c>
    </row>
    <row r="2064" spans="1:25" x14ac:dyDescent="0.3">
      <c r="A2064" s="1" t="s">
        <v>5845</v>
      </c>
      <c r="B2064" s="5">
        <v>46200</v>
      </c>
      <c r="C2064" s="6">
        <v>0.45833333333333298</v>
      </c>
      <c r="D2064" s="1" t="s">
        <v>30</v>
      </c>
      <c r="E2064" s="1" t="s">
        <v>35</v>
      </c>
      <c r="F2064" s="1" t="s">
        <v>5846</v>
      </c>
      <c r="G2064" s="39" t="s">
        <v>5847</v>
      </c>
      <c r="H2064" s="1">
        <v>0</v>
      </c>
      <c r="I2064" s="1">
        <v>3</v>
      </c>
      <c r="J2064" s="39" t="s">
        <v>166</v>
      </c>
      <c r="K2064" s="1">
        <v>3</v>
      </c>
      <c r="L2064" s="1">
        <v>0</v>
      </c>
      <c r="S2064" s="1" t="s">
        <v>5848</v>
      </c>
      <c r="T2064" s="1">
        <v>1</v>
      </c>
      <c r="U2064" s="19"/>
      <c r="V2064" s="19"/>
      <c r="W2064" s="218">
        <v>1</v>
      </c>
      <c r="X2064" s="218">
        <v>1</v>
      </c>
      <c r="Y2064" s="218">
        <v>1</v>
      </c>
    </row>
    <row r="2065" spans="1:25" x14ac:dyDescent="0.3">
      <c r="A2065" s="1" t="s">
        <v>5849</v>
      </c>
      <c r="B2065" s="5">
        <v>46191</v>
      </c>
      <c r="C2065" s="6">
        <v>0.58333333333333304</v>
      </c>
      <c r="D2065" s="1" t="s">
        <v>30</v>
      </c>
      <c r="E2065" s="1" t="s">
        <v>35</v>
      </c>
      <c r="F2065" s="1" t="s">
        <v>5850</v>
      </c>
      <c r="G2065" s="39" t="s">
        <v>166</v>
      </c>
      <c r="H2065" s="1">
        <v>3</v>
      </c>
      <c r="I2065" s="1">
        <v>1</v>
      </c>
      <c r="J2065" s="39" t="s">
        <v>5851</v>
      </c>
      <c r="K2065" s="1">
        <v>1</v>
      </c>
      <c r="L2065" s="1">
        <v>3</v>
      </c>
      <c r="S2065" s="1" t="s">
        <v>5852</v>
      </c>
      <c r="T2065" s="1">
        <v>1</v>
      </c>
      <c r="U2065" s="19"/>
      <c r="V2065" s="19"/>
      <c r="W2065" s="218">
        <v>1</v>
      </c>
      <c r="X2065" s="218">
        <v>1</v>
      </c>
      <c r="Y2065" s="218">
        <v>1</v>
      </c>
    </row>
    <row r="2066" spans="1:25" x14ac:dyDescent="0.3">
      <c r="A2066" s="1" t="s">
        <v>5853</v>
      </c>
      <c r="B2066" s="5">
        <v>46187</v>
      </c>
      <c r="C2066" s="6">
        <v>0.375</v>
      </c>
      <c r="D2066" s="1" t="s">
        <v>30</v>
      </c>
      <c r="E2066" s="1" t="s">
        <v>35</v>
      </c>
      <c r="F2066" s="1" t="s">
        <v>5854</v>
      </c>
      <c r="G2066" s="39" t="s">
        <v>5855</v>
      </c>
      <c r="H2066" s="1">
        <v>2</v>
      </c>
      <c r="I2066" s="1">
        <v>4</v>
      </c>
      <c r="J2066" s="39" t="s">
        <v>166</v>
      </c>
      <c r="K2066" s="1">
        <v>4</v>
      </c>
      <c r="L2066" s="1">
        <v>2</v>
      </c>
      <c r="S2066" s="1" t="s">
        <v>5856</v>
      </c>
      <c r="T2066" s="1">
        <v>1</v>
      </c>
      <c r="U2066" s="19"/>
      <c r="V2066" s="19"/>
      <c r="W2066" s="218">
        <v>1</v>
      </c>
      <c r="X2066" s="218">
        <v>1</v>
      </c>
      <c r="Y2066" s="218">
        <v>1</v>
      </c>
    </row>
    <row r="2067" spans="1:25" x14ac:dyDescent="0.3">
      <c r="A2067" s="1" t="s">
        <v>5857</v>
      </c>
      <c r="B2067" s="5">
        <v>46179</v>
      </c>
      <c r="C2067" s="6">
        <v>0.45833333333333298</v>
      </c>
      <c r="D2067" s="1" t="s">
        <v>30</v>
      </c>
      <c r="E2067" s="1" t="s">
        <v>35</v>
      </c>
      <c r="F2067" s="1" t="s">
        <v>5858</v>
      </c>
      <c r="G2067" s="39" t="s">
        <v>167</v>
      </c>
      <c r="H2067" s="1">
        <v>3</v>
      </c>
      <c r="I2067" s="1">
        <v>1</v>
      </c>
      <c r="J2067" s="39" t="s">
        <v>166</v>
      </c>
      <c r="K2067" s="1">
        <v>1</v>
      </c>
      <c r="L2067" s="1">
        <v>3</v>
      </c>
      <c r="S2067" s="1" t="s">
        <v>5859</v>
      </c>
      <c r="T2067" s="1">
        <v>1</v>
      </c>
      <c r="U2067" s="19"/>
      <c r="V2067" s="19"/>
      <c r="W2067" s="218">
        <v>1</v>
      </c>
      <c r="X2067" s="218">
        <v>1</v>
      </c>
      <c r="Y2067" s="218">
        <v>1</v>
      </c>
    </row>
    <row r="2068" spans="1:25" x14ac:dyDescent="0.3">
      <c r="A2068" s="1" t="s">
        <v>5860</v>
      </c>
      <c r="B2068" s="5">
        <v>46173</v>
      </c>
      <c r="C2068" s="6">
        <v>0.375</v>
      </c>
      <c r="D2068" s="1" t="s">
        <v>30</v>
      </c>
      <c r="E2068" s="1" t="s">
        <v>35</v>
      </c>
      <c r="F2068" s="1" t="s">
        <v>5861</v>
      </c>
      <c r="G2068" s="39" t="s">
        <v>166</v>
      </c>
      <c r="H2068" s="1">
        <v>1</v>
      </c>
      <c r="I2068" s="1">
        <v>1</v>
      </c>
      <c r="J2068" s="39" t="s">
        <v>5862</v>
      </c>
      <c r="K2068" s="1">
        <v>1</v>
      </c>
      <c r="L2068" s="1">
        <v>1</v>
      </c>
      <c r="S2068" s="1" t="s">
        <v>5863</v>
      </c>
      <c r="T2068" s="1">
        <v>1</v>
      </c>
      <c r="U2068" s="19"/>
      <c r="V2068" s="19"/>
      <c r="W2068" s="218">
        <v>1</v>
      </c>
      <c r="X2068" s="218">
        <v>1</v>
      </c>
      <c r="Y2068" s="218">
        <v>1</v>
      </c>
    </row>
    <row r="2069" spans="1:25" x14ac:dyDescent="0.3">
      <c r="A2069" s="1" t="s">
        <v>5864</v>
      </c>
      <c r="B2069" s="5">
        <v>46166</v>
      </c>
      <c r="C2069" s="6">
        <v>0.41666666666666702</v>
      </c>
      <c r="D2069" s="1" t="s">
        <v>30</v>
      </c>
      <c r="E2069" s="1" t="s">
        <v>35</v>
      </c>
      <c r="F2069" s="1" t="s">
        <v>5865</v>
      </c>
      <c r="G2069" s="39" t="s">
        <v>5866</v>
      </c>
      <c r="H2069" s="1">
        <v>0</v>
      </c>
      <c r="I2069" s="1">
        <v>3</v>
      </c>
      <c r="J2069" s="39" t="s">
        <v>166</v>
      </c>
      <c r="K2069" s="1">
        <v>3</v>
      </c>
      <c r="L2069" s="1">
        <v>0</v>
      </c>
      <c r="S2069" s="1" t="s">
        <v>5867</v>
      </c>
      <c r="T2069" s="1">
        <v>1</v>
      </c>
      <c r="U2069" s="19"/>
      <c r="V2069" s="19"/>
      <c r="W2069" s="218">
        <v>1</v>
      </c>
      <c r="X2069" s="218">
        <v>1</v>
      </c>
      <c r="Y2069" s="218">
        <v>1</v>
      </c>
    </row>
    <row r="2070" spans="1:25" x14ac:dyDescent="0.3">
      <c r="A2070" s="1" t="s">
        <v>5868</v>
      </c>
      <c r="B2070" s="5">
        <v>46158</v>
      </c>
      <c r="C2070" s="6">
        <v>0.375</v>
      </c>
      <c r="D2070" s="1" t="s">
        <v>30</v>
      </c>
      <c r="E2070" s="1" t="s">
        <v>35</v>
      </c>
      <c r="F2070" s="1" t="s">
        <v>5869</v>
      </c>
      <c r="G2070" s="39" t="s">
        <v>166</v>
      </c>
      <c r="H2070" s="1">
        <v>1</v>
      </c>
      <c r="I2070" s="1">
        <v>1</v>
      </c>
      <c r="J2070" s="39" t="s">
        <v>5870</v>
      </c>
      <c r="K2070" s="1">
        <v>1</v>
      </c>
      <c r="L2070" s="1">
        <v>1</v>
      </c>
      <c r="S2070" s="1" t="s">
        <v>5871</v>
      </c>
      <c r="T2070" s="1">
        <v>1</v>
      </c>
      <c r="U2070" s="19"/>
      <c r="V2070" s="19"/>
      <c r="W2070" s="218">
        <v>1</v>
      </c>
      <c r="X2070" s="218">
        <v>1</v>
      </c>
      <c r="Y2070" s="218">
        <v>1</v>
      </c>
    </row>
    <row r="2071" spans="1:25" x14ac:dyDescent="0.3">
      <c r="A2071" s="1" t="s">
        <v>5872</v>
      </c>
      <c r="B2071" s="5">
        <v>46150</v>
      </c>
      <c r="C2071" s="6">
        <v>0.58333333333333304</v>
      </c>
      <c r="D2071" s="1" t="s">
        <v>30</v>
      </c>
      <c r="E2071" s="1" t="s">
        <v>35</v>
      </c>
      <c r="F2071" s="1" t="s">
        <v>5873</v>
      </c>
      <c r="G2071" s="39" t="s">
        <v>5874</v>
      </c>
      <c r="H2071" s="1">
        <v>1</v>
      </c>
      <c r="I2071" s="1">
        <v>2</v>
      </c>
      <c r="J2071" s="39" t="s">
        <v>166</v>
      </c>
      <c r="K2071" s="1">
        <v>2</v>
      </c>
      <c r="L2071" s="1">
        <v>1</v>
      </c>
      <c r="S2071" s="1" t="s">
        <v>5875</v>
      </c>
      <c r="T2071" s="1">
        <v>1</v>
      </c>
      <c r="U2071" s="19"/>
      <c r="V2071" s="19"/>
      <c r="W2071" s="218">
        <v>1</v>
      </c>
      <c r="X2071" s="218">
        <v>1</v>
      </c>
      <c r="Y2071" s="218">
        <v>1</v>
      </c>
    </row>
    <row r="2072" spans="1:25" x14ac:dyDescent="0.3">
      <c r="A2072" s="1" t="s">
        <v>5876</v>
      </c>
      <c r="B2072" s="5">
        <v>46143</v>
      </c>
      <c r="C2072" s="6">
        <v>0.375</v>
      </c>
      <c r="D2072" s="1" t="s">
        <v>30</v>
      </c>
      <c r="E2072" s="1" t="s">
        <v>35</v>
      </c>
      <c r="F2072" s="1" t="s">
        <v>5877</v>
      </c>
      <c r="G2072" s="39" t="s">
        <v>166</v>
      </c>
      <c r="H2072" s="1">
        <v>1</v>
      </c>
      <c r="I2072" s="1">
        <v>0</v>
      </c>
      <c r="J2072" s="39" t="s">
        <v>5878</v>
      </c>
      <c r="K2072" s="1">
        <v>0</v>
      </c>
      <c r="L2072" s="1">
        <v>1</v>
      </c>
      <c r="S2072" s="1" t="s">
        <v>5879</v>
      </c>
      <c r="T2072" s="1">
        <v>1</v>
      </c>
      <c r="U2072" s="19"/>
      <c r="V2072" s="19"/>
      <c r="W2072" s="218">
        <v>1</v>
      </c>
      <c r="X2072" s="218">
        <v>1</v>
      </c>
      <c r="Y2072" s="218">
        <v>1</v>
      </c>
    </row>
    <row r="2073" spans="1:25" x14ac:dyDescent="0.3">
      <c r="A2073" s="1" t="s">
        <v>5880</v>
      </c>
      <c r="B2073" s="5">
        <v>46137</v>
      </c>
      <c r="C2073" s="6">
        <v>0.33333333333333298</v>
      </c>
      <c r="D2073" s="1" t="s">
        <v>30</v>
      </c>
      <c r="E2073" s="1" t="s">
        <v>35</v>
      </c>
      <c r="F2073" s="1" t="s">
        <v>5881</v>
      </c>
      <c r="G2073" s="39" t="s">
        <v>5882</v>
      </c>
      <c r="H2073" s="1">
        <v>4</v>
      </c>
      <c r="I2073" s="1">
        <v>0</v>
      </c>
      <c r="J2073" s="39" t="s">
        <v>166</v>
      </c>
      <c r="K2073" s="1">
        <v>0</v>
      </c>
      <c r="L2073" s="1">
        <v>4</v>
      </c>
      <c r="S2073" s="1" t="s">
        <v>5883</v>
      </c>
      <c r="T2073" s="1">
        <v>1</v>
      </c>
      <c r="U2073" s="19"/>
      <c r="V2073" s="19"/>
      <c r="W2073" s="218">
        <v>1</v>
      </c>
      <c r="X2073" s="218">
        <v>1</v>
      </c>
      <c r="Y2073" s="218">
        <v>1</v>
      </c>
    </row>
    <row r="2074" spans="1:25" x14ac:dyDescent="0.3">
      <c r="A2074" s="1" t="s">
        <v>5884</v>
      </c>
      <c r="B2074" s="5">
        <v>46242</v>
      </c>
      <c r="C2074" s="6">
        <v>0.375</v>
      </c>
      <c r="D2074" s="1" t="s">
        <v>30</v>
      </c>
      <c r="E2074" s="1" t="s">
        <v>35</v>
      </c>
      <c r="F2074" s="1" t="s">
        <v>5885</v>
      </c>
      <c r="G2074" s="39" t="s">
        <v>5866</v>
      </c>
      <c r="H2074" s="1">
        <v>5</v>
      </c>
      <c r="I2074" s="1">
        <v>0</v>
      </c>
      <c r="J2074" s="39" t="s">
        <v>5851</v>
      </c>
      <c r="K2074" s="1">
        <v>0</v>
      </c>
      <c r="L2074" s="1">
        <v>5</v>
      </c>
      <c r="S2074" s="1" t="s">
        <v>5886</v>
      </c>
      <c r="T2074" s="1">
        <v>1</v>
      </c>
      <c r="U2074" s="19"/>
      <c r="V2074" s="19"/>
      <c r="W2074" s="218">
        <v>1</v>
      </c>
      <c r="X2074" s="218">
        <v>1</v>
      </c>
      <c r="Y2074" s="218">
        <v>1</v>
      </c>
    </row>
    <row r="2075" spans="1:25" x14ac:dyDescent="0.3">
      <c r="A2075" s="1" t="s">
        <v>5887</v>
      </c>
      <c r="B2075" s="5">
        <v>46236</v>
      </c>
      <c r="C2075" s="6">
        <v>0.45833333333333298</v>
      </c>
      <c r="D2075" s="1" t="s">
        <v>30</v>
      </c>
      <c r="E2075" s="1" t="s">
        <v>35</v>
      </c>
      <c r="F2075" s="1" t="s">
        <v>5888</v>
      </c>
      <c r="G2075" s="39" t="s">
        <v>5862</v>
      </c>
      <c r="H2075" s="1">
        <v>2</v>
      </c>
      <c r="I2075" s="1">
        <v>3</v>
      </c>
      <c r="J2075" s="39" t="s">
        <v>5866</v>
      </c>
      <c r="K2075" s="1">
        <v>3</v>
      </c>
      <c r="L2075" s="1">
        <v>2</v>
      </c>
      <c r="S2075" s="1" t="s">
        <v>5889</v>
      </c>
      <c r="T2075" s="1">
        <v>1</v>
      </c>
      <c r="U2075" s="19"/>
      <c r="V2075" s="19"/>
      <c r="W2075" s="218">
        <v>1</v>
      </c>
      <c r="X2075" s="218">
        <v>1</v>
      </c>
      <c r="Y2075" s="218">
        <v>1</v>
      </c>
    </row>
    <row r="2076" spans="1:25" x14ac:dyDescent="0.3">
      <c r="A2076" s="1" t="s">
        <v>5890</v>
      </c>
      <c r="B2076" s="5">
        <v>46200</v>
      </c>
      <c r="C2076" s="6">
        <v>0.45833333333333298</v>
      </c>
      <c r="D2076" s="1" t="s">
        <v>30</v>
      </c>
      <c r="E2076" s="1" t="s">
        <v>35</v>
      </c>
      <c r="F2076" s="1" t="s">
        <v>5891</v>
      </c>
      <c r="G2076" s="39" t="s">
        <v>5878</v>
      </c>
      <c r="H2076" s="1">
        <v>1</v>
      </c>
      <c r="I2076" s="1">
        <v>0</v>
      </c>
      <c r="J2076" s="39" t="s">
        <v>5866</v>
      </c>
      <c r="K2076" s="1">
        <v>0</v>
      </c>
      <c r="L2076" s="1">
        <v>1</v>
      </c>
      <c r="S2076" s="1" t="s">
        <v>5892</v>
      </c>
      <c r="T2076" s="1">
        <v>1</v>
      </c>
      <c r="U2076" s="19"/>
      <c r="V2076" s="19"/>
      <c r="W2076" s="218">
        <v>1</v>
      </c>
      <c r="X2076" s="218">
        <v>1</v>
      </c>
      <c r="Y2076" s="218">
        <v>1</v>
      </c>
    </row>
    <row r="2077" spans="1:25" x14ac:dyDescent="0.3">
      <c r="A2077" s="1" t="s">
        <v>5893</v>
      </c>
      <c r="B2077" s="5">
        <v>46190</v>
      </c>
      <c r="C2077" s="6">
        <v>0.58333333333333304</v>
      </c>
      <c r="D2077" s="1" t="s">
        <v>30</v>
      </c>
      <c r="E2077" s="1" t="s">
        <v>35</v>
      </c>
      <c r="F2077" s="1" t="s">
        <v>5894</v>
      </c>
      <c r="G2077" s="39" t="s">
        <v>5866</v>
      </c>
      <c r="H2077" s="1">
        <v>2</v>
      </c>
      <c r="I2077" s="1">
        <v>0</v>
      </c>
      <c r="J2077" s="39" t="s">
        <v>5882</v>
      </c>
      <c r="K2077" s="1">
        <v>0</v>
      </c>
      <c r="L2077" s="1">
        <v>2</v>
      </c>
      <c r="S2077" s="1" t="s">
        <v>5895</v>
      </c>
      <c r="T2077" s="1">
        <v>1</v>
      </c>
      <c r="U2077" s="19"/>
      <c r="V2077" s="19"/>
      <c r="W2077" s="218">
        <v>1</v>
      </c>
      <c r="X2077" s="218">
        <v>1</v>
      </c>
      <c r="Y2077" s="218">
        <v>1</v>
      </c>
    </row>
    <row r="2078" spans="1:25" x14ac:dyDescent="0.3">
      <c r="A2078" s="1" t="s">
        <v>5896</v>
      </c>
      <c r="B2078" s="5">
        <v>46185</v>
      </c>
      <c r="C2078" s="6">
        <v>0.58333333333333304</v>
      </c>
      <c r="D2078" s="1" t="s">
        <v>30</v>
      </c>
      <c r="E2078" s="1" t="s">
        <v>35</v>
      </c>
      <c r="F2078" s="1" t="s">
        <v>5897</v>
      </c>
      <c r="G2078" s="39" t="s">
        <v>5874</v>
      </c>
      <c r="H2078" s="1">
        <v>1</v>
      </c>
      <c r="I2078" s="1">
        <v>0</v>
      </c>
      <c r="J2078" s="39" t="s">
        <v>5866</v>
      </c>
      <c r="K2078" s="1">
        <v>0</v>
      </c>
      <c r="L2078" s="1">
        <v>1</v>
      </c>
      <c r="S2078" s="1" t="s">
        <v>5898</v>
      </c>
      <c r="T2078" s="1">
        <v>1</v>
      </c>
      <c r="U2078" s="19"/>
      <c r="V2078" s="19"/>
      <c r="W2078" s="218">
        <v>1</v>
      </c>
      <c r="X2078" s="218">
        <v>1</v>
      </c>
      <c r="Y2078" s="218">
        <v>1</v>
      </c>
    </row>
    <row r="2079" spans="1:25" x14ac:dyDescent="0.3">
      <c r="A2079" s="1" t="s">
        <v>5899</v>
      </c>
      <c r="B2079" s="5">
        <v>46180</v>
      </c>
      <c r="C2079" s="6">
        <v>0.375</v>
      </c>
      <c r="D2079" s="1" t="s">
        <v>30</v>
      </c>
      <c r="E2079" s="1" t="s">
        <v>35</v>
      </c>
      <c r="F2079" s="1" t="s">
        <v>5900</v>
      </c>
      <c r="G2079" s="39" t="s">
        <v>5866</v>
      </c>
      <c r="H2079" s="1">
        <v>1</v>
      </c>
      <c r="I2079" s="1">
        <v>1</v>
      </c>
      <c r="J2079" s="39" t="s">
        <v>5847</v>
      </c>
      <c r="K2079" s="1">
        <v>1</v>
      </c>
      <c r="L2079" s="1">
        <v>1</v>
      </c>
      <c r="S2079" s="1" t="s">
        <v>5901</v>
      </c>
      <c r="T2079" s="1">
        <v>1</v>
      </c>
      <c r="U2079" s="19"/>
      <c r="V2079" s="19"/>
      <c r="W2079" s="218">
        <v>1</v>
      </c>
      <c r="X2079" s="218">
        <v>1</v>
      </c>
      <c r="Y2079" s="218">
        <v>1</v>
      </c>
    </row>
    <row r="2080" spans="1:25" x14ac:dyDescent="0.3">
      <c r="A2080" s="1" t="s">
        <v>5902</v>
      </c>
      <c r="B2080" s="5">
        <v>46172</v>
      </c>
      <c r="C2080" s="6">
        <v>0.45833333333333298</v>
      </c>
      <c r="D2080" s="1" t="s">
        <v>30</v>
      </c>
      <c r="E2080" s="1" t="s">
        <v>35</v>
      </c>
      <c r="F2080" s="1" t="s">
        <v>5903</v>
      </c>
      <c r="G2080" s="39" t="s">
        <v>5904</v>
      </c>
      <c r="H2080" s="1">
        <v>1</v>
      </c>
      <c r="I2080" s="1">
        <v>1</v>
      </c>
      <c r="J2080" s="39" t="s">
        <v>5866</v>
      </c>
      <c r="K2080" s="1">
        <v>1</v>
      </c>
      <c r="L2080" s="1">
        <v>1</v>
      </c>
      <c r="S2080" s="1" t="s">
        <v>5905</v>
      </c>
      <c r="T2080" s="1">
        <v>1</v>
      </c>
      <c r="U2080" s="19"/>
      <c r="V2080" s="19"/>
      <c r="W2080" s="218">
        <v>1</v>
      </c>
      <c r="X2080" s="218">
        <v>1</v>
      </c>
      <c r="Y2080" s="218">
        <v>1</v>
      </c>
    </row>
    <row r="2081" spans="1:25" x14ac:dyDescent="0.3">
      <c r="A2081" s="1" t="s">
        <v>5906</v>
      </c>
      <c r="B2081" s="5">
        <v>46156</v>
      </c>
      <c r="C2081" s="6">
        <v>0.375</v>
      </c>
      <c r="D2081" s="1" t="s">
        <v>30</v>
      </c>
      <c r="E2081" s="1" t="s">
        <v>35</v>
      </c>
      <c r="F2081" s="1" t="s">
        <v>5907</v>
      </c>
      <c r="G2081" s="39" t="s">
        <v>5851</v>
      </c>
      <c r="H2081" s="1">
        <v>1</v>
      </c>
      <c r="I2081" s="1">
        <v>5</v>
      </c>
      <c r="J2081" s="39" t="s">
        <v>5866</v>
      </c>
      <c r="K2081" s="1">
        <v>5</v>
      </c>
      <c r="L2081" s="1">
        <v>1</v>
      </c>
      <c r="S2081" s="1" t="s">
        <v>5908</v>
      </c>
      <c r="T2081" s="1">
        <v>1</v>
      </c>
      <c r="U2081" s="19"/>
      <c r="V2081" s="19"/>
      <c r="W2081" s="218">
        <v>1</v>
      </c>
      <c r="X2081" s="218">
        <v>1</v>
      </c>
      <c r="Y2081" s="218">
        <v>1</v>
      </c>
    </row>
    <row r="2082" spans="1:25" x14ac:dyDescent="0.3">
      <c r="A2082" s="1" t="s">
        <v>5909</v>
      </c>
      <c r="B2082" s="5">
        <v>46151</v>
      </c>
      <c r="C2082" s="6">
        <v>0.375</v>
      </c>
      <c r="D2082" s="1" t="s">
        <v>30</v>
      </c>
      <c r="E2082" s="1" t="s">
        <v>35</v>
      </c>
      <c r="F2082" s="1" t="s">
        <v>5910</v>
      </c>
      <c r="G2082" s="39" t="s">
        <v>5866</v>
      </c>
      <c r="H2082" s="1">
        <v>6</v>
      </c>
      <c r="I2082" s="1">
        <v>1</v>
      </c>
      <c r="J2082" s="39" t="s">
        <v>5843</v>
      </c>
      <c r="K2082" s="1">
        <v>1</v>
      </c>
      <c r="L2082" s="1">
        <v>6</v>
      </c>
      <c r="S2082" s="1" t="s">
        <v>5911</v>
      </c>
      <c r="T2082" s="1">
        <v>1</v>
      </c>
      <c r="U2082" s="19"/>
      <c r="V2082" s="19"/>
      <c r="W2082" s="218">
        <v>1</v>
      </c>
      <c r="X2082" s="218">
        <v>1</v>
      </c>
      <c r="Y2082" s="218">
        <v>1</v>
      </c>
    </row>
    <row r="2083" spans="1:25" x14ac:dyDescent="0.3">
      <c r="A2083" s="1" t="s">
        <v>5912</v>
      </c>
      <c r="B2083" s="5">
        <v>46143</v>
      </c>
      <c r="C2083" s="6">
        <v>0.375</v>
      </c>
      <c r="D2083" s="1" t="s">
        <v>30</v>
      </c>
      <c r="E2083" s="1" t="s">
        <v>35</v>
      </c>
      <c r="F2083" s="1" t="s">
        <v>5913</v>
      </c>
      <c r="G2083" s="39" t="s">
        <v>167</v>
      </c>
      <c r="H2083" s="1">
        <v>4</v>
      </c>
      <c r="I2083" s="1">
        <v>0</v>
      </c>
      <c r="J2083" s="39" t="s">
        <v>5866</v>
      </c>
      <c r="K2083" s="1">
        <v>0</v>
      </c>
      <c r="L2083" s="1">
        <v>4</v>
      </c>
      <c r="S2083" s="1" t="s">
        <v>5914</v>
      </c>
      <c r="T2083" s="1">
        <v>1</v>
      </c>
      <c r="U2083" s="19"/>
      <c r="V2083" s="19"/>
      <c r="W2083" s="218">
        <v>1</v>
      </c>
      <c r="X2083" s="218">
        <v>1</v>
      </c>
      <c r="Y2083" s="218">
        <v>1</v>
      </c>
    </row>
    <row r="2084" spans="1:25" x14ac:dyDescent="0.3">
      <c r="A2084" s="1" t="s">
        <v>5915</v>
      </c>
      <c r="B2084" s="5">
        <v>46136</v>
      </c>
      <c r="C2084" s="6">
        <v>0.58333333333333304</v>
      </c>
      <c r="D2084" s="1" t="s">
        <v>30</v>
      </c>
      <c r="E2084" s="1" t="s">
        <v>35</v>
      </c>
      <c r="F2084" s="1" t="s">
        <v>5916</v>
      </c>
      <c r="G2084" s="39" t="s">
        <v>5917</v>
      </c>
      <c r="H2084" s="1">
        <v>1</v>
      </c>
      <c r="I2084" s="1">
        <v>1</v>
      </c>
      <c r="J2084" s="39" t="s">
        <v>5866</v>
      </c>
      <c r="K2084" s="1">
        <v>1</v>
      </c>
      <c r="L2084" s="1">
        <v>1</v>
      </c>
      <c r="S2084" s="1" t="s">
        <v>5918</v>
      </c>
      <c r="T2084" s="1">
        <v>1</v>
      </c>
      <c r="U2084" s="19"/>
      <c r="V2084" s="19"/>
      <c r="W2084" s="218">
        <v>1</v>
      </c>
      <c r="X2084" s="218">
        <v>1</v>
      </c>
      <c r="Y2084" s="218">
        <v>1</v>
      </c>
    </row>
    <row r="2085" spans="1:25" x14ac:dyDescent="0.3">
      <c r="A2085" s="1" t="s">
        <v>5919</v>
      </c>
      <c r="B2085" s="5">
        <v>46241</v>
      </c>
      <c r="C2085" s="6">
        <v>0.60416666666666696</v>
      </c>
      <c r="D2085" s="1" t="s">
        <v>30</v>
      </c>
      <c r="E2085" s="1" t="s">
        <v>35</v>
      </c>
      <c r="F2085" s="1" t="s">
        <v>5920</v>
      </c>
      <c r="G2085" s="39" t="s">
        <v>5874</v>
      </c>
      <c r="H2085" s="1">
        <v>0</v>
      </c>
      <c r="I2085" s="1">
        <v>3</v>
      </c>
      <c r="J2085" s="39" t="s">
        <v>5917</v>
      </c>
      <c r="K2085" s="1">
        <v>3</v>
      </c>
      <c r="L2085" s="1">
        <v>0</v>
      </c>
      <c r="S2085" s="1" t="s">
        <v>5921</v>
      </c>
      <c r="T2085" s="1">
        <v>1</v>
      </c>
      <c r="U2085" s="19"/>
      <c r="V2085" s="19"/>
      <c r="W2085" s="218">
        <v>1</v>
      </c>
      <c r="X2085" s="218">
        <v>1</v>
      </c>
      <c r="Y2085" s="218">
        <v>1</v>
      </c>
    </row>
    <row r="2086" spans="1:25" x14ac:dyDescent="0.3">
      <c r="A2086" s="1" t="s">
        <v>5922</v>
      </c>
      <c r="B2086" s="5">
        <v>46236</v>
      </c>
      <c r="C2086" s="6">
        <v>0.41666666666666702</v>
      </c>
      <c r="D2086" s="1" t="s">
        <v>30</v>
      </c>
      <c r="E2086" s="1" t="s">
        <v>35</v>
      </c>
      <c r="F2086" s="1" t="s">
        <v>5923</v>
      </c>
      <c r="G2086" s="39" t="s">
        <v>5917</v>
      </c>
      <c r="H2086" s="1">
        <v>3</v>
      </c>
      <c r="I2086" s="1">
        <v>1</v>
      </c>
      <c r="J2086" s="39" t="s">
        <v>5904</v>
      </c>
      <c r="K2086" s="1">
        <v>1</v>
      </c>
      <c r="L2086" s="1">
        <v>3</v>
      </c>
      <c r="S2086" s="1" t="s">
        <v>5924</v>
      </c>
      <c r="T2086" s="1">
        <v>1</v>
      </c>
      <c r="U2086" s="19"/>
      <c r="V2086" s="19"/>
      <c r="W2086" s="218">
        <v>1</v>
      </c>
      <c r="X2086" s="218">
        <v>1</v>
      </c>
      <c r="Y2086" s="218">
        <v>1</v>
      </c>
    </row>
    <row r="2087" spans="1:25" x14ac:dyDescent="0.3">
      <c r="A2087" s="1" t="s">
        <v>5925</v>
      </c>
      <c r="B2087" s="5">
        <v>46199</v>
      </c>
      <c r="C2087" s="6">
        <v>0.60416666666666696</v>
      </c>
      <c r="D2087" s="1" t="s">
        <v>30</v>
      </c>
      <c r="E2087" s="1" t="s">
        <v>35</v>
      </c>
      <c r="F2087" s="1" t="s">
        <v>5926</v>
      </c>
      <c r="G2087" s="39" t="s">
        <v>5917</v>
      </c>
      <c r="H2087" s="1">
        <v>3</v>
      </c>
      <c r="I2087" s="1">
        <v>1</v>
      </c>
      <c r="J2087" s="39" t="s">
        <v>5882</v>
      </c>
      <c r="K2087" s="1">
        <v>1</v>
      </c>
      <c r="L2087" s="1">
        <v>3</v>
      </c>
      <c r="S2087" s="1" t="s">
        <v>5927</v>
      </c>
      <c r="T2087" s="1">
        <v>1</v>
      </c>
      <c r="U2087" s="19"/>
      <c r="V2087" s="19"/>
      <c r="W2087" s="218">
        <v>1</v>
      </c>
      <c r="X2087" s="218">
        <v>1</v>
      </c>
      <c r="Y2087" s="218">
        <v>1</v>
      </c>
    </row>
    <row r="2088" spans="1:25" x14ac:dyDescent="0.3">
      <c r="A2088" s="1" t="s">
        <v>5928</v>
      </c>
      <c r="B2088" s="5">
        <v>46190</v>
      </c>
      <c r="C2088" s="6">
        <v>0.58333333333333304</v>
      </c>
      <c r="D2088" s="1" t="s">
        <v>30</v>
      </c>
      <c r="E2088" s="1" t="s">
        <v>35</v>
      </c>
      <c r="F2088" s="1" t="s">
        <v>5929</v>
      </c>
      <c r="G2088" s="39" t="s">
        <v>5904</v>
      </c>
      <c r="H2088" s="1">
        <v>2</v>
      </c>
      <c r="I2088" s="1">
        <v>1</v>
      </c>
      <c r="J2088" s="39" t="s">
        <v>5917</v>
      </c>
      <c r="K2088" s="1">
        <v>1</v>
      </c>
      <c r="L2088" s="1">
        <v>2</v>
      </c>
      <c r="S2088" s="1" t="s">
        <v>5930</v>
      </c>
      <c r="T2088" s="1">
        <v>1</v>
      </c>
      <c r="U2088" s="19"/>
      <c r="V2088" s="19"/>
      <c r="W2088" s="218">
        <v>1</v>
      </c>
      <c r="X2088" s="218">
        <v>1</v>
      </c>
      <c r="Y2088" s="218">
        <v>1</v>
      </c>
    </row>
    <row r="2089" spans="1:25" x14ac:dyDescent="0.3">
      <c r="A2089" s="1" t="s">
        <v>5931</v>
      </c>
      <c r="B2089" s="5">
        <v>46186</v>
      </c>
      <c r="C2089" s="6">
        <v>0.375</v>
      </c>
      <c r="D2089" s="1" t="s">
        <v>30</v>
      </c>
      <c r="E2089" s="1" t="s">
        <v>35</v>
      </c>
      <c r="F2089" s="1" t="s">
        <v>5932</v>
      </c>
      <c r="G2089" s="39" t="s">
        <v>5917</v>
      </c>
      <c r="H2089" s="1">
        <v>4</v>
      </c>
      <c r="I2089" s="1">
        <v>1</v>
      </c>
      <c r="J2089" s="39" t="s">
        <v>5843</v>
      </c>
      <c r="K2089" s="1">
        <v>1</v>
      </c>
      <c r="L2089" s="1">
        <v>4</v>
      </c>
      <c r="S2089" s="1" t="s">
        <v>5933</v>
      </c>
      <c r="T2089" s="1">
        <v>1</v>
      </c>
      <c r="U2089" s="19"/>
      <c r="V2089" s="19"/>
      <c r="W2089" s="218">
        <v>1</v>
      </c>
      <c r="X2089" s="218">
        <v>1</v>
      </c>
      <c r="Y2089" s="218">
        <v>1</v>
      </c>
    </row>
    <row r="2090" spans="1:25" x14ac:dyDescent="0.3">
      <c r="A2090" s="1" t="s">
        <v>5934</v>
      </c>
      <c r="B2090" s="5">
        <v>46179</v>
      </c>
      <c r="C2090" s="6">
        <v>0.29166666666666702</v>
      </c>
      <c r="D2090" s="1" t="s">
        <v>30</v>
      </c>
      <c r="E2090" s="1" t="s">
        <v>35</v>
      </c>
      <c r="F2090" s="1" t="s">
        <v>5935</v>
      </c>
      <c r="G2090" s="39" t="s">
        <v>5855</v>
      </c>
      <c r="H2090" s="1">
        <v>1</v>
      </c>
      <c r="I2090" s="1">
        <v>0</v>
      </c>
      <c r="J2090" s="39" t="s">
        <v>5917</v>
      </c>
      <c r="K2090" s="1">
        <v>0</v>
      </c>
      <c r="L2090" s="1">
        <v>1</v>
      </c>
      <c r="S2090" s="1" t="s">
        <v>5936</v>
      </c>
      <c r="T2090" s="1">
        <v>1</v>
      </c>
      <c r="U2090" s="19"/>
      <c r="V2090" s="19"/>
      <c r="W2090" s="218">
        <v>1</v>
      </c>
      <c r="X2090" s="218">
        <v>1</v>
      </c>
      <c r="Y2090" s="218">
        <v>1</v>
      </c>
    </row>
    <row r="2091" spans="1:25" x14ac:dyDescent="0.3">
      <c r="A2091" s="1" t="s">
        <v>5937</v>
      </c>
      <c r="B2091" s="5">
        <v>46171</v>
      </c>
      <c r="C2091" s="6">
        <v>0.60416666666666696</v>
      </c>
      <c r="D2091" s="1" t="s">
        <v>30</v>
      </c>
      <c r="E2091" s="1" t="s">
        <v>35</v>
      </c>
      <c r="F2091" s="1" t="s">
        <v>5938</v>
      </c>
      <c r="G2091" s="39" t="s">
        <v>5917</v>
      </c>
      <c r="H2091" s="1">
        <v>3</v>
      </c>
      <c r="I2091" s="1">
        <v>2</v>
      </c>
      <c r="J2091" s="39" t="s">
        <v>5878</v>
      </c>
      <c r="K2091" s="1">
        <v>2</v>
      </c>
      <c r="L2091" s="1">
        <v>3</v>
      </c>
      <c r="S2091" s="1" t="s">
        <v>5939</v>
      </c>
      <c r="T2091" s="1">
        <v>1</v>
      </c>
      <c r="U2091" s="19"/>
      <c r="V2091" s="19"/>
      <c r="W2091" s="218">
        <v>1</v>
      </c>
      <c r="X2091" s="218">
        <v>1</v>
      </c>
      <c r="Y2091" s="218">
        <v>1</v>
      </c>
    </row>
    <row r="2092" spans="1:25" x14ac:dyDescent="0.3">
      <c r="A2092" s="1" t="s">
        <v>5940</v>
      </c>
      <c r="B2092" s="5">
        <v>46166</v>
      </c>
      <c r="C2092" s="6">
        <v>0.375</v>
      </c>
      <c r="D2092" s="1" t="s">
        <v>30</v>
      </c>
      <c r="E2092" s="1" t="s">
        <v>35</v>
      </c>
      <c r="F2092" s="1" t="s">
        <v>5941</v>
      </c>
      <c r="G2092" s="39" t="s">
        <v>5862</v>
      </c>
      <c r="H2092" s="1">
        <v>2</v>
      </c>
      <c r="I2092" s="1">
        <v>1</v>
      </c>
      <c r="J2092" s="39" t="s">
        <v>5917</v>
      </c>
      <c r="K2092" s="1">
        <v>1</v>
      </c>
      <c r="L2092" s="1">
        <v>2</v>
      </c>
      <c r="S2092" s="1" t="s">
        <v>5942</v>
      </c>
      <c r="T2092" s="1">
        <v>1</v>
      </c>
      <c r="U2092" s="19"/>
      <c r="V2092" s="19"/>
      <c r="W2092" s="218">
        <v>1</v>
      </c>
      <c r="X2092" s="218">
        <v>1</v>
      </c>
      <c r="Y2092" s="218">
        <v>1</v>
      </c>
    </row>
    <row r="2093" spans="1:25" x14ac:dyDescent="0.3">
      <c r="A2093" s="1" t="s">
        <v>5943</v>
      </c>
      <c r="B2093" s="5">
        <v>46156</v>
      </c>
      <c r="C2093" s="6">
        <v>0.33333333333333298</v>
      </c>
      <c r="D2093" s="1" t="s">
        <v>30</v>
      </c>
      <c r="E2093" s="1" t="s">
        <v>35</v>
      </c>
      <c r="F2093" s="1" t="s">
        <v>5944</v>
      </c>
      <c r="G2093" s="39" t="s">
        <v>5917</v>
      </c>
      <c r="H2093" s="1">
        <v>6</v>
      </c>
      <c r="I2093" s="1">
        <v>0</v>
      </c>
      <c r="J2093" s="39" t="s">
        <v>5874</v>
      </c>
      <c r="K2093" s="1">
        <v>0</v>
      </c>
      <c r="L2093" s="1">
        <v>6</v>
      </c>
      <c r="S2093" s="1" t="s">
        <v>5945</v>
      </c>
      <c r="T2093" s="1">
        <v>1</v>
      </c>
      <c r="U2093" s="19"/>
      <c r="V2093" s="19"/>
      <c r="W2093" s="218">
        <v>1</v>
      </c>
      <c r="X2093" s="218">
        <v>1</v>
      </c>
      <c r="Y2093" s="218">
        <v>1</v>
      </c>
    </row>
    <row r="2094" spans="1:25" x14ac:dyDescent="0.3">
      <c r="A2094" s="1" t="s">
        <v>5946</v>
      </c>
      <c r="B2094" s="5">
        <v>46151</v>
      </c>
      <c r="C2094" s="6">
        <v>0.45833333333333298</v>
      </c>
      <c r="D2094" s="1" t="s">
        <v>30</v>
      </c>
      <c r="E2094" s="1" t="s">
        <v>35</v>
      </c>
      <c r="F2094" s="1" t="s">
        <v>5947</v>
      </c>
      <c r="G2094" s="39" t="s">
        <v>5847</v>
      </c>
      <c r="H2094" s="1">
        <v>1</v>
      </c>
      <c r="I2094" s="1">
        <v>2</v>
      </c>
      <c r="J2094" s="39" t="s">
        <v>5917</v>
      </c>
      <c r="K2094" s="1">
        <v>2</v>
      </c>
      <c r="L2094" s="1">
        <v>1</v>
      </c>
      <c r="S2094" s="1" t="s">
        <v>5948</v>
      </c>
      <c r="T2094" s="1">
        <v>1</v>
      </c>
      <c r="U2094" s="19"/>
      <c r="V2094" s="19"/>
      <c r="W2094" s="218">
        <v>1</v>
      </c>
      <c r="X2094" s="218">
        <v>1</v>
      </c>
      <c r="Y2094" s="218">
        <v>1</v>
      </c>
    </row>
    <row r="2095" spans="1:25" x14ac:dyDescent="0.3">
      <c r="A2095" s="1" t="s">
        <v>5949</v>
      </c>
      <c r="B2095" s="5">
        <v>46143</v>
      </c>
      <c r="C2095" s="6">
        <v>0.33333333333333298</v>
      </c>
      <c r="D2095" s="1" t="s">
        <v>30</v>
      </c>
      <c r="E2095" s="1" t="s">
        <v>35</v>
      </c>
      <c r="F2095" s="1" t="s">
        <v>5950</v>
      </c>
      <c r="G2095" s="39" t="s">
        <v>5882</v>
      </c>
      <c r="H2095" s="1">
        <v>1</v>
      </c>
      <c r="I2095" s="1">
        <v>1</v>
      </c>
      <c r="J2095" s="39" t="s">
        <v>5917</v>
      </c>
      <c r="K2095" s="1">
        <v>1</v>
      </c>
      <c r="L2095" s="1">
        <v>1</v>
      </c>
      <c r="S2095" s="1" t="s">
        <v>5951</v>
      </c>
      <c r="T2095" s="1">
        <v>1</v>
      </c>
      <c r="U2095" s="19"/>
      <c r="V2095" s="19"/>
      <c r="W2095" s="218">
        <v>1</v>
      </c>
      <c r="X2095" s="218">
        <v>1</v>
      </c>
      <c r="Y2095" s="218">
        <v>1</v>
      </c>
    </row>
    <row r="2096" spans="1:25" x14ac:dyDescent="0.3">
      <c r="A2096" s="1" t="s">
        <v>5952</v>
      </c>
      <c r="B2096" s="5">
        <v>46243</v>
      </c>
      <c r="C2096" s="6">
        <v>0.41666666666666702</v>
      </c>
      <c r="D2096" s="1" t="s">
        <v>30</v>
      </c>
      <c r="E2096" s="1" t="s">
        <v>35</v>
      </c>
      <c r="F2096" s="1" t="s">
        <v>5953</v>
      </c>
      <c r="G2096" s="39" t="s">
        <v>5904</v>
      </c>
      <c r="H2096" s="1">
        <v>4</v>
      </c>
      <c r="I2096" s="1">
        <v>0</v>
      </c>
      <c r="J2096" s="39" t="s">
        <v>5882</v>
      </c>
      <c r="K2096" s="1">
        <v>0</v>
      </c>
      <c r="L2096" s="1">
        <v>4</v>
      </c>
      <c r="S2096" s="1" t="s">
        <v>5954</v>
      </c>
      <c r="T2096" s="1">
        <v>1</v>
      </c>
      <c r="U2096" s="19"/>
      <c r="V2096" s="19"/>
      <c r="W2096" s="218">
        <v>1</v>
      </c>
      <c r="X2096" s="218">
        <v>1</v>
      </c>
      <c r="Y2096" s="218">
        <v>1</v>
      </c>
    </row>
    <row r="2097" spans="1:25" x14ac:dyDescent="0.3">
      <c r="A2097" s="1" t="s">
        <v>5955</v>
      </c>
      <c r="B2097" s="5">
        <v>46186</v>
      </c>
      <c r="C2097" s="6">
        <v>0.375</v>
      </c>
      <c r="D2097" s="1" t="s">
        <v>30</v>
      </c>
      <c r="E2097" s="1" t="s">
        <v>35</v>
      </c>
      <c r="F2097" s="1" t="s">
        <v>5956</v>
      </c>
      <c r="G2097" s="39" t="s">
        <v>5882</v>
      </c>
      <c r="H2097" s="1">
        <v>1</v>
      </c>
      <c r="I2097" s="1">
        <v>1</v>
      </c>
      <c r="J2097" s="39" t="s">
        <v>5904</v>
      </c>
      <c r="K2097" s="1">
        <v>1</v>
      </c>
      <c r="L2097" s="1">
        <v>1</v>
      </c>
      <c r="S2097" s="1" t="s">
        <v>5957</v>
      </c>
      <c r="T2097" s="1">
        <v>1</v>
      </c>
      <c r="U2097" s="19"/>
      <c r="V2097" s="19"/>
      <c r="W2097" s="218">
        <v>1</v>
      </c>
      <c r="X2097" s="218">
        <v>1</v>
      </c>
      <c r="Y2097" s="218">
        <v>1</v>
      </c>
    </row>
    <row r="2098" spans="1:25" x14ac:dyDescent="0.3">
      <c r="A2098" s="1" t="s">
        <v>5958</v>
      </c>
      <c r="B2098" s="5">
        <v>46179</v>
      </c>
      <c r="C2098" s="6">
        <v>0.375</v>
      </c>
      <c r="D2098" s="1" t="s">
        <v>30</v>
      </c>
      <c r="E2098" s="1" t="s">
        <v>35</v>
      </c>
      <c r="F2098" s="1" t="s">
        <v>5959</v>
      </c>
      <c r="G2098" s="39" t="s">
        <v>5874</v>
      </c>
      <c r="H2098" s="1">
        <v>0</v>
      </c>
      <c r="I2098" s="1">
        <v>1</v>
      </c>
      <c r="J2098" s="39" t="s">
        <v>5904</v>
      </c>
      <c r="K2098" s="1">
        <v>1</v>
      </c>
      <c r="L2098" s="1">
        <v>0</v>
      </c>
      <c r="S2098" s="1" t="s">
        <v>5960</v>
      </c>
      <c r="T2098" s="1">
        <v>1</v>
      </c>
      <c r="U2098" s="19"/>
      <c r="V2098" s="19"/>
      <c r="W2098" s="218">
        <v>1</v>
      </c>
      <c r="X2098" s="218">
        <v>1</v>
      </c>
      <c r="Y2098" s="218">
        <v>1</v>
      </c>
    </row>
    <row r="2099" spans="1:25" x14ac:dyDescent="0.3">
      <c r="A2099" s="1" t="s">
        <v>5961</v>
      </c>
      <c r="B2099" s="5">
        <v>46164</v>
      </c>
      <c r="C2099" s="6">
        <v>0.58333333333333304</v>
      </c>
      <c r="D2099" s="1" t="s">
        <v>30</v>
      </c>
      <c r="E2099" s="1" t="s">
        <v>35</v>
      </c>
      <c r="F2099" s="1" t="s">
        <v>5962</v>
      </c>
      <c r="G2099" s="39" t="s">
        <v>5855</v>
      </c>
      <c r="H2099" s="1">
        <v>2</v>
      </c>
      <c r="I2099" s="1">
        <v>1</v>
      </c>
      <c r="J2099" s="39" t="s">
        <v>5904</v>
      </c>
      <c r="K2099" s="1">
        <v>1</v>
      </c>
      <c r="L2099" s="1">
        <v>2</v>
      </c>
      <c r="S2099" s="1" t="s">
        <v>5963</v>
      </c>
      <c r="T2099" s="1">
        <v>1</v>
      </c>
      <c r="U2099" s="19"/>
      <c r="V2099" s="19"/>
      <c r="W2099" s="218">
        <v>1</v>
      </c>
      <c r="X2099" s="218">
        <v>1</v>
      </c>
      <c r="Y2099" s="218">
        <v>1</v>
      </c>
    </row>
    <row r="2100" spans="1:25" x14ac:dyDescent="0.3">
      <c r="A2100" s="1" t="s">
        <v>5964</v>
      </c>
      <c r="B2100" s="5">
        <v>46158</v>
      </c>
      <c r="C2100" s="6">
        <v>0.41666666666666702</v>
      </c>
      <c r="D2100" s="1" t="s">
        <v>30</v>
      </c>
      <c r="E2100" s="1" t="s">
        <v>35</v>
      </c>
      <c r="F2100" s="1" t="s">
        <v>5965</v>
      </c>
      <c r="G2100" s="39" t="s">
        <v>5904</v>
      </c>
      <c r="H2100" s="1">
        <v>1</v>
      </c>
      <c r="I2100" s="1">
        <v>1</v>
      </c>
      <c r="J2100" s="39" t="s">
        <v>5847</v>
      </c>
      <c r="K2100" s="1">
        <v>1</v>
      </c>
      <c r="L2100" s="1">
        <v>1</v>
      </c>
      <c r="S2100" s="1" t="s">
        <v>5966</v>
      </c>
      <c r="T2100" s="1">
        <v>1</v>
      </c>
      <c r="U2100" s="19"/>
      <c r="V2100" s="19"/>
      <c r="W2100" s="218">
        <v>1</v>
      </c>
      <c r="X2100" s="218">
        <v>1</v>
      </c>
      <c r="Y2100" s="218">
        <v>1</v>
      </c>
    </row>
    <row r="2101" spans="1:25" x14ac:dyDescent="0.3">
      <c r="A2101" s="1" t="s">
        <v>5967</v>
      </c>
      <c r="B2101" s="5">
        <v>46152</v>
      </c>
      <c r="C2101" s="6">
        <v>0.33333333333333298</v>
      </c>
      <c r="D2101" s="1" t="s">
        <v>30</v>
      </c>
      <c r="E2101" s="1" t="s">
        <v>35</v>
      </c>
      <c r="F2101" s="1" t="s">
        <v>5968</v>
      </c>
      <c r="G2101" s="39" t="s">
        <v>5878</v>
      </c>
      <c r="H2101" s="1">
        <v>0</v>
      </c>
      <c r="I2101" s="1">
        <v>1</v>
      </c>
      <c r="J2101" s="39" t="s">
        <v>5904</v>
      </c>
      <c r="K2101" s="1">
        <v>1</v>
      </c>
      <c r="L2101" s="1">
        <v>0</v>
      </c>
      <c r="S2101" s="1" t="s">
        <v>5969</v>
      </c>
      <c r="T2101" s="1">
        <v>1</v>
      </c>
      <c r="U2101" s="19"/>
      <c r="V2101" s="19"/>
      <c r="W2101" s="218">
        <v>1</v>
      </c>
      <c r="X2101" s="218">
        <v>1</v>
      </c>
      <c r="Y2101" s="218">
        <v>1</v>
      </c>
    </row>
    <row r="2102" spans="1:25" x14ac:dyDescent="0.3">
      <c r="A2102" s="1" t="s">
        <v>5970</v>
      </c>
      <c r="B2102" s="5">
        <v>46146</v>
      </c>
      <c r="C2102" s="6">
        <v>0.5625</v>
      </c>
      <c r="D2102" s="1" t="s">
        <v>30</v>
      </c>
      <c r="E2102" s="1" t="s">
        <v>35</v>
      </c>
      <c r="F2102" s="1" t="s">
        <v>5971</v>
      </c>
      <c r="G2102" s="39" t="s">
        <v>5904</v>
      </c>
      <c r="H2102" s="1">
        <v>5</v>
      </c>
      <c r="I2102" s="1">
        <v>1</v>
      </c>
      <c r="J2102" s="39" t="s">
        <v>5843</v>
      </c>
      <c r="K2102" s="1">
        <v>1</v>
      </c>
      <c r="L2102" s="1">
        <v>5</v>
      </c>
      <c r="S2102" s="1" t="s">
        <v>5972</v>
      </c>
      <c r="T2102" s="1">
        <v>1</v>
      </c>
      <c r="U2102" s="19"/>
      <c r="V2102" s="19"/>
      <c r="W2102" s="218">
        <v>1</v>
      </c>
      <c r="X2102" s="218">
        <v>1</v>
      </c>
      <c r="Y2102" s="218">
        <v>1</v>
      </c>
    </row>
    <row r="2103" spans="1:25" x14ac:dyDescent="0.3">
      <c r="A2103" s="1" t="s">
        <v>5973</v>
      </c>
      <c r="B2103" s="5">
        <v>46137</v>
      </c>
      <c r="C2103" s="6">
        <v>0.375</v>
      </c>
      <c r="D2103" s="1" t="s">
        <v>30</v>
      </c>
      <c r="E2103" s="1" t="s">
        <v>35</v>
      </c>
      <c r="F2103" s="1" t="s">
        <v>5974</v>
      </c>
      <c r="G2103" s="39" t="s">
        <v>5904</v>
      </c>
      <c r="H2103" s="1">
        <v>2</v>
      </c>
      <c r="I2103" s="1">
        <v>1</v>
      </c>
      <c r="J2103" s="39" t="s">
        <v>5851</v>
      </c>
      <c r="K2103" s="1">
        <v>1</v>
      </c>
      <c r="L2103" s="1">
        <v>2</v>
      </c>
      <c r="S2103" s="1" t="s">
        <v>5975</v>
      </c>
      <c r="T2103" s="1">
        <v>1</v>
      </c>
      <c r="U2103" s="19"/>
      <c r="V2103" s="19"/>
      <c r="W2103" s="218">
        <v>1</v>
      </c>
      <c r="X2103" s="218">
        <v>1</v>
      </c>
      <c r="Y2103" s="218">
        <v>1</v>
      </c>
    </row>
    <row r="2104" spans="1:25" x14ac:dyDescent="0.3">
      <c r="A2104" s="1" t="s">
        <v>5976</v>
      </c>
      <c r="B2104" s="5">
        <v>46129</v>
      </c>
      <c r="C2104" s="6">
        <v>0.58333333333333304</v>
      </c>
      <c r="D2104" s="1" t="s">
        <v>30</v>
      </c>
      <c r="E2104" s="1" t="s">
        <v>35</v>
      </c>
      <c r="F2104" s="1" t="s">
        <v>5977</v>
      </c>
      <c r="G2104" s="39" t="s">
        <v>5862</v>
      </c>
      <c r="H2104" s="1">
        <v>1</v>
      </c>
      <c r="I2104" s="1">
        <v>0</v>
      </c>
      <c r="J2104" s="39" t="s">
        <v>5904</v>
      </c>
      <c r="K2104" s="1">
        <v>0</v>
      </c>
      <c r="L2104" s="1">
        <v>1</v>
      </c>
      <c r="S2104" s="1" t="s">
        <v>5978</v>
      </c>
      <c r="T2104" s="1">
        <v>1</v>
      </c>
      <c r="U2104" s="19"/>
      <c r="V2104" s="19"/>
      <c r="W2104" s="218">
        <v>0</v>
      </c>
      <c r="X2104" s="218">
        <v>1</v>
      </c>
      <c r="Y2104" s="218">
        <v>1</v>
      </c>
    </row>
    <row r="2105" spans="1:25" x14ac:dyDescent="0.3">
      <c r="A2105" s="1" t="s">
        <v>5979</v>
      </c>
      <c r="B2105" s="5">
        <v>46242</v>
      </c>
      <c r="C2105" s="6">
        <v>0.45833333333333298</v>
      </c>
      <c r="D2105" s="1" t="s">
        <v>30</v>
      </c>
      <c r="E2105" s="1" t="s">
        <v>35</v>
      </c>
      <c r="F2105" s="1" t="s">
        <v>5980</v>
      </c>
      <c r="G2105" s="39" t="s">
        <v>167</v>
      </c>
      <c r="H2105" s="1">
        <v>4</v>
      </c>
      <c r="I2105" s="1">
        <v>0</v>
      </c>
      <c r="J2105" s="39" t="s">
        <v>5855</v>
      </c>
      <c r="K2105" s="1">
        <v>0</v>
      </c>
      <c r="L2105" s="1">
        <v>4</v>
      </c>
      <c r="S2105" s="1" t="s">
        <v>5981</v>
      </c>
      <c r="T2105" s="1">
        <v>1</v>
      </c>
      <c r="U2105" s="19"/>
      <c r="V2105" s="19"/>
      <c r="W2105" s="218">
        <v>1</v>
      </c>
      <c r="X2105" s="218">
        <v>1</v>
      </c>
      <c r="Y2105" s="218">
        <v>1</v>
      </c>
    </row>
    <row r="2106" spans="1:25" x14ac:dyDescent="0.3">
      <c r="A2106" s="1" t="s">
        <v>5982</v>
      </c>
      <c r="B2106" s="5">
        <v>46235</v>
      </c>
      <c r="C2106" s="6">
        <v>0.33333333333333298</v>
      </c>
      <c r="D2106" s="1" t="s">
        <v>30</v>
      </c>
      <c r="E2106" s="1" t="s">
        <v>35</v>
      </c>
      <c r="F2106" s="1" t="s">
        <v>5983</v>
      </c>
      <c r="G2106" s="39" t="s">
        <v>5855</v>
      </c>
      <c r="H2106" s="1">
        <v>0</v>
      </c>
      <c r="I2106" s="1">
        <v>2</v>
      </c>
      <c r="J2106" s="39" t="s">
        <v>5847</v>
      </c>
      <c r="K2106" s="1">
        <v>2</v>
      </c>
      <c r="L2106" s="1">
        <v>0</v>
      </c>
      <c r="S2106" s="1" t="s">
        <v>5984</v>
      </c>
      <c r="T2106" s="1">
        <v>1</v>
      </c>
      <c r="U2106" s="19"/>
      <c r="V2106" s="19"/>
      <c r="W2106" s="218">
        <v>1</v>
      </c>
      <c r="X2106" s="218">
        <v>1</v>
      </c>
      <c r="Y2106" s="218">
        <v>1</v>
      </c>
    </row>
    <row r="2107" spans="1:25" x14ac:dyDescent="0.3">
      <c r="A2107" s="1" t="s">
        <v>5985</v>
      </c>
      <c r="B2107" s="5">
        <v>46201</v>
      </c>
      <c r="C2107" s="6">
        <v>0.375</v>
      </c>
      <c r="D2107" s="1" t="s">
        <v>30</v>
      </c>
      <c r="E2107" s="1" t="s">
        <v>35</v>
      </c>
      <c r="F2107" s="1" t="s">
        <v>5986</v>
      </c>
      <c r="G2107" s="39" t="s">
        <v>5855</v>
      </c>
      <c r="H2107" s="1">
        <v>3</v>
      </c>
      <c r="I2107" s="1">
        <v>1</v>
      </c>
      <c r="J2107" s="39" t="s">
        <v>5851</v>
      </c>
      <c r="K2107" s="1">
        <v>1</v>
      </c>
      <c r="L2107" s="1">
        <v>3</v>
      </c>
      <c r="S2107" s="1" t="s">
        <v>5987</v>
      </c>
      <c r="T2107" s="1">
        <v>1</v>
      </c>
      <c r="U2107" s="19"/>
      <c r="V2107" s="19"/>
      <c r="W2107" s="218">
        <v>1</v>
      </c>
      <c r="X2107" s="218">
        <v>1</v>
      </c>
      <c r="Y2107" s="218">
        <v>1</v>
      </c>
    </row>
    <row r="2108" spans="1:25" x14ac:dyDescent="0.3">
      <c r="A2108" s="1" t="s">
        <v>5988</v>
      </c>
      <c r="B2108" s="5">
        <v>46191</v>
      </c>
      <c r="C2108" s="6">
        <v>0.58333333333333304</v>
      </c>
      <c r="D2108" s="1" t="s">
        <v>30</v>
      </c>
      <c r="E2108" s="1" t="s">
        <v>35</v>
      </c>
      <c r="F2108" s="1" t="s">
        <v>5989</v>
      </c>
      <c r="G2108" s="39" t="s">
        <v>5870</v>
      </c>
      <c r="H2108" s="1">
        <v>3</v>
      </c>
      <c r="I2108" s="1">
        <v>3</v>
      </c>
      <c r="J2108" s="39" t="s">
        <v>5855</v>
      </c>
      <c r="K2108" s="1">
        <v>3</v>
      </c>
      <c r="L2108" s="1">
        <v>3</v>
      </c>
      <c r="S2108" s="1" t="s">
        <v>5990</v>
      </c>
      <c r="T2108" s="1">
        <v>1</v>
      </c>
      <c r="U2108" s="19"/>
      <c r="V2108" s="19"/>
      <c r="W2108" s="218">
        <v>1</v>
      </c>
      <c r="X2108" s="218">
        <v>1</v>
      </c>
      <c r="Y2108" s="218">
        <v>1</v>
      </c>
    </row>
    <row r="2109" spans="1:25" x14ac:dyDescent="0.3">
      <c r="A2109" s="1" t="s">
        <v>5991</v>
      </c>
      <c r="B2109" s="5">
        <v>46171</v>
      </c>
      <c r="C2109" s="6">
        <v>0.58333333333333304</v>
      </c>
      <c r="D2109" s="1" t="s">
        <v>30</v>
      </c>
      <c r="E2109" s="1" t="s">
        <v>35</v>
      </c>
      <c r="F2109" s="1" t="s">
        <v>5992</v>
      </c>
      <c r="G2109" s="39" t="s">
        <v>5843</v>
      </c>
      <c r="H2109" s="1">
        <v>2</v>
      </c>
      <c r="I2109" s="1">
        <v>1</v>
      </c>
      <c r="J2109" s="39" t="s">
        <v>5855</v>
      </c>
      <c r="K2109" s="1">
        <v>1</v>
      </c>
      <c r="L2109" s="1">
        <v>2</v>
      </c>
      <c r="S2109" s="1" t="s">
        <v>5993</v>
      </c>
      <c r="T2109" s="1">
        <v>1</v>
      </c>
      <c r="U2109" s="19"/>
      <c r="V2109" s="19"/>
      <c r="W2109" s="218">
        <v>1</v>
      </c>
      <c r="X2109" s="218">
        <v>1</v>
      </c>
      <c r="Y2109" s="218">
        <v>1</v>
      </c>
    </row>
    <row r="2110" spans="1:25" x14ac:dyDescent="0.3">
      <c r="A2110" s="1" t="s">
        <v>5994</v>
      </c>
      <c r="B2110" s="5">
        <v>46156</v>
      </c>
      <c r="C2110" s="6">
        <v>0.375</v>
      </c>
      <c r="D2110" s="1" t="s">
        <v>30</v>
      </c>
      <c r="E2110" s="1" t="s">
        <v>35</v>
      </c>
      <c r="F2110" s="1" t="s">
        <v>5995</v>
      </c>
      <c r="G2110" s="39" t="s">
        <v>5882</v>
      </c>
      <c r="H2110" s="1">
        <v>2</v>
      </c>
      <c r="I2110" s="1">
        <v>1</v>
      </c>
      <c r="J2110" s="39" t="s">
        <v>5855</v>
      </c>
      <c r="K2110" s="1">
        <v>1</v>
      </c>
      <c r="L2110" s="1">
        <v>2</v>
      </c>
      <c r="S2110" s="1" t="s">
        <v>5996</v>
      </c>
      <c r="T2110" s="1">
        <v>1</v>
      </c>
      <c r="U2110" s="19"/>
      <c r="V2110" s="19"/>
      <c r="W2110" s="218">
        <v>1</v>
      </c>
      <c r="X2110" s="218">
        <v>1</v>
      </c>
      <c r="Y2110" s="218">
        <v>1</v>
      </c>
    </row>
    <row r="2111" spans="1:25" x14ac:dyDescent="0.3">
      <c r="A2111" s="1" t="s">
        <v>5997</v>
      </c>
      <c r="B2111" s="5">
        <v>46152</v>
      </c>
      <c r="C2111" s="6">
        <v>0.33333333333333298</v>
      </c>
      <c r="D2111" s="1" t="s">
        <v>30</v>
      </c>
      <c r="E2111" s="1" t="s">
        <v>35</v>
      </c>
      <c r="F2111" s="1" t="s">
        <v>5998</v>
      </c>
      <c r="G2111" s="39" t="s">
        <v>5855</v>
      </c>
      <c r="H2111" s="1">
        <v>3</v>
      </c>
      <c r="I2111" s="1">
        <v>0</v>
      </c>
      <c r="J2111" s="39" t="s">
        <v>167</v>
      </c>
      <c r="K2111" s="1">
        <v>0</v>
      </c>
      <c r="L2111" s="1">
        <v>3</v>
      </c>
      <c r="S2111" s="1" t="s">
        <v>5999</v>
      </c>
      <c r="T2111" s="1">
        <v>1</v>
      </c>
      <c r="U2111" s="19"/>
      <c r="V2111" s="19"/>
      <c r="W2111" s="218">
        <v>1</v>
      </c>
      <c r="X2111" s="218">
        <v>1</v>
      </c>
      <c r="Y2111" s="218">
        <v>1</v>
      </c>
    </row>
    <row r="2112" spans="1:25" x14ac:dyDescent="0.3">
      <c r="A2112" s="1" t="s">
        <v>6000</v>
      </c>
      <c r="B2112" s="5">
        <v>46144</v>
      </c>
      <c r="C2112" s="6">
        <v>0.375</v>
      </c>
      <c r="D2112" s="1" t="s">
        <v>30</v>
      </c>
      <c r="E2112" s="1" t="s">
        <v>35</v>
      </c>
      <c r="F2112" s="1" t="s">
        <v>6001</v>
      </c>
      <c r="G2112" s="39" t="s">
        <v>5851</v>
      </c>
      <c r="H2112" s="1">
        <v>1</v>
      </c>
      <c r="I2112" s="1">
        <v>2</v>
      </c>
      <c r="J2112" s="39" t="s">
        <v>5855</v>
      </c>
      <c r="K2112" s="1">
        <v>2</v>
      </c>
      <c r="L2112" s="1">
        <v>1</v>
      </c>
      <c r="S2112" s="1" t="s">
        <v>6002</v>
      </c>
      <c r="T2112" s="1">
        <v>1</v>
      </c>
      <c r="U2112" s="19"/>
      <c r="V2112" s="19"/>
      <c r="W2112" s="218">
        <v>1</v>
      </c>
      <c r="X2112" s="218">
        <v>1</v>
      </c>
      <c r="Y2112" s="218">
        <v>1</v>
      </c>
    </row>
    <row r="2113" spans="1:25" x14ac:dyDescent="0.3">
      <c r="A2113" s="1" t="s">
        <v>6003</v>
      </c>
      <c r="B2113" s="5">
        <v>46137</v>
      </c>
      <c r="C2113" s="6">
        <v>0.33333333333333298</v>
      </c>
      <c r="D2113" s="1" t="s">
        <v>30</v>
      </c>
      <c r="E2113" s="1" t="s">
        <v>35</v>
      </c>
      <c r="F2113" s="1" t="s">
        <v>6004</v>
      </c>
      <c r="G2113" s="39" t="s">
        <v>5855</v>
      </c>
      <c r="H2113" s="1">
        <v>4</v>
      </c>
      <c r="I2113" s="1">
        <v>0</v>
      </c>
      <c r="J2113" s="39" t="s">
        <v>5862</v>
      </c>
      <c r="K2113" s="1">
        <v>0</v>
      </c>
      <c r="L2113" s="1">
        <v>4</v>
      </c>
      <c r="S2113" s="1" t="s">
        <v>6005</v>
      </c>
      <c r="T2113" s="1">
        <v>1</v>
      </c>
      <c r="U2113" s="19"/>
      <c r="V2113" s="19"/>
      <c r="W2113" s="218">
        <v>1</v>
      </c>
      <c r="X2113" s="218">
        <v>1</v>
      </c>
      <c r="Y2113" s="218">
        <v>1</v>
      </c>
    </row>
    <row r="2114" spans="1:25" x14ac:dyDescent="0.3">
      <c r="A2114" s="1" t="s">
        <v>6006</v>
      </c>
      <c r="B2114" s="5">
        <v>46241</v>
      </c>
      <c r="C2114" s="6">
        <v>0.5625</v>
      </c>
      <c r="D2114" s="1" t="s">
        <v>30</v>
      </c>
      <c r="E2114" s="1" t="s">
        <v>35</v>
      </c>
      <c r="F2114" s="1" t="s">
        <v>6007</v>
      </c>
      <c r="G2114" s="39" t="s">
        <v>5847</v>
      </c>
      <c r="H2114" s="1">
        <v>4</v>
      </c>
      <c r="I2114" s="1">
        <v>1</v>
      </c>
      <c r="J2114" s="39" t="s">
        <v>5878</v>
      </c>
      <c r="K2114" s="1">
        <v>1</v>
      </c>
      <c r="L2114" s="1">
        <v>4</v>
      </c>
      <c r="S2114" s="1" t="s">
        <v>6008</v>
      </c>
      <c r="T2114" s="1">
        <v>1</v>
      </c>
      <c r="U2114" s="19"/>
      <c r="V2114" s="19"/>
      <c r="W2114" s="218">
        <v>1</v>
      </c>
      <c r="X2114" s="218">
        <v>1</v>
      </c>
      <c r="Y2114" s="218">
        <v>1</v>
      </c>
    </row>
    <row r="2115" spans="1:25" x14ac:dyDescent="0.3">
      <c r="A2115" s="1" t="s">
        <v>6009</v>
      </c>
      <c r="B2115" s="5">
        <v>46190</v>
      </c>
      <c r="C2115" s="6">
        <v>0.58333333333333304</v>
      </c>
      <c r="D2115" s="1" t="s">
        <v>30</v>
      </c>
      <c r="E2115" s="1" t="s">
        <v>35</v>
      </c>
      <c r="F2115" s="1" t="s">
        <v>6010</v>
      </c>
      <c r="G2115" s="39" t="s">
        <v>5843</v>
      </c>
      <c r="H2115" s="1">
        <v>2</v>
      </c>
      <c r="I2115" s="1">
        <v>3</v>
      </c>
      <c r="J2115" s="39" t="s">
        <v>5847</v>
      </c>
      <c r="K2115" s="1">
        <v>3</v>
      </c>
      <c r="L2115" s="1">
        <v>2</v>
      </c>
      <c r="S2115" s="1" t="s">
        <v>6011</v>
      </c>
      <c r="T2115" s="1">
        <v>1</v>
      </c>
      <c r="U2115" s="19"/>
      <c r="V2115" s="19"/>
      <c r="W2115" s="218">
        <v>1</v>
      </c>
      <c r="X2115" s="218">
        <v>1</v>
      </c>
      <c r="Y2115" s="218">
        <v>1</v>
      </c>
    </row>
    <row r="2116" spans="1:25" x14ac:dyDescent="0.3">
      <c r="A2116" s="1" t="s">
        <v>6012</v>
      </c>
      <c r="B2116" s="5">
        <v>46185</v>
      </c>
      <c r="C2116" s="6">
        <v>0.58333333333333304</v>
      </c>
      <c r="D2116" s="1" t="s">
        <v>30</v>
      </c>
      <c r="E2116" s="1" t="s">
        <v>35</v>
      </c>
      <c r="F2116" s="1" t="s">
        <v>6013</v>
      </c>
      <c r="G2116" s="39" t="s">
        <v>5847</v>
      </c>
      <c r="H2116" s="1">
        <v>2</v>
      </c>
      <c r="I2116" s="1">
        <v>1</v>
      </c>
      <c r="J2116" s="39" t="s">
        <v>167</v>
      </c>
      <c r="K2116" s="1">
        <v>1</v>
      </c>
      <c r="L2116" s="1">
        <v>2</v>
      </c>
      <c r="S2116" s="1" t="s">
        <v>6014</v>
      </c>
      <c r="T2116" s="1">
        <v>1</v>
      </c>
      <c r="U2116" s="19"/>
      <c r="V2116" s="19"/>
      <c r="W2116" s="218">
        <v>1</v>
      </c>
      <c r="X2116" s="218">
        <v>1</v>
      </c>
      <c r="Y2116" s="218">
        <v>1</v>
      </c>
    </row>
    <row r="2117" spans="1:25" x14ac:dyDescent="0.3">
      <c r="A2117" s="1" t="s">
        <v>6015</v>
      </c>
      <c r="B2117" s="5">
        <v>46172</v>
      </c>
      <c r="C2117" s="6">
        <v>0.33333333333333298</v>
      </c>
      <c r="D2117" s="1" t="s">
        <v>30</v>
      </c>
      <c r="E2117" s="1" t="s">
        <v>35</v>
      </c>
      <c r="F2117" s="1" t="s">
        <v>6016</v>
      </c>
      <c r="G2117" s="39" t="s">
        <v>5847</v>
      </c>
      <c r="H2117" s="1">
        <v>3</v>
      </c>
      <c r="I2117" s="1">
        <v>1</v>
      </c>
      <c r="J2117" s="39" t="s">
        <v>5870</v>
      </c>
      <c r="K2117" s="1">
        <v>1</v>
      </c>
      <c r="L2117" s="1">
        <v>3</v>
      </c>
      <c r="S2117" s="1" t="s">
        <v>6017</v>
      </c>
      <c r="T2117" s="1">
        <v>1</v>
      </c>
      <c r="U2117" s="19"/>
      <c r="V2117" s="19"/>
      <c r="W2117" s="218">
        <v>1</v>
      </c>
      <c r="X2117" s="218">
        <v>1</v>
      </c>
      <c r="Y2117" s="218">
        <v>1</v>
      </c>
    </row>
    <row r="2118" spans="1:25" x14ac:dyDescent="0.3">
      <c r="A2118" s="1" t="s">
        <v>6018</v>
      </c>
      <c r="B2118" s="5">
        <v>46164</v>
      </c>
      <c r="C2118" s="6">
        <v>0.58333333333333304</v>
      </c>
      <c r="D2118" s="1" t="s">
        <v>30</v>
      </c>
      <c r="E2118" s="1" t="s">
        <v>35</v>
      </c>
      <c r="F2118" s="1" t="s">
        <v>6019</v>
      </c>
      <c r="G2118" s="39" t="s">
        <v>5878</v>
      </c>
      <c r="H2118" s="1">
        <v>2</v>
      </c>
      <c r="I2118" s="1">
        <v>1</v>
      </c>
      <c r="J2118" s="39" t="s">
        <v>5847</v>
      </c>
      <c r="K2118" s="1">
        <v>1</v>
      </c>
      <c r="L2118" s="1">
        <v>2</v>
      </c>
      <c r="S2118" s="1" t="s">
        <v>6020</v>
      </c>
      <c r="T2118" s="1">
        <v>1</v>
      </c>
      <c r="U2118" s="19"/>
      <c r="V2118" s="19"/>
      <c r="W2118" s="218">
        <v>1</v>
      </c>
      <c r="X2118" s="218">
        <v>1</v>
      </c>
      <c r="Y2118" s="218">
        <v>1</v>
      </c>
    </row>
    <row r="2119" spans="1:25" x14ac:dyDescent="0.3">
      <c r="A2119" s="1" t="s">
        <v>6021</v>
      </c>
      <c r="B2119" s="5">
        <v>46142</v>
      </c>
      <c r="C2119" s="6">
        <v>0.58333333333333304</v>
      </c>
      <c r="D2119" s="1" t="s">
        <v>30</v>
      </c>
      <c r="E2119" s="1" t="s">
        <v>35</v>
      </c>
      <c r="F2119" s="1" t="s">
        <v>6022</v>
      </c>
      <c r="G2119" s="39" t="s">
        <v>5862</v>
      </c>
      <c r="H2119" s="1">
        <v>0</v>
      </c>
      <c r="I2119" s="1">
        <v>0</v>
      </c>
      <c r="J2119" s="39" t="s">
        <v>5847</v>
      </c>
      <c r="K2119" s="1">
        <v>0</v>
      </c>
      <c r="L2119" s="1">
        <v>0</v>
      </c>
      <c r="S2119" s="1" t="s">
        <v>6023</v>
      </c>
      <c r="T2119" s="1">
        <v>1</v>
      </c>
      <c r="U2119" s="19"/>
      <c r="V2119" s="19"/>
      <c r="W2119" s="218">
        <v>1</v>
      </c>
      <c r="X2119" s="218">
        <v>1</v>
      </c>
      <c r="Y2119" s="218">
        <v>1</v>
      </c>
    </row>
    <row r="2120" spans="1:25" x14ac:dyDescent="0.3">
      <c r="A2120" s="1" t="s">
        <v>6024</v>
      </c>
      <c r="B2120" s="5">
        <v>46138</v>
      </c>
      <c r="C2120" s="6">
        <v>0.45833333333333298</v>
      </c>
      <c r="D2120" s="1" t="s">
        <v>30</v>
      </c>
      <c r="E2120" s="1" t="s">
        <v>35</v>
      </c>
      <c r="F2120" s="1" t="s">
        <v>6025</v>
      </c>
      <c r="G2120" s="39" t="s">
        <v>5847</v>
      </c>
      <c r="H2120" s="1">
        <v>2</v>
      </c>
      <c r="I2120" s="1">
        <v>1</v>
      </c>
      <c r="J2120" s="39" t="s">
        <v>5874</v>
      </c>
      <c r="K2120" s="1">
        <v>1</v>
      </c>
      <c r="L2120" s="1">
        <v>2</v>
      </c>
      <c r="S2120" s="1" t="s">
        <v>6026</v>
      </c>
      <c r="T2120" s="1">
        <v>1</v>
      </c>
      <c r="U2120" s="19"/>
      <c r="V2120" s="19"/>
      <c r="W2120" s="218">
        <v>1</v>
      </c>
      <c r="X2120" s="218">
        <v>1</v>
      </c>
      <c r="Y2120" s="218">
        <v>1</v>
      </c>
    </row>
    <row r="2121" spans="1:25" x14ac:dyDescent="0.3">
      <c r="A2121" s="1" t="s">
        <v>6027</v>
      </c>
      <c r="B2121" s="5">
        <v>46190</v>
      </c>
      <c r="C2121" s="6">
        <v>0.58333333333333304</v>
      </c>
      <c r="D2121" s="1" t="s">
        <v>30</v>
      </c>
      <c r="E2121" s="1" t="s">
        <v>35</v>
      </c>
      <c r="F2121" s="1" t="s">
        <v>6028</v>
      </c>
      <c r="G2121" s="39" t="s">
        <v>167</v>
      </c>
      <c r="H2121" s="1">
        <v>3</v>
      </c>
      <c r="I2121" s="1">
        <v>3</v>
      </c>
      <c r="J2121" s="39" t="s">
        <v>5862</v>
      </c>
      <c r="K2121" s="1">
        <v>3</v>
      </c>
      <c r="L2121" s="1">
        <v>3</v>
      </c>
      <c r="S2121" s="1" t="s">
        <v>6029</v>
      </c>
      <c r="T2121" s="1">
        <v>1</v>
      </c>
      <c r="U2121" s="19"/>
      <c r="V2121" s="19"/>
      <c r="W2121" s="218">
        <v>1</v>
      </c>
      <c r="X2121" s="218">
        <v>1</v>
      </c>
      <c r="Y2121" s="218">
        <v>1</v>
      </c>
    </row>
    <row r="2122" spans="1:25" x14ac:dyDescent="0.3">
      <c r="A2122" s="1" t="s">
        <v>6030</v>
      </c>
      <c r="B2122" s="5">
        <v>46172</v>
      </c>
      <c r="C2122" s="6">
        <v>0.45833333333333298</v>
      </c>
      <c r="D2122" s="1" t="s">
        <v>30</v>
      </c>
      <c r="E2122" s="1" t="s">
        <v>35</v>
      </c>
      <c r="F2122" s="1" t="s">
        <v>6031</v>
      </c>
      <c r="G2122" s="39" t="s">
        <v>167</v>
      </c>
      <c r="H2122" s="1">
        <v>2</v>
      </c>
      <c r="I2122" s="1">
        <v>2</v>
      </c>
      <c r="J2122" s="39" t="s">
        <v>5851</v>
      </c>
      <c r="K2122" s="1">
        <v>2</v>
      </c>
      <c r="L2122" s="1">
        <v>2</v>
      </c>
      <c r="S2122" s="1" t="s">
        <v>6032</v>
      </c>
      <c r="T2122" s="1">
        <v>1</v>
      </c>
      <c r="U2122" s="19"/>
      <c r="V2122" s="19"/>
      <c r="W2122" s="218">
        <v>1</v>
      </c>
      <c r="X2122" s="218">
        <v>1</v>
      </c>
      <c r="Y2122" s="218">
        <v>1</v>
      </c>
    </row>
    <row r="2123" spans="1:25" x14ac:dyDescent="0.3">
      <c r="A2123" s="1" t="s">
        <v>6033</v>
      </c>
      <c r="B2123" s="5">
        <v>46164</v>
      </c>
      <c r="C2123" s="6">
        <v>0.58333333333333304</v>
      </c>
      <c r="D2123" s="1" t="s">
        <v>30</v>
      </c>
      <c r="E2123" s="1" t="s">
        <v>35</v>
      </c>
      <c r="F2123" s="1" t="s">
        <v>6034</v>
      </c>
      <c r="G2123" s="39" t="s">
        <v>5870</v>
      </c>
      <c r="H2123" s="1">
        <v>5</v>
      </c>
      <c r="I2123" s="1">
        <v>0</v>
      </c>
      <c r="J2123" s="39" t="s">
        <v>167</v>
      </c>
      <c r="K2123" s="1">
        <v>0</v>
      </c>
      <c r="L2123" s="1">
        <v>5</v>
      </c>
      <c r="S2123" s="1" t="s">
        <v>6035</v>
      </c>
      <c r="T2123" s="1">
        <v>1</v>
      </c>
      <c r="U2123" s="19"/>
      <c r="V2123" s="19"/>
      <c r="W2123" s="218">
        <v>1</v>
      </c>
      <c r="X2123" s="218">
        <v>1</v>
      </c>
      <c r="Y2123" s="218">
        <v>1</v>
      </c>
    </row>
    <row r="2124" spans="1:25" x14ac:dyDescent="0.3">
      <c r="A2124" s="1" t="s">
        <v>6036</v>
      </c>
      <c r="B2124" s="5">
        <v>46158</v>
      </c>
      <c r="C2124" s="6">
        <v>0.45833333333333298</v>
      </c>
      <c r="D2124" s="1" t="s">
        <v>30</v>
      </c>
      <c r="E2124" s="1" t="s">
        <v>35</v>
      </c>
      <c r="F2124" s="1" t="s">
        <v>6037</v>
      </c>
      <c r="G2124" s="39" t="s">
        <v>167</v>
      </c>
      <c r="H2124" s="1">
        <v>2</v>
      </c>
      <c r="I2124" s="1">
        <v>0</v>
      </c>
      <c r="J2124" s="39" t="s">
        <v>5878</v>
      </c>
      <c r="K2124" s="1">
        <v>0</v>
      </c>
      <c r="L2124" s="1">
        <v>2</v>
      </c>
      <c r="S2124" s="1" t="s">
        <v>6038</v>
      </c>
      <c r="T2124" s="1">
        <v>1</v>
      </c>
      <c r="U2124" s="19"/>
      <c r="V2124" s="19"/>
      <c r="W2124" s="218">
        <v>1</v>
      </c>
      <c r="X2124" s="218">
        <v>1</v>
      </c>
      <c r="Y2124" s="218">
        <v>1</v>
      </c>
    </row>
    <row r="2125" spans="1:25" x14ac:dyDescent="0.3">
      <c r="A2125" s="1" t="s">
        <v>6039</v>
      </c>
      <c r="B2125" s="5">
        <v>46136</v>
      </c>
      <c r="C2125" s="6">
        <v>0.58333333333333304</v>
      </c>
      <c r="D2125" s="1" t="s">
        <v>30</v>
      </c>
      <c r="E2125" s="1" t="s">
        <v>35</v>
      </c>
      <c r="F2125" s="1" t="s">
        <v>6040</v>
      </c>
      <c r="G2125" s="39" t="s">
        <v>5843</v>
      </c>
      <c r="H2125" s="1">
        <v>1</v>
      </c>
      <c r="I2125" s="1">
        <v>3</v>
      </c>
      <c r="J2125" s="39" t="s">
        <v>167</v>
      </c>
      <c r="K2125" s="1">
        <v>3</v>
      </c>
      <c r="L2125" s="1">
        <v>1</v>
      </c>
      <c r="S2125" s="1" t="s">
        <v>6041</v>
      </c>
      <c r="T2125" s="1">
        <v>1</v>
      </c>
      <c r="U2125" s="19"/>
      <c r="V2125" s="19"/>
      <c r="W2125" s="218">
        <v>1</v>
      </c>
      <c r="X2125" s="218">
        <v>1</v>
      </c>
      <c r="Y2125" s="218">
        <v>1</v>
      </c>
    </row>
    <row r="2126" spans="1:25" x14ac:dyDescent="0.3">
      <c r="A2126" s="1" t="s">
        <v>6042</v>
      </c>
      <c r="B2126" s="5">
        <v>46130</v>
      </c>
      <c r="C2126" s="6">
        <v>0.375</v>
      </c>
      <c r="D2126" s="1" t="s">
        <v>30</v>
      </c>
      <c r="E2126" s="1" t="s">
        <v>35</v>
      </c>
      <c r="F2126" s="1" t="s">
        <v>6043</v>
      </c>
      <c r="G2126" s="39" t="s">
        <v>167</v>
      </c>
      <c r="H2126" s="1">
        <v>0</v>
      </c>
      <c r="I2126" s="1">
        <v>0</v>
      </c>
      <c r="J2126" s="39" t="s">
        <v>5882</v>
      </c>
      <c r="K2126" s="1">
        <v>0</v>
      </c>
      <c r="L2126" s="1">
        <v>0</v>
      </c>
      <c r="S2126" s="1" t="s">
        <v>6044</v>
      </c>
      <c r="T2126" s="1">
        <v>1</v>
      </c>
      <c r="U2126" s="19"/>
      <c r="V2126" s="19"/>
      <c r="W2126" s="218">
        <v>1</v>
      </c>
      <c r="X2126" s="218">
        <v>1</v>
      </c>
      <c r="Y2126" s="218">
        <v>1</v>
      </c>
    </row>
    <row r="2127" spans="1:25" x14ac:dyDescent="0.3">
      <c r="A2127" s="1" t="s">
        <v>6045</v>
      </c>
      <c r="B2127" s="5">
        <v>46180</v>
      </c>
      <c r="C2127" s="6">
        <v>0.45833333333333298</v>
      </c>
      <c r="D2127" s="1" t="s">
        <v>30</v>
      </c>
      <c r="E2127" s="1" t="s">
        <v>35</v>
      </c>
      <c r="F2127" s="1" t="s">
        <v>6046</v>
      </c>
      <c r="G2127" s="39" t="s">
        <v>5870</v>
      </c>
      <c r="H2127" s="1">
        <v>2</v>
      </c>
      <c r="I2127" s="1">
        <v>2</v>
      </c>
      <c r="J2127" s="39" t="s">
        <v>5882</v>
      </c>
      <c r="K2127" s="1">
        <v>2</v>
      </c>
      <c r="L2127" s="1">
        <v>2</v>
      </c>
      <c r="S2127" s="1" t="s">
        <v>6047</v>
      </c>
      <c r="T2127" s="1">
        <v>1</v>
      </c>
      <c r="U2127" s="19"/>
      <c r="V2127" s="19"/>
      <c r="W2127" s="218">
        <v>1</v>
      </c>
      <c r="X2127" s="218">
        <v>1</v>
      </c>
      <c r="Y2127" s="218">
        <v>1</v>
      </c>
    </row>
    <row r="2128" spans="1:25" x14ac:dyDescent="0.3">
      <c r="A2128" s="1" t="s">
        <v>6048</v>
      </c>
      <c r="B2128" s="5">
        <v>46171</v>
      </c>
      <c r="C2128" s="6">
        <v>0.58333333333333304</v>
      </c>
      <c r="D2128" s="1" t="s">
        <v>30</v>
      </c>
      <c r="E2128" s="1" t="s">
        <v>35</v>
      </c>
      <c r="F2128" s="1" t="s">
        <v>6049</v>
      </c>
      <c r="G2128" s="39" t="s">
        <v>5882</v>
      </c>
      <c r="H2128" s="1">
        <v>0</v>
      </c>
      <c r="I2128" s="1">
        <v>2</v>
      </c>
      <c r="J2128" s="39" t="s">
        <v>5874</v>
      </c>
      <c r="K2128" s="1">
        <v>2</v>
      </c>
      <c r="L2128" s="1">
        <v>0</v>
      </c>
      <c r="S2128" s="1" t="s">
        <v>6050</v>
      </c>
      <c r="T2128" s="1">
        <v>1</v>
      </c>
      <c r="U2128" s="19"/>
      <c r="V2128" s="19"/>
      <c r="W2128" s="218">
        <v>1</v>
      </c>
      <c r="X2128" s="218">
        <v>1</v>
      </c>
      <c r="Y2128" s="218">
        <v>1</v>
      </c>
    </row>
    <row r="2129" spans="1:25" x14ac:dyDescent="0.3">
      <c r="A2129" s="1" t="s">
        <v>6051</v>
      </c>
      <c r="B2129" s="5">
        <v>46164</v>
      </c>
      <c r="C2129" s="6">
        <v>0.58333333333333304</v>
      </c>
      <c r="D2129" s="1" t="s">
        <v>30</v>
      </c>
      <c r="E2129" s="1" t="s">
        <v>35</v>
      </c>
      <c r="F2129" s="1" t="s">
        <v>6052</v>
      </c>
      <c r="G2129" s="39" t="s">
        <v>5851</v>
      </c>
      <c r="H2129" s="1">
        <v>1</v>
      </c>
      <c r="I2129" s="1">
        <v>2</v>
      </c>
      <c r="J2129" s="39" t="s">
        <v>5882</v>
      </c>
      <c r="K2129" s="1">
        <v>2</v>
      </c>
      <c r="L2129" s="1">
        <v>1</v>
      </c>
      <c r="S2129" s="1" t="s">
        <v>6053</v>
      </c>
      <c r="T2129" s="1">
        <v>1</v>
      </c>
      <c r="U2129" s="19"/>
      <c r="V2129" s="19"/>
      <c r="W2129" s="218">
        <v>1</v>
      </c>
      <c r="X2129" s="218">
        <v>1</v>
      </c>
      <c r="Y2129" s="218">
        <v>1</v>
      </c>
    </row>
    <row r="2130" spans="1:25" x14ac:dyDescent="0.3">
      <c r="A2130" s="1" t="s">
        <v>6054</v>
      </c>
      <c r="B2130" s="5">
        <v>46151</v>
      </c>
      <c r="C2130" s="6">
        <v>0.33333333333333298</v>
      </c>
      <c r="D2130" s="1" t="s">
        <v>30</v>
      </c>
      <c r="E2130" s="1" t="s">
        <v>35</v>
      </c>
      <c r="F2130" s="1" t="s">
        <v>6055</v>
      </c>
      <c r="G2130" s="39" t="s">
        <v>5862</v>
      </c>
      <c r="H2130" s="1">
        <v>1</v>
      </c>
      <c r="I2130" s="1">
        <v>1</v>
      </c>
      <c r="J2130" s="39" t="s">
        <v>5882</v>
      </c>
      <c r="K2130" s="1">
        <v>1</v>
      </c>
      <c r="L2130" s="1">
        <v>1</v>
      </c>
      <c r="S2130" s="1" t="s">
        <v>6056</v>
      </c>
      <c r="T2130" s="1">
        <v>1</v>
      </c>
      <c r="U2130" s="19"/>
      <c r="V2130" s="19"/>
      <c r="W2130" s="218">
        <v>1</v>
      </c>
      <c r="X2130" s="218">
        <v>1</v>
      </c>
      <c r="Y2130" s="218">
        <v>1</v>
      </c>
    </row>
    <row r="2131" spans="1:25" x14ac:dyDescent="0.3">
      <c r="A2131" s="1" t="s">
        <v>6057</v>
      </c>
      <c r="B2131" s="5">
        <v>46242</v>
      </c>
      <c r="C2131" s="6">
        <v>0.33333333333333298</v>
      </c>
      <c r="D2131" s="1" t="s">
        <v>30</v>
      </c>
      <c r="E2131" s="1" t="s">
        <v>35</v>
      </c>
      <c r="F2131" s="1" t="s">
        <v>6058</v>
      </c>
      <c r="G2131" s="39" t="s">
        <v>5870</v>
      </c>
      <c r="H2131" s="1">
        <v>1</v>
      </c>
      <c r="I2131" s="1">
        <v>1</v>
      </c>
      <c r="J2131" s="39" t="s">
        <v>5862</v>
      </c>
      <c r="K2131" s="1">
        <v>1</v>
      </c>
      <c r="L2131" s="1">
        <v>1</v>
      </c>
      <c r="S2131" s="1" t="s">
        <v>6059</v>
      </c>
      <c r="T2131" s="1">
        <v>1</v>
      </c>
      <c r="U2131" s="19"/>
      <c r="V2131" s="19"/>
      <c r="W2131" s="218">
        <v>1</v>
      </c>
      <c r="X2131" s="218">
        <v>1</v>
      </c>
      <c r="Y2131" s="218">
        <v>1</v>
      </c>
    </row>
    <row r="2132" spans="1:25" x14ac:dyDescent="0.3">
      <c r="A2132" s="1" t="s">
        <v>6060</v>
      </c>
      <c r="B2132" s="5">
        <v>46237</v>
      </c>
      <c r="C2132" s="6">
        <v>0.58333333333333304</v>
      </c>
      <c r="D2132" s="1" t="s">
        <v>30</v>
      </c>
      <c r="E2132" s="1" t="s">
        <v>35</v>
      </c>
      <c r="F2132" s="1" t="s">
        <v>6061</v>
      </c>
      <c r="G2132" s="39" t="s">
        <v>5843</v>
      </c>
      <c r="H2132" s="1">
        <v>2</v>
      </c>
      <c r="I2132" s="1">
        <v>0</v>
      </c>
      <c r="J2132" s="39" t="s">
        <v>5870</v>
      </c>
      <c r="K2132" s="1">
        <v>0</v>
      </c>
      <c r="L2132" s="1">
        <v>2</v>
      </c>
      <c r="S2132" s="1" t="s">
        <v>6062</v>
      </c>
      <c r="T2132" s="1">
        <v>1</v>
      </c>
      <c r="U2132" s="19"/>
      <c r="V2132" s="19"/>
      <c r="W2132" s="218">
        <v>1</v>
      </c>
      <c r="X2132" s="218">
        <v>1</v>
      </c>
      <c r="Y2132" s="218">
        <v>1</v>
      </c>
    </row>
    <row r="2133" spans="1:25" x14ac:dyDescent="0.3">
      <c r="A2133" s="1" t="s">
        <v>6063</v>
      </c>
      <c r="B2133" s="5">
        <v>46200</v>
      </c>
      <c r="C2133" s="6">
        <v>0.45833333333333298</v>
      </c>
      <c r="D2133" s="1" t="s">
        <v>30</v>
      </c>
      <c r="E2133" s="1" t="s">
        <v>35</v>
      </c>
      <c r="F2133" s="1" t="s">
        <v>6064</v>
      </c>
      <c r="G2133" s="39" t="s">
        <v>5874</v>
      </c>
      <c r="H2133" s="1">
        <v>1</v>
      </c>
      <c r="I2133" s="1">
        <v>4</v>
      </c>
      <c r="J2133" s="39" t="s">
        <v>5870</v>
      </c>
      <c r="K2133" s="1">
        <v>4</v>
      </c>
      <c r="L2133" s="1">
        <v>1</v>
      </c>
      <c r="S2133" s="1" t="s">
        <v>6065</v>
      </c>
      <c r="T2133" s="1">
        <v>1</v>
      </c>
      <c r="U2133" s="19"/>
      <c r="V2133" s="19"/>
      <c r="W2133" s="218">
        <v>1</v>
      </c>
      <c r="X2133" s="218">
        <v>1</v>
      </c>
      <c r="Y2133" s="218">
        <v>1</v>
      </c>
    </row>
    <row r="2134" spans="1:25" x14ac:dyDescent="0.3">
      <c r="A2134" s="1" t="s">
        <v>6066</v>
      </c>
      <c r="B2134" s="5">
        <v>46197</v>
      </c>
      <c r="C2134" s="6">
        <v>0.58333333333333304</v>
      </c>
      <c r="D2134" s="1" t="s">
        <v>30</v>
      </c>
      <c r="E2134" s="1" t="s">
        <v>35</v>
      </c>
      <c r="F2134" s="1" t="s">
        <v>6067</v>
      </c>
      <c r="G2134" s="39" t="s">
        <v>5862</v>
      </c>
      <c r="H2134" s="1">
        <v>4</v>
      </c>
      <c r="I2134" s="1">
        <v>0</v>
      </c>
      <c r="J2134" s="39" t="s">
        <v>5843</v>
      </c>
      <c r="K2134" s="1">
        <v>0</v>
      </c>
      <c r="L2134" s="1">
        <v>4</v>
      </c>
      <c r="S2134" s="1" t="s">
        <v>6068</v>
      </c>
      <c r="T2134" s="1">
        <v>1</v>
      </c>
      <c r="U2134" s="19"/>
      <c r="V2134" s="19"/>
      <c r="W2134" s="218">
        <v>1</v>
      </c>
      <c r="X2134" s="218">
        <v>1</v>
      </c>
      <c r="Y2134" s="218">
        <v>1</v>
      </c>
    </row>
    <row r="2135" spans="1:25" x14ac:dyDescent="0.3">
      <c r="A2135" s="1" t="s">
        <v>6069</v>
      </c>
      <c r="B2135" s="5">
        <v>46191</v>
      </c>
      <c r="C2135" s="6">
        <v>0.58333333333333304</v>
      </c>
      <c r="D2135" s="1" t="s">
        <v>30</v>
      </c>
      <c r="E2135" s="1" t="s">
        <v>35</v>
      </c>
      <c r="F2135" s="1" t="s">
        <v>6070</v>
      </c>
      <c r="G2135" s="39" t="s">
        <v>5878</v>
      </c>
      <c r="H2135" s="1">
        <v>1</v>
      </c>
      <c r="I2135" s="1">
        <v>1</v>
      </c>
      <c r="J2135" s="39" t="s">
        <v>5874</v>
      </c>
      <c r="K2135" s="1">
        <v>1</v>
      </c>
      <c r="L2135" s="1">
        <v>1</v>
      </c>
      <c r="S2135" s="1" t="s">
        <v>6071</v>
      </c>
      <c r="T2135" s="1">
        <v>1</v>
      </c>
      <c r="U2135" s="19"/>
      <c r="V2135" s="19"/>
      <c r="W2135" s="218">
        <v>1</v>
      </c>
      <c r="X2135" s="218">
        <v>1</v>
      </c>
      <c r="Y2135" s="218">
        <v>1</v>
      </c>
    </row>
    <row r="2136" spans="1:25" x14ac:dyDescent="0.3">
      <c r="A2136" s="1" t="s">
        <v>6072</v>
      </c>
      <c r="B2136" s="5">
        <v>46185</v>
      </c>
      <c r="C2136" s="6">
        <v>0.58333333333333304</v>
      </c>
      <c r="D2136" s="1" t="s">
        <v>30</v>
      </c>
      <c r="E2136" s="1" t="s">
        <v>35</v>
      </c>
      <c r="F2136" s="1" t="s">
        <v>6073</v>
      </c>
      <c r="G2136" s="39" t="s">
        <v>5851</v>
      </c>
      <c r="H2136" s="1">
        <v>0</v>
      </c>
      <c r="I2136" s="1">
        <v>2</v>
      </c>
      <c r="J2136" s="39" t="s">
        <v>5878</v>
      </c>
      <c r="K2136" s="1">
        <v>2</v>
      </c>
      <c r="L2136" s="1">
        <v>0</v>
      </c>
      <c r="S2136" s="1" t="s">
        <v>6074</v>
      </c>
      <c r="T2136" s="1">
        <v>1</v>
      </c>
      <c r="U2136" s="19"/>
      <c r="V2136" s="19"/>
      <c r="W2136" s="218">
        <v>1</v>
      </c>
      <c r="X2136" s="218">
        <v>1</v>
      </c>
      <c r="Y2136" s="218">
        <v>1</v>
      </c>
    </row>
    <row r="2137" spans="1:25" x14ac:dyDescent="0.3">
      <c r="A2137" s="1" t="s">
        <v>6075</v>
      </c>
      <c r="B2137" s="5">
        <v>46185</v>
      </c>
      <c r="C2137" s="6">
        <v>0.58333333333333304</v>
      </c>
      <c r="D2137" s="1" t="s">
        <v>30</v>
      </c>
      <c r="E2137" s="1" t="s">
        <v>35</v>
      </c>
      <c r="F2137" s="1" t="s">
        <v>6076</v>
      </c>
      <c r="G2137" s="39" t="s">
        <v>5862</v>
      </c>
      <c r="H2137" s="1">
        <v>0</v>
      </c>
      <c r="I2137" s="1">
        <v>0</v>
      </c>
      <c r="J2137" s="39" t="s">
        <v>5870</v>
      </c>
      <c r="K2137" s="1">
        <v>0</v>
      </c>
      <c r="L2137" s="1">
        <v>0</v>
      </c>
      <c r="S2137" s="1" t="s">
        <v>6077</v>
      </c>
      <c r="T2137" s="1">
        <v>1</v>
      </c>
      <c r="U2137" s="19"/>
      <c r="V2137" s="19"/>
      <c r="W2137" s="218">
        <v>1</v>
      </c>
      <c r="X2137" s="218">
        <v>1</v>
      </c>
      <c r="Y2137" s="218">
        <v>1</v>
      </c>
    </row>
    <row r="2138" spans="1:25" x14ac:dyDescent="0.3">
      <c r="A2138" s="1" t="s">
        <v>6078</v>
      </c>
      <c r="B2138" s="5">
        <v>46180</v>
      </c>
      <c r="C2138" s="6">
        <v>0.41666666666666702</v>
      </c>
      <c r="D2138" s="1" t="s">
        <v>30</v>
      </c>
      <c r="E2138" s="1" t="s">
        <v>35</v>
      </c>
      <c r="F2138" s="1" t="s">
        <v>6079</v>
      </c>
      <c r="G2138" s="39" t="s">
        <v>5851</v>
      </c>
      <c r="H2138" s="1">
        <v>2</v>
      </c>
      <c r="I2138" s="1">
        <v>0</v>
      </c>
      <c r="J2138" s="39" t="s">
        <v>5862</v>
      </c>
      <c r="K2138" s="1">
        <v>0</v>
      </c>
      <c r="L2138" s="1">
        <v>2</v>
      </c>
      <c r="S2138" s="1" t="s">
        <v>6080</v>
      </c>
      <c r="T2138" s="1">
        <v>1</v>
      </c>
      <c r="U2138" s="19"/>
      <c r="V2138" s="19"/>
      <c r="W2138" s="218">
        <v>1</v>
      </c>
      <c r="X2138" s="218">
        <v>1</v>
      </c>
      <c r="Y2138" s="218">
        <v>1</v>
      </c>
    </row>
    <row r="2139" spans="1:25" x14ac:dyDescent="0.3">
      <c r="A2139" s="1" t="s">
        <v>6081</v>
      </c>
      <c r="B2139" s="5">
        <v>46177</v>
      </c>
      <c r="C2139" s="6">
        <v>0.60416666666666696</v>
      </c>
      <c r="D2139" s="1" t="s">
        <v>30</v>
      </c>
      <c r="E2139" s="1" t="s">
        <v>35</v>
      </c>
      <c r="F2139" s="1" t="s">
        <v>6082</v>
      </c>
      <c r="G2139" s="39" t="s">
        <v>5878</v>
      </c>
      <c r="H2139" s="1">
        <v>1</v>
      </c>
      <c r="I2139" s="1">
        <v>3</v>
      </c>
      <c r="J2139" s="39" t="s">
        <v>5843</v>
      </c>
      <c r="K2139" s="1">
        <v>3</v>
      </c>
      <c r="L2139" s="1">
        <v>1</v>
      </c>
      <c r="S2139" s="1" t="s">
        <v>6083</v>
      </c>
      <c r="T2139" s="1">
        <v>1</v>
      </c>
      <c r="U2139" s="19"/>
      <c r="V2139" s="19"/>
      <c r="W2139" s="218">
        <v>1</v>
      </c>
      <c r="X2139" s="218">
        <v>1</v>
      </c>
      <c r="Y2139" s="218">
        <v>1</v>
      </c>
    </row>
    <row r="2140" spans="1:25" x14ac:dyDescent="0.3">
      <c r="A2140" s="1" t="s">
        <v>6084</v>
      </c>
      <c r="B2140" s="5">
        <v>46165</v>
      </c>
      <c r="C2140" s="6">
        <v>0.45833333333333298</v>
      </c>
      <c r="D2140" s="1" t="s">
        <v>30</v>
      </c>
      <c r="E2140" s="1" t="s">
        <v>35</v>
      </c>
      <c r="F2140" s="1" t="s">
        <v>6085</v>
      </c>
      <c r="G2140" s="39" t="s">
        <v>5874</v>
      </c>
      <c r="H2140" s="1">
        <v>1</v>
      </c>
      <c r="I2140" s="1">
        <v>2</v>
      </c>
      <c r="J2140" s="39" t="s">
        <v>5843</v>
      </c>
      <c r="K2140" s="1">
        <v>2</v>
      </c>
      <c r="L2140" s="1">
        <v>1</v>
      </c>
      <c r="S2140" s="1" t="s">
        <v>6086</v>
      </c>
      <c r="T2140" s="1">
        <v>1</v>
      </c>
      <c r="U2140" s="19"/>
      <c r="V2140" s="19"/>
      <c r="W2140" s="218">
        <v>1</v>
      </c>
      <c r="X2140" s="218">
        <v>1</v>
      </c>
      <c r="Y2140" s="218">
        <v>1</v>
      </c>
    </row>
    <row r="2141" spans="1:25" x14ac:dyDescent="0.3">
      <c r="A2141" s="1" t="s">
        <v>6087</v>
      </c>
      <c r="B2141" s="5">
        <v>46155</v>
      </c>
      <c r="C2141" s="6">
        <v>0.58333333333333304</v>
      </c>
      <c r="D2141" s="1" t="s">
        <v>30</v>
      </c>
      <c r="E2141" s="1" t="s">
        <v>35</v>
      </c>
      <c r="F2141" s="1" t="s">
        <v>6088</v>
      </c>
      <c r="G2141" s="39" t="s">
        <v>5843</v>
      </c>
      <c r="H2141" s="1">
        <v>0</v>
      </c>
      <c r="I2141" s="1">
        <v>2</v>
      </c>
      <c r="J2141" s="39" t="s">
        <v>5862</v>
      </c>
      <c r="K2141" s="1">
        <v>2</v>
      </c>
      <c r="L2141" s="1">
        <v>0</v>
      </c>
      <c r="S2141" s="1" t="s">
        <v>6089</v>
      </c>
      <c r="T2141" s="1">
        <v>1</v>
      </c>
      <c r="U2141" s="19"/>
      <c r="V2141" s="19"/>
      <c r="W2141" s="218">
        <v>1</v>
      </c>
      <c r="X2141" s="218">
        <v>1</v>
      </c>
      <c r="Y2141" s="218">
        <v>1</v>
      </c>
    </row>
    <row r="2142" spans="1:25" x14ac:dyDescent="0.3">
      <c r="A2142" s="1" t="s">
        <v>6090</v>
      </c>
      <c r="B2142" s="5">
        <v>46152</v>
      </c>
      <c r="C2142" s="6">
        <v>0.33333333333333298</v>
      </c>
      <c r="D2142" s="1" t="s">
        <v>30</v>
      </c>
      <c r="E2142" s="1" t="s">
        <v>35</v>
      </c>
      <c r="F2142" s="1" t="s">
        <v>6091</v>
      </c>
      <c r="G2142" s="39" t="s">
        <v>5870</v>
      </c>
      <c r="H2142" s="1">
        <v>1</v>
      </c>
      <c r="I2142" s="1">
        <v>2</v>
      </c>
      <c r="J2142" s="39" t="s">
        <v>5851</v>
      </c>
      <c r="K2142" s="1">
        <v>2</v>
      </c>
      <c r="L2142" s="1">
        <v>1</v>
      </c>
      <c r="S2142" s="1" t="s">
        <v>6092</v>
      </c>
      <c r="T2142" s="1">
        <v>1</v>
      </c>
      <c r="U2142" s="19"/>
      <c r="V2142" s="19"/>
      <c r="W2142" s="218">
        <v>1</v>
      </c>
      <c r="X2142" s="218">
        <v>1</v>
      </c>
      <c r="Y2142" s="218">
        <v>1</v>
      </c>
    </row>
    <row r="2143" spans="1:25" x14ac:dyDescent="0.3">
      <c r="A2143" s="1" t="s">
        <v>6093</v>
      </c>
      <c r="B2143" s="5">
        <v>46144</v>
      </c>
      <c r="C2143" s="6">
        <v>0.375</v>
      </c>
      <c r="D2143" s="1" t="s">
        <v>30</v>
      </c>
      <c r="E2143" s="1" t="s">
        <v>35</v>
      </c>
      <c r="F2143" s="1" t="s">
        <v>6094</v>
      </c>
      <c r="G2143" s="39" t="s">
        <v>5870</v>
      </c>
      <c r="H2143" s="1">
        <v>2</v>
      </c>
      <c r="I2143" s="1">
        <v>1</v>
      </c>
      <c r="J2143" s="39" t="s">
        <v>5874</v>
      </c>
      <c r="K2143" s="1">
        <v>1</v>
      </c>
      <c r="L2143" s="1">
        <v>2</v>
      </c>
      <c r="S2143" s="1" t="s">
        <v>6095</v>
      </c>
      <c r="T2143" s="1">
        <v>1</v>
      </c>
      <c r="U2143" s="19"/>
      <c r="V2143" s="19"/>
      <c r="W2143" s="218">
        <v>1</v>
      </c>
      <c r="X2143" s="218">
        <v>1</v>
      </c>
      <c r="Y2143" s="218">
        <v>1</v>
      </c>
    </row>
    <row r="2144" spans="1:25" x14ac:dyDescent="0.3">
      <c r="A2144" s="1" t="s">
        <v>6096</v>
      </c>
      <c r="B2144" s="5">
        <v>46137</v>
      </c>
      <c r="C2144" s="6">
        <v>0.33333333333333298</v>
      </c>
      <c r="D2144" s="1" t="s">
        <v>30</v>
      </c>
      <c r="E2144" s="1" t="s">
        <v>35</v>
      </c>
      <c r="F2144" s="1" t="s">
        <v>6097</v>
      </c>
      <c r="G2144" s="39" t="s">
        <v>5878</v>
      </c>
      <c r="H2144" s="1">
        <v>2</v>
      </c>
      <c r="I2144" s="1">
        <v>3</v>
      </c>
      <c r="J2144" s="39" t="s">
        <v>5870</v>
      </c>
      <c r="K2144" s="1">
        <v>3</v>
      </c>
      <c r="L2144" s="1">
        <v>2</v>
      </c>
      <c r="S2144" s="1" t="s">
        <v>6098</v>
      </c>
      <c r="T2144" s="1">
        <v>1</v>
      </c>
      <c r="U2144" s="19"/>
      <c r="V2144" s="19"/>
      <c r="W2144" s="218">
        <v>1</v>
      </c>
      <c r="X2144" s="218">
        <v>1</v>
      </c>
      <c r="Y2144" s="218">
        <v>1</v>
      </c>
    </row>
    <row r="2145" spans="1:25" x14ac:dyDescent="0.3">
      <c r="A2145" s="1" t="s">
        <v>6099</v>
      </c>
      <c r="B2145" s="5">
        <v>46130</v>
      </c>
      <c r="C2145" s="6">
        <v>0.375</v>
      </c>
      <c r="D2145" s="1" t="s">
        <v>30</v>
      </c>
      <c r="E2145" s="1" t="s">
        <v>35</v>
      </c>
      <c r="F2145" s="1" t="s">
        <v>6100</v>
      </c>
      <c r="G2145" s="39" t="s">
        <v>5866</v>
      </c>
      <c r="H2145" s="1">
        <v>4</v>
      </c>
      <c r="I2145" s="1">
        <v>2</v>
      </c>
      <c r="J2145" s="39" t="s">
        <v>5878</v>
      </c>
      <c r="K2145" s="1">
        <v>2</v>
      </c>
      <c r="L2145" s="1">
        <v>4</v>
      </c>
      <c r="S2145" s="1" t="s">
        <v>6101</v>
      </c>
      <c r="T2145" s="1">
        <v>1</v>
      </c>
      <c r="U2145" s="19"/>
      <c r="V2145" s="19"/>
      <c r="W2145" s="218">
        <v>0</v>
      </c>
      <c r="X2145" s="218">
        <v>1</v>
      </c>
      <c r="Y2145" s="218">
        <v>1</v>
      </c>
    </row>
    <row r="2146" spans="1:25" x14ac:dyDescent="0.3">
      <c r="A2146" s="1" t="s">
        <v>6102</v>
      </c>
      <c r="B2146" s="5">
        <v>46234</v>
      </c>
      <c r="C2146" s="6">
        <v>0.58333333333333304</v>
      </c>
      <c r="D2146" s="1" t="s">
        <v>30</v>
      </c>
      <c r="E2146" s="1" t="s">
        <v>35</v>
      </c>
      <c r="F2146" s="1" t="s">
        <v>6103</v>
      </c>
      <c r="G2146" s="39" t="s">
        <v>5851</v>
      </c>
      <c r="H2146" s="1">
        <v>2</v>
      </c>
      <c r="I2146" s="1">
        <v>2</v>
      </c>
      <c r="J2146" s="39" t="s">
        <v>5874</v>
      </c>
      <c r="K2146" s="1">
        <v>2</v>
      </c>
      <c r="L2146" s="1">
        <v>2</v>
      </c>
      <c r="S2146" s="1" t="s">
        <v>6104</v>
      </c>
      <c r="T2146" s="1">
        <v>1</v>
      </c>
      <c r="U2146" s="19"/>
      <c r="V2146" s="19"/>
      <c r="W2146" s="218">
        <v>1</v>
      </c>
      <c r="X2146" s="218">
        <v>1</v>
      </c>
      <c r="Y2146" s="218">
        <v>1</v>
      </c>
    </row>
    <row r="2147" spans="1:25" x14ac:dyDescent="0.3">
      <c r="A2147" s="1" t="s">
        <v>6107</v>
      </c>
      <c r="B2147" s="5">
        <v>46243</v>
      </c>
      <c r="C2147" s="6">
        <v>0.375</v>
      </c>
      <c r="D2147" s="1" t="s">
        <v>30</v>
      </c>
      <c r="E2147" s="1" t="s">
        <v>6106</v>
      </c>
      <c r="F2147" s="1" t="s">
        <v>6108</v>
      </c>
      <c r="G2147" s="39" t="s">
        <v>6109</v>
      </c>
      <c r="H2147" s="1">
        <v>0</v>
      </c>
      <c r="I2147" s="1">
        <v>1</v>
      </c>
      <c r="J2147" s="39" t="s">
        <v>6110</v>
      </c>
      <c r="K2147" s="1">
        <v>1</v>
      </c>
      <c r="L2147" s="1">
        <v>0</v>
      </c>
      <c r="S2147" s="1" t="s">
        <v>6111</v>
      </c>
      <c r="T2147" s="1">
        <v>1</v>
      </c>
      <c r="U2147" s="19"/>
      <c r="V2147" s="19"/>
      <c r="W2147" s="218">
        <v>1</v>
      </c>
      <c r="X2147" s="218">
        <v>1</v>
      </c>
      <c r="Y2147" s="218">
        <v>1</v>
      </c>
    </row>
    <row r="2148" spans="1:25" x14ac:dyDescent="0.3">
      <c r="A2148" s="1" t="s">
        <v>6112</v>
      </c>
      <c r="B2148" s="5">
        <v>46204</v>
      </c>
      <c r="C2148" s="6">
        <v>0.60416666666666696</v>
      </c>
      <c r="D2148" s="1" t="s">
        <v>30</v>
      </c>
      <c r="E2148" s="1" t="s">
        <v>6106</v>
      </c>
      <c r="F2148" s="1" t="s">
        <v>6113</v>
      </c>
      <c r="G2148" s="39" t="s">
        <v>6110</v>
      </c>
      <c r="H2148" s="1">
        <v>0</v>
      </c>
      <c r="I2148" s="1">
        <v>0</v>
      </c>
      <c r="J2148" s="39" t="s">
        <v>6114</v>
      </c>
      <c r="K2148" s="1">
        <v>0</v>
      </c>
      <c r="L2148" s="1">
        <v>0</v>
      </c>
      <c r="S2148" s="1" t="s">
        <v>6115</v>
      </c>
      <c r="T2148" s="1">
        <v>1</v>
      </c>
      <c r="U2148" s="19"/>
      <c r="V2148" s="19"/>
      <c r="W2148" s="218">
        <v>1</v>
      </c>
      <c r="X2148" s="218">
        <v>1</v>
      </c>
      <c r="Y2148" s="218">
        <v>1</v>
      </c>
    </row>
    <row r="2149" spans="1:25" x14ac:dyDescent="0.3">
      <c r="A2149" s="1" t="s">
        <v>6116</v>
      </c>
      <c r="B2149" s="5">
        <v>46200</v>
      </c>
      <c r="C2149" s="6">
        <v>0.45833333333333298</v>
      </c>
      <c r="D2149" s="1" t="s">
        <v>30</v>
      </c>
      <c r="E2149" s="1" t="s">
        <v>6106</v>
      </c>
      <c r="F2149" s="1" t="s">
        <v>6117</v>
      </c>
      <c r="G2149" s="39" t="s">
        <v>6110</v>
      </c>
      <c r="H2149" s="1">
        <v>3</v>
      </c>
      <c r="I2149" s="1">
        <v>1</v>
      </c>
      <c r="J2149" s="39" t="s">
        <v>6118</v>
      </c>
      <c r="K2149" s="1">
        <v>1</v>
      </c>
      <c r="L2149" s="1">
        <v>3</v>
      </c>
      <c r="S2149" s="1" t="s">
        <v>6119</v>
      </c>
      <c r="T2149" s="1">
        <v>1</v>
      </c>
      <c r="U2149" s="19"/>
      <c r="V2149" s="19"/>
      <c r="W2149" s="218">
        <v>1</v>
      </c>
      <c r="X2149" s="218">
        <v>1</v>
      </c>
      <c r="Y2149" s="218">
        <v>1</v>
      </c>
    </row>
    <row r="2150" spans="1:25" x14ac:dyDescent="0.3">
      <c r="A2150" s="1" t="s">
        <v>6120</v>
      </c>
      <c r="B2150" s="5">
        <v>46191</v>
      </c>
      <c r="C2150" s="6">
        <v>0.5625</v>
      </c>
      <c r="D2150" s="1" t="s">
        <v>30</v>
      </c>
      <c r="E2150" s="1" t="s">
        <v>6106</v>
      </c>
      <c r="F2150" s="1" t="s">
        <v>6121</v>
      </c>
      <c r="G2150" s="39" t="s">
        <v>6114</v>
      </c>
      <c r="H2150" s="1">
        <v>1</v>
      </c>
      <c r="I2150" s="1">
        <v>2</v>
      </c>
      <c r="J2150" s="39" t="s">
        <v>6110</v>
      </c>
      <c r="K2150" s="1">
        <v>2</v>
      </c>
      <c r="L2150" s="1">
        <v>1</v>
      </c>
      <c r="S2150" s="1" t="s">
        <v>6122</v>
      </c>
      <c r="T2150" s="1">
        <v>1</v>
      </c>
      <c r="U2150" s="19"/>
      <c r="V2150" s="19"/>
      <c r="W2150" s="218">
        <v>1</v>
      </c>
      <c r="X2150" s="218">
        <v>1</v>
      </c>
      <c r="Y2150" s="218">
        <v>1</v>
      </c>
    </row>
    <row r="2151" spans="1:25" x14ac:dyDescent="0.3">
      <c r="A2151" s="1" t="s">
        <v>6123</v>
      </c>
      <c r="B2151" s="5">
        <v>46187</v>
      </c>
      <c r="C2151" s="6">
        <v>0.33333333333333298</v>
      </c>
      <c r="D2151" s="1" t="s">
        <v>30</v>
      </c>
      <c r="E2151" s="1" t="s">
        <v>6106</v>
      </c>
      <c r="F2151" s="1" t="s">
        <v>6124</v>
      </c>
      <c r="G2151" s="39" t="s">
        <v>6110</v>
      </c>
      <c r="H2151" s="1">
        <v>3</v>
      </c>
      <c r="I2151" s="1">
        <v>1</v>
      </c>
      <c r="J2151" s="39" t="s">
        <v>6125</v>
      </c>
      <c r="K2151" s="1">
        <v>1</v>
      </c>
      <c r="L2151" s="1">
        <v>3</v>
      </c>
      <c r="S2151" s="1" t="s">
        <v>6126</v>
      </c>
      <c r="T2151" s="1">
        <v>1</v>
      </c>
      <c r="U2151" s="19"/>
      <c r="V2151" s="19"/>
      <c r="W2151" s="218">
        <v>1</v>
      </c>
      <c r="X2151" s="218">
        <v>1</v>
      </c>
      <c r="Y2151" s="218">
        <v>1</v>
      </c>
    </row>
    <row r="2152" spans="1:25" x14ac:dyDescent="0.3">
      <c r="A2152" s="1" t="s">
        <v>6127</v>
      </c>
      <c r="B2152" s="5">
        <v>46178</v>
      </c>
      <c r="C2152" s="6">
        <v>0.5625</v>
      </c>
      <c r="D2152" s="1" t="s">
        <v>30</v>
      </c>
      <c r="E2152" s="1" t="s">
        <v>6106</v>
      </c>
      <c r="F2152" s="1" t="s">
        <v>6128</v>
      </c>
      <c r="G2152" s="39" t="s">
        <v>6129</v>
      </c>
      <c r="H2152" s="1">
        <v>1</v>
      </c>
      <c r="I2152" s="1">
        <v>2</v>
      </c>
      <c r="J2152" s="39" t="s">
        <v>6110</v>
      </c>
      <c r="K2152" s="1">
        <v>2</v>
      </c>
      <c r="L2152" s="1">
        <v>1</v>
      </c>
      <c r="S2152" s="1" t="s">
        <v>6130</v>
      </c>
      <c r="T2152" s="1">
        <v>1</v>
      </c>
      <c r="U2152" s="19"/>
      <c r="V2152" s="19"/>
      <c r="W2152" s="218">
        <v>1</v>
      </c>
      <c r="X2152" s="218">
        <v>1</v>
      </c>
      <c r="Y2152" s="218">
        <v>1</v>
      </c>
    </row>
    <row r="2153" spans="1:25" x14ac:dyDescent="0.3">
      <c r="A2153" s="1" t="s">
        <v>6131</v>
      </c>
      <c r="B2153" s="5">
        <v>46173</v>
      </c>
      <c r="C2153" s="6">
        <v>0.33333333333333298</v>
      </c>
      <c r="D2153" s="1" t="s">
        <v>30</v>
      </c>
      <c r="E2153" s="1" t="s">
        <v>6106</v>
      </c>
      <c r="F2153" s="1" t="s">
        <v>6132</v>
      </c>
      <c r="G2153" s="39" t="s">
        <v>6110</v>
      </c>
      <c r="H2153" s="1">
        <v>3</v>
      </c>
      <c r="I2153" s="1">
        <v>1</v>
      </c>
      <c r="J2153" s="39" t="s">
        <v>6133</v>
      </c>
      <c r="K2153" s="1">
        <v>1</v>
      </c>
      <c r="L2153" s="1">
        <v>3</v>
      </c>
      <c r="S2153" s="1" t="s">
        <v>6134</v>
      </c>
      <c r="T2153" s="1">
        <v>1</v>
      </c>
      <c r="U2153" s="19"/>
      <c r="V2153" s="19"/>
      <c r="W2153" s="218">
        <v>1</v>
      </c>
      <c r="X2153" s="218">
        <v>1</v>
      </c>
      <c r="Y2153" s="218">
        <v>1</v>
      </c>
    </row>
    <row r="2154" spans="1:25" x14ac:dyDescent="0.3">
      <c r="A2154" s="1" t="s">
        <v>6135</v>
      </c>
      <c r="B2154" s="5">
        <v>46164</v>
      </c>
      <c r="C2154" s="6">
        <v>0.60416666666666696</v>
      </c>
      <c r="D2154" s="1" t="s">
        <v>30</v>
      </c>
      <c r="E2154" s="1" t="s">
        <v>6106</v>
      </c>
      <c r="F2154" s="1" t="s">
        <v>6136</v>
      </c>
      <c r="G2154" s="39" t="s">
        <v>6137</v>
      </c>
      <c r="H2154" s="1">
        <v>0</v>
      </c>
      <c r="I2154" s="1">
        <v>4</v>
      </c>
      <c r="J2154" s="39" t="s">
        <v>6110</v>
      </c>
      <c r="K2154" s="1">
        <v>4</v>
      </c>
      <c r="L2154" s="1">
        <v>0</v>
      </c>
      <c r="S2154" s="1" t="s">
        <v>6138</v>
      </c>
      <c r="T2154" s="1">
        <v>1</v>
      </c>
      <c r="U2154" s="19"/>
      <c r="V2154" s="19"/>
      <c r="W2154" s="218">
        <v>1</v>
      </c>
      <c r="X2154" s="218">
        <v>1</v>
      </c>
      <c r="Y2154" s="218">
        <v>1</v>
      </c>
    </row>
    <row r="2155" spans="1:25" x14ac:dyDescent="0.3">
      <c r="A2155" s="1" t="s">
        <v>6139</v>
      </c>
      <c r="B2155" s="5">
        <v>46157</v>
      </c>
      <c r="C2155" s="6">
        <v>0.58333333333333304</v>
      </c>
      <c r="D2155" s="1" t="s">
        <v>30</v>
      </c>
      <c r="E2155" s="1" t="s">
        <v>6106</v>
      </c>
      <c r="F2155" s="1" t="s">
        <v>6140</v>
      </c>
      <c r="G2155" s="39" t="s">
        <v>6110</v>
      </c>
      <c r="H2155" s="1">
        <v>1</v>
      </c>
      <c r="I2155" s="1">
        <v>1</v>
      </c>
      <c r="J2155" s="39" t="s">
        <v>6141</v>
      </c>
      <c r="K2155" s="1">
        <v>1</v>
      </c>
      <c r="L2155" s="1">
        <v>1</v>
      </c>
      <c r="S2155" s="1" t="s">
        <v>6142</v>
      </c>
      <c r="T2155" s="1">
        <v>1</v>
      </c>
      <c r="U2155" s="19"/>
      <c r="V2155" s="19"/>
      <c r="W2155" s="218">
        <v>1</v>
      </c>
      <c r="X2155" s="218">
        <v>1</v>
      </c>
      <c r="Y2155" s="218">
        <v>1</v>
      </c>
    </row>
    <row r="2156" spans="1:25" x14ac:dyDescent="0.3">
      <c r="A2156" s="1" t="s">
        <v>6143</v>
      </c>
      <c r="B2156" s="5">
        <v>46151</v>
      </c>
      <c r="C2156" s="6">
        <v>0.375</v>
      </c>
      <c r="D2156" s="1" t="s">
        <v>30</v>
      </c>
      <c r="E2156" s="1" t="s">
        <v>6106</v>
      </c>
      <c r="F2156" s="1" t="s">
        <v>6144</v>
      </c>
      <c r="G2156" s="39" t="s">
        <v>6145</v>
      </c>
      <c r="H2156" s="1">
        <v>1</v>
      </c>
      <c r="I2156" s="1">
        <v>1</v>
      </c>
      <c r="J2156" s="39" t="s">
        <v>6110</v>
      </c>
      <c r="K2156" s="1">
        <v>1</v>
      </c>
      <c r="L2156" s="1">
        <v>1</v>
      </c>
      <c r="S2156" s="1" t="s">
        <v>6146</v>
      </c>
      <c r="T2156" s="1">
        <v>1</v>
      </c>
      <c r="U2156" s="19"/>
      <c r="V2156" s="19"/>
      <c r="W2156" s="218">
        <v>1</v>
      </c>
      <c r="X2156" s="218">
        <v>1</v>
      </c>
      <c r="Y2156" s="218">
        <v>1</v>
      </c>
    </row>
    <row r="2157" spans="1:25" x14ac:dyDescent="0.3">
      <c r="A2157" s="1" t="s">
        <v>6147</v>
      </c>
      <c r="B2157" s="5">
        <v>46143</v>
      </c>
      <c r="C2157" s="6">
        <v>0.33333333333333298</v>
      </c>
      <c r="D2157" s="1" t="s">
        <v>30</v>
      </c>
      <c r="E2157" s="1" t="s">
        <v>6106</v>
      </c>
      <c r="F2157" s="1" t="s">
        <v>6148</v>
      </c>
      <c r="G2157" s="39" t="s">
        <v>6110</v>
      </c>
      <c r="H2157" s="1">
        <v>3</v>
      </c>
      <c r="I2157" s="1">
        <v>1</v>
      </c>
      <c r="J2157" s="39" t="s">
        <v>6149</v>
      </c>
      <c r="K2157" s="1">
        <v>1</v>
      </c>
      <c r="L2157" s="1">
        <v>3</v>
      </c>
      <c r="S2157" s="1" t="s">
        <v>6150</v>
      </c>
      <c r="T2157" s="1">
        <v>1</v>
      </c>
      <c r="U2157" s="19"/>
      <c r="V2157" s="19"/>
      <c r="W2157" s="218">
        <v>1</v>
      </c>
      <c r="X2157" s="218">
        <v>1</v>
      </c>
      <c r="Y2157" s="218">
        <v>1</v>
      </c>
    </row>
    <row r="2158" spans="1:25" x14ac:dyDescent="0.3">
      <c r="A2158" s="1" t="s">
        <v>6151</v>
      </c>
      <c r="B2158" s="5">
        <v>46137</v>
      </c>
      <c r="C2158" s="6">
        <v>0.41666666666666702</v>
      </c>
      <c r="D2158" s="1" t="s">
        <v>30</v>
      </c>
      <c r="E2158" s="1" t="s">
        <v>6106</v>
      </c>
      <c r="F2158" s="1" t="s">
        <v>6152</v>
      </c>
      <c r="G2158" s="39" t="s">
        <v>6118</v>
      </c>
      <c r="H2158" s="1">
        <v>0</v>
      </c>
      <c r="I2158" s="1">
        <v>2</v>
      </c>
      <c r="J2158" s="39" t="s">
        <v>6110</v>
      </c>
      <c r="K2158" s="1">
        <v>2</v>
      </c>
      <c r="L2158" s="1">
        <v>0</v>
      </c>
      <c r="S2158" s="1" t="s">
        <v>6153</v>
      </c>
      <c r="T2158" s="1">
        <v>1</v>
      </c>
      <c r="U2158" s="19"/>
      <c r="V2158" s="19"/>
      <c r="W2158" s="218">
        <v>1</v>
      </c>
      <c r="X2158" s="218">
        <v>1</v>
      </c>
      <c r="Y2158" s="218">
        <v>1</v>
      </c>
    </row>
    <row r="2159" spans="1:25" x14ac:dyDescent="0.3">
      <c r="A2159" s="1" t="s">
        <v>6154</v>
      </c>
      <c r="B2159" s="5">
        <v>46241</v>
      </c>
      <c r="C2159" s="6">
        <v>0.58333333333333304</v>
      </c>
      <c r="D2159" s="1" t="s">
        <v>30</v>
      </c>
      <c r="E2159" s="1" t="s">
        <v>6106</v>
      </c>
      <c r="F2159" s="1" t="s">
        <v>6155</v>
      </c>
      <c r="G2159" s="39" t="s">
        <v>6145</v>
      </c>
      <c r="H2159" s="1">
        <v>4</v>
      </c>
      <c r="I2159" s="1">
        <v>0</v>
      </c>
      <c r="J2159" s="39" t="s">
        <v>6125</v>
      </c>
      <c r="K2159" s="1">
        <v>0</v>
      </c>
      <c r="L2159" s="1">
        <v>4</v>
      </c>
      <c r="S2159" s="1" t="s">
        <v>6156</v>
      </c>
      <c r="T2159" s="1">
        <v>1</v>
      </c>
      <c r="U2159" s="19"/>
      <c r="V2159" s="19"/>
      <c r="W2159" s="218">
        <v>1</v>
      </c>
      <c r="X2159" s="218">
        <v>1</v>
      </c>
      <c r="Y2159" s="218">
        <v>1</v>
      </c>
    </row>
    <row r="2160" spans="1:25" x14ac:dyDescent="0.3">
      <c r="A2160" s="1" t="s">
        <v>6157</v>
      </c>
      <c r="B2160" s="5">
        <v>46234</v>
      </c>
      <c r="C2160" s="6">
        <v>0.60416666666666696</v>
      </c>
      <c r="D2160" s="1" t="s">
        <v>30</v>
      </c>
      <c r="E2160" s="1" t="s">
        <v>6106</v>
      </c>
      <c r="F2160" s="1" t="s">
        <v>6158</v>
      </c>
      <c r="G2160" s="39" t="s">
        <v>6133</v>
      </c>
      <c r="H2160" s="1">
        <v>1</v>
      </c>
      <c r="I2160" s="1">
        <v>1</v>
      </c>
      <c r="J2160" s="39" t="s">
        <v>6145</v>
      </c>
      <c r="K2160" s="1">
        <v>1</v>
      </c>
      <c r="L2160" s="1">
        <v>1</v>
      </c>
      <c r="S2160" s="1" t="s">
        <v>6159</v>
      </c>
      <c r="T2160" s="1">
        <v>1</v>
      </c>
      <c r="U2160" s="19"/>
      <c r="V2160" s="19"/>
      <c r="W2160" s="218">
        <v>1</v>
      </c>
      <c r="X2160" s="218">
        <v>1</v>
      </c>
      <c r="Y2160" s="218">
        <v>1</v>
      </c>
    </row>
    <row r="2161" spans="1:25" x14ac:dyDescent="0.3">
      <c r="A2161" s="1" t="s">
        <v>6160</v>
      </c>
      <c r="B2161" s="5">
        <v>46199</v>
      </c>
      <c r="C2161" s="6">
        <v>0.60416666666666696</v>
      </c>
      <c r="D2161" s="1" t="s">
        <v>30</v>
      </c>
      <c r="E2161" s="1" t="s">
        <v>6106</v>
      </c>
      <c r="F2161" s="1" t="s">
        <v>6161</v>
      </c>
      <c r="G2161" s="39" t="s">
        <v>6145</v>
      </c>
      <c r="H2161" s="1">
        <v>2</v>
      </c>
      <c r="I2161" s="1">
        <v>0</v>
      </c>
      <c r="J2161" s="39" t="s">
        <v>6162</v>
      </c>
      <c r="K2161" s="1">
        <v>0</v>
      </c>
      <c r="L2161" s="1">
        <v>2</v>
      </c>
      <c r="S2161" s="1" t="s">
        <v>6163</v>
      </c>
      <c r="T2161" s="1">
        <v>1</v>
      </c>
      <c r="U2161" s="19"/>
      <c r="V2161" s="19"/>
      <c r="W2161" s="218">
        <v>1</v>
      </c>
      <c r="X2161" s="218">
        <v>1</v>
      </c>
      <c r="Y2161" s="218">
        <v>1</v>
      </c>
    </row>
    <row r="2162" spans="1:25" x14ac:dyDescent="0.3">
      <c r="A2162" s="1" t="s">
        <v>6164</v>
      </c>
      <c r="B2162" s="5">
        <v>46191</v>
      </c>
      <c r="C2162" s="6">
        <v>0.59375</v>
      </c>
      <c r="D2162" s="1" t="s">
        <v>30</v>
      </c>
      <c r="E2162" s="1" t="s">
        <v>6106</v>
      </c>
      <c r="F2162" s="1" t="s">
        <v>6165</v>
      </c>
      <c r="G2162" s="39" t="s">
        <v>6166</v>
      </c>
      <c r="H2162" s="1">
        <v>1</v>
      </c>
      <c r="I2162" s="1">
        <v>1</v>
      </c>
      <c r="J2162" s="39" t="s">
        <v>6145</v>
      </c>
      <c r="K2162" s="1">
        <v>1</v>
      </c>
      <c r="L2162" s="1">
        <v>1</v>
      </c>
      <c r="S2162" s="1" t="s">
        <v>6167</v>
      </c>
      <c r="T2162" s="1">
        <v>1</v>
      </c>
      <c r="U2162" s="19"/>
      <c r="V2162" s="19"/>
      <c r="W2162" s="218">
        <v>1</v>
      </c>
      <c r="X2162" s="218">
        <v>1</v>
      </c>
      <c r="Y2162" s="218">
        <v>1</v>
      </c>
    </row>
    <row r="2163" spans="1:25" x14ac:dyDescent="0.3">
      <c r="A2163" s="1" t="s">
        <v>6168</v>
      </c>
      <c r="B2163" s="5">
        <v>46186</v>
      </c>
      <c r="C2163" s="6">
        <v>0.375</v>
      </c>
      <c r="D2163" s="1" t="s">
        <v>30</v>
      </c>
      <c r="E2163" s="1" t="s">
        <v>6106</v>
      </c>
      <c r="F2163" s="1" t="s">
        <v>6169</v>
      </c>
      <c r="G2163" s="39" t="s">
        <v>6145</v>
      </c>
      <c r="H2163" s="1">
        <v>4</v>
      </c>
      <c r="I2163" s="1">
        <v>2</v>
      </c>
      <c r="J2163" s="39" t="s">
        <v>6114</v>
      </c>
      <c r="K2163" s="1">
        <v>2</v>
      </c>
      <c r="L2163" s="1">
        <v>4</v>
      </c>
      <c r="S2163" s="1" t="s">
        <v>6170</v>
      </c>
      <c r="T2163" s="1">
        <v>1</v>
      </c>
      <c r="U2163" s="19"/>
      <c r="V2163" s="19"/>
      <c r="W2163" s="218">
        <v>1</v>
      </c>
      <c r="X2163" s="218">
        <v>1</v>
      </c>
      <c r="Y2163" s="218">
        <v>1</v>
      </c>
    </row>
    <row r="2164" spans="1:25" x14ac:dyDescent="0.3">
      <c r="A2164" s="1" t="s">
        <v>6171</v>
      </c>
      <c r="B2164" s="5">
        <v>46178</v>
      </c>
      <c r="C2164" s="6">
        <v>0.59375</v>
      </c>
      <c r="D2164" s="1" t="s">
        <v>30</v>
      </c>
      <c r="E2164" s="1" t="s">
        <v>6106</v>
      </c>
      <c r="F2164" s="1" t="s">
        <v>6172</v>
      </c>
      <c r="G2164" s="39" t="s">
        <v>6125</v>
      </c>
      <c r="H2164" s="1">
        <v>1</v>
      </c>
      <c r="I2164" s="1">
        <v>3</v>
      </c>
      <c r="J2164" s="39" t="s">
        <v>6145</v>
      </c>
      <c r="K2164" s="1">
        <v>3</v>
      </c>
      <c r="L2164" s="1">
        <v>1</v>
      </c>
      <c r="S2164" s="1" t="s">
        <v>6173</v>
      </c>
      <c r="T2164" s="1">
        <v>1</v>
      </c>
      <c r="U2164" s="19"/>
      <c r="V2164" s="19"/>
      <c r="W2164" s="218">
        <v>1</v>
      </c>
      <c r="X2164" s="218">
        <v>1</v>
      </c>
      <c r="Y2164" s="218">
        <v>1</v>
      </c>
    </row>
    <row r="2165" spans="1:25" x14ac:dyDescent="0.3">
      <c r="A2165" s="1" t="s">
        <v>6174</v>
      </c>
      <c r="B2165" s="5">
        <v>46171</v>
      </c>
      <c r="C2165" s="6">
        <v>0.58333333333333304</v>
      </c>
      <c r="D2165" s="1" t="s">
        <v>30</v>
      </c>
      <c r="E2165" s="1" t="s">
        <v>6106</v>
      </c>
      <c r="F2165" s="1" t="s">
        <v>6175</v>
      </c>
      <c r="G2165" s="39" t="s">
        <v>6145</v>
      </c>
      <c r="H2165" s="1">
        <v>1</v>
      </c>
      <c r="I2165" s="1">
        <v>0</v>
      </c>
      <c r="J2165" s="39" t="s">
        <v>6176</v>
      </c>
      <c r="K2165" s="1">
        <v>0</v>
      </c>
      <c r="L2165" s="1">
        <v>1</v>
      </c>
      <c r="S2165" s="1" t="s">
        <v>6177</v>
      </c>
      <c r="T2165" s="1">
        <v>1</v>
      </c>
      <c r="U2165" s="19"/>
      <c r="V2165" s="19"/>
      <c r="W2165" s="218">
        <v>1</v>
      </c>
      <c r="X2165" s="218">
        <v>1</v>
      </c>
      <c r="Y2165" s="218">
        <v>1</v>
      </c>
    </row>
    <row r="2166" spans="1:25" x14ac:dyDescent="0.3">
      <c r="A2166" s="1" t="s">
        <v>6178</v>
      </c>
      <c r="B2166" s="5">
        <v>46163</v>
      </c>
      <c r="C2166" s="6">
        <v>0.58333333333333304</v>
      </c>
      <c r="D2166" s="1" t="s">
        <v>30</v>
      </c>
      <c r="E2166" s="1" t="s">
        <v>6106</v>
      </c>
      <c r="F2166" s="1" t="s">
        <v>6179</v>
      </c>
      <c r="G2166" s="39" t="s">
        <v>6141</v>
      </c>
      <c r="H2166" s="1">
        <v>1</v>
      </c>
      <c r="I2166" s="1">
        <v>2</v>
      </c>
      <c r="J2166" s="39" t="s">
        <v>6145</v>
      </c>
      <c r="K2166" s="1">
        <v>2</v>
      </c>
      <c r="L2166" s="1">
        <v>1</v>
      </c>
      <c r="S2166" s="1" t="s">
        <v>6180</v>
      </c>
      <c r="T2166" s="1">
        <v>1</v>
      </c>
      <c r="U2166" s="19"/>
      <c r="V2166" s="19"/>
      <c r="W2166" s="218">
        <v>1</v>
      </c>
      <c r="X2166" s="218">
        <v>1</v>
      </c>
      <c r="Y2166" s="218">
        <v>1</v>
      </c>
    </row>
    <row r="2167" spans="1:25" x14ac:dyDescent="0.3">
      <c r="A2167" s="1" t="s">
        <v>6181</v>
      </c>
      <c r="B2167" s="5">
        <v>46156</v>
      </c>
      <c r="C2167" s="6">
        <v>0.375</v>
      </c>
      <c r="D2167" s="1" t="s">
        <v>30</v>
      </c>
      <c r="E2167" s="1" t="s">
        <v>6106</v>
      </c>
      <c r="F2167" s="1" t="s">
        <v>6182</v>
      </c>
      <c r="G2167" s="39" t="s">
        <v>6149</v>
      </c>
      <c r="H2167" s="1">
        <v>0</v>
      </c>
      <c r="I2167" s="1">
        <v>2</v>
      </c>
      <c r="J2167" s="39" t="s">
        <v>6145</v>
      </c>
      <c r="K2167" s="1">
        <v>2</v>
      </c>
      <c r="L2167" s="1">
        <v>0</v>
      </c>
      <c r="S2167" s="1" t="s">
        <v>6183</v>
      </c>
      <c r="T2167" s="1">
        <v>1</v>
      </c>
      <c r="U2167" s="19"/>
      <c r="V2167" s="19"/>
      <c r="W2167" s="218">
        <v>1</v>
      </c>
      <c r="X2167" s="218">
        <v>1</v>
      </c>
      <c r="Y2167" s="218">
        <v>1</v>
      </c>
    </row>
    <row r="2168" spans="1:25" x14ac:dyDescent="0.3">
      <c r="A2168" s="1" t="s">
        <v>6184</v>
      </c>
      <c r="B2168" s="5">
        <v>46143</v>
      </c>
      <c r="C2168" s="6">
        <v>0.375</v>
      </c>
      <c r="D2168" s="1" t="s">
        <v>30</v>
      </c>
      <c r="E2168" s="1" t="s">
        <v>6106</v>
      </c>
      <c r="F2168" s="1" t="s">
        <v>6185</v>
      </c>
      <c r="G2168" s="39" t="s">
        <v>6145</v>
      </c>
      <c r="H2168" s="1">
        <v>3</v>
      </c>
      <c r="I2168" s="1">
        <v>1</v>
      </c>
      <c r="J2168" s="39" t="s">
        <v>6129</v>
      </c>
      <c r="K2168" s="1">
        <v>1</v>
      </c>
      <c r="L2168" s="1">
        <v>3</v>
      </c>
      <c r="S2168" s="1" t="s">
        <v>6186</v>
      </c>
      <c r="T2168" s="1">
        <v>1</v>
      </c>
      <c r="U2168" s="19"/>
      <c r="V2168" s="19"/>
      <c r="W2168" s="218">
        <v>1</v>
      </c>
      <c r="X2168" s="218">
        <v>1</v>
      </c>
      <c r="Y2168" s="218">
        <v>1</v>
      </c>
    </row>
    <row r="2169" spans="1:25" x14ac:dyDescent="0.3">
      <c r="A2169" s="1" t="s">
        <v>6187</v>
      </c>
      <c r="B2169" s="5">
        <v>46136</v>
      </c>
      <c r="C2169" s="6">
        <v>0.60416666666666696</v>
      </c>
      <c r="D2169" s="1" t="s">
        <v>30</v>
      </c>
      <c r="E2169" s="1" t="s">
        <v>6106</v>
      </c>
      <c r="F2169" s="1" t="s">
        <v>6188</v>
      </c>
      <c r="G2169" s="39" t="s">
        <v>6137</v>
      </c>
      <c r="H2169" s="1">
        <v>1</v>
      </c>
      <c r="I2169" s="1">
        <v>2</v>
      </c>
      <c r="J2169" s="39" t="s">
        <v>6145</v>
      </c>
      <c r="K2169" s="1">
        <v>2</v>
      </c>
      <c r="L2169" s="1">
        <v>1</v>
      </c>
      <c r="S2169" s="1" t="s">
        <v>6189</v>
      </c>
      <c r="T2169" s="1">
        <v>1</v>
      </c>
      <c r="U2169" s="19"/>
      <c r="V2169" s="19"/>
      <c r="W2169" s="218">
        <v>1</v>
      </c>
      <c r="X2169" s="218">
        <v>1</v>
      </c>
      <c r="Y2169" s="218">
        <v>1</v>
      </c>
    </row>
    <row r="2170" spans="1:25" x14ac:dyDescent="0.3">
      <c r="A2170" s="1" t="s">
        <v>6190</v>
      </c>
      <c r="B2170" s="5">
        <v>46242</v>
      </c>
      <c r="C2170" s="6">
        <v>0.375</v>
      </c>
      <c r="D2170" s="1" t="s">
        <v>30</v>
      </c>
      <c r="E2170" s="1" t="s">
        <v>6106</v>
      </c>
      <c r="F2170" s="1" t="s">
        <v>6191</v>
      </c>
      <c r="G2170" s="39" t="s">
        <v>6129</v>
      </c>
      <c r="H2170" s="1">
        <v>1</v>
      </c>
      <c r="I2170" s="1">
        <v>1</v>
      </c>
      <c r="J2170" s="39" t="s">
        <v>6176</v>
      </c>
      <c r="K2170" s="1">
        <v>1</v>
      </c>
      <c r="L2170" s="1">
        <v>1</v>
      </c>
      <c r="S2170" s="1" t="s">
        <v>6192</v>
      </c>
      <c r="T2170" s="1">
        <v>1</v>
      </c>
      <c r="U2170" s="19"/>
      <c r="V2170" s="19"/>
      <c r="W2170" s="218">
        <v>1</v>
      </c>
      <c r="X2170" s="218">
        <v>1</v>
      </c>
      <c r="Y2170" s="218">
        <v>1</v>
      </c>
    </row>
    <row r="2171" spans="1:25" x14ac:dyDescent="0.3">
      <c r="A2171" s="1" t="s">
        <v>6193</v>
      </c>
      <c r="B2171" s="5">
        <v>46234</v>
      </c>
      <c r="C2171" s="6">
        <v>0.60416666666666696</v>
      </c>
      <c r="D2171" s="1" t="s">
        <v>30</v>
      </c>
      <c r="E2171" s="1" t="s">
        <v>6106</v>
      </c>
      <c r="F2171" s="1" t="s">
        <v>6194</v>
      </c>
      <c r="G2171" s="39" t="s">
        <v>6176</v>
      </c>
      <c r="H2171" s="1">
        <v>0</v>
      </c>
      <c r="I2171" s="1">
        <v>0</v>
      </c>
      <c r="J2171" s="39" t="s">
        <v>6166</v>
      </c>
      <c r="K2171" s="1">
        <v>0</v>
      </c>
      <c r="L2171" s="1">
        <v>0</v>
      </c>
      <c r="S2171" s="1" t="s">
        <v>6195</v>
      </c>
      <c r="T2171" s="1">
        <v>1</v>
      </c>
      <c r="U2171" s="19"/>
      <c r="V2171" s="19"/>
      <c r="W2171" s="218">
        <v>1</v>
      </c>
      <c r="X2171" s="218">
        <v>1</v>
      </c>
      <c r="Y2171" s="218">
        <v>1</v>
      </c>
    </row>
    <row r="2172" spans="1:25" x14ac:dyDescent="0.3">
      <c r="A2172" s="1" t="s">
        <v>6196</v>
      </c>
      <c r="B2172" s="5">
        <v>46198</v>
      </c>
      <c r="C2172" s="6">
        <v>0.58333333333333304</v>
      </c>
      <c r="D2172" s="1" t="s">
        <v>30</v>
      </c>
      <c r="E2172" s="1" t="s">
        <v>6106</v>
      </c>
      <c r="F2172" s="1" t="s">
        <v>6197</v>
      </c>
      <c r="G2172" s="39" t="s">
        <v>6176</v>
      </c>
      <c r="H2172" s="1">
        <v>1</v>
      </c>
      <c r="I2172" s="1">
        <v>2</v>
      </c>
      <c r="J2172" s="39" t="s">
        <v>6114</v>
      </c>
      <c r="K2172" s="1">
        <v>2</v>
      </c>
      <c r="L2172" s="1">
        <v>1</v>
      </c>
      <c r="S2172" s="1" t="s">
        <v>6198</v>
      </c>
      <c r="T2172" s="1">
        <v>1</v>
      </c>
      <c r="U2172" s="19"/>
      <c r="V2172" s="19"/>
      <c r="W2172" s="218">
        <v>1</v>
      </c>
      <c r="X2172" s="218">
        <v>1</v>
      </c>
      <c r="Y2172" s="218">
        <v>1</v>
      </c>
    </row>
    <row r="2173" spans="1:25" x14ac:dyDescent="0.3">
      <c r="A2173" s="1" t="s">
        <v>6199</v>
      </c>
      <c r="B2173" s="5">
        <v>46191</v>
      </c>
      <c r="C2173" s="6">
        <v>0.58333333333333304</v>
      </c>
      <c r="D2173" s="1" t="s">
        <v>30</v>
      </c>
      <c r="E2173" s="1" t="s">
        <v>6106</v>
      </c>
      <c r="F2173" s="1" t="s">
        <v>6200</v>
      </c>
      <c r="G2173" s="39" t="s">
        <v>6162</v>
      </c>
      <c r="H2173" s="1">
        <v>1</v>
      </c>
      <c r="I2173" s="1">
        <v>2</v>
      </c>
      <c r="J2173" s="39" t="s">
        <v>6176</v>
      </c>
      <c r="K2173" s="1">
        <v>2</v>
      </c>
      <c r="L2173" s="1">
        <v>1</v>
      </c>
      <c r="S2173" s="1" t="s">
        <v>6201</v>
      </c>
      <c r="T2173" s="1">
        <v>1</v>
      </c>
      <c r="U2173" s="19"/>
      <c r="V2173" s="19"/>
      <c r="W2173" s="218">
        <v>1</v>
      </c>
      <c r="X2173" s="218">
        <v>1</v>
      </c>
      <c r="Y2173" s="218">
        <v>1</v>
      </c>
    </row>
    <row r="2174" spans="1:25" x14ac:dyDescent="0.3">
      <c r="A2174" s="1" t="s">
        <v>6202</v>
      </c>
      <c r="B2174" s="5">
        <v>46185</v>
      </c>
      <c r="C2174" s="6">
        <v>0.60416666666666696</v>
      </c>
      <c r="D2174" s="1" t="s">
        <v>30</v>
      </c>
      <c r="E2174" s="1" t="s">
        <v>6106</v>
      </c>
      <c r="F2174" s="1" t="s">
        <v>6203</v>
      </c>
      <c r="G2174" s="39" t="s">
        <v>6176</v>
      </c>
      <c r="H2174" s="1">
        <v>0</v>
      </c>
      <c r="I2174" s="1">
        <v>4</v>
      </c>
      <c r="J2174" s="39" t="s">
        <v>6129</v>
      </c>
      <c r="K2174" s="1">
        <v>4</v>
      </c>
      <c r="L2174" s="1">
        <v>0</v>
      </c>
      <c r="S2174" s="1" t="s">
        <v>6204</v>
      </c>
      <c r="T2174" s="1">
        <v>1</v>
      </c>
      <c r="U2174" s="19"/>
      <c r="V2174" s="19"/>
      <c r="W2174" s="218">
        <v>1</v>
      </c>
      <c r="X2174" s="218">
        <v>1</v>
      </c>
      <c r="Y2174" s="218">
        <v>1</v>
      </c>
    </row>
    <row r="2175" spans="1:25" x14ac:dyDescent="0.3">
      <c r="A2175" s="1" t="s">
        <v>6205</v>
      </c>
      <c r="B2175" s="5">
        <v>46180</v>
      </c>
      <c r="C2175" s="6">
        <v>0.45833333333333298</v>
      </c>
      <c r="D2175" s="1" t="s">
        <v>30</v>
      </c>
      <c r="E2175" s="1" t="s">
        <v>6106</v>
      </c>
      <c r="F2175" s="1" t="s">
        <v>6206</v>
      </c>
      <c r="G2175" s="39" t="s">
        <v>6118</v>
      </c>
      <c r="H2175" s="1">
        <v>0</v>
      </c>
      <c r="I2175" s="1">
        <v>2</v>
      </c>
      <c r="J2175" s="39" t="s">
        <v>6176</v>
      </c>
      <c r="K2175" s="1">
        <v>2</v>
      </c>
      <c r="L2175" s="1">
        <v>0</v>
      </c>
      <c r="S2175" s="1" t="s">
        <v>6207</v>
      </c>
      <c r="T2175" s="1">
        <v>1</v>
      </c>
      <c r="U2175" s="19"/>
      <c r="V2175" s="19"/>
      <c r="W2175" s="218">
        <v>1</v>
      </c>
      <c r="X2175" s="218">
        <v>1</v>
      </c>
      <c r="Y2175" s="218">
        <v>1</v>
      </c>
    </row>
    <row r="2176" spans="1:25" x14ac:dyDescent="0.3">
      <c r="A2176" s="1" t="s">
        <v>6208</v>
      </c>
      <c r="B2176" s="5">
        <v>46164</v>
      </c>
      <c r="C2176" s="6">
        <v>0.60416666666666696</v>
      </c>
      <c r="D2176" s="1" t="s">
        <v>30</v>
      </c>
      <c r="E2176" s="1" t="s">
        <v>6106</v>
      </c>
      <c r="F2176" s="1" t="s">
        <v>6209</v>
      </c>
      <c r="G2176" s="39" t="s">
        <v>6176</v>
      </c>
      <c r="H2176" s="1">
        <v>2</v>
      </c>
      <c r="I2176" s="1">
        <v>1</v>
      </c>
      <c r="J2176" s="39" t="s">
        <v>6149</v>
      </c>
      <c r="K2176" s="1">
        <v>1</v>
      </c>
      <c r="L2176" s="1">
        <v>2</v>
      </c>
      <c r="S2176" s="1" t="s">
        <v>6210</v>
      </c>
      <c r="T2176" s="1">
        <v>1</v>
      </c>
      <c r="U2176" s="19"/>
      <c r="V2176" s="19"/>
      <c r="W2176" s="218">
        <v>1</v>
      </c>
      <c r="X2176" s="218">
        <v>1</v>
      </c>
      <c r="Y2176" s="218">
        <v>1</v>
      </c>
    </row>
    <row r="2177" spans="1:25" x14ac:dyDescent="0.3">
      <c r="A2177" s="1" t="s">
        <v>6211</v>
      </c>
      <c r="B2177" s="5">
        <v>46157</v>
      </c>
      <c r="C2177" s="6">
        <v>0.60416666666666696</v>
      </c>
      <c r="D2177" s="1" t="s">
        <v>30</v>
      </c>
      <c r="E2177" s="1" t="s">
        <v>6106</v>
      </c>
      <c r="F2177" s="1" t="s">
        <v>6212</v>
      </c>
      <c r="G2177" s="39" t="s">
        <v>6176</v>
      </c>
      <c r="H2177" s="1">
        <v>6</v>
      </c>
      <c r="I2177" s="1">
        <v>2</v>
      </c>
      <c r="J2177" s="39" t="s">
        <v>6137</v>
      </c>
      <c r="K2177" s="1">
        <v>2</v>
      </c>
      <c r="L2177" s="1">
        <v>6</v>
      </c>
      <c r="S2177" s="1" t="s">
        <v>6213</v>
      </c>
      <c r="T2177" s="1">
        <v>1</v>
      </c>
      <c r="U2177" s="19"/>
      <c r="V2177" s="19"/>
      <c r="W2177" s="218">
        <v>1</v>
      </c>
      <c r="X2177" s="218">
        <v>1</v>
      </c>
      <c r="Y2177" s="218">
        <v>1</v>
      </c>
    </row>
    <row r="2178" spans="1:25" x14ac:dyDescent="0.3">
      <c r="A2178" s="1" t="s">
        <v>6214</v>
      </c>
      <c r="B2178" s="5">
        <v>46151</v>
      </c>
      <c r="C2178" s="6">
        <v>0.375</v>
      </c>
      <c r="D2178" s="1" t="s">
        <v>30</v>
      </c>
      <c r="E2178" s="1" t="s">
        <v>6106</v>
      </c>
      <c r="F2178" s="1" t="s">
        <v>6215</v>
      </c>
      <c r="G2178" s="39" t="s">
        <v>6109</v>
      </c>
      <c r="H2178" s="1">
        <v>0</v>
      </c>
      <c r="I2178" s="1">
        <v>4</v>
      </c>
      <c r="J2178" s="39" t="s">
        <v>6176</v>
      </c>
      <c r="K2178" s="1">
        <v>4</v>
      </c>
      <c r="L2178" s="1">
        <v>0</v>
      </c>
      <c r="S2178" s="1" t="s">
        <v>6216</v>
      </c>
      <c r="T2178" s="1">
        <v>1</v>
      </c>
      <c r="U2178" s="19"/>
      <c r="V2178" s="19"/>
      <c r="W2178" s="218">
        <v>1</v>
      </c>
      <c r="X2178" s="218">
        <v>1</v>
      </c>
      <c r="Y2178" s="218">
        <v>1</v>
      </c>
    </row>
    <row r="2179" spans="1:25" x14ac:dyDescent="0.3">
      <c r="A2179" s="1" t="s">
        <v>6217</v>
      </c>
      <c r="B2179" s="5">
        <v>46143</v>
      </c>
      <c r="C2179" s="6">
        <v>0.41666666666666702</v>
      </c>
      <c r="D2179" s="1" t="s">
        <v>30</v>
      </c>
      <c r="E2179" s="1" t="s">
        <v>6106</v>
      </c>
      <c r="F2179" s="1" t="s">
        <v>6218</v>
      </c>
      <c r="G2179" s="39" t="s">
        <v>6166</v>
      </c>
      <c r="H2179" s="1">
        <v>2</v>
      </c>
      <c r="I2179" s="1">
        <v>3</v>
      </c>
      <c r="J2179" s="39" t="s">
        <v>6176</v>
      </c>
      <c r="K2179" s="1">
        <v>3</v>
      </c>
      <c r="L2179" s="1">
        <v>2</v>
      </c>
      <c r="S2179" s="1" t="s">
        <v>6219</v>
      </c>
      <c r="T2179" s="1">
        <v>1</v>
      </c>
      <c r="U2179" s="19"/>
      <c r="V2179" s="19"/>
      <c r="W2179" s="218">
        <v>1</v>
      </c>
      <c r="X2179" s="218">
        <v>1</v>
      </c>
      <c r="Y2179" s="218">
        <v>1</v>
      </c>
    </row>
    <row r="2180" spans="1:25" x14ac:dyDescent="0.3">
      <c r="A2180" s="1" t="s">
        <v>6220</v>
      </c>
      <c r="B2180" s="5">
        <v>46137</v>
      </c>
      <c r="C2180" s="6">
        <v>0.33333333333333298</v>
      </c>
      <c r="D2180" s="1" t="s">
        <v>30</v>
      </c>
      <c r="E2180" s="1" t="s">
        <v>6106</v>
      </c>
      <c r="F2180" s="1" t="s">
        <v>6221</v>
      </c>
      <c r="G2180" s="39" t="s">
        <v>6176</v>
      </c>
      <c r="H2180" s="1">
        <v>2</v>
      </c>
      <c r="I2180" s="1">
        <v>0</v>
      </c>
      <c r="J2180" s="39" t="s">
        <v>6133</v>
      </c>
      <c r="K2180" s="1">
        <v>0</v>
      </c>
      <c r="L2180" s="1">
        <v>2</v>
      </c>
      <c r="S2180" s="1" t="s">
        <v>6222</v>
      </c>
      <c r="T2180" s="1">
        <v>1</v>
      </c>
      <c r="U2180" s="19"/>
      <c r="V2180" s="19"/>
      <c r="W2180" s="218">
        <v>1</v>
      </c>
      <c r="X2180" s="218">
        <v>1</v>
      </c>
      <c r="Y2180" s="218">
        <v>1</v>
      </c>
    </row>
    <row r="2181" spans="1:25" x14ac:dyDescent="0.3">
      <c r="A2181" s="1" t="s">
        <v>6223</v>
      </c>
      <c r="B2181" s="5">
        <v>46234</v>
      </c>
      <c r="C2181" s="6">
        <v>0.60416666666666696</v>
      </c>
      <c r="D2181" s="1" t="s">
        <v>30</v>
      </c>
      <c r="E2181" s="1" t="s">
        <v>6106</v>
      </c>
      <c r="F2181" s="1" t="s">
        <v>6224</v>
      </c>
      <c r="G2181" s="39" t="s">
        <v>6118</v>
      </c>
      <c r="H2181" s="1">
        <v>1</v>
      </c>
      <c r="I2181" s="1">
        <v>2</v>
      </c>
      <c r="J2181" s="39" t="s">
        <v>6129</v>
      </c>
      <c r="K2181" s="1">
        <v>2</v>
      </c>
      <c r="L2181" s="1">
        <v>1</v>
      </c>
      <c r="S2181" s="1" t="s">
        <v>6225</v>
      </c>
      <c r="T2181" s="1">
        <v>1</v>
      </c>
      <c r="U2181" s="19"/>
      <c r="V2181" s="19"/>
      <c r="W2181" s="218">
        <v>1</v>
      </c>
      <c r="X2181" s="218">
        <v>1</v>
      </c>
      <c r="Y2181" s="218">
        <v>1</v>
      </c>
    </row>
    <row r="2182" spans="1:25" x14ac:dyDescent="0.3">
      <c r="A2182" s="1" t="s">
        <v>6226</v>
      </c>
      <c r="B2182" s="5">
        <v>46197</v>
      </c>
      <c r="C2182" s="6">
        <v>0.54166666666666696</v>
      </c>
      <c r="D2182" s="1" t="s">
        <v>30</v>
      </c>
      <c r="E2182" s="1" t="s">
        <v>6106</v>
      </c>
      <c r="F2182" s="1" t="s">
        <v>6227</v>
      </c>
      <c r="G2182" s="39" t="s">
        <v>6129</v>
      </c>
      <c r="H2182" s="1">
        <v>2</v>
      </c>
      <c r="I2182" s="1">
        <v>1</v>
      </c>
      <c r="J2182" s="39" t="s">
        <v>6149</v>
      </c>
      <c r="K2182" s="1">
        <v>1</v>
      </c>
      <c r="L2182" s="1">
        <v>2</v>
      </c>
      <c r="S2182" s="1" t="s">
        <v>6228</v>
      </c>
      <c r="T2182" s="1">
        <v>1</v>
      </c>
      <c r="U2182" s="19"/>
      <c r="V2182" s="19"/>
      <c r="W2182" s="218">
        <v>1</v>
      </c>
      <c r="X2182" s="218">
        <v>1</v>
      </c>
      <c r="Y2182" s="218">
        <v>1</v>
      </c>
    </row>
    <row r="2183" spans="1:25" x14ac:dyDescent="0.3">
      <c r="A2183" s="1" t="s">
        <v>6229</v>
      </c>
      <c r="B2183" s="5">
        <v>46191</v>
      </c>
      <c r="C2183" s="6">
        <v>0.58333333333333304</v>
      </c>
      <c r="D2183" s="1" t="s">
        <v>30</v>
      </c>
      <c r="E2183" s="1" t="s">
        <v>6106</v>
      </c>
      <c r="F2183" s="1" t="s">
        <v>6230</v>
      </c>
      <c r="G2183" s="39" t="s">
        <v>6129</v>
      </c>
      <c r="H2183" s="1">
        <v>4</v>
      </c>
      <c r="I2183" s="1">
        <v>3</v>
      </c>
      <c r="J2183" s="39" t="s">
        <v>6137</v>
      </c>
      <c r="K2183" s="1">
        <v>3</v>
      </c>
      <c r="L2183" s="1">
        <v>4</v>
      </c>
      <c r="S2183" s="1" t="s">
        <v>6231</v>
      </c>
      <c r="T2183" s="1">
        <v>1</v>
      </c>
      <c r="U2183" s="19"/>
      <c r="V2183" s="19"/>
      <c r="W2183" s="218">
        <v>1</v>
      </c>
      <c r="X2183" s="218">
        <v>1</v>
      </c>
      <c r="Y2183" s="218">
        <v>1</v>
      </c>
    </row>
    <row r="2184" spans="1:25" x14ac:dyDescent="0.3">
      <c r="A2184" s="1" t="s">
        <v>6232</v>
      </c>
      <c r="B2184" s="5">
        <v>46171</v>
      </c>
      <c r="C2184" s="6">
        <v>0.59375</v>
      </c>
      <c r="D2184" s="1" t="s">
        <v>30</v>
      </c>
      <c r="E2184" s="1" t="s">
        <v>6106</v>
      </c>
      <c r="F2184" s="1" t="s">
        <v>6233</v>
      </c>
      <c r="G2184" s="39" t="s">
        <v>6125</v>
      </c>
      <c r="H2184" s="1">
        <v>2</v>
      </c>
      <c r="I2184" s="1">
        <v>3</v>
      </c>
      <c r="J2184" s="39" t="s">
        <v>6129</v>
      </c>
      <c r="K2184" s="1">
        <v>3</v>
      </c>
      <c r="L2184" s="1">
        <v>2</v>
      </c>
      <c r="S2184" s="1" t="s">
        <v>6234</v>
      </c>
      <c r="T2184" s="1">
        <v>1</v>
      </c>
      <c r="U2184" s="19"/>
      <c r="V2184" s="19"/>
      <c r="W2184" s="218">
        <v>1</v>
      </c>
      <c r="X2184" s="218">
        <v>1</v>
      </c>
      <c r="Y2184" s="218">
        <v>1</v>
      </c>
    </row>
    <row r="2185" spans="1:25" x14ac:dyDescent="0.3">
      <c r="A2185" s="1" t="s">
        <v>6235</v>
      </c>
      <c r="B2185" s="5">
        <v>46165</v>
      </c>
      <c r="C2185" s="6">
        <v>0.45833333333333298</v>
      </c>
      <c r="D2185" s="1" t="s">
        <v>30</v>
      </c>
      <c r="E2185" s="1" t="s">
        <v>6106</v>
      </c>
      <c r="F2185" s="1" t="s">
        <v>6236</v>
      </c>
      <c r="G2185" s="39" t="s">
        <v>6129</v>
      </c>
      <c r="H2185" s="1">
        <v>2</v>
      </c>
      <c r="I2185" s="1">
        <v>0</v>
      </c>
      <c r="J2185" s="39" t="s">
        <v>6109</v>
      </c>
      <c r="K2185" s="1">
        <v>0</v>
      </c>
      <c r="L2185" s="1">
        <v>2</v>
      </c>
      <c r="S2185" s="1" t="s">
        <v>6237</v>
      </c>
      <c r="T2185" s="1">
        <v>1</v>
      </c>
      <c r="U2185" s="19"/>
      <c r="V2185" s="19"/>
      <c r="W2185" s="218">
        <v>1</v>
      </c>
      <c r="X2185" s="218">
        <v>1</v>
      </c>
      <c r="Y2185" s="218">
        <v>1</v>
      </c>
    </row>
    <row r="2186" spans="1:25" x14ac:dyDescent="0.3">
      <c r="A2186" s="1" t="s">
        <v>6238</v>
      </c>
      <c r="B2186" s="5">
        <v>46156</v>
      </c>
      <c r="C2186" s="6">
        <v>0.41666666666666702</v>
      </c>
      <c r="D2186" s="1" t="s">
        <v>30</v>
      </c>
      <c r="E2186" s="1" t="s">
        <v>6106</v>
      </c>
      <c r="F2186" s="1" t="s">
        <v>6239</v>
      </c>
      <c r="G2186" s="39" t="s">
        <v>6114</v>
      </c>
      <c r="H2186" s="1">
        <v>1</v>
      </c>
      <c r="I2186" s="1">
        <v>3</v>
      </c>
      <c r="J2186" s="39" t="s">
        <v>6129</v>
      </c>
      <c r="K2186" s="1">
        <v>3</v>
      </c>
      <c r="L2186" s="1">
        <v>1</v>
      </c>
      <c r="S2186" s="1" t="s">
        <v>6240</v>
      </c>
      <c r="T2186" s="1">
        <v>1</v>
      </c>
      <c r="U2186" s="19"/>
      <c r="V2186" s="19"/>
      <c r="W2186" s="218">
        <v>1</v>
      </c>
      <c r="X2186" s="218">
        <v>1</v>
      </c>
      <c r="Y2186" s="218">
        <v>1</v>
      </c>
    </row>
    <row r="2187" spans="1:25" x14ac:dyDescent="0.3">
      <c r="A2187" s="1" t="s">
        <v>6241</v>
      </c>
      <c r="B2187" s="5">
        <v>46151</v>
      </c>
      <c r="C2187" s="6">
        <v>0.375</v>
      </c>
      <c r="D2187" s="1" t="s">
        <v>30</v>
      </c>
      <c r="E2187" s="1" t="s">
        <v>6106</v>
      </c>
      <c r="F2187" s="1" t="s">
        <v>6242</v>
      </c>
      <c r="G2187" s="39" t="s">
        <v>6129</v>
      </c>
      <c r="H2187" s="1">
        <v>0</v>
      </c>
      <c r="I2187" s="1">
        <v>2</v>
      </c>
      <c r="J2187" s="39" t="s">
        <v>6166</v>
      </c>
      <c r="K2187" s="1">
        <v>2</v>
      </c>
      <c r="L2187" s="1">
        <v>0</v>
      </c>
      <c r="S2187" s="1" t="s">
        <v>6243</v>
      </c>
      <c r="T2187" s="1">
        <v>1</v>
      </c>
      <c r="U2187" s="19"/>
      <c r="V2187" s="19"/>
      <c r="W2187" s="218">
        <v>1</v>
      </c>
      <c r="X2187" s="218">
        <v>1</v>
      </c>
      <c r="Y2187" s="218">
        <v>1</v>
      </c>
    </row>
    <row r="2188" spans="1:25" x14ac:dyDescent="0.3">
      <c r="A2188" s="1" t="s">
        <v>6244</v>
      </c>
      <c r="B2188" s="5">
        <v>46137</v>
      </c>
      <c r="C2188" s="6">
        <v>0.375</v>
      </c>
      <c r="D2188" s="1" t="s">
        <v>30</v>
      </c>
      <c r="E2188" s="1" t="s">
        <v>6106</v>
      </c>
      <c r="F2188" s="1" t="s">
        <v>6245</v>
      </c>
      <c r="G2188" s="39" t="s">
        <v>6129</v>
      </c>
      <c r="H2188" s="1">
        <v>3</v>
      </c>
      <c r="I2188" s="1">
        <v>0</v>
      </c>
      <c r="J2188" s="39" t="s">
        <v>6141</v>
      </c>
      <c r="K2188" s="1">
        <v>0</v>
      </c>
      <c r="L2188" s="1">
        <v>3</v>
      </c>
      <c r="S2188" s="1" t="s">
        <v>6246</v>
      </c>
      <c r="T2188" s="1">
        <v>1</v>
      </c>
      <c r="U2188" s="19"/>
      <c r="V2188" s="19"/>
      <c r="W2188" s="218">
        <v>1</v>
      </c>
      <c r="X2188" s="218">
        <v>1</v>
      </c>
      <c r="Y2188" s="218">
        <v>1</v>
      </c>
    </row>
    <row r="2189" spans="1:25" x14ac:dyDescent="0.3">
      <c r="A2189" s="1" t="s">
        <v>6247</v>
      </c>
      <c r="B2189" s="5">
        <v>46242</v>
      </c>
      <c r="C2189" s="6">
        <v>0.33333333333333298</v>
      </c>
      <c r="D2189" s="1" t="s">
        <v>30</v>
      </c>
      <c r="E2189" s="1" t="s">
        <v>6106</v>
      </c>
      <c r="F2189" s="1" t="s">
        <v>6248</v>
      </c>
      <c r="G2189" s="39" t="s">
        <v>6166</v>
      </c>
      <c r="H2189" s="1">
        <v>2</v>
      </c>
      <c r="I2189" s="1">
        <v>0</v>
      </c>
      <c r="J2189" s="39" t="s">
        <v>6118</v>
      </c>
      <c r="K2189" s="1">
        <v>0</v>
      </c>
      <c r="L2189" s="1">
        <v>2</v>
      </c>
      <c r="S2189" s="1" t="s">
        <v>6249</v>
      </c>
      <c r="T2189" s="1">
        <v>1</v>
      </c>
      <c r="U2189" s="19"/>
      <c r="V2189" s="19"/>
      <c r="W2189" s="218">
        <v>1</v>
      </c>
      <c r="X2189" s="218">
        <v>1</v>
      </c>
      <c r="Y2189" s="218">
        <v>1</v>
      </c>
    </row>
    <row r="2190" spans="1:25" x14ac:dyDescent="0.3">
      <c r="A2190" s="1" t="s">
        <v>6250</v>
      </c>
      <c r="B2190" s="5">
        <v>46200</v>
      </c>
      <c r="C2190" s="6">
        <v>0.45833333333333298</v>
      </c>
      <c r="D2190" s="1" t="s">
        <v>30</v>
      </c>
      <c r="E2190" s="1" t="s">
        <v>6106</v>
      </c>
      <c r="F2190" s="1" t="s">
        <v>6251</v>
      </c>
      <c r="G2190" s="39" t="s">
        <v>6141</v>
      </c>
      <c r="H2190" s="1">
        <v>2</v>
      </c>
      <c r="I2190" s="1">
        <v>2</v>
      </c>
      <c r="J2190" s="39" t="s">
        <v>6166</v>
      </c>
      <c r="K2190" s="1">
        <v>2</v>
      </c>
      <c r="L2190" s="1">
        <v>2</v>
      </c>
      <c r="S2190" s="1" t="s">
        <v>6252</v>
      </c>
      <c r="T2190" s="1">
        <v>1</v>
      </c>
      <c r="U2190" s="19"/>
      <c r="V2190" s="19"/>
      <c r="W2190" s="218">
        <v>1</v>
      </c>
      <c r="X2190" s="218">
        <v>1</v>
      </c>
      <c r="Y2190" s="218">
        <v>1</v>
      </c>
    </row>
    <row r="2191" spans="1:25" x14ac:dyDescent="0.3">
      <c r="A2191" s="1" t="s">
        <v>6253</v>
      </c>
      <c r="B2191" s="5">
        <v>46185</v>
      </c>
      <c r="C2191" s="6">
        <v>0.58333333333333304</v>
      </c>
      <c r="D2191" s="1" t="s">
        <v>30</v>
      </c>
      <c r="E2191" s="1" t="s">
        <v>6106</v>
      </c>
      <c r="F2191" s="1" t="s">
        <v>6254</v>
      </c>
      <c r="G2191" s="39" t="s">
        <v>6133</v>
      </c>
      <c r="H2191" s="1">
        <v>0</v>
      </c>
      <c r="I2191" s="1">
        <v>4</v>
      </c>
      <c r="J2191" s="39" t="s">
        <v>6166</v>
      </c>
      <c r="K2191" s="1">
        <v>4</v>
      </c>
      <c r="L2191" s="1">
        <v>0</v>
      </c>
      <c r="S2191" s="1" t="s">
        <v>6255</v>
      </c>
      <c r="T2191" s="1">
        <v>1</v>
      </c>
      <c r="U2191" s="19"/>
      <c r="V2191" s="19"/>
      <c r="W2191" s="218">
        <v>1</v>
      </c>
      <c r="X2191" s="218">
        <v>1</v>
      </c>
      <c r="Y2191" s="218">
        <v>1</v>
      </c>
    </row>
    <row r="2192" spans="1:25" x14ac:dyDescent="0.3">
      <c r="A2192" s="1" t="s">
        <v>6256</v>
      </c>
      <c r="B2192" s="5">
        <v>46180</v>
      </c>
      <c r="C2192" s="6">
        <v>0.375</v>
      </c>
      <c r="D2192" s="1" t="s">
        <v>30</v>
      </c>
      <c r="E2192" s="1" t="s">
        <v>6106</v>
      </c>
      <c r="F2192" s="1" t="s">
        <v>6257</v>
      </c>
      <c r="G2192" s="39" t="s">
        <v>6149</v>
      </c>
      <c r="H2192" s="1">
        <v>1</v>
      </c>
      <c r="I2192" s="1">
        <v>1</v>
      </c>
      <c r="J2192" s="39" t="s">
        <v>6166</v>
      </c>
      <c r="K2192" s="1">
        <v>1</v>
      </c>
      <c r="L2192" s="1">
        <v>1</v>
      </c>
      <c r="S2192" s="1" t="s">
        <v>6258</v>
      </c>
      <c r="T2192" s="1">
        <v>1</v>
      </c>
      <c r="U2192" s="19"/>
      <c r="V2192" s="19"/>
      <c r="W2192" s="218">
        <v>1</v>
      </c>
      <c r="X2192" s="218">
        <v>1</v>
      </c>
      <c r="Y2192" s="218">
        <v>1</v>
      </c>
    </row>
    <row r="2193" spans="1:25" x14ac:dyDescent="0.3">
      <c r="A2193" s="1" t="s">
        <v>6259</v>
      </c>
      <c r="B2193" s="5">
        <v>46172</v>
      </c>
      <c r="C2193" s="6">
        <v>0.45833333333333298</v>
      </c>
      <c r="D2193" s="1" t="s">
        <v>30</v>
      </c>
      <c r="E2193" s="1" t="s">
        <v>6106</v>
      </c>
      <c r="F2193" s="1" t="s">
        <v>6260</v>
      </c>
      <c r="G2193" s="39" t="s">
        <v>6166</v>
      </c>
      <c r="H2193" s="1">
        <v>1</v>
      </c>
      <c r="I2193" s="1">
        <v>2</v>
      </c>
      <c r="J2193" s="39" t="s">
        <v>6141</v>
      </c>
      <c r="K2193" s="1">
        <v>2</v>
      </c>
      <c r="L2193" s="1">
        <v>1</v>
      </c>
      <c r="S2193" s="1" t="s">
        <v>6261</v>
      </c>
      <c r="T2193" s="1">
        <v>1</v>
      </c>
      <c r="U2193" s="19"/>
      <c r="V2193" s="19"/>
      <c r="W2193" s="218">
        <v>1</v>
      </c>
      <c r="X2193" s="218">
        <v>1</v>
      </c>
      <c r="Y2193" s="218">
        <v>1</v>
      </c>
    </row>
    <row r="2194" spans="1:25" x14ac:dyDescent="0.3">
      <c r="A2194" s="1" t="s">
        <v>6262</v>
      </c>
      <c r="B2194" s="5">
        <v>46165</v>
      </c>
      <c r="C2194" s="6">
        <v>0.33333333333333298</v>
      </c>
      <c r="D2194" s="1" t="s">
        <v>30</v>
      </c>
      <c r="E2194" s="1" t="s">
        <v>6106</v>
      </c>
      <c r="F2194" s="1" t="s">
        <v>6263</v>
      </c>
      <c r="G2194" s="39" t="s">
        <v>6118</v>
      </c>
      <c r="H2194" s="1">
        <v>1</v>
      </c>
      <c r="I2194" s="1">
        <v>4</v>
      </c>
      <c r="J2194" s="39" t="s">
        <v>6166</v>
      </c>
      <c r="K2194" s="1">
        <v>4</v>
      </c>
      <c r="L2194" s="1">
        <v>1</v>
      </c>
      <c r="S2194" s="1" t="s">
        <v>6264</v>
      </c>
      <c r="T2194" s="1">
        <v>1</v>
      </c>
      <c r="U2194" s="19"/>
      <c r="V2194" s="19"/>
      <c r="W2194" s="218">
        <v>1</v>
      </c>
      <c r="X2194" s="218">
        <v>1</v>
      </c>
      <c r="Y2194" s="218">
        <v>1</v>
      </c>
    </row>
    <row r="2195" spans="1:25" x14ac:dyDescent="0.3">
      <c r="A2195" s="1" t="s">
        <v>6265</v>
      </c>
      <c r="B2195" s="5">
        <v>46155</v>
      </c>
      <c r="C2195" s="6">
        <v>0.58333333333333304</v>
      </c>
      <c r="D2195" s="1" t="s">
        <v>30</v>
      </c>
      <c r="E2195" s="1" t="s">
        <v>6106</v>
      </c>
      <c r="F2195" s="1" t="s">
        <v>6266</v>
      </c>
      <c r="G2195" s="39" t="s">
        <v>6166</v>
      </c>
      <c r="H2195" s="1">
        <v>5</v>
      </c>
      <c r="I2195" s="1">
        <v>0</v>
      </c>
      <c r="J2195" s="39" t="s">
        <v>6162</v>
      </c>
      <c r="K2195" s="1">
        <v>0</v>
      </c>
      <c r="L2195" s="1">
        <v>5</v>
      </c>
      <c r="S2195" s="1" t="s">
        <v>6267</v>
      </c>
      <c r="T2195" s="1">
        <v>1</v>
      </c>
      <c r="U2195" s="19"/>
      <c r="V2195" s="19"/>
      <c r="W2195" s="218">
        <v>1</v>
      </c>
      <c r="X2195" s="218">
        <v>1</v>
      </c>
      <c r="Y2195" s="218">
        <v>1</v>
      </c>
    </row>
    <row r="2196" spans="1:25" x14ac:dyDescent="0.3">
      <c r="A2196" s="1" t="s">
        <v>6268</v>
      </c>
      <c r="B2196" s="5">
        <v>46138</v>
      </c>
      <c r="C2196" s="6">
        <v>0.375</v>
      </c>
      <c r="D2196" s="1" t="s">
        <v>30</v>
      </c>
      <c r="E2196" s="1" t="s">
        <v>6106</v>
      </c>
      <c r="F2196" s="1" t="s">
        <v>6269</v>
      </c>
      <c r="G2196" s="39" t="s">
        <v>6109</v>
      </c>
      <c r="H2196" s="1">
        <v>3</v>
      </c>
      <c r="I2196" s="1">
        <v>2</v>
      </c>
      <c r="J2196" s="39" t="s">
        <v>6166</v>
      </c>
      <c r="K2196" s="1">
        <v>2</v>
      </c>
      <c r="L2196" s="1">
        <v>3</v>
      </c>
      <c r="S2196" s="1" t="s">
        <v>6270</v>
      </c>
      <c r="T2196" s="1">
        <v>1</v>
      </c>
      <c r="U2196" s="19"/>
      <c r="V2196" s="19"/>
      <c r="W2196" s="218">
        <v>1</v>
      </c>
      <c r="X2196" s="218">
        <v>1</v>
      </c>
      <c r="Y2196" s="218">
        <v>1</v>
      </c>
    </row>
    <row r="2197" spans="1:25" x14ac:dyDescent="0.3">
      <c r="A2197" s="1" t="s">
        <v>6271</v>
      </c>
      <c r="B2197" s="5">
        <v>46243</v>
      </c>
      <c r="C2197" s="6">
        <v>0.33333333333333298</v>
      </c>
      <c r="D2197" s="1" t="s">
        <v>30</v>
      </c>
      <c r="E2197" s="1" t="s">
        <v>6106</v>
      </c>
      <c r="F2197" s="1" t="s">
        <v>6272</v>
      </c>
      <c r="G2197" s="39" t="s">
        <v>6162</v>
      </c>
      <c r="H2197" s="1">
        <v>3</v>
      </c>
      <c r="I2197" s="1">
        <v>2</v>
      </c>
      <c r="J2197" s="39" t="s">
        <v>6141</v>
      </c>
      <c r="K2197" s="1">
        <v>2</v>
      </c>
      <c r="L2197" s="1">
        <v>3</v>
      </c>
      <c r="S2197" s="1" t="s">
        <v>6273</v>
      </c>
      <c r="T2197" s="1">
        <v>1</v>
      </c>
      <c r="U2197" s="19"/>
      <c r="V2197" s="19"/>
      <c r="W2197" s="218">
        <v>1</v>
      </c>
      <c r="X2197" s="218">
        <v>1</v>
      </c>
      <c r="Y2197" s="218">
        <v>1</v>
      </c>
    </row>
    <row r="2198" spans="1:25" x14ac:dyDescent="0.3">
      <c r="A2198" s="1" t="s">
        <v>6274</v>
      </c>
      <c r="B2198" s="5">
        <v>46234</v>
      </c>
      <c r="C2198" s="6">
        <v>0.59375</v>
      </c>
      <c r="D2198" s="1" t="s">
        <v>30</v>
      </c>
      <c r="E2198" s="1" t="s">
        <v>6106</v>
      </c>
      <c r="F2198" s="1" t="s">
        <v>6275</v>
      </c>
      <c r="G2198" s="39" t="s">
        <v>6125</v>
      </c>
      <c r="H2198" s="1">
        <v>2</v>
      </c>
      <c r="I2198" s="1">
        <v>4</v>
      </c>
      <c r="J2198" s="39" t="s">
        <v>6162</v>
      </c>
      <c r="K2198" s="1">
        <v>4</v>
      </c>
      <c r="L2198" s="1">
        <v>2</v>
      </c>
      <c r="S2198" s="1" t="s">
        <v>6276</v>
      </c>
      <c r="T2198" s="1">
        <v>1</v>
      </c>
      <c r="U2198" s="19"/>
      <c r="V2198" s="19"/>
      <c r="W2198" s="218">
        <v>1</v>
      </c>
      <c r="X2198" s="218">
        <v>1</v>
      </c>
      <c r="Y2198" s="218">
        <v>1</v>
      </c>
    </row>
    <row r="2199" spans="1:25" x14ac:dyDescent="0.3">
      <c r="A2199" s="1" t="s">
        <v>6277</v>
      </c>
      <c r="B2199" s="5">
        <v>46188</v>
      </c>
      <c r="C2199" s="6">
        <v>0.60416666666666696</v>
      </c>
      <c r="D2199" s="1" t="s">
        <v>30</v>
      </c>
      <c r="E2199" s="1" t="s">
        <v>6106</v>
      </c>
      <c r="F2199" s="1" t="s">
        <v>6278</v>
      </c>
      <c r="G2199" s="39" t="s">
        <v>6137</v>
      </c>
      <c r="H2199" s="1">
        <v>2</v>
      </c>
      <c r="I2199" s="1">
        <v>2</v>
      </c>
      <c r="J2199" s="39" t="s">
        <v>6162</v>
      </c>
      <c r="K2199" s="1">
        <v>2</v>
      </c>
      <c r="L2199" s="1">
        <v>2</v>
      </c>
      <c r="S2199" s="1" t="s">
        <v>6279</v>
      </c>
      <c r="T2199" s="1">
        <v>1</v>
      </c>
      <c r="U2199" s="19"/>
      <c r="V2199" s="19"/>
      <c r="W2199" s="218">
        <v>1</v>
      </c>
      <c r="X2199" s="218">
        <v>1</v>
      </c>
      <c r="Y2199" s="218">
        <v>1</v>
      </c>
    </row>
    <row r="2200" spans="1:25" x14ac:dyDescent="0.3">
      <c r="A2200" s="1" t="s">
        <v>6280</v>
      </c>
      <c r="B2200" s="5">
        <v>46180</v>
      </c>
      <c r="C2200" s="6">
        <v>0.33333333333333298</v>
      </c>
      <c r="D2200" s="1" t="s">
        <v>30</v>
      </c>
      <c r="E2200" s="1" t="s">
        <v>6106</v>
      </c>
      <c r="F2200" s="1" t="s">
        <v>6281</v>
      </c>
      <c r="G2200" s="39" t="s">
        <v>6162</v>
      </c>
      <c r="H2200" s="1">
        <v>1</v>
      </c>
      <c r="I2200" s="1">
        <v>0</v>
      </c>
      <c r="J2200" s="39" t="s">
        <v>6109</v>
      </c>
      <c r="K2200" s="1">
        <v>0</v>
      </c>
      <c r="L2200" s="1">
        <v>1</v>
      </c>
      <c r="S2200" s="1" t="s">
        <v>6282</v>
      </c>
      <c r="T2200" s="1">
        <v>1</v>
      </c>
      <c r="U2200" s="19"/>
      <c r="V2200" s="19"/>
      <c r="W2200" s="218">
        <v>1</v>
      </c>
      <c r="X2200" s="218">
        <v>1</v>
      </c>
      <c r="Y2200" s="218">
        <v>1</v>
      </c>
    </row>
    <row r="2201" spans="1:25" x14ac:dyDescent="0.3">
      <c r="A2201" s="1" t="s">
        <v>6283</v>
      </c>
      <c r="B2201" s="5">
        <v>46172</v>
      </c>
      <c r="C2201" s="6">
        <v>0.45833333333333298</v>
      </c>
      <c r="D2201" s="1" t="s">
        <v>30</v>
      </c>
      <c r="E2201" s="1" t="s">
        <v>6106</v>
      </c>
      <c r="F2201" s="1" t="s">
        <v>6284</v>
      </c>
      <c r="G2201" s="39" t="s">
        <v>6149</v>
      </c>
      <c r="H2201" s="1">
        <v>1</v>
      </c>
      <c r="I2201" s="1">
        <v>2</v>
      </c>
      <c r="J2201" s="39" t="s">
        <v>6162</v>
      </c>
      <c r="K2201" s="1">
        <v>2</v>
      </c>
      <c r="L2201" s="1">
        <v>1</v>
      </c>
      <c r="S2201" s="1" t="s">
        <v>6285</v>
      </c>
      <c r="T2201" s="1">
        <v>1</v>
      </c>
      <c r="U2201" s="19"/>
      <c r="V2201" s="19"/>
      <c r="W2201" s="218">
        <v>1</v>
      </c>
      <c r="X2201" s="218">
        <v>1</v>
      </c>
      <c r="Y2201" s="218">
        <v>1</v>
      </c>
    </row>
    <row r="2202" spans="1:25" x14ac:dyDescent="0.3">
      <c r="A2202" s="1" t="s">
        <v>6286</v>
      </c>
      <c r="B2202" s="5">
        <v>46164</v>
      </c>
      <c r="C2202" s="6">
        <v>0.58333333333333304</v>
      </c>
      <c r="D2202" s="1" t="s">
        <v>30</v>
      </c>
      <c r="E2202" s="1" t="s">
        <v>6106</v>
      </c>
      <c r="F2202" s="1" t="s">
        <v>6287</v>
      </c>
      <c r="G2202" s="39" t="s">
        <v>6162</v>
      </c>
      <c r="H2202" s="1">
        <v>1</v>
      </c>
      <c r="I2202" s="1">
        <v>1</v>
      </c>
      <c r="J2202" s="39" t="s">
        <v>6125</v>
      </c>
      <c r="K2202" s="1">
        <v>1</v>
      </c>
      <c r="L2202" s="1">
        <v>1</v>
      </c>
      <c r="S2202" s="1" t="s">
        <v>6288</v>
      </c>
      <c r="T2202" s="1">
        <v>1</v>
      </c>
      <c r="U2202" s="19"/>
      <c r="V2202" s="19"/>
      <c r="W2202" s="218">
        <v>1</v>
      </c>
      <c r="X2202" s="218">
        <v>1</v>
      </c>
      <c r="Y2202" s="218">
        <v>1</v>
      </c>
    </row>
    <row r="2203" spans="1:25" x14ac:dyDescent="0.3">
      <c r="A2203" s="1" t="s">
        <v>6289</v>
      </c>
      <c r="B2203" s="5">
        <v>46150</v>
      </c>
      <c r="C2203" s="6">
        <v>0.58333333333333304</v>
      </c>
      <c r="D2203" s="1" t="s">
        <v>30</v>
      </c>
      <c r="E2203" s="1" t="s">
        <v>6106</v>
      </c>
      <c r="F2203" s="1" t="s">
        <v>6290</v>
      </c>
      <c r="G2203" s="39" t="s">
        <v>6162</v>
      </c>
      <c r="H2203" s="1">
        <v>4</v>
      </c>
      <c r="I2203" s="1">
        <v>0</v>
      </c>
      <c r="J2203" s="39" t="s">
        <v>6133</v>
      </c>
      <c r="K2203" s="1">
        <v>0</v>
      </c>
      <c r="L2203" s="1">
        <v>4</v>
      </c>
      <c r="S2203" s="1" t="s">
        <v>6291</v>
      </c>
      <c r="T2203" s="1">
        <v>1</v>
      </c>
      <c r="U2203" s="19"/>
      <c r="V2203" s="19"/>
      <c r="W2203" s="218">
        <v>1</v>
      </c>
      <c r="X2203" s="218">
        <v>1</v>
      </c>
      <c r="Y2203" s="218">
        <v>1</v>
      </c>
    </row>
    <row r="2204" spans="1:25" x14ac:dyDescent="0.3">
      <c r="A2204" s="1" t="s">
        <v>6292</v>
      </c>
      <c r="B2204" s="5">
        <v>46143</v>
      </c>
      <c r="C2204" s="6">
        <v>0.33333333333333298</v>
      </c>
      <c r="D2204" s="1" t="s">
        <v>30</v>
      </c>
      <c r="E2204" s="1" t="s">
        <v>6106</v>
      </c>
      <c r="F2204" s="1" t="s">
        <v>6293</v>
      </c>
      <c r="G2204" s="39" t="s">
        <v>6141</v>
      </c>
      <c r="H2204" s="1">
        <v>2</v>
      </c>
      <c r="I2204" s="1">
        <v>2</v>
      </c>
      <c r="J2204" s="39" t="s">
        <v>6162</v>
      </c>
      <c r="K2204" s="1">
        <v>2</v>
      </c>
      <c r="L2204" s="1">
        <v>2</v>
      </c>
      <c r="S2204" s="1" t="s">
        <v>6294</v>
      </c>
      <c r="T2204" s="1">
        <v>1</v>
      </c>
      <c r="U2204" s="19"/>
      <c r="V2204" s="19"/>
      <c r="W2204" s="218">
        <v>1</v>
      </c>
      <c r="X2204" s="218">
        <v>1</v>
      </c>
      <c r="Y2204" s="218">
        <v>1</v>
      </c>
    </row>
    <row r="2205" spans="1:25" x14ac:dyDescent="0.3">
      <c r="A2205" s="1" t="s">
        <v>6295</v>
      </c>
      <c r="B2205" s="5">
        <v>46138</v>
      </c>
      <c r="C2205" s="6">
        <v>0.33333333333333298</v>
      </c>
      <c r="D2205" s="1" t="s">
        <v>30</v>
      </c>
      <c r="E2205" s="1" t="s">
        <v>6106</v>
      </c>
      <c r="F2205" s="1" t="s">
        <v>6296</v>
      </c>
      <c r="G2205" s="39" t="s">
        <v>6162</v>
      </c>
      <c r="H2205" s="1">
        <v>3</v>
      </c>
      <c r="I2205" s="1">
        <v>1</v>
      </c>
      <c r="J2205" s="39" t="s">
        <v>6114</v>
      </c>
      <c r="K2205" s="1">
        <v>1</v>
      </c>
      <c r="L2205" s="1">
        <v>3</v>
      </c>
      <c r="S2205" s="1" t="s">
        <v>6297</v>
      </c>
      <c r="T2205" s="1">
        <v>1</v>
      </c>
      <c r="U2205" s="19"/>
      <c r="V2205" s="19"/>
      <c r="W2205" s="218">
        <v>1</v>
      </c>
      <c r="X2205" s="218">
        <v>1</v>
      </c>
      <c r="Y2205" s="218">
        <v>1</v>
      </c>
    </row>
    <row r="2206" spans="1:25" x14ac:dyDescent="0.3">
      <c r="A2206" s="1" t="s">
        <v>6298</v>
      </c>
      <c r="B2206" s="5">
        <v>46242</v>
      </c>
      <c r="C2206" s="6">
        <v>0.45833333333333298</v>
      </c>
      <c r="D2206" s="1" t="s">
        <v>30</v>
      </c>
      <c r="E2206" s="1" t="s">
        <v>6106</v>
      </c>
      <c r="F2206" s="1" t="s">
        <v>6299</v>
      </c>
      <c r="G2206" s="39" t="s">
        <v>6114</v>
      </c>
      <c r="H2206" s="1">
        <v>1</v>
      </c>
      <c r="I2206" s="1">
        <v>2</v>
      </c>
      <c r="J2206" s="39" t="s">
        <v>6133</v>
      </c>
      <c r="K2206" s="1">
        <v>2</v>
      </c>
      <c r="L2206" s="1">
        <v>1</v>
      </c>
      <c r="S2206" s="1" t="s">
        <v>6300</v>
      </c>
      <c r="T2206" s="1">
        <v>1</v>
      </c>
      <c r="U2206" s="19"/>
      <c r="V2206" s="19"/>
      <c r="W2206" s="218">
        <v>1</v>
      </c>
      <c r="X2206" s="218">
        <v>1</v>
      </c>
      <c r="Y2206" s="218">
        <v>1</v>
      </c>
    </row>
    <row r="2207" spans="1:25" x14ac:dyDescent="0.3">
      <c r="A2207" s="1" t="s">
        <v>6301</v>
      </c>
      <c r="B2207" s="5">
        <v>46199</v>
      </c>
      <c r="C2207" s="6">
        <v>0.59375</v>
      </c>
      <c r="D2207" s="1" t="s">
        <v>30</v>
      </c>
      <c r="E2207" s="1" t="s">
        <v>6106</v>
      </c>
      <c r="F2207" s="1" t="s">
        <v>6302</v>
      </c>
      <c r="G2207" s="39" t="s">
        <v>6137</v>
      </c>
      <c r="H2207" s="1">
        <v>1</v>
      </c>
      <c r="I2207" s="1">
        <v>0</v>
      </c>
      <c r="J2207" s="39" t="s">
        <v>6133</v>
      </c>
      <c r="K2207" s="1">
        <v>0</v>
      </c>
      <c r="L2207" s="1">
        <v>1</v>
      </c>
      <c r="S2207" s="1" t="s">
        <v>6303</v>
      </c>
      <c r="T2207" s="1">
        <v>1</v>
      </c>
      <c r="U2207" s="19"/>
      <c r="V2207" s="19"/>
      <c r="W2207" s="218">
        <v>1</v>
      </c>
      <c r="X2207" s="218">
        <v>1</v>
      </c>
      <c r="Y2207" s="218">
        <v>1</v>
      </c>
    </row>
    <row r="2208" spans="1:25" x14ac:dyDescent="0.3">
      <c r="A2208" s="1" t="s">
        <v>6304</v>
      </c>
      <c r="B2208" s="5">
        <v>46191</v>
      </c>
      <c r="C2208" s="6">
        <v>0.59375</v>
      </c>
      <c r="D2208" s="1" t="s">
        <v>30</v>
      </c>
      <c r="E2208" s="1" t="s">
        <v>6106</v>
      </c>
      <c r="F2208" s="1" t="s">
        <v>6305</v>
      </c>
      <c r="G2208" s="39" t="s">
        <v>6125</v>
      </c>
      <c r="H2208" s="1">
        <v>2</v>
      </c>
      <c r="I2208" s="1">
        <v>4</v>
      </c>
      <c r="J2208" s="39" t="s">
        <v>6133</v>
      </c>
      <c r="K2208" s="1">
        <v>4</v>
      </c>
      <c r="L2208" s="1">
        <v>2</v>
      </c>
      <c r="S2208" s="1" t="s">
        <v>6306</v>
      </c>
      <c r="T2208" s="1">
        <v>1</v>
      </c>
      <c r="U2208" s="19"/>
      <c r="V2208" s="19"/>
      <c r="W2208" s="218">
        <v>1</v>
      </c>
      <c r="X2208" s="218">
        <v>1</v>
      </c>
      <c r="Y2208" s="218">
        <v>1</v>
      </c>
    </row>
    <row r="2209" spans="1:25" x14ac:dyDescent="0.3">
      <c r="A2209" s="1" t="s">
        <v>6307</v>
      </c>
      <c r="B2209" s="5">
        <v>46177</v>
      </c>
      <c r="C2209" s="6">
        <v>0.58333333333333304</v>
      </c>
      <c r="D2209" s="1" t="s">
        <v>30</v>
      </c>
      <c r="E2209" s="1" t="s">
        <v>6106</v>
      </c>
      <c r="F2209" s="1" t="s">
        <v>6308</v>
      </c>
      <c r="G2209" s="39" t="s">
        <v>6133</v>
      </c>
      <c r="H2209" s="1">
        <v>5</v>
      </c>
      <c r="I2209" s="1">
        <v>0</v>
      </c>
      <c r="J2209" s="39" t="s">
        <v>6137</v>
      </c>
      <c r="K2209" s="1">
        <v>0</v>
      </c>
      <c r="L2209" s="1">
        <v>5</v>
      </c>
      <c r="S2209" s="1" t="s">
        <v>6309</v>
      </c>
      <c r="T2209" s="1">
        <v>1</v>
      </c>
      <c r="U2209" s="19"/>
      <c r="V2209" s="19"/>
      <c r="W2209" s="218">
        <v>1</v>
      </c>
      <c r="X2209" s="218">
        <v>1</v>
      </c>
      <c r="Y2209" s="218">
        <v>1</v>
      </c>
    </row>
    <row r="2210" spans="1:25" x14ac:dyDescent="0.3">
      <c r="A2210" s="1" t="s">
        <v>6310</v>
      </c>
      <c r="B2210" s="5">
        <v>46165</v>
      </c>
      <c r="C2210" s="6">
        <v>0.45833333333333298</v>
      </c>
      <c r="D2210" s="1" t="s">
        <v>30</v>
      </c>
      <c r="E2210" s="1" t="s">
        <v>6106</v>
      </c>
      <c r="F2210" s="1" t="s">
        <v>6311</v>
      </c>
      <c r="G2210" s="39" t="s">
        <v>6133</v>
      </c>
      <c r="H2210" s="1">
        <v>6</v>
      </c>
      <c r="I2210" s="1">
        <v>0</v>
      </c>
      <c r="J2210" s="39" t="s">
        <v>6114</v>
      </c>
      <c r="K2210" s="1">
        <v>0</v>
      </c>
      <c r="L2210" s="1">
        <v>6</v>
      </c>
      <c r="S2210" s="1" t="s">
        <v>6312</v>
      </c>
      <c r="T2210" s="1">
        <v>1</v>
      </c>
      <c r="U2210" s="19"/>
      <c r="V2210" s="19"/>
      <c r="W2210" s="218">
        <v>1</v>
      </c>
      <c r="X2210" s="218">
        <v>1</v>
      </c>
      <c r="Y2210" s="218">
        <v>1</v>
      </c>
    </row>
    <row r="2211" spans="1:25" x14ac:dyDescent="0.3">
      <c r="A2211" s="1" t="s">
        <v>6313</v>
      </c>
      <c r="B2211" s="5">
        <v>46159</v>
      </c>
      <c r="C2211" s="6">
        <v>0.41666666666666702</v>
      </c>
      <c r="D2211" s="1" t="s">
        <v>30</v>
      </c>
      <c r="E2211" s="1" t="s">
        <v>6106</v>
      </c>
      <c r="F2211" s="1" t="s">
        <v>6314</v>
      </c>
      <c r="G2211" s="39" t="s">
        <v>6133</v>
      </c>
      <c r="H2211" s="1">
        <v>1</v>
      </c>
      <c r="I2211" s="1">
        <v>1</v>
      </c>
      <c r="J2211" s="39" t="s">
        <v>6109</v>
      </c>
      <c r="K2211" s="1">
        <v>1</v>
      </c>
      <c r="L2211" s="1">
        <v>1</v>
      </c>
      <c r="S2211" s="1" t="s">
        <v>6315</v>
      </c>
      <c r="T2211" s="1">
        <v>1</v>
      </c>
      <c r="U2211" s="19"/>
      <c r="V2211" s="19"/>
      <c r="W2211" s="218">
        <v>1</v>
      </c>
      <c r="X2211" s="218">
        <v>1</v>
      </c>
      <c r="Y2211" s="218">
        <v>1</v>
      </c>
    </row>
    <row r="2212" spans="1:25" x14ac:dyDescent="0.3">
      <c r="A2212" s="1" t="s">
        <v>6316</v>
      </c>
      <c r="B2212" s="5">
        <v>46145</v>
      </c>
      <c r="C2212" s="6">
        <v>0.41666666666666702</v>
      </c>
      <c r="D2212" s="1" t="s">
        <v>30</v>
      </c>
      <c r="E2212" s="1" t="s">
        <v>6106</v>
      </c>
      <c r="F2212" s="1" t="s">
        <v>6317</v>
      </c>
      <c r="G2212" s="39" t="s">
        <v>6133</v>
      </c>
      <c r="H2212" s="1">
        <v>2</v>
      </c>
      <c r="I2212" s="1">
        <v>0</v>
      </c>
      <c r="J2212" s="39" t="s">
        <v>6118</v>
      </c>
      <c r="K2212" s="1">
        <v>0</v>
      </c>
      <c r="L2212" s="1">
        <v>2</v>
      </c>
      <c r="S2212" s="1" t="s">
        <v>6318</v>
      </c>
      <c r="T2212" s="1">
        <v>1</v>
      </c>
      <c r="U2212" s="19"/>
      <c r="V2212" s="19"/>
      <c r="W2212" s="218">
        <v>1</v>
      </c>
      <c r="X2212" s="218">
        <v>1</v>
      </c>
      <c r="Y2212" s="218">
        <v>1</v>
      </c>
    </row>
    <row r="2213" spans="1:25" x14ac:dyDescent="0.3">
      <c r="A2213" s="1" t="s">
        <v>6319</v>
      </c>
      <c r="B2213" s="5">
        <v>46235</v>
      </c>
      <c r="C2213" s="6">
        <v>0.33333333333333298</v>
      </c>
      <c r="D2213" s="1" t="s">
        <v>30</v>
      </c>
      <c r="E2213" s="1" t="s">
        <v>6106</v>
      </c>
      <c r="F2213" s="1" t="s">
        <v>6320</v>
      </c>
      <c r="G2213" s="39" t="s">
        <v>6137</v>
      </c>
      <c r="H2213" s="1">
        <v>3</v>
      </c>
      <c r="I2213" s="1">
        <v>3</v>
      </c>
      <c r="J2213" s="39" t="s">
        <v>6109</v>
      </c>
      <c r="K2213" s="1">
        <v>3</v>
      </c>
      <c r="L2213" s="1">
        <v>3</v>
      </c>
      <c r="S2213" s="1" t="s">
        <v>6321</v>
      </c>
      <c r="T2213" s="1">
        <v>1</v>
      </c>
      <c r="U2213" s="19"/>
      <c r="V2213" s="19"/>
      <c r="W2213" s="218">
        <v>1</v>
      </c>
      <c r="X2213" s="218">
        <v>1</v>
      </c>
      <c r="Y2213" s="218">
        <v>1</v>
      </c>
    </row>
    <row r="2214" spans="1:25" x14ac:dyDescent="0.3">
      <c r="A2214" s="1" t="s">
        <v>6322</v>
      </c>
      <c r="B2214" s="5">
        <v>46200</v>
      </c>
      <c r="C2214" s="6">
        <v>0.45833333333333298</v>
      </c>
      <c r="D2214" s="1" t="s">
        <v>30</v>
      </c>
      <c r="E2214" s="1" t="s">
        <v>6106</v>
      </c>
      <c r="F2214" s="1" t="s">
        <v>6323</v>
      </c>
      <c r="G2214" s="39" t="s">
        <v>6109</v>
      </c>
      <c r="H2214" s="1">
        <v>0</v>
      </c>
      <c r="I2214" s="1">
        <v>1</v>
      </c>
      <c r="J2214" s="39" t="s">
        <v>6125</v>
      </c>
      <c r="K2214" s="1">
        <v>1</v>
      </c>
      <c r="L2214" s="1">
        <v>0</v>
      </c>
      <c r="S2214" s="1" t="s">
        <v>6324</v>
      </c>
      <c r="T2214" s="1">
        <v>1</v>
      </c>
      <c r="U2214" s="19"/>
      <c r="V2214" s="19"/>
      <c r="W2214" s="218">
        <v>1</v>
      </c>
      <c r="X2214" s="218">
        <v>1</v>
      </c>
      <c r="Y2214" s="218">
        <v>1</v>
      </c>
    </row>
    <row r="2215" spans="1:25" x14ac:dyDescent="0.3">
      <c r="A2215" s="1" t="s">
        <v>6325</v>
      </c>
      <c r="B2215" s="5">
        <v>46194</v>
      </c>
      <c r="C2215" s="6">
        <v>0.45833333333333298</v>
      </c>
      <c r="D2215" s="1" t="s">
        <v>30</v>
      </c>
      <c r="E2215" s="1" t="s">
        <v>6106</v>
      </c>
      <c r="F2215" s="1" t="s">
        <v>6326</v>
      </c>
      <c r="G2215" s="39" t="s">
        <v>6118</v>
      </c>
      <c r="H2215" s="1">
        <v>1</v>
      </c>
      <c r="I2215" s="1">
        <v>3</v>
      </c>
      <c r="J2215" s="39" t="s">
        <v>6109</v>
      </c>
      <c r="K2215" s="1">
        <v>3</v>
      </c>
      <c r="L2215" s="1">
        <v>1</v>
      </c>
      <c r="S2215" s="1" t="s">
        <v>6327</v>
      </c>
      <c r="T2215" s="1">
        <v>1</v>
      </c>
      <c r="U2215" s="19"/>
      <c r="V2215" s="19"/>
      <c r="W2215" s="218">
        <v>1</v>
      </c>
      <c r="X2215" s="218">
        <v>1</v>
      </c>
      <c r="Y2215" s="218">
        <v>1</v>
      </c>
    </row>
    <row r="2216" spans="1:25" x14ac:dyDescent="0.3">
      <c r="A2216" s="1" t="s">
        <v>6328</v>
      </c>
      <c r="B2216" s="5">
        <v>46184</v>
      </c>
      <c r="C2216" s="6">
        <v>0.58333333333333304</v>
      </c>
      <c r="D2216" s="1" t="s">
        <v>30</v>
      </c>
      <c r="E2216" s="1" t="s">
        <v>6106</v>
      </c>
      <c r="F2216" s="1" t="s">
        <v>6329</v>
      </c>
      <c r="G2216" s="39" t="s">
        <v>6109</v>
      </c>
      <c r="H2216" s="1">
        <v>0</v>
      </c>
      <c r="I2216" s="1">
        <v>0</v>
      </c>
      <c r="J2216" s="39" t="s">
        <v>6149</v>
      </c>
      <c r="K2216" s="1">
        <v>0</v>
      </c>
      <c r="L2216" s="1">
        <v>0</v>
      </c>
      <c r="S2216" s="1" t="s">
        <v>6330</v>
      </c>
      <c r="T2216" s="1">
        <v>1</v>
      </c>
      <c r="U2216" s="19"/>
      <c r="V2216" s="19"/>
      <c r="W2216" s="218">
        <v>1</v>
      </c>
      <c r="X2216" s="218">
        <v>1</v>
      </c>
      <c r="Y2216" s="218">
        <v>1</v>
      </c>
    </row>
    <row r="2217" spans="1:25" x14ac:dyDescent="0.3">
      <c r="A2217" s="1" t="s">
        <v>6331</v>
      </c>
      <c r="B2217" s="5">
        <v>46173</v>
      </c>
      <c r="C2217" s="6">
        <v>0.375</v>
      </c>
      <c r="D2217" s="1" t="s">
        <v>30</v>
      </c>
      <c r="E2217" s="1" t="s">
        <v>6106</v>
      </c>
      <c r="F2217" s="1" t="s">
        <v>6332</v>
      </c>
      <c r="G2217" s="39" t="s">
        <v>6109</v>
      </c>
      <c r="H2217" s="1">
        <v>2</v>
      </c>
      <c r="I2217" s="1">
        <v>0</v>
      </c>
      <c r="J2217" s="39" t="s">
        <v>6137</v>
      </c>
      <c r="K2217" s="1">
        <v>0</v>
      </c>
      <c r="L2217" s="1">
        <v>2</v>
      </c>
      <c r="S2217" s="1" t="s">
        <v>6333</v>
      </c>
      <c r="T2217" s="1">
        <v>1</v>
      </c>
      <c r="U2217" s="19"/>
      <c r="V2217" s="19"/>
      <c r="W2217" s="218">
        <v>1</v>
      </c>
      <c r="X2217" s="218">
        <v>1</v>
      </c>
      <c r="Y2217" s="218">
        <v>1</v>
      </c>
    </row>
    <row r="2218" spans="1:25" x14ac:dyDescent="0.3">
      <c r="A2218" s="1" t="s">
        <v>6334</v>
      </c>
      <c r="B2218" s="5">
        <v>46143</v>
      </c>
      <c r="C2218" s="6">
        <v>0.41666666666666702</v>
      </c>
      <c r="D2218" s="1" t="s">
        <v>30</v>
      </c>
      <c r="E2218" s="1" t="s">
        <v>6106</v>
      </c>
      <c r="F2218" s="1" t="s">
        <v>6335</v>
      </c>
      <c r="G2218" s="39" t="s">
        <v>6114</v>
      </c>
      <c r="H2218" s="1">
        <v>0</v>
      </c>
      <c r="I2218" s="1">
        <v>3</v>
      </c>
      <c r="J2218" s="39" t="s">
        <v>6109</v>
      </c>
      <c r="K2218" s="1">
        <v>3</v>
      </c>
      <c r="L2218" s="1">
        <v>0</v>
      </c>
      <c r="S2218" s="1" t="s">
        <v>6336</v>
      </c>
      <c r="T2218" s="1">
        <v>1</v>
      </c>
      <c r="U2218" s="19"/>
      <c r="V2218" s="19"/>
      <c r="W2218" s="218">
        <v>1</v>
      </c>
      <c r="X2218" s="218">
        <v>1</v>
      </c>
      <c r="Y2218" s="218">
        <v>1</v>
      </c>
    </row>
    <row r="2219" spans="1:25" x14ac:dyDescent="0.3">
      <c r="A2219" s="1" t="s">
        <v>6337</v>
      </c>
      <c r="B2219" s="5">
        <v>46242</v>
      </c>
      <c r="C2219" s="6">
        <v>0.375</v>
      </c>
      <c r="D2219" s="1" t="s">
        <v>30</v>
      </c>
      <c r="E2219" s="1" t="s">
        <v>6106</v>
      </c>
      <c r="F2219" s="1" t="s">
        <v>6338</v>
      </c>
      <c r="G2219" s="39" t="s">
        <v>6149</v>
      </c>
      <c r="H2219" s="1">
        <v>2</v>
      </c>
      <c r="I2219" s="1">
        <v>1</v>
      </c>
      <c r="J2219" s="39" t="s">
        <v>6137</v>
      </c>
      <c r="K2219" s="1">
        <v>1</v>
      </c>
      <c r="L2219" s="1">
        <v>2</v>
      </c>
      <c r="S2219" s="1" t="s">
        <v>6339</v>
      </c>
      <c r="T2219" s="1">
        <v>1</v>
      </c>
      <c r="U2219" s="19"/>
      <c r="V2219" s="19"/>
      <c r="W2219" s="218">
        <v>1</v>
      </c>
      <c r="X2219" s="218">
        <v>1</v>
      </c>
      <c r="Y2219" s="218">
        <v>1</v>
      </c>
    </row>
    <row r="2220" spans="1:25" x14ac:dyDescent="0.3">
      <c r="A2220" s="1" t="s">
        <v>6340</v>
      </c>
      <c r="B2220" s="5">
        <v>46234</v>
      </c>
      <c r="C2220" s="6">
        <v>0.58333333333333304</v>
      </c>
      <c r="D2220" s="1" t="s">
        <v>30</v>
      </c>
      <c r="E2220" s="1" t="s">
        <v>6106</v>
      </c>
      <c r="F2220" s="1" t="s">
        <v>6341</v>
      </c>
      <c r="G2220" s="39" t="s">
        <v>6141</v>
      </c>
      <c r="H2220" s="1">
        <v>2</v>
      </c>
      <c r="I2220" s="1">
        <v>0</v>
      </c>
      <c r="J2220" s="39" t="s">
        <v>6149</v>
      </c>
      <c r="K2220" s="1">
        <v>0</v>
      </c>
      <c r="L2220" s="1">
        <v>2</v>
      </c>
      <c r="S2220" s="1" t="s">
        <v>6342</v>
      </c>
      <c r="T2220" s="1">
        <v>1</v>
      </c>
      <c r="U2220" s="19"/>
      <c r="V2220" s="19"/>
      <c r="W2220" s="218">
        <v>1</v>
      </c>
      <c r="X2220" s="218">
        <v>1</v>
      </c>
      <c r="Y2220" s="218">
        <v>1</v>
      </c>
    </row>
    <row r="2221" spans="1:25" x14ac:dyDescent="0.3">
      <c r="A2221" s="1" t="s">
        <v>6343</v>
      </c>
      <c r="B2221" s="5">
        <v>46191</v>
      </c>
      <c r="C2221" s="6">
        <v>0.60416666666666696</v>
      </c>
      <c r="D2221" s="1" t="s">
        <v>30</v>
      </c>
      <c r="E2221" s="1" t="s">
        <v>6106</v>
      </c>
      <c r="F2221" s="1" t="s">
        <v>6344</v>
      </c>
      <c r="G2221" s="39" t="s">
        <v>6149</v>
      </c>
      <c r="H2221" s="1">
        <v>1</v>
      </c>
      <c r="I2221" s="1">
        <v>0</v>
      </c>
      <c r="J2221" s="39" t="s">
        <v>6141</v>
      </c>
      <c r="K2221" s="1">
        <v>0</v>
      </c>
      <c r="L2221" s="1">
        <v>1</v>
      </c>
      <c r="S2221" s="1" t="s">
        <v>6345</v>
      </c>
      <c r="T2221" s="1">
        <v>1</v>
      </c>
      <c r="U2221" s="19"/>
      <c r="V2221" s="19"/>
      <c r="W2221" s="218">
        <v>1</v>
      </c>
      <c r="X2221" s="218">
        <v>1</v>
      </c>
      <c r="Y2221" s="218">
        <v>1</v>
      </c>
    </row>
    <row r="2222" spans="1:25" x14ac:dyDescent="0.3">
      <c r="A2222" s="1" t="s">
        <v>6346</v>
      </c>
      <c r="B2222" s="5">
        <v>46186</v>
      </c>
      <c r="C2222" s="6">
        <v>0.33333333333333298</v>
      </c>
      <c r="D2222" s="1" t="s">
        <v>30</v>
      </c>
      <c r="E2222" s="1" t="s">
        <v>6106</v>
      </c>
      <c r="F2222" s="1" t="s">
        <v>6347</v>
      </c>
      <c r="G2222" s="39" t="s">
        <v>6141</v>
      </c>
      <c r="H2222" s="1">
        <v>1</v>
      </c>
      <c r="I2222" s="1">
        <v>1</v>
      </c>
      <c r="J2222" s="39" t="s">
        <v>6118</v>
      </c>
      <c r="K2222" s="1">
        <v>1</v>
      </c>
      <c r="L2222" s="1">
        <v>1</v>
      </c>
      <c r="S2222" s="1" t="s">
        <v>6348</v>
      </c>
      <c r="T2222" s="1">
        <v>1</v>
      </c>
      <c r="U2222" s="19"/>
      <c r="V2222" s="19"/>
      <c r="W2222" s="218">
        <v>1</v>
      </c>
      <c r="X2222" s="218">
        <v>1</v>
      </c>
      <c r="Y2222" s="218">
        <v>1</v>
      </c>
    </row>
    <row r="2223" spans="1:25" x14ac:dyDescent="0.3">
      <c r="A2223" s="1" t="s">
        <v>6349</v>
      </c>
      <c r="B2223" s="5">
        <v>46179</v>
      </c>
      <c r="C2223" s="6">
        <v>0.33333333333333298</v>
      </c>
      <c r="D2223" s="1" t="s">
        <v>30</v>
      </c>
      <c r="E2223" s="1" t="s">
        <v>6106</v>
      </c>
      <c r="F2223" s="1" t="s">
        <v>6350</v>
      </c>
      <c r="G2223" s="39" t="s">
        <v>6141</v>
      </c>
      <c r="H2223" s="1">
        <v>0</v>
      </c>
      <c r="I2223" s="1">
        <v>1</v>
      </c>
      <c r="J2223" s="39" t="s">
        <v>6114</v>
      </c>
      <c r="K2223" s="1">
        <v>1</v>
      </c>
      <c r="L2223" s="1">
        <v>0</v>
      </c>
      <c r="S2223" s="1" t="s">
        <v>6351</v>
      </c>
      <c r="T2223" s="1">
        <v>1</v>
      </c>
      <c r="U2223" s="19"/>
      <c r="V2223" s="19"/>
      <c r="W2223" s="218">
        <v>1</v>
      </c>
      <c r="X2223" s="218">
        <v>1</v>
      </c>
      <c r="Y2223" s="218">
        <v>1</v>
      </c>
    </row>
    <row r="2224" spans="1:25" x14ac:dyDescent="0.3">
      <c r="A2224" s="1" t="s">
        <v>6352</v>
      </c>
      <c r="B2224" s="5">
        <v>46171</v>
      </c>
      <c r="C2224" s="6">
        <v>0.60416666666666696</v>
      </c>
      <c r="D2224" s="1" t="s">
        <v>30</v>
      </c>
      <c r="E2224" s="1" t="s">
        <v>6106</v>
      </c>
      <c r="F2224" s="1" t="s">
        <v>6353</v>
      </c>
      <c r="G2224" s="39" t="s">
        <v>6114</v>
      </c>
      <c r="H2224" s="1">
        <v>0</v>
      </c>
      <c r="I2224" s="1">
        <v>2</v>
      </c>
      <c r="J2224" s="39" t="s">
        <v>6118</v>
      </c>
      <c r="K2224" s="1">
        <v>2</v>
      </c>
      <c r="L2224" s="1">
        <v>0</v>
      </c>
      <c r="S2224" s="1" t="s">
        <v>6354</v>
      </c>
      <c r="T2224" s="1">
        <v>1</v>
      </c>
      <c r="U2224" s="19"/>
      <c r="V2224" s="19"/>
      <c r="W2224" s="218">
        <v>1</v>
      </c>
      <c r="X2224" s="218">
        <v>1</v>
      </c>
      <c r="Y2224" s="218">
        <v>1</v>
      </c>
    </row>
    <row r="2225" spans="1:25" x14ac:dyDescent="0.3">
      <c r="A2225" s="1" t="s">
        <v>6355</v>
      </c>
      <c r="B2225" s="5">
        <v>46156</v>
      </c>
      <c r="C2225" s="6">
        <v>0.375</v>
      </c>
      <c r="D2225" s="1" t="s">
        <v>30</v>
      </c>
      <c r="E2225" s="1" t="s">
        <v>6106</v>
      </c>
      <c r="F2225" s="1" t="s">
        <v>6356</v>
      </c>
      <c r="G2225" s="39" t="s">
        <v>6125</v>
      </c>
      <c r="H2225" s="1">
        <v>3</v>
      </c>
      <c r="I2225" s="1">
        <v>2</v>
      </c>
      <c r="J2225" s="39" t="s">
        <v>6118</v>
      </c>
      <c r="K2225" s="1">
        <v>2</v>
      </c>
      <c r="L2225" s="1">
        <v>3</v>
      </c>
      <c r="S2225" s="1" t="s">
        <v>6357</v>
      </c>
      <c r="T2225" s="1">
        <v>1</v>
      </c>
      <c r="U2225" s="19"/>
      <c r="V2225" s="19"/>
      <c r="W2225" s="218">
        <v>1</v>
      </c>
      <c r="X2225" s="218">
        <v>1</v>
      </c>
      <c r="Y2225" s="218">
        <v>1</v>
      </c>
    </row>
    <row r="2226" spans="1:25" x14ac:dyDescent="0.3">
      <c r="A2226" s="1" t="s">
        <v>6358</v>
      </c>
      <c r="B2226" s="5">
        <v>46152</v>
      </c>
      <c r="C2226" s="6">
        <v>0.45833333333333298</v>
      </c>
      <c r="D2226" s="1" t="s">
        <v>30</v>
      </c>
      <c r="E2226" s="1" t="s">
        <v>6106</v>
      </c>
      <c r="F2226" s="1" t="s">
        <v>6359</v>
      </c>
      <c r="G2226" s="39" t="s">
        <v>6141</v>
      </c>
      <c r="H2226" s="1">
        <v>2</v>
      </c>
      <c r="I2226" s="1">
        <v>2</v>
      </c>
      <c r="J2226" s="39" t="s">
        <v>6125</v>
      </c>
      <c r="K2226" s="1">
        <v>2</v>
      </c>
      <c r="L2226" s="1">
        <v>2</v>
      </c>
      <c r="S2226" s="1" t="s">
        <v>6360</v>
      </c>
      <c r="T2226" s="1">
        <v>1</v>
      </c>
      <c r="U2226" s="19"/>
      <c r="V2226" s="19"/>
      <c r="W2226" s="218">
        <v>1</v>
      </c>
      <c r="X2226" s="218">
        <v>1</v>
      </c>
      <c r="Y2226" s="218">
        <v>1</v>
      </c>
    </row>
    <row r="2227" spans="1:25" x14ac:dyDescent="0.3">
      <c r="A2227" s="1" t="s">
        <v>6361</v>
      </c>
      <c r="B2227" s="5">
        <v>46150</v>
      </c>
      <c r="C2227" s="6">
        <v>0.59375</v>
      </c>
      <c r="D2227" s="1" t="s">
        <v>30</v>
      </c>
      <c r="E2227" s="1" t="s">
        <v>6106</v>
      </c>
      <c r="F2227" s="1" t="s">
        <v>6362</v>
      </c>
      <c r="G2227" s="39" t="s">
        <v>6137</v>
      </c>
      <c r="H2227" s="1">
        <v>0</v>
      </c>
      <c r="I2227" s="1">
        <v>1</v>
      </c>
      <c r="J2227" s="39" t="s">
        <v>6114</v>
      </c>
      <c r="K2227" s="1">
        <v>1</v>
      </c>
      <c r="L2227" s="1">
        <v>0</v>
      </c>
      <c r="S2227" s="1" t="s">
        <v>6363</v>
      </c>
      <c r="T2227" s="1">
        <v>1</v>
      </c>
      <c r="U2227" s="19"/>
      <c r="V2227" s="19"/>
      <c r="W2227" s="218">
        <v>1</v>
      </c>
      <c r="X2227" s="218">
        <v>1</v>
      </c>
      <c r="Y2227" s="218">
        <v>1</v>
      </c>
    </row>
    <row r="2228" spans="1:25" x14ac:dyDescent="0.3">
      <c r="A2228" s="1" t="s">
        <v>6364</v>
      </c>
      <c r="B2228" s="5">
        <v>46150</v>
      </c>
      <c r="C2228" s="6">
        <v>0.58333333333333304</v>
      </c>
      <c r="D2228" s="1" t="s">
        <v>30</v>
      </c>
      <c r="E2228" s="1" t="s">
        <v>6106</v>
      </c>
      <c r="F2228" s="1" t="s">
        <v>6365</v>
      </c>
      <c r="G2228" s="39" t="s">
        <v>6118</v>
      </c>
      <c r="H2228" s="1">
        <v>1</v>
      </c>
      <c r="I2228" s="1">
        <v>1</v>
      </c>
      <c r="J2228" s="39" t="s">
        <v>6149</v>
      </c>
      <c r="K2228" s="1">
        <v>1</v>
      </c>
      <c r="L2228" s="1">
        <v>1</v>
      </c>
      <c r="S2228" s="1" t="s">
        <v>6366</v>
      </c>
      <c r="T2228" s="1">
        <v>1</v>
      </c>
      <c r="U2228" s="19"/>
      <c r="V2228" s="19"/>
      <c r="W2228" s="218">
        <v>1</v>
      </c>
      <c r="X2228" s="218">
        <v>1</v>
      </c>
      <c r="Y2228" s="218">
        <v>1</v>
      </c>
    </row>
    <row r="2229" spans="1:25" x14ac:dyDescent="0.3">
      <c r="A2229" s="1" t="s">
        <v>6367</v>
      </c>
      <c r="B2229" s="5">
        <v>46137</v>
      </c>
      <c r="C2229" s="6">
        <v>0.33333333333333298</v>
      </c>
      <c r="D2229" s="1" t="s">
        <v>30</v>
      </c>
      <c r="E2229" s="1" t="s">
        <v>6106</v>
      </c>
      <c r="F2229" s="1" t="s">
        <v>6368</v>
      </c>
      <c r="G2229" s="39" t="s">
        <v>6149</v>
      </c>
      <c r="H2229" s="1">
        <v>0</v>
      </c>
      <c r="I2229" s="1">
        <v>0</v>
      </c>
      <c r="J2229" s="39" t="s">
        <v>6125</v>
      </c>
      <c r="K2229" s="1">
        <v>0</v>
      </c>
      <c r="L2229" s="1">
        <v>0</v>
      </c>
      <c r="S2229" s="1" t="s">
        <v>6369</v>
      </c>
      <c r="T2229" s="1">
        <v>1</v>
      </c>
      <c r="U2229" s="19"/>
      <c r="V2229" s="19"/>
      <c r="W2229" s="218">
        <v>1</v>
      </c>
      <c r="X2229" s="218">
        <v>1</v>
      </c>
      <c r="Y2229" s="218">
        <v>1</v>
      </c>
    </row>
    <row r="2230" spans="1:25" x14ac:dyDescent="0.3">
      <c r="A2230" s="1" t="s">
        <v>6370</v>
      </c>
      <c r="B2230" s="5">
        <v>46143</v>
      </c>
      <c r="C2230" s="6">
        <v>0.375</v>
      </c>
      <c r="D2230" s="1" t="s">
        <v>30</v>
      </c>
      <c r="E2230" s="1" t="s">
        <v>6106</v>
      </c>
      <c r="F2230" s="1" t="s">
        <v>6371</v>
      </c>
      <c r="G2230" s="39" t="s">
        <v>6125</v>
      </c>
      <c r="H2230" s="1">
        <v>1</v>
      </c>
      <c r="I2230" s="1">
        <v>2</v>
      </c>
      <c r="J2230" s="39" t="s">
        <v>6137</v>
      </c>
      <c r="K2230" s="1">
        <v>2</v>
      </c>
      <c r="L2230" s="1">
        <v>1</v>
      </c>
      <c r="S2230" s="1" t="s">
        <v>6372</v>
      </c>
      <c r="T2230" s="1">
        <v>1</v>
      </c>
      <c r="U2230" s="19"/>
      <c r="V2230" s="19"/>
      <c r="W2230" s="218">
        <v>1</v>
      </c>
      <c r="X2230" s="218">
        <v>1</v>
      </c>
      <c r="Y2230" s="218">
        <v>1</v>
      </c>
    </row>
    <row r="2231" spans="1:25" x14ac:dyDescent="0.3">
      <c r="A2231" s="1" t="s">
        <v>6373</v>
      </c>
      <c r="B2231" s="5">
        <v>46243</v>
      </c>
      <c r="C2231" s="6">
        <v>0.33333333333333298</v>
      </c>
      <c r="D2231" s="1" t="s">
        <v>30</v>
      </c>
      <c r="E2231" s="1" t="s">
        <v>36</v>
      </c>
      <c r="F2231" s="1" t="s">
        <v>6374</v>
      </c>
      <c r="G2231" s="39" t="s">
        <v>6375</v>
      </c>
      <c r="H2231" s="1">
        <v>2</v>
      </c>
      <c r="I2231" s="1">
        <v>2</v>
      </c>
      <c r="J2231" s="39" t="s">
        <v>6376</v>
      </c>
      <c r="K2231" s="1">
        <v>2</v>
      </c>
      <c r="L2231" s="1">
        <v>2</v>
      </c>
      <c r="S2231" s="1" t="s">
        <v>6377</v>
      </c>
      <c r="T2231" s="1">
        <v>1</v>
      </c>
      <c r="U2231" s="19"/>
      <c r="V2231" s="19"/>
      <c r="W2231" s="218">
        <v>1</v>
      </c>
      <c r="X2231" s="218">
        <v>1</v>
      </c>
      <c r="Y2231" s="218">
        <v>1</v>
      </c>
    </row>
    <row r="2232" spans="1:25" x14ac:dyDescent="0.3">
      <c r="A2232" s="1" t="s">
        <v>6378</v>
      </c>
      <c r="B2232" s="5">
        <v>46236</v>
      </c>
      <c r="C2232" s="6">
        <v>0.54166666666666696</v>
      </c>
      <c r="D2232" s="1" t="s">
        <v>30</v>
      </c>
      <c r="E2232" s="1" t="s">
        <v>36</v>
      </c>
      <c r="F2232" s="1" t="s">
        <v>6379</v>
      </c>
      <c r="G2232" s="39" t="s">
        <v>6376</v>
      </c>
      <c r="H2232" s="1">
        <v>1</v>
      </c>
      <c r="I2232" s="1">
        <v>0</v>
      </c>
      <c r="J2232" s="39" t="s">
        <v>6380</v>
      </c>
      <c r="K2232" s="1">
        <v>0</v>
      </c>
      <c r="L2232" s="1">
        <v>1</v>
      </c>
      <c r="S2232" s="1" t="s">
        <v>6381</v>
      </c>
      <c r="T2232" s="1">
        <v>1</v>
      </c>
      <c r="U2232" s="19"/>
      <c r="V2232" s="19"/>
      <c r="W2232" s="218">
        <v>1</v>
      </c>
      <c r="X2232" s="218">
        <v>1</v>
      </c>
      <c r="Y2232" s="218">
        <v>1</v>
      </c>
    </row>
    <row r="2233" spans="1:25" x14ac:dyDescent="0.3">
      <c r="A2233" s="1" t="s">
        <v>6382</v>
      </c>
      <c r="B2233" s="5">
        <v>46199</v>
      </c>
      <c r="C2233" s="6">
        <v>0.58333333333333304</v>
      </c>
      <c r="D2233" s="1" t="s">
        <v>30</v>
      </c>
      <c r="E2233" s="1" t="s">
        <v>36</v>
      </c>
      <c r="F2233" s="1" t="s">
        <v>6383</v>
      </c>
      <c r="G2233" s="39" t="s">
        <v>6384</v>
      </c>
      <c r="H2233" s="1">
        <v>2</v>
      </c>
      <c r="I2233" s="1">
        <v>4</v>
      </c>
      <c r="J2233" s="39" t="s">
        <v>6376</v>
      </c>
      <c r="K2233" s="1">
        <v>4</v>
      </c>
      <c r="L2233" s="1">
        <v>2</v>
      </c>
      <c r="S2233" s="1" t="s">
        <v>6385</v>
      </c>
      <c r="T2233" s="1">
        <v>1</v>
      </c>
      <c r="U2233" s="19"/>
      <c r="V2233" s="19"/>
      <c r="W2233" s="218">
        <v>1</v>
      </c>
      <c r="X2233" s="218">
        <v>1</v>
      </c>
      <c r="Y2233" s="218">
        <v>1</v>
      </c>
    </row>
    <row r="2234" spans="1:25" x14ac:dyDescent="0.3">
      <c r="A2234" s="1" t="s">
        <v>6386</v>
      </c>
      <c r="B2234" s="5">
        <v>46190</v>
      </c>
      <c r="C2234" s="6">
        <v>0.58333333333333304</v>
      </c>
      <c r="D2234" s="1" t="s">
        <v>30</v>
      </c>
      <c r="E2234" s="1" t="s">
        <v>36</v>
      </c>
      <c r="F2234" s="1" t="s">
        <v>6387</v>
      </c>
      <c r="G2234" s="39" t="s">
        <v>6376</v>
      </c>
      <c r="H2234" s="1">
        <v>1</v>
      </c>
      <c r="I2234" s="1">
        <v>0</v>
      </c>
      <c r="J2234" s="39" t="s">
        <v>6375</v>
      </c>
      <c r="K2234" s="1">
        <v>0</v>
      </c>
      <c r="L2234" s="1">
        <v>1</v>
      </c>
      <c r="S2234" s="1" t="s">
        <v>6388</v>
      </c>
      <c r="T2234" s="1">
        <v>1</v>
      </c>
      <c r="U2234" s="19"/>
      <c r="V2234" s="19"/>
      <c r="W2234" s="218">
        <v>1</v>
      </c>
      <c r="X2234" s="218">
        <v>1</v>
      </c>
      <c r="Y2234" s="218">
        <v>1</v>
      </c>
    </row>
    <row r="2235" spans="1:25" x14ac:dyDescent="0.3">
      <c r="A2235" s="1" t="s">
        <v>6389</v>
      </c>
      <c r="B2235" s="5">
        <v>46187</v>
      </c>
      <c r="C2235" s="6">
        <v>0.33333333333333298</v>
      </c>
      <c r="D2235" s="1" t="s">
        <v>30</v>
      </c>
      <c r="E2235" s="1" t="s">
        <v>36</v>
      </c>
      <c r="F2235" s="1" t="s">
        <v>6390</v>
      </c>
      <c r="G2235" s="39" t="s">
        <v>6391</v>
      </c>
      <c r="H2235" s="1">
        <v>0</v>
      </c>
      <c r="I2235" s="1">
        <v>2</v>
      </c>
      <c r="J2235" s="39" t="s">
        <v>6376</v>
      </c>
      <c r="K2235" s="1">
        <v>2</v>
      </c>
      <c r="L2235" s="1">
        <v>0</v>
      </c>
      <c r="S2235" s="1" t="s">
        <v>6392</v>
      </c>
      <c r="T2235" s="1">
        <v>1</v>
      </c>
      <c r="U2235" s="19"/>
      <c r="V2235" s="19"/>
      <c r="W2235" s="218">
        <v>1</v>
      </c>
      <c r="X2235" s="218">
        <v>1</v>
      </c>
      <c r="Y2235" s="218">
        <v>1</v>
      </c>
    </row>
    <row r="2236" spans="1:25" x14ac:dyDescent="0.3">
      <c r="A2236" s="1" t="s">
        <v>6393</v>
      </c>
      <c r="B2236" s="5">
        <v>46178</v>
      </c>
      <c r="C2236" s="6">
        <v>0.58333333333333304</v>
      </c>
      <c r="D2236" s="1" t="s">
        <v>30</v>
      </c>
      <c r="E2236" s="1" t="s">
        <v>36</v>
      </c>
      <c r="F2236" s="1" t="s">
        <v>6394</v>
      </c>
      <c r="G2236" s="39" t="s">
        <v>6376</v>
      </c>
      <c r="H2236" s="1">
        <v>3</v>
      </c>
      <c r="I2236" s="1">
        <v>0</v>
      </c>
      <c r="J2236" s="39" t="s">
        <v>6395</v>
      </c>
      <c r="K2236" s="1">
        <v>0</v>
      </c>
      <c r="L2236" s="1">
        <v>3</v>
      </c>
      <c r="S2236" s="1" t="s">
        <v>6396</v>
      </c>
      <c r="T2236" s="1">
        <v>1</v>
      </c>
      <c r="U2236" s="19"/>
      <c r="V2236" s="19"/>
      <c r="W2236" s="218">
        <v>1</v>
      </c>
      <c r="X2236" s="218">
        <v>1</v>
      </c>
      <c r="Y2236" s="218">
        <v>1</v>
      </c>
    </row>
    <row r="2237" spans="1:25" x14ac:dyDescent="0.3">
      <c r="A2237" s="1" t="s">
        <v>6397</v>
      </c>
      <c r="B2237" s="5">
        <v>46171</v>
      </c>
      <c r="C2237" s="6">
        <v>0.58333333333333304</v>
      </c>
      <c r="D2237" s="1" t="s">
        <v>30</v>
      </c>
      <c r="E2237" s="1" t="s">
        <v>36</v>
      </c>
      <c r="F2237" s="1" t="s">
        <v>6398</v>
      </c>
      <c r="G2237" s="39" t="s">
        <v>6376</v>
      </c>
      <c r="H2237" s="1">
        <v>2</v>
      </c>
      <c r="I2237" s="1">
        <v>1</v>
      </c>
      <c r="J2237" s="39" t="s">
        <v>272</v>
      </c>
      <c r="K2237" s="1">
        <v>1</v>
      </c>
      <c r="L2237" s="1">
        <v>2</v>
      </c>
      <c r="S2237" s="1" t="s">
        <v>6399</v>
      </c>
      <c r="T2237" s="1">
        <v>1</v>
      </c>
      <c r="U2237" s="19"/>
      <c r="V2237" s="19"/>
      <c r="W2237" s="218">
        <v>1</v>
      </c>
      <c r="X2237" s="218">
        <v>1</v>
      </c>
      <c r="Y2237" s="218">
        <v>1</v>
      </c>
    </row>
    <row r="2238" spans="1:25" x14ac:dyDescent="0.3">
      <c r="A2238" s="1" t="s">
        <v>6400</v>
      </c>
      <c r="B2238" s="5">
        <v>46166</v>
      </c>
      <c r="C2238" s="6">
        <v>0.33333333333333298</v>
      </c>
      <c r="D2238" s="1" t="s">
        <v>30</v>
      </c>
      <c r="E2238" s="1" t="s">
        <v>36</v>
      </c>
      <c r="F2238" s="1" t="s">
        <v>6401</v>
      </c>
      <c r="G2238" s="39" t="s">
        <v>273</v>
      </c>
      <c r="H2238" s="1">
        <v>0</v>
      </c>
      <c r="I2238" s="1">
        <v>2</v>
      </c>
      <c r="J2238" s="39" t="s">
        <v>6376</v>
      </c>
      <c r="K2238" s="1">
        <v>2</v>
      </c>
      <c r="L2238" s="1">
        <v>0</v>
      </c>
      <c r="S2238" s="1" t="s">
        <v>6402</v>
      </c>
      <c r="T2238" s="1">
        <v>1</v>
      </c>
      <c r="U2238" s="19"/>
      <c r="V2238" s="19"/>
      <c r="W2238" s="218">
        <v>1</v>
      </c>
      <c r="X2238" s="218">
        <v>1</v>
      </c>
      <c r="Y2238" s="218">
        <v>1</v>
      </c>
    </row>
    <row r="2239" spans="1:25" x14ac:dyDescent="0.3">
      <c r="A2239" s="1" t="s">
        <v>6403</v>
      </c>
      <c r="B2239" s="5">
        <v>46156</v>
      </c>
      <c r="C2239" s="6">
        <v>0.375</v>
      </c>
      <c r="D2239" s="1" t="s">
        <v>30</v>
      </c>
      <c r="E2239" s="1" t="s">
        <v>36</v>
      </c>
      <c r="F2239" s="1" t="s">
        <v>6404</v>
      </c>
      <c r="G2239" s="39" t="s">
        <v>6376</v>
      </c>
      <c r="H2239" s="1">
        <v>0</v>
      </c>
      <c r="I2239" s="1">
        <v>1</v>
      </c>
      <c r="J2239" s="39" t="s">
        <v>6405</v>
      </c>
      <c r="K2239" s="1">
        <v>1</v>
      </c>
      <c r="L2239" s="1">
        <v>0</v>
      </c>
      <c r="S2239" s="1" t="s">
        <v>6406</v>
      </c>
      <c r="T2239" s="1">
        <v>1</v>
      </c>
      <c r="U2239" s="19"/>
      <c r="V2239" s="19"/>
      <c r="W2239" s="218">
        <v>1</v>
      </c>
      <c r="X2239" s="218">
        <v>1</v>
      </c>
      <c r="Y2239" s="218">
        <v>1</v>
      </c>
    </row>
    <row r="2240" spans="1:25" x14ac:dyDescent="0.3">
      <c r="A2240" s="1" t="s">
        <v>6407</v>
      </c>
      <c r="B2240" s="5">
        <v>46150</v>
      </c>
      <c r="C2240" s="6">
        <v>0.60416666666666696</v>
      </c>
      <c r="D2240" s="1" t="s">
        <v>30</v>
      </c>
      <c r="E2240" s="1" t="s">
        <v>36</v>
      </c>
      <c r="F2240" s="1" t="s">
        <v>6408</v>
      </c>
      <c r="G2240" s="39" t="s">
        <v>6380</v>
      </c>
      <c r="H2240" s="1">
        <v>1</v>
      </c>
      <c r="I2240" s="1">
        <v>0</v>
      </c>
      <c r="J2240" s="39" t="s">
        <v>6376</v>
      </c>
      <c r="K2240" s="1">
        <v>0</v>
      </c>
      <c r="L2240" s="1">
        <v>1</v>
      </c>
      <c r="S2240" s="1" t="s">
        <v>6409</v>
      </c>
      <c r="T2240" s="1">
        <v>1</v>
      </c>
      <c r="U2240" s="19"/>
      <c r="V2240" s="19"/>
      <c r="W2240" s="218">
        <v>1</v>
      </c>
      <c r="X2240" s="218">
        <v>1</v>
      </c>
      <c r="Y2240" s="218">
        <v>1</v>
      </c>
    </row>
    <row r="2241" spans="1:25" x14ac:dyDescent="0.3">
      <c r="A2241" s="1" t="s">
        <v>6410</v>
      </c>
      <c r="B2241" s="5">
        <v>46143</v>
      </c>
      <c r="C2241" s="6">
        <v>0.375</v>
      </c>
      <c r="D2241" s="1" t="s">
        <v>30</v>
      </c>
      <c r="E2241" s="1" t="s">
        <v>36</v>
      </c>
      <c r="F2241" s="1" t="s">
        <v>6411</v>
      </c>
      <c r="G2241" s="39" t="s">
        <v>6412</v>
      </c>
      <c r="H2241" s="1">
        <v>1</v>
      </c>
      <c r="I2241" s="1">
        <v>1</v>
      </c>
      <c r="J2241" s="39" t="s">
        <v>6376</v>
      </c>
      <c r="K2241" s="1">
        <v>1</v>
      </c>
      <c r="L2241" s="1">
        <v>1</v>
      </c>
      <c r="S2241" s="1" t="s">
        <v>6413</v>
      </c>
      <c r="T2241" s="1">
        <v>1</v>
      </c>
      <c r="U2241" s="19"/>
      <c r="V2241" s="19"/>
      <c r="W2241" s="218">
        <v>1</v>
      </c>
      <c r="X2241" s="218">
        <v>1</v>
      </c>
      <c r="Y2241" s="218">
        <v>1</v>
      </c>
    </row>
    <row r="2242" spans="1:25" x14ac:dyDescent="0.3">
      <c r="A2242" s="1" t="s">
        <v>6414</v>
      </c>
      <c r="B2242" s="5">
        <v>46136</v>
      </c>
      <c r="C2242" s="6">
        <v>0.58333333333333304</v>
      </c>
      <c r="D2242" s="1" t="s">
        <v>30</v>
      </c>
      <c r="E2242" s="1" t="s">
        <v>36</v>
      </c>
      <c r="F2242" s="1" t="s">
        <v>6415</v>
      </c>
      <c r="G2242" s="39" t="s">
        <v>6376</v>
      </c>
      <c r="H2242" s="1">
        <v>2</v>
      </c>
      <c r="I2242" s="1">
        <v>0</v>
      </c>
      <c r="J2242" s="39" t="s">
        <v>6416</v>
      </c>
      <c r="K2242" s="1">
        <v>0</v>
      </c>
      <c r="L2242" s="1">
        <v>2</v>
      </c>
      <c r="S2242" s="1" t="s">
        <v>6417</v>
      </c>
      <c r="T2242" s="1">
        <v>1</v>
      </c>
      <c r="U2242" s="19"/>
      <c r="V2242" s="19"/>
      <c r="W2242" s="218">
        <v>1</v>
      </c>
      <c r="X2242" s="218">
        <v>1</v>
      </c>
      <c r="Y2242" s="218">
        <v>1</v>
      </c>
    </row>
    <row r="2243" spans="1:25" x14ac:dyDescent="0.3">
      <c r="A2243" s="1" t="s">
        <v>6418</v>
      </c>
      <c r="B2243" s="5">
        <v>46234</v>
      </c>
      <c r="C2243" s="6">
        <v>0.58333333333333304</v>
      </c>
      <c r="D2243" s="1" t="s">
        <v>30</v>
      </c>
      <c r="E2243" s="1" t="s">
        <v>36</v>
      </c>
      <c r="F2243" s="1" t="s">
        <v>6419</v>
      </c>
      <c r="G2243" s="39" t="s">
        <v>6420</v>
      </c>
      <c r="H2243" s="1">
        <v>2</v>
      </c>
      <c r="I2243" s="1">
        <v>3</v>
      </c>
      <c r="J2243" s="39" t="s">
        <v>6375</v>
      </c>
      <c r="K2243" s="1">
        <v>3</v>
      </c>
      <c r="L2243" s="1">
        <v>2</v>
      </c>
      <c r="S2243" s="1" t="s">
        <v>6421</v>
      </c>
      <c r="T2243" s="1">
        <v>1</v>
      </c>
      <c r="U2243" s="19"/>
      <c r="V2243" s="19"/>
      <c r="W2243" s="218">
        <v>1</v>
      </c>
      <c r="X2243" s="218">
        <v>1</v>
      </c>
      <c r="Y2243" s="218">
        <v>1</v>
      </c>
    </row>
    <row r="2244" spans="1:25" x14ac:dyDescent="0.3">
      <c r="A2244" s="1" t="s">
        <v>6422</v>
      </c>
      <c r="B2244" s="5">
        <v>46201</v>
      </c>
      <c r="C2244" s="6">
        <v>0.33333333333333298</v>
      </c>
      <c r="D2244" s="1" t="s">
        <v>30</v>
      </c>
      <c r="E2244" s="1" t="s">
        <v>36</v>
      </c>
      <c r="F2244" s="1" t="s">
        <v>6423</v>
      </c>
      <c r="G2244" s="39" t="s">
        <v>6375</v>
      </c>
      <c r="H2244" s="1">
        <v>1</v>
      </c>
      <c r="I2244" s="1">
        <v>0</v>
      </c>
      <c r="J2244" s="39" t="s">
        <v>6412</v>
      </c>
      <c r="K2244" s="1">
        <v>0</v>
      </c>
      <c r="L2244" s="1">
        <v>1</v>
      </c>
      <c r="S2244" s="1" t="s">
        <v>6424</v>
      </c>
      <c r="T2244" s="1">
        <v>1</v>
      </c>
      <c r="U2244" s="19"/>
      <c r="V2244" s="19"/>
      <c r="W2244" s="218">
        <v>1</v>
      </c>
      <c r="X2244" s="218">
        <v>1</v>
      </c>
      <c r="Y2244" s="218">
        <v>1</v>
      </c>
    </row>
    <row r="2245" spans="1:25" x14ac:dyDescent="0.3">
      <c r="A2245" s="1" t="s">
        <v>6425</v>
      </c>
      <c r="B2245" s="5">
        <v>46186</v>
      </c>
      <c r="C2245" s="6">
        <v>0.45833333333333298</v>
      </c>
      <c r="D2245" s="1" t="s">
        <v>30</v>
      </c>
      <c r="E2245" s="1" t="s">
        <v>36</v>
      </c>
      <c r="F2245" s="1" t="s">
        <v>6426</v>
      </c>
      <c r="G2245" s="39" t="s">
        <v>6375</v>
      </c>
      <c r="H2245" s="1">
        <v>2</v>
      </c>
      <c r="I2245" s="1">
        <v>2</v>
      </c>
      <c r="J2245" s="39" t="s">
        <v>272</v>
      </c>
      <c r="K2245" s="1">
        <v>2</v>
      </c>
      <c r="L2245" s="1">
        <v>2</v>
      </c>
      <c r="S2245" s="1" t="s">
        <v>6427</v>
      </c>
      <c r="T2245" s="1">
        <v>1</v>
      </c>
      <c r="U2245" s="19"/>
      <c r="V2245" s="19"/>
      <c r="W2245" s="218">
        <v>1</v>
      </c>
      <c r="X2245" s="218">
        <v>1</v>
      </c>
      <c r="Y2245" s="218">
        <v>1</v>
      </c>
    </row>
    <row r="2246" spans="1:25" x14ac:dyDescent="0.3">
      <c r="A2246" s="1" t="s">
        <v>6428</v>
      </c>
      <c r="B2246" s="5">
        <v>46178</v>
      </c>
      <c r="C2246" s="6">
        <v>0.58333333333333304</v>
      </c>
      <c r="D2246" s="1" t="s">
        <v>30</v>
      </c>
      <c r="E2246" s="1" t="s">
        <v>36</v>
      </c>
      <c r="F2246" s="1" t="s">
        <v>6429</v>
      </c>
      <c r="G2246" s="39" t="s">
        <v>6375</v>
      </c>
      <c r="H2246" s="1">
        <v>4</v>
      </c>
      <c r="I2246" s="1">
        <v>2</v>
      </c>
      <c r="J2246" s="39" t="s">
        <v>955</v>
      </c>
      <c r="K2246" s="1">
        <v>2</v>
      </c>
      <c r="L2246" s="1">
        <v>4</v>
      </c>
      <c r="S2246" s="1" t="s">
        <v>6430</v>
      </c>
      <c r="T2246" s="1">
        <v>1</v>
      </c>
      <c r="U2246" s="19"/>
      <c r="V2246" s="19"/>
      <c r="W2246" s="218">
        <v>1</v>
      </c>
      <c r="X2246" s="218">
        <v>1</v>
      </c>
      <c r="Y2246" s="218">
        <v>1</v>
      </c>
    </row>
    <row r="2247" spans="1:25" x14ac:dyDescent="0.3">
      <c r="A2247" s="1" t="s">
        <v>6431</v>
      </c>
      <c r="B2247" s="5">
        <v>46173</v>
      </c>
      <c r="C2247" s="6">
        <v>0.33333333333333298</v>
      </c>
      <c r="D2247" s="1" t="s">
        <v>30</v>
      </c>
      <c r="E2247" s="1" t="s">
        <v>36</v>
      </c>
      <c r="F2247" s="1" t="s">
        <v>6432</v>
      </c>
      <c r="G2247" s="39" t="s">
        <v>207</v>
      </c>
      <c r="H2247" s="1">
        <v>0</v>
      </c>
      <c r="I2247" s="1">
        <v>1</v>
      </c>
      <c r="J2247" s="39" t="s">
        <v>6375</v>
      </c>
      <c r="K2247" s="1">
        <v>1</v>
      </c>
      <c r="L2247" s="1">
        <v>0</v>
      </c>
      <c r="S2247" s="1" t="s">
        <v>6433</v>
      </c>
      <c r="T2247" s="1">
        <v>1</v>
      </c>
      <c r="U2247" s="19"/>
      <c r="V2247" s="19"/>
      <c r="W2247" s="218">
        <v>1</v>
      </c>
      <c r="X2247" s="218">
        <v>1</v>
      </c>
      <c r="Y2247" s="218">
        <v>1</v>
      </c>
    </row>
    <row r="2248" spans="1:25" x14ac:dyDescent="0.3">
      <c r="A2248" s="1" t="s">
        <v>6434</v>
      </c>
      <c r="B2248" s="5">
        <v>46164</v>
      </c>
      <c r="C2248" s="6">
        <v>0.58333333333333304</v>
      </c>
      <c r="D2248" s="1" t="s">
        <v>30</v>
      </c>
      <c r="E2248" s="1" t="s">
        <v>36</v>
      </c>
      <c r="F2248" s="1" t="s">
        <v>6435</v>
      </c>
      <c r="G2248" s="39" t="s">
        <v>6416</v>
      </c>
      <c r="H2248" s="1">
        <v>5</v>
      </c>
      <c r="I2248" s="1">
        <v>1</v>
      </c>
      <c r="J2248" s="39" t="s">
        <v>6375</v>
      </c>
      <c r="K2248" s="1">
        <v>1</v>
      </c>
      <c r="L2248" s="1">
        <v>5</v>
      </c>
      <c r="S2248" s="1" t="s">
        <v>6436</v>
      </c>
      <c r="T2248" s="1">
        <v>1</v>
      </c>
      <c r="U2248" s="19"/>
      <c r="V2248" s="19"/>
      <c r="W2248" s="218">
        <v>1</v>
      </c>
      <c r="X2248" s="218">
        <v>1</v>
      </c>
      <c r="Y2248" s="218">
        <v>1</v>
      </c>
    </row>
    <row r="2249" spans="1:25" x14ac:dyDescent="0.3">
      <c r="A2249" s="1" t="s">
        <v>6437</v>
      </c>
      <c r="B2249" s="5">
        <v>46159</v>
      </c>
      <c r="C2249" s="6">
        <v>0.33333333333333298</v>
      </c>
      <c r="D2249" s="1" t="s">
        <v>30</v>
      </c>
      <c r="E2249" s="1" t="s">
        <v>36</v>
      </c>
      <c r="F2249" s="1" t="s">
        <v>6438</v>
      </c>
      <c r="G2249" s="39" t="s">
        <v>6375</v>
      </c>
      <c r="H2249" s="1">
        <v>0</v>
      </c>
      <c r="I2249" s="1">
        <v>5</v>
      </c>
      <c r="J2249" s="39" t="s">
        <v>6420</v>
      </c>
      <c r="K2249" s="1">
        <v>5</v>
      </c>
      <c r="L2249" s="1">
        <v>0</v>
      </c>
      <c r="S2249" s="1" t="s">
        <v>6439</v>
      </c>
      <c r="T2249" s="1">
        <v>1</v>
      </c>
      <c r="U2249" s="19"/>
      <c r="V2249" s="19"/>
      <c r="W2249" s="218">
        <v>1</v>
      </c>
      <c r="X2249" s="218">
        <v>1</v>
      </c>
      <c r="Y2249" s="218">
        <v>1</v>
      </c>
    </row>
    <row r="2250" spans="1:25" x14ac:dyDescent="0.3">
      <c r="A2250" s="1" t="s">
        <v>6440</v>
      </c>
      <c r="B2250" s="5">
        <v>46150</v>
      </c>
      <c r="C2250" s="6">
        <v>0.58333333333333304</v>
      </c>
      <c r="D2250" s="1" t="s">
        <v>30</v>
      </c>
      <c r="E2250" s="1" t="s">
        <v>36</v>
      </c>
      <c r="F2250" s="1" t="s">
        <v>6441</v>
      </c>
      <c r="G2250" s="39" t="s">
        <v>6412</v>
      </c>
      <c r="H2250" s="1">
        <v>1</v>
      </c>
      <c r="I2250" s="1">
        <v>0</v>
      </c>
      <c r="J2250" s="39" t="s">
        <v>6375</v>
      </c>
      <c r="K2250" s="1">
        <v>0</v>
      </c>
      <c r="L2250" s="1">
        <v>1</v>
      </c>
      <c r="S2250" s="1" t="s">
        <v>6442</v>
      </c>
      <c r="T2250" s="1">
        <v>1</v>
      </c>
      <c r="U2250" s="19"/>
      <c r="V2250" s="19"/>
      <c r="W2250" s="218">
        <v>1</v>
      </c>
      <c r="X2250" s="218">
        <v>1</v>
      </c>
      <c r="Y2250" s="218">
        <v>1</v>
      </c>
    </row>
    <row r="2251" spans="1:25" x14ac:dyDescent="0.3">
      <c r="A2251" s="1" t="s">
        <v>6443</v>
      </c>
      <c r="B2251" s="5">
        <v>46143</v>
      </c>
      <c r="C2251" s="6">
        <v>0.33333333333333298</v>
      </c>
      <c r="D2251" s="1" t="s">
        <v>30</v>
      </c>
      <c r="E2251" s="1" t="s">
        <v>36</v>
      </c>
      <c r="F2251" s="1" t="s">
        <v>6444</v>
      </c>
      <c r="G2251" s="39" t="s">
        <v>6375</v>
      </c>
      <c r="H2251" s="1">
        <v>1</v>
      </c>
      <c r="I2251" s="1">
        <v>1</v>
      </c>
      <c r="J2251" s="39" t="s">
        <v>6380</v>
      </c>
      <c r="K2251" s="1">
        <v>1</v>
      </c>
      <c r="L2251" s="1">
        <v>1</v>
      </c>
      <c r="S2251" s="1" t="s">
        <v>6445</v>
      </c>
      <c r="T2251" s="1">
        <v>1</v>
      </c>
      <c r="U2251" s="19"/>
      <c r="V2251" s="19"/>
      <c r="W2251" s="218">
        <v>1</v>
      </c>
      <c r="X2251" s="218">
        <v>1</v>
      </c>
      <c r="Y2251" s="218">
        <v>1</v>
      </c>
    </row>
    <row r="2252" spans="1:25" x14ac:dyDescent="0.3">
      <c r="A2252" s="1" t="s">
        <v>6446</v>
      </c>
      <c r="B2252" s="5">
        <v>46138</v>
      </c>
      <c r="C2252" s="6">
        <v>0.33333333333333298</v>
      </c>
      <c r="D2252" s="1" t="s">
        <v>30</v>
      </c>
      <c r="E2252" s="1" t="s">
        <v>36</v>
      </c>
      <c r="F2252" s="1" t="s">
        <v>6447</v>
      </c>
      <c r="G2252" s="39" t="s">
        <v>6384</v>
      </c>
      <c r="H2252" s="1">
        <v>2</v>
      </c>
      <c r="I2252" s="1">
        <v>3</v>
      </c>
      <c r="J2252" s="39" t="s">
        <v>6375</v>
      </c>
      <c r="K2252" s="1">
        <v>3</v>
      </c>
      <c r="L2252" s="1">
        <v>2</v>
      </c>
      <c r="S2252" s="1" t="s">
        <v>6448</v>
      </c>
      <c r="T2252" s="1">
        <v>1</v>
      </c>
      <c r="U2252" s="19"/>
      <c r="V2252" s="19"/>
      <c r="W2252" s="218">
        <v>1</v>
      </c>
      <c r="X2252" s="218">
        <v>1</v>
      </c>
      <c r="Y2252" s="218">
        <v>1</v>
      </c>
    </row>
    <row r="2253" spans="1:25" x14ac:dyDescent="0.3">
      <c r="A2253" s="1" t="s">
        <v>6449</v>
      </c>
      <c r="B2253" s="5">
        <v>46242</v>
      </c>
      <c r="C2253" s="6">
        <v>0.33333333333333298</v>
      </c>
      <c r="D2253" s="1" t="s">
        <v>30</v>
      </c>
      <c r="E2253" s="1" t="s">
        <v>36</v>
      </c>
      <c r="F2253" s="1" t="s">
        <v>6450</v>
      </c>
      <c r="G2253" s="39" t="s">
        <v>6395</v>
      </c>
      <c r="H2253" s="1">
        <v>3</v>
      </c>
      <c r="I2253" s="1">
        <v>3</v>
      </c>
      <c r="J2253" s="39" t="s">
        <v>6416</v>
      </c>
      <c r="K2253" s="1">
        <v>3</v>
      </c>
      <c r="L2253" s="1">
        <v>3</v>
      </c>
      <c r="S2253" s="1" t="s">
        <v>6451</v>
      </c>
      <c r="T2253" s="1">
        <v>1</v>
      </c>
      <c r="U2253" s="19"/>
      <c r="V2253" s="19"/>
      <c r="W2253" s="218">
        <v>1</v>
      </c>
      <c r="X2253" s="218">
        <v>1</v>
      </c>
      <c r="Y2253" s="218">
        <v>1</v>
      </c>
    </row>
    <row r="2254" spans="1:25" x14ac:dyDescent="0.3">
      <c r="A2254" s="1" t="s">
        <v>6452</v>
      </c>
      <c r="B2254" s="5">
        <v>46234</v>
      </c>
      <c r="C2254" s="6">
        <v>0.58333333333333304</v>
      </c>
      <c r="D2254" s="1" t="s">
        <v>30</v>
      </c>
      <c r="E2254" s="1" t="s">
        <v>36</v>
      </c>
      <c r="F2254" s="1" t="s">
        <v>6453</v>
      </c>
      <c r="G2254" s="39" t="s">
        <v>6405</v>
      </c>
      <c r="H2254" s="1">
        <v>2</v>
      </c>
      <c r="I2254" s="1">
        <v>1</v>
      </c>
      <c r="J2254" s="39" t="s">
        <v>6395</v>
      </c>
      <c r="K2254" s="1">
        <v>1</v>
      </c>
      <c r="L2254" s="1">
        <v>2</v>
      </c>
      <c r="S2254" s="1" t="s">
        <v>6454</v>
      </c>
      <c r="T2254" s="1">
        <v>1</v>
      </c>
      <c r="U2254" s="19"/>
      <c r="V2254" s="19"/>
      <c r="W2254" s="218">
        <v>1</v>
      </c>
      <c r="X2254" s="218">
        <v>1</v>
      </c>
      <c r="Y2254" s="218">
        <v>1</v>
      </c>
    </row>
    <row r="2255" spans="1:25" x14ac:dyDescent="0.3">
      <c r="A2255" s="1" t="s">
        <v>6455</v>
      </c>
      <c r="B2255" s="5">
        <v>46197</v>
      </c>
      <c r="C2255" s="6">
        <v>0.58333333333333304</v>
      </c>
      <c r="D2255" s="1" t="s">
        <v>30</v>
      </c>
      <c r="E2255" s="1" t="s">
        <v>36</v>
      </c>
      <c r="F2255" s="1" t="s">
        <v>6456</v>
      </c>
      <c r="G2255" s="39" t="s">
        <v>6395</v>
      </c>
      <c r="H2255" s="1">
        <v>5</v>
      </c>
      <c r="I2255" s="1">
        <v>0</v>
      </c>
      <c r="J2255" s="39" t="s">
        <v>272</v>
      </c>
      <c r="K2255" s="1">
        <v>0</v>
      </c>
      <c r="L2255" s="1">
        <v>5</v>
      </c>
      <c r="S2255" s="1" t="s">
        <v>6457</v>
      </c>
      <c r="T2255" s="1">
        <v>1</v>
      </c>
      <c r="U2255" s="19"/>
      <c r="V2255" s="19"/>
      <c r="W2255" s="218">
        <v>1</v>
      </c>
      <c r="X2255" s="218">
        <v>1</v>
      </c>
      <c r="Y2255" s="218">
        <v>1</v>
      </c>
    </row>
    <row r="2256" spans="1:25" x14ac:dyDescent="0.3">
      <c r="A2256" s="1" t="s">
        <v>6458</v>
      </c>
      <c r="B2256" s="5">
        <v>46191</v>
      </c>
      <c r="C2256" s="6">
        <v>0.58333333333333304</v>
      </c>
      <c r="D2256" s="1" t="s">
        <v>30</v>
      </c>
      <c r="E2256" s="1" t="s">
        <v>36</v>
      </c>
      <c r="F2256" s="1" t="s">
        <v>6459</v>
      </c>
      <c r="G2256" s="39" t="s">
        <v>207</v>
      </c>
      <c r="H2256" s="1">
        <v>1</v>
      </c>
      <c r="I2256" s="1">
        <v>1</v>
      </c>
      <c r="J2256" s="39" t="s">
        <v>6395</v>
      </c>
      <c r="K2256" s="1">
        <v>1</v>
      </c>
      <c r="L2256" s="1">
        <v>1</v>
      </c>
      <c r="S2256" s="1" t="s">
        <v>6460</v>
      </c>
      <c r="T2256" s="1">
        <v>1</v>
      </c>
      <c r="U2256" s="19"/>
      <c r="V2256" s="19"/>
      <c r="W2256" s="218">
        <v>1</v>
      </c>
      <c r="X2256" s="218">
        <v>1</v>
      </c>
      <c r="Y2256" s="218">
        <v>1</v>
      </c>
    </row>
    <row r="2257" spans="1:25" x14ac:dyDescent="0.3">
      <c r="A2257" s="1" t="s">
        <v>6461</v>
      </c>
      <c r="B2257" s="5">
        <v>46187</v>
      </c>
      <c r="C2257" s="6">
        <v>0.33333333333333298</v>
      </c>
      <c r="D2257" s="1" t="s">
        <v>30</v>
      </c>
      <c r="E2257" s="1" t="s">
        <v>36</v>
      </c>
      <c r="F2257" s="1" t="s">
        <v>6462</v>
      </c>
      <c r="G2257" s="39" t="s">
        <v>6395</v>
      </c>
      <c r="H2257" s="1">
        <v>1</v>
      </c>
      <c r="I2257" s="1">
        <v>1</v>
      </c>
      <c r="J2257" s="39" t="s">
        <v>6405</v>
      </c>
      <c r="K2257" s="1">
        <v>1</v>
      </c>
      <c r="L2257" s="1">
        <v>1</v>
      </c>
      <c r="S2257" s="1" t="s">
        <v>6463</v>
      </c>
      <c r="T2257" s="1">
        <v>1</v>
      </c>
      <c r="U2257" s="19"/>
      <c r="V2257" s="19"/>
      <c r="W2257" s="218">
        <v>1</v>
      </c>
      <c r="X2257" s="218">
        <v>1</v>
      </c>
      <c r="Y2257" s="218">
        <v>1</v>
      </c>
    </row>
    <row r="2258" spans="1:25" x14ac:dyDescent="0.3">
      <c r="A2258" s="1" t="s">
        <v>6464</v>
      </c>
      <c r="B2258" s="5">
        <v>46173</v>
      </c>
      <c r="C2258" s="6">
        <v>0.33333333333333298</v>
      </c>
      <c r="D2258" s="1" t="s">
        <v>30</v>
      </c>
      <c r="E2258" s="1" t="s">
        <v>36</v>
      </c>
      <c r="F2258" s="1" t="s">
        <v>6465</v>
      </c>
      <c r="G2258" s="39" t="s">
        <v>6395</v>
      </c>
      <c r="H2258" s="1">
        <v>1</v>
      </c>
      <c r="I2258" s="1">
        <v>1</v>
      </c>
      <c r="J2258" s="39" t="s">
        <v>6380</v>
      </c>
      <c r="K2258" s="1">
        <v>1</v>
      </c>
      <c r="L2258" s="1">
        <v>1</v>
      </c>
      <c r="S2258" s="1" t="s">
        <v>6466</v>
      </c>
      <c r="T2258" s="1">
        <v>1</v>
      </c>
      <c r="U2258" s="19"/>
      <c r="V2258" s="19"/>
      <c r="W2258" s="218">
        <v>1</v>
      </c>
      <c r="X2258" s="218">
        <v>1</v>
      </c>
      <c r="Y2258" s="218">
        <v>1</v>
      </c>
    </row>
    <row r="2259" spans="1:25" x14ac:dyDescent="0.3">
      <c r="A2259" s="1" t="s">
        <v>6467</v>
      </c>
      <c r="B2259" s="5">
        <v>46166</v>
      </c>
      <c r="C2259" s="6">
        <v>0.33333333333333298</v>
      </c>
      <c r="D2259" s="1" t="s">
        <v>30</v>
      </c>
      <c r="E2259" s="1" t="s">
        <v>36</v>
      </c>
      <c r="F2259" s="1" t="s">
        <v>6468</v>
      </c>
      <c r="G2259" s="39" t="s">
        <v>6391</v>
      </c>
      <c r="H2259" s="1">
        <v>0</v>
      </c>
      <c r="I2259" s="1">
        <v>3</v>
      </c>
      <c r="J2259" s="39" t="s">
        <v>6395</v>
      </c>
      <c r="K2259" s="1">
        <v>3</v>
      </c>
      <c r="L2259" s="1">
        <v>0</v>
      </c>
      <c r="S2259" s="1" t="s">
        <v>6469</v>
      </c>
      <c r="T2259" s="1">
        <v>1</v>
      </c>
      <c r="U2259" s="19"/>
      <c r="V2259" s="19"/>
      <c r="W2259" s="218">
        <v>1</v>
      </c>
      <c r="X2259" s="218">
        <v>1</v>
      </c>
      <c r="Y2259" s="218">
        <v>1</v>
      </c>
    </row>
    <row r="2260" spans="1:25" x14ac:dyDescent="0.3">
      <c r="A2260" s="1" t="s">
        <v>6470</v>
      </c>
      <c r="B2260" s="5">
        <v>46156</v>
      </c>
      <c r="C2260" s="6">
        <v>0.33333333333333298</v>
      </c>
      <c r="D2260" s="1" t="s">
        <v>30</v>
      </c>
      <c r="E2260" s="1" t="s">
        <v>36</v>
      </c>
      <c r="F2260" s="1" t="s">
        <v>6471</v>
      </c>
      <c r="G2260" s="39" t="s">
        <v>6395</v>
      </c>
      <c r="H2260" s="1">
        <v>4</v>
      </c>
      <c r="I2260" s="1">
        <v>0</v>
      </c>
      <c r="J2260" s="39" t="s">
        <v>6412</v>
      </c>
      <c r="K2260" s="1">
        <v>0</v>
      </c>
      <c r="L2260" s="1">
        <v>4</v>
      </c>
      <c r="S2260" s="1" t="s">
        <v>6472</v>
      </c>
      <c r="T2260" s="1">
        <v>1</v>
      </c>
      <c r="U2260" s="19"/>
      <c r="V2260" s="19"/>
      <c r="W2260" s="218">
        <v>1</v>
      </c>
      <c r="X2260" s="218">
        <v>1</v>
      </c>
      <c r="Y2260" s="218">
        <v>1</v>
      </c>
    </row>
    <row r="2261" spans="1:25" x14ac:dyDescent="0.3">
      <c r="A2261" s="1" t="s">
        <v>6473</v>
      </c>
      <c r="B2261" s="5">
        <v>46151</v>
      </c>
      <c r="C2261" s="6">
        <v>0.33333333333333298</v>
      </c>
      <c r="D2261" s="1" t="s">
        <v>30</v>
      </c>
      <c r="E2261" s="1" t="s">
        <v>36</v>
      </c>
      <c r="F2261" s="1" t="s">
        <v>6474</v>
      </c>
      <c r="G2261" s="39" t="s">
        <v>6395</v>
      </c>
      <c r="H2261" s="1">
        <v>5</v>
      </c>
      <c r="I2261" s="1">
        <v>3</v>
      </c>
      <c r="J2261" s="39" t="s">
        <v>273</v>
      </c>
      <c r="K2261" s="1">
        <v>3</v>
      </c>
      <c r="L2261" s="1">
        <v>5</v>
      </c>
      <c r="S2261" s="1" t="s">
        <v>6475</v>
      </c>
      <c r="T2261" s="1">
        <v>1</v>
      </c>
      <c r="U2261" s="19"/>
      <c r="V2261" s="19"/>
      <c r="W2261" s="218">
        <v>1</v>
      </c>
      <c r="X2261" s="218">
        <v>1</v>
      </c>
      <c r="Y2261" s="218">
        <v>1</v>
      </c>
    </row>
    <row r="2262" spans="1:25" x14ac:dyDescent="0.3">
      <c r="A2262" s="1" t="s">
        <v>6476</v>
      </c>
      <c r="B2262" s="5">
        <v>46143</v>
      </c>
      <c r="C2262" s="6">
        <v>0.33333333333333298</v>
      </c>
      <c r="D2262" s="1" t="s">
        <v>30</v>
      </c>
      <c r="E2262" s="1" t="s">
        <v>36</v>
      </c>
      <c r="F2262" s="1" t="s">
        <v>6477</v>
      </c>
      <c r="G2262" s="39" t="s">
        <v>6416</v>
      </c>
      <c r="H2262" s="1">
        <v>2</v>
      </c>
      <c r="I2262" s="1">
        <v>4</v>
      </c>
      <c r="J2262" s="39" t="s">
        <v>6395</v>
      </c>
      <c r="K2262" s="1">
        <v>4</v>
      </c>
      <c r="L2262" s="1">
        <v>2</v>
      </c>
      <c r="S2262" s="1" t="s">
        <v>6478</v>
      </c>
      <c r="T2262" s="1">
        <v>1</v>
      </c>
      <c r="U2262" s="19"/>
      <c r="V2262" s="19"/>
      <c r="W2262" s="218">
        <v>1</v>
      </c>
      <c r="X2262" s="218">
        <v>1</v>
      </c>
      <c r="Y2262" s="218">
        <v>1</v>
      </c>
    </row>
    <row r="2263" spans="1:25" x14ac:dyDescent="0.3">
      <c r="A2263" s="1" t="s">
        <v>6479</v>
      </c>
      <c r="B2263" s="5">
        <v>46138</v>
      </c>
      <c r="C2263" s="6">
        <v>0.33333333333333298</v>
      </c>
      <c r="D2263" s="1" t="s">
        <v>30</v>
      </c>
      <c r="E2263" s="1" t="s">
        <v>36</v>
      </c>
      <c r="F2263" s="1" t="s">
        <v>6480</v>
      </c>
      <c r="G2263" s="39" t="s">
        <v>6395</v>
      </c>
      <c r="H2263" s="1">
        <v>0</v>
      </c>
      <c r="I2263" s="1">
        <v>2</v>
      </c>
      <c r="J2263" s="39" t="s">
        <v>6420</v>
      </c>
      <c r="K2263" s="1">
        <v>2</v>
      </c>
      <c r="L2263" s="1">
        <v>0</v>
      </c>
      <c r="S2263" s="1" t="s">
        <v>6481</v>
      </c>
      <c r="T2263" s="1">
        <v>1</v>
      </c>
      <c r="U2263" s="19"/>
      <c r="V2263" s="19"/>
      <c r="W2263" s="218">
        <v>1</v>
      </c>
      <c r="X2263" s="218">
        <v>1</v>
      </c>
      <c r="Y2263" s="218">
        <v>1</v>
      </c>
    </row>
    <row r="2264" spans="1:25" x14ac:dyDescent="0.3">
      <c r="A2264" s="1" t="s">
        <v>6482</v>
      </c>
      <c r="B2264" s="5">
        <v>46243</v>
      </c>
      <c r="C2264" s="6">
        <v>0.375</v>
      </c>
      <c r="D2264" s="1" t="s">
        <v>30</v>
      </c>
      <c r="E2264" s="1" t="s">
        <v>36</v>
      </c>
      <c r="F2264" s="1" t="s">
        <v>6483</v>
      </c>
      <c r="G2264" s="39" t="s">
        <v>6380</v>
      </c>
      <c r="H2264" s="1">
        <v>4</v>
      </c>
      <c r="I2264" s="1">
        <v>1</v>
      </c>
      <c r="J2264" s="39" t="s">
        <v>6412</v>
      </c>
      <c r="K2264" s="1">
        <v>1</v>
      </c>
      <c r="L2264" s="1">
        <v>4</v>
      </c>
      <c r="S2264" s="1" t="s">
        <v>6484</v>
      </c>
      <c r="T2264" s="1">
        <v>1</v>
      </c>
      <c r="U2264" s="19"/>
      <c r="V2264" s="19"/>
      <c r="W2264" s="218">
        <v>1</v>
      </c>
      <c r="X2264" s="218">
        <v>1</v>
      </c>
      <c r="Y2264" s="218">
        <v>1</v>
      </c>
    </row>
    <row r="2265" spans="1:25" x14ac:dyDescent="0.3">
      <c r="A2265" s="1" t="s">
        <v>6485</v>
      </c>
      <c r="B2265" s="5">
        <v>46199</v>
      </c>
      <c r="C2265" s="6">
        <v>0.60416666666666696</v>
      </c>
      <c r="D2265" s="1" t="s">
        <v>30</v>
      </c>
      <c r="E2265" s="1" t="s">
        <v>36</v>
      </c>
      <c r="F2265" s="1" t="s">
        <v>6486</v>
      </c>
      <c r="G2265" s="39" t="s">
        <v>6380</v>
      </c>
      <c r="H2265" s="1">
        <v>2</v>
      </c>
      <c r="I2265" s="1">
        <v>2</v>
      </c>
      <c r="J2265" s="39" t="s">
        <v>6420</v>
      </c>
      <c r="K2265" s="1">
        <v>2</v>
      </c>
      <c r="L2265" s="1">
        <v>2</v>
      </c>
      <c r="S2265" s="1" t="s">
        <v>6487</v>
      </c>
      <c r="T2265" s="1">
        <v>1</v>
      </c>
      <c r="U2265" s="19"/>
      <c r="V2265" s="19"/>
      <c r="W2265" s="218">
        <v>1</v>
      </c>
      <c r="X2265" s="218">
        <v>1</v>
      </c>
      <c r="Y2265" s="218">
        <v>1</v>
      </c>
    </row>
    <row r="2266" spans="1:25" x14ac:dyDescent="0.3">
      <c r="A2266" s="1" t="s">
        <v>6488</v>
      </c>
      <c r="B2266" s="5">
        <v>46191</v>
      </c>
      <c r="C2266" s="6">
        <v>0.60416666666666696</v>
      </c>
      <c r="D2266" s="1" t="s">
        <v>30</v>
      </c>
      <c r="E2266" s="1" t="s">
        <v>36</v>
      </c>
      <c r="F2266" s="1" t="s">
        <v>6489</v>
      </c>
      <c r="G2266" s="39" t="s">
        <v>6380</v>
      </c>
      <c r="H2266" s="1">
        <v>4</v>
      </c>
      <c r="I2266" s="1">
        <v>0</v>
      </c>
      <c r="J2266" s="39" t="s">
        <v>273</v>
      </c>
      <c r="K2266" s="1">
        <v>0</v>
      </c>
      <c r="L2266" s="1">
        <v>4</v>
      </c>
      <c r="S2266" s="1" t="s">
        <v>6490</v>
      </c>
      <c r="T2266" s="1">
        <v>1</v>
      </c>
      <c r="U2266" s="19"/>
      <c r="V2266" s="19"/>
      <c r="W2266" s="218">
        <v>1</v>
      </c>
      <c r="X2266" s="218">
        <v>1</v>
      </c>
      <c r="Y2266" s="218">
        <v>1</v>
      </c>
    </row>
    <row r="2267" spans="1:25" x14ac:dyDescent="0.3">
      <c r="A2267" s="1" t="s">
        <v>6491</v>
      </c>
      <c r="B2267" s="5">
        <v>46184</v>
      </c>
      <c r="C2267" s="6">
        <v>0.58333333333333304</v>
      </c>
      <c r="D2267" s="1" t="s">
        <v>30</v>
      </c>
      <c r="E2267" s="1" t="s">
        <v>36</v>
      </c>
      <c r="F2267" s="1" t="s">
        <v>6492</v>
      </c>
      <c r="G2267" s="39" t="s">
        <v>6416</v>
      </c>
      <c r="H2267" s="1">
        <v>2</v>
      </c>
      <c r="I2267" s="1">
        <v>3</v>
      </c>
      <c r="J2267" s="39" t="s">
        <v>6380</v>
      </c>
      <c r="K2267" s="1">
        <v>3</v>
      </c>
      <c r="L2267" s="1">
        <v>2</v>
      </c>
      <c r="S2267" s="1" t="s">
        <v>6493</v>
      </c>
      <c r="T2267" s="1">
        <v>1</v>
      </c>
      <c r="U2267" s="19"/>
      <c r="V2267" s="19"/>
      <c r="W2267" s="218">
        <v>1</v>
      </c>
      <c r="X2267" s="218">
        <v>1</v>
      </c>
      <c r="Y2267" s="218">
        <v>1</v>
      </c>
    </row>
    <row r="2268" spans="1:25" x14ac:dyDescent="0.3">
      <c r="A2268" s="1" t="s">
        <v>6494</v>
      </c>
      <c r="B2268" s="5">
        <v>46180</v>
      </c>
      <c r="C2268" s="6">
        <v>0.375</v>
      </c>
      <c r="D2268" s="1" t="s">
        <v>30</v>
      </c>
      <c r="E2268" s="1" t="s">
        <v>36</v>
      </c>
      <c r="F2268" s="1" t="s">
        <v>6495</v>
      </c>
      <c r="G2268" s="39" t="s">
        <v>6380</v>
      </c>
      <c r="H2268" s="1">
        <v>3</v>
      </c>
      <c r="I2268" s="1">
        <v>1</v>
      </c>
      <c r="J2268" s="39" t="s">
        <v>6384</v>
      </c>
      <c r="K2268" s="1">
        <v>1</v>
      </c>
      <c r="L2268" s="1">
        <v>3</v>
      </c>
      <c r="S2268" s="1" t="s">
        <v>6496</v>
      </c>
      <c r="T2268" s="1">
        <v>1</v>
      </c>
      <c r="U2268" s="19"/>
      <c r="V2268" s="19"/>
      <c r="W2268" s="218">
        <v>1</v>
      </c>
      <c r="X2268" s="218">
        <v>1</v>
      </c>
      <c r="Y2268" s="218">
        <v>1</v>
      </c>
    </row>
    <row r="2269" spans="1:25" x14ac:dyDescent="0.3">
      <c r="A2269" s="1" t="s">
        <v>6497</v>
      </c>
      <c r="B2269" s="5">
        <v>46165</v>
      </c>
      <c r="C2269" s="6">
        <v>0.375</v>
      </c>
      <c r="D2269" s="1" t="s">
        <v>30</v>
      </c>
      <c r="E2269" s="1" t="s">
        <v>36</v>
      </c>
      <c r="F2269" s="1" t="s">
        <v>6498</v>
      </c>
      <c r="G2269" s="39" t="s">
        <v>6412</v>
      </c>
      <c r="H2269" s="1">
        <v>1</v>
      </c>
      <c r="I2269" s="1">
        <v>3</v>
      </c>
      <c r="J2269" s="39" t="s">
        <v>6380</v>
      </c>
      <c r="K2269" s="1">
        <v>3</v>
      </c>
      <c r="L2269" s="1">
        <v>1</v>
      </c>
      <c r="S2269" s="1" t="s">
        <v>6499</v>
      </c>
      <c r="T2269" s="1">
        <v>1</v>
      </c>
      <c r="U2269" s="19"/>
      <c r="V2269" s="19"/>
      <c r="W2269" s="218">
        <v>1</v>
      </c>
      <c r="X2269" s="218">
        <v>1</v>
      </c>
      <c r="Y2269" s="218">
        <v>1</v>
      </c>
    </row>
    <row r="2270" spans="1:25" x14ac:dyDescent="0.3">
      <c r="A2270" s="1" t="s">
        <v>6500</v>
      </c>
      <c r="B2270" s="5">
        <v>46158</v>
      </c>
      <c r="C2270" s="6">
        <v>0.375</v>
      </c>
      <c r="D2270" s="1" t="s">
        <v>30</v>
      </c>
      <c r="E2270" s="1" t="s">
        <v>36</v>
      </c>
      <c r="F2270" s="1" t="s">
        <v>6501</v>
      </c>
      <c r="G2270" s="39" t="s">
        <v>6380</v>
      </c>
      <c r="H2270" s="1">
        <v>2</v>
      </c>
      <c r="I2270" s="1">
        <v>4</v>
      </c>
      <c r="J2270" s="39" t="s">
        <v>6391</v>
      </c>
      <c r="K2270" s="1">
        <v>4</v>
      </c>
      <c r="L2270" s="1">
        <v>2</v>
      </c>
      <c r="S2270" s="1" t="s">
        <v>6502</v>
      </c>
      <c r="T2270" s="1">
        <v>1</v>
      </c>
      <c r="U2270" s="19"/>
      <c r="V2270" s="19"/>
      <c r="W2270" s="218">
        <v>1</v>
      </c>
      <c r="X2270" s="218">
        <v>1</v>
      </c>
      <c r="Y2270" s="218">
        <v>1</v>
      </c>
    </row>
    <row r="2271" spans="1:25" x14ac:dyDescent="0.3">
      <c r="A2271" s="1" t="s">
        <v>6503</v>
      </c>
      <c r="B2271" s="5">
        <v>46137</v>
      </c>
      <c r="C2271" s="6">
        <v>0.375</v>
      </c>
      <c r="D2271" s="1" t="s">
        <v>30</v>
      </c>
      <c r="E2271" s="1" t="s">
        <v>36</v>
      </c>
      <c r="F2271" s="1" t="s">
        <v>6504</v>
      </c>
      <c r="G2271" s="39" t="s">
        <v>6380</v>
      </c>
      <c r="H2271" s="1">
        <v>1</v>
      </c>
      <c r="I2271" s="1">
        <v>0</v>
      </c>
      <c r="J2271" s="39" t="s">
        <v>955</v>
      </c>
      <c r="K2271" s="1">
        <v>0</v>
      </c>
      <c r="L2271" s="1">
        <v>1</v>
      </c>
      <c r="S2271" s="1" t="s">
        <v>6505</v>
      </c>
      <c r="T2271" s="1">
        <v>1</v>
      </c>
      <c r="U2271" s="19"/>
      <c r="V2271" s="19"/>
      <c r="W2271" s="218">
        <v>1</v>
      </c>
      <c r="X2271" s="218">
        <v>1</v>
      </c>
      <c r="Y2271" s="218">
        <v>1</v>
      </c>
    </row>
    <row r="2272" spans="1:25" x14ac:dyDescent="0.3">
      <c r="A2272" s="1" t="s">
        <v>6508</v>
      </c>
      <c r="B2272" s="5">
        <v>46235</v>
      </c>
      <c r="C2272" s="6">
        <v>0.45833333333333298</v>
      </c>
      <c r="D2272" s="1" t="s">
        <v>30</v>
      </c>
      <c r="E2272" s="1" t="s">
        <v>36</v>
      </c>
      <c r="F2272" s="1" t="s">
        <v>6509</v>
      </c>
      <c r="G2272" s="39" t="s">
        <v>6416</v>
      </c>
      <c r="H2272" s="1">
        <v>2</v>
      </c>
      <c r="I2272" s="1">
        <v>1</v>
      </c>
      <c r="J2272" s="39" t="s">
        <v>6391</v>
      </c>
      <c r="K2272" s="1">
        <v>1</v>
      </c>
      <c r="L2272" s="1">
        <v>2</v>
      </c>
      <c r="S2272" s="1" t="s">
        <v>6510</v>
      </c>
      <c r="T2272" s="1">
        <v>1</v>
      </c>
      <c r="U2272" s="19"/>
      <c r="V2272" s="19"/>
      <c r="W2272" s="218">
        <v>1</v>
      </c>
      <c r="X2272" s="218">
        <v>1</v>
      </c>
      <c r="Y2272" s="218">
        <v>1</v>
      </c>
    </row>
    <row r="2273" spans="1:25" x14ac:dyDescent="0.3">
      <c r="A2273" s="1" t="s">
        <v>6511</v>
      </c>
      <c r="B2273" s="5">
        <v>46200</v>
      </c>
      <c r="C2273" s="6">
        <v>0.45833333333333298</v>
      </c>
      <c r="D2273" s="1" t="s">
        <v>30</v>
      </c>
      <c r="E2273" s="1" t="s">
        <v>36</v>
      </c>
      <c r="F2273" s="1" t="s">
        <v>6512</v>
      </c>
      <c r="G2273" s="39" t="s">
        <v>273</v>
      </c>
      <c r="H2273" s="1">
        <v>1</v>
      </c>
      <c r="I2273" s="1">
        <v>2</v>
      </c>
      <c r="J2273" s="39" t="s">
        <v>6416</v>
      </c>
      <c r="K2273" s="1">
        <v>2</v>
      </c>
      <c r="L2273" s="1">
        <v>1</v>
      </c>
      <c r="S2273" s="1" t="s">
        <v>6513</v>
      </c>
      <c r="T2273" s="1">
        <v>1</v>
      </c>
      <c r="U2273" s="19"/>
      <c r="V2273" s="19"/>
      <c r="W2273" s="218">
        <v>1</v>
      </c>
      <c r="X2273" s="218">
        <v>1</v>
      </c>
      <c r="Y2273" s="218">
        <v>1</v>
      </c>
    </row>
    <row r="2274" spans="1:25" x14ac:dyDescent="0.3">
      <c r="A2274" s="1" t="s">
        <v>6514</v>
      </c>
      <c r="B2274" s="5">
        <v>46190</v>
      </c>
      <c r="C2274" s="6">
        <v>0.60416666666666696</v>
      </c>
      <c r="D2274" s="1" t="s">
        <v>30</v>
      </c>
      <c r="E2274" s="1" t="s">
        <v>36</v>
      </c>
      <c r="F2274" s="1" t="s">
        <v>6515</v>
      </c>
      <c r="G2274" s="39" t="s">
        <v>6412</v>
      </c>
      <c r="H2274" s="1">
        <v>0</v>
      </c>
      <c r="I2274" s="1">
        <v>3</v>
      </c>
      <c r="J2274" s="39" t="s">
        <v>6416</v>
      </c>
      <c r="K2274" s="1">
        <v>3</v>
      </c>
      <c r="L2274" s="1">
        <v>0</v>
      </c>
      <c r="S2274" s="1" t="s">
        <v>6516</v>
      </c>
      <c r="T2274" s="1">
        <v>1</v>
      </c>
      <c r="U2274" s="19"/>
      <c r="V2274" s="19"/>
      <c r="W2274" s="218">
        <v>1</v>
      </c>
      <c r="X2274" s="218">
        <v>1</v>
      </c>
      <c r="Y2274" s="218">
        <v>1</v>
      </c>
    </row>
    <row r="2275" spans="1:25" x14ac:dyDescent="0.3">
      <c r="A2275" s="1" t="s">
        <v>6517</v>
      </c>
      <c r="B2275" s="5">
        <v>46179</v>
      </c>
      <c r="C2275" s="6">
        <v>0.33333333333333298</v>
      </c>
      <c r="D2275" s="1" t="s">
        <v>30</v>
      </c>
      <c r="E2275" s="1" t="s">
        <v>36</v>
      </c>
      <c r="F2275" s="1" t="s">
        <v>6518</v>
      </c>
      <c r="G2275" s="39" t="s">
        <v>207</v>
      </c>
      <c r="H2275" s="1">
        <v>2</v>
      </c>
      <c r="I2275" s="1">
        <v>2</v>
      </c>
      <c r="J2275" s="39" t="s">
        <v>6416</v>
      </c>
      <c r="K2275" s="1">
        <v>2</v>
      </c>
      <c r="L2275" s="1">
        <v>2</v>
      </c>
      <c r="S2275" s="1" t="s">
        <v>6519</v>
      </c>
      <c r="T2275" s="1">
        <v>1</v>
      </c>
      <c r="U2275" s="19"/>
      <c r="V2275" s="19"/>
      <c r="W2275" s="218">
        <v>1</v>
      </c>
      <c r="X2275" s="218">
        <v>1</v>
      </c>
      <c r="Y2275" s="218">
        <v>1</v>
      </c>
    </row>
    <row r="2276" spans="1:25" x14ac:dyDescent="0.3">
      <c r="A2276" s="1" t="s">
        <v>6520</v>
      </c>
      <c r="B2276" s="5">
        <v>46171</v>
      </c>
      <c r="C2276" s="6">
        <v>0.60416666666666696</v>
      </c>
      <c r="D2276" s="1" t="s">
        <v>30</v>
      </c>
      <c r="E2276" s="1" t="s">
        <v>36</v>
      </c>
      <c r="F2276" s="1" t="s">
        <v>6521</v>
      </c>
      <c r="G2276" s="39" t="s">
        <v>6416</v>
      </c>
      <c r="H2276" s="1">
        <v>3</v>
      </c>
      <c r="I2276" s="1">
        <v>1</v>
      </c>
      <c r="J2276" s="39" t="s">
        <v>6405</v>
      </c>
      <c r="K2276" s="1">
        <v>1</v>
      </c>
      <c r="L2276" s="1">
        <v>3</v>
      </c>
      <c r="S2276" s="1" t="s">
        <v>6522</v>
      </c>
      <c r="T2276" s="1">
        <v>1</v>
      </c>
      <c r="U2276" s="19"/>
      <c r="V2276" s="19"/>
      <c r="W2276" s="218">
        <v>1</v>
      </c>
      <c r="X2276" s="218">
        <v>1</v>
      </c>
      <c r="Y2276" s="218">
        <v>1</v>
      </c>
    </row>
    <row r="2277" spans="1:25" x14ac:dyDescent="0.3">
      <c r="A2277" s="1" t="s">
        <v>6523</v>
      </c>
      <c r="B2277" s="5">
        <v>46158</v>
      </c>
      <c r="C2277" s="6">
        <v>0.45833333333333298</v>
      </c>
      <c r="D2277" s="1" t="s">
        <v>30</v>
      </c>
      <c r="E2277" s="1" t="s">
        <v>36</v>
      </c>
      <c r="F2277" s="1" t="s">
        <v>6524</v>
      </c>
      <c r="G2277" s="39" t="s">
        <v>6384</v>
      </c>
      <c r="H2277" s="1">
        <v>5</v>
      </c>
      <c r="I2277" s="1">
        <v>1</v>
      </c>
      <c r="J2277" s="39" t="s">
        <v>6416</v>
      </c>
      <c r="K2277" s="1">
        <v>1</v>
      </c>
      <c r="L2277" s="1">
        <v>5</v>
      </c>
      <c r="S2277" s="1" t="s">
        <v>6525</v>
      </c>
      <c r="T2277" s="1">
        <v>1</v>
      </c>
      <c r="U2277" s="19"/>
      <c r="V2277" s="19"/>
      <c r="W2277" s="218">
        <v>1</v>
      </c>
      <c r="X2277" s="218">
        <v>1</v>
      </c>
      <c r="Y2277" s="218">
        <v>1</v>
      </c>
    </row>
    <row r="2278" spans="1:25" x14ac:dyDescent="0.3">
      <c r="A2278" s="1" t="s">
        <v>6526</v>
      </c>
      <c r="B2278" s="5">
        <v>46150</v>
      </c>
      <c r="C2278" s="6">
        <v>0.58333333333333304</v>
      </c>
      <c r="D2278" s="1" t="s">
        <v>30</v>
      </c>
      <c r="E2278" s="1" t="s">
        <v>36</v>
      </c>
      <c r="F2278" s="1" t="s">
        <v>6527</v>
      </c>
      <c r="G2278" s="39" t="s">
        <v>6420</v>
      </c>
      <c r="H2278" s="1">
        <v>2</v>
      </c>
      <c r="I2278" s="1">
        <v>3</v>
      </c>
      <c r="J2278" s="39" t="s">
        <v>6416</v>
      </c>
      <c r="K2278" s="1">
        <v>3</v>
      </c>
      <c r="L2278" s="1">
        <v>2</v>
      </c>
      <c r="S2278" s="1" t="s">
        <v>6528</v>
      </c>
      <c r="T2278" s="1">
        <v>1</v>
      </c>
      <c r="U2278" s="19"/>
      <c r="V2278" s="19"/>
      <c r="W2278" s="218">
        <v>1</v>
      </c>
      <c r="X2278" s="218">
        <v>1</v>
      </c>
      <c r="Y2278" s="218">
        <v>1</v>
      </c>
    </row>
    <row r="2279" spans="1:25" x14ac:dyDescent="0.3">
      <c r="A2279" s="1" t="s">
        <v>6529</v>
      </c>
      <c r="B2279" s="5">
        <v>46242</v>
      </c>
      <c r="C2279" s="6">
        <v>0.33333333333333298</v>
      </c>
      <c r="D2279" s="1" t="s">
        <v>30</v>
      </c>
      <c r="E2279" s="1" t="s">
        <v>36</v>
      </c>
      <c r="F2279" s="1" t="s">
        <v>6530</v>
      </c>
      <c r="G2279" s="39" t="s">
        <v>6384</v>
      </c>
      <c r="H2279" s="1">
        <v>3</v>
      </c>
      <c r="I2279" s="1">
        <v>0</v>
      </c>
      <c r="J2279" s="39" t="s">
        <v>6405</v>
      </c>
      <c r="K2279" s="1">
        <v>0</v>
      </c>
      <c r="L2279" s="1">
        <v>3</v>
      </c>
      <c r="S2279" s="1" t="s">
        <v>6531</v>
      </c>
      <c r="T2279" s="1">
        <v>1</v>
      </c>
      <c r="U2279" s="19"/>
      <c r="V2279" s="19"/>
      <c r="W2279" s="218">
        <v>1</v>
      </c>
      <c r="X2279" s="218">
        <v>1</v>
      </c>
      <c r="Y2279" s="218">
        <v>1</v>
      </c>
    </row>
    <row r="2280" spans="1:25" x14ac:dyDescent="0.3">
      <c r="A2280" s="1" t="s">
        <v>6532</v>
      </c>
      <c r="B2280" s="5">
        <v>46198</v>
      </c>
      <c r="C2280" s="6">
        <v>0.58333333333333304</v>
      </c>
      <c r="D2280" s="1" t="s">
        <v>30</v>
      </c>
      <c r="E2280" s="1" t="s">
        <v>36</v>
      </c>
      <c r="F2280" s="1" t="s">
        <v>6533</v>
      </c>
      <c r="G2280" s="39" t="s">
        <v>955</v>
      </c>
      <c r="H2280" s="1">
        <v>0</v>
      </c>
      <c r="I2280" s="1">
        <v>0</v>
      </c>
      <c r="J2280" s="39" t="s">
        <v>6405</v>
      </c>
      <c r="K2280" s="1">
        <v>0</v>
      </c>
      <c r="L2280" s="1">
        <v>0</v>
      </c>
      <c r="S2280" s="1" t="s">
        <v>6534</v>
      </c>
      <c r="T2280" s="1">
        <v>1</v>
      </c>
      <c r="U2280" s="19"/>
      <c r="V2280" s="19"/>
      <c r="W2280" s="218">
        <v>1</v>
      </c>
      <c r="X2280" s="218">
        <v>1</v>
      </c>
      <c r="Y2280" s="218">
        <v>1</v>
      </c>
    </row>
    <row r="2281" spans="1:25" x14ac:dyDescent="0.3">
      <c r="A2281" s="1" t="s">
        <v>6535</v>
      </c>
      <c r="B2281" s="5">
        <v>46191</v>
      </c>
      <c r="C2281" s="6">
        <v>0.60416666666666696</v>
      </c>
      <c r="D2281" s="1" t="s">
        <v>30</v>
      </c>
      <c r="E2281" s="1" t="s">
        <v>36</v>
      </c>
      <c r="F2281" s="1" t="s">
        <v>6536</v>
      </c>
      <c r="G2281" s="39" t="s">
        <v>6405</v>
      </c>
      <c r="H2281" s="1">
        <v>1</v>
      </c>
      <c r="I2281" s="1">
        <v>2</v>
      </c>
      <c r="J2281" s="39" t="s">
        <v>6384</v>
      </c>
      <c r="K2281" s="1">
        <v>2</v>
      </c>
      <c r="L2281" s="1">
        <v>1</v>
      </c>
      <c r="S2281" s="1" t="s">
        <v>6537</v>
      </c>
      <c r="T2281" s="1">
        <v>1</v>
      </c>
      <c r="U2281" s="19"/>
      <c r="V2281" s="19"/>
      <c r="W2281" s="218">
        <v>1</v>
      </c>
      <c r="X2281" s="218">
        <v>1</v>
      </c>
      <c r="Y2281" s="218">
        <v>1</v>
      </c>
    </row>
    <row r="2282" spans="1:25" x14ac:dyDescent="0.3">
      <c r="A2282" s="1" t="s">
        <v>6538</v>
      </c>
      <c r="B2282" s="5">
        <v>46178</v>
      </c>
      <c r="C2282" s="6">
        <v>0.58333333333333304</v>
      </c>
      <c r="D2282" s="1" t="s">
        <v>30</v>
      </c>
      <c r="E2282" s="1" t="s">
        <v>36</v>
      </c>
      <c r="F2282" s="1" t="s">
        <v>6539</v>
      </c>
      <c r="G2282" s="39" t="s">
        <v>6405</v>
      </c>
      <c r="H2282" s="1">
        <v>3</v>
      </c>
      <c r="I2282" s="1">
        <v>1</v>
      </c>
      <c r="J2282" s="39" t="s">
        <v>273</v>
      </c>
      <c r="K2282" s="1">
        <v>1</v>
      </c>
      <c r="L2282" s="1">
        <v>3</v>
      </c>
      <c r="S2282" s="1" t="s">
        <v>6540</v>
      </c>
      <c r="T2282" s="1">
        <v>1</v>
      </c>
      <c r="U2282" s="19"/>
      <c r="V2282" s="19"/>
      <c r="W2282" s="218">
        <v>1</v>
      </c>
      <c r="X2282" s="218">
        <v>1</v>
      </c>
      <c r="Y2282" s="218">
        <v>1</v>
      </c>
    </row>
    <row r="2283" spans="1:25" x14ac:dyDescent="0.3">
      <c r="A2283" s="1" t="s">
        <v>6541</v>
      </c>
      <c r="B2283" s="5">
        <v>46165</v>
      </c>
      <c r="C2283" s="6">
        <v>0.375</v>
      </c>
      <c r="D2283" s="1" t="s">
        <v>30</v>
      </c>
      <c r="E2283" s="1" t="s">
        <v>36</v>
      </c>
      <c r="F2283" s="1" t="s">
        <v>6542</v>
      </c>
      <c r="G2283" s="39" t="s">
        <v>6405</v>
      </c>
      <c r="H2283" s="1">
        <v>2</v>
      </c>
      <c r="I2283" s="1">
        <v>0</v>
      </c>
      <c r="J2283" s="39" t="s">
        <v>955</v>
      </c>
      <c r="K2283" s="1">
        <v>0</v>
      </c>
      <c r="L2283" s="1">
        <v>2</v>
      </c>
      <c r="S2283" s="1" t="s">
        <v>6543</v>
      </c>
      <c r="T2283" s="1">
        <v>1</v>
      </c>
      <c r="U2283" s="19"/>
      <c r="V2283" s="19"/>
      <c r="W2283" s="218">
        <v>1</v>
      </c>
      <c r="X2283" s="218">
        <v>1</v>
      </c>
      <c r="Y2283" s="218">
        <v>1</v>
      </c>
    </row>
    <row r="2284" spans="1:25" x14ac:dyDescent="0.3">
      <c r="A2284" s="1" t="s">
        <v>6544</v>
      </c>
      <c r="B2284" s="5">
        <v>46150</v>
      </c>
      <c r="C2284" s="6">
        <v>0.60416666666666696</v>
      </c>
      <c r="D2284" s="1" t="s">
        <v>30</v>
      </c>
      <c r="E2284" s="1" t="s">
        <v>36</v>
      </c>
      <c r="F2284" s="1" t="s">
        <v>6545</v>
      </c>
      <c r="G2284" s="39" t="s">
        <v>272</v>
      </c>
      <c r="H2284" s="1">
        <v>2</v>
      </c>
      <c r="I2284" s="1">
        <v>2</v>
      </c>
      <c r="J2284" s="39" t="s">
        <v>6405</v>
      </c>
      <c r="K2284" s="1">
        <v>2</v>
      </c>
      <c r="L2284" s="1">
        <v>2</v>
      </c>
      <c r="S2284" s="1" t="s">
        <v>6546</v>
      </c>
      <c r="T2284" s="1">
        <v>1</v>
      </c>
      <c r="U2284" s="19"/>
      <c r="V2284" s="19"/>
      <c r="W2284" s="218">
        <v>1</v>
      </c>
      <c r="X2284" s="218">
        <v>1</v>
      </c>
      <c r="Y2284" s="218">
        <v>1</v>
      </c>
    </row>
    <row r="2285" spans="1:25" x14ac:dyDescent="0.3">
      <c r="A2285" s="1" t="s">
        <v>6547</v>
      </c>
      <c r="B2285" s="5">
        <v>46143</v>
      </c>
      <c r="C2285" s="6">
        <v>0.33333333333333298</v>
      </c>
      <c r="D2285" s="1" t="s">
        <v>30</v>
      </c>
      <c r="E2285" s="1" t="s">
        <v>36</v>
      </c>
      <c r="F2285" s="1" t="s">
        <v>6548</v>
      </c>
      <c r="G2285" s="39" t="s">
        <v>6405</v>
      </c>
      <c r="H2285" s="1">
        <v>2</v>
      </c>
      <c r="I2285" s="1">
        <v>2</v>
      </c>
      <c r="J2285" s="39" t="s">
        <v>207</v>
      </c>
      <c r="K2285" s="1">
        <v>2</v>
      </c>
      <c r="L2285" s="1">
        <v>2</v>
      </c>
      <c r="S2285" s="1" t="s">
        <v>6549</v>
      </c>
      <c r="T2285" s="1">
        <v>1</v>
      </c>
      <c r="U2285" s="19"/>
      <c r="V2285" s="19"/>
      <c r="W2285" s="218">
        <v>1</v>
      </c>
      <c r="X2285" s="218">
        <v>1</v>
      </c>
      <c r="Y2285" s="218">
        <v>1</v>
      </c>
    </row>
    <row r="2286" spans="1:25" x14ac:dyDescent="0.3">
      <c r="A2286" s="1" t="s">
        <v>6550</v>
      </c>
      <c r="B2286" s="5">
        <v>46138</v>
      </c>
      <c r="C2286" s="6">
        <v>0.375</v>
      </c>
      <c r="D2286" s="1" t="s">
        <v>30</v>
      </c>
      <c r="E2286" s="1" t="s">
        <v>36</v>
      </c>
      <c r="F2286" s="1" t="s">
        <v>6551</v>
      </c>
      <c r="G2286" s="39" t="s">
        <v>6391</v>
      </c>
      <c r="H2286" s="1">
        <v>1</v>
      </c>
      <c r="I2286" s="1">
        <v>1</v>
      </c>
      <c r="J2286" s="39" t="s">
        <v>6405</v>
      </c>
      <c r="K2286" s="1">
        <v>1</v>
      </c>
      <c r="L2286" s="1">
        <v>1</v>
      </c>
      <c r="S2286" s="1" t="s">
        <v>6552</v>
      </c>
      <c r="T2286" s="1">
        <v>1</v>
      </c>
      <c r="U2286" s="19"/>
      <c r="V2286" s="19"/>
      <c r="W2286" s="218">
        <v>1</v>
      </c>
      <c r="X2286" s="218">
        <v>1</v>
      </c>
      <c r="Y2286" s="218">
        <v>1</v>
      </c>
    </row>
    <row r="2287" spans="1:25" x14ac:dyDescent="0.3">
      <c r="A2287" s="1" t="s">
        <v>6553</v>
      </c>
      <c r="B2287" s="5">
        <v>46241</v>
      </c>
      <c r="C2287" s="6">
        <v>0.60416666666666696</v>
      </c>
      <c r="D2287" s="1" t="s">
        <v>30</v>
      </c>
      <c r="E2287" s="1" t="s">
        <v>36</v>
      </c>
      <c r="F2287" s="1" t="s">
        <v>6554</v>
      </c>
      <c r="G2287" s="39" t="s">
        <v>6391</v>
      </c>
      <c r="H2287" s="1">
        <v>0</v>
      </c>
      <c r="I2287" s="1">
        <v>2</v>
      </c>
      <c r="J2287" s="39" t="s">
        <v>6420</v>
      </c>
      <c r="K2287" s="1">
        <v>2</v>
      </c>
      <c r="L2287" s="1">
        <v>0</v>
      </c>
      <c r="S2287" s="1" t="s">
        <v>6555</v>
      </c>
      <c r="T2287" s="1">
        <v>1</v>
      </c>
      <c r="U2287" s="19"/>
      <c r="V2287" s="19"/>
      <c r="W2287" s="218">
        <v>1</v>
      </c>
      <c r="X2287" s="218">
        <v>1</v>
      </c>
      <c r="Y2287" s="218">
        <v>1</v>
      </c>
    </row>
    <row r="2288" spans="1:25" x14ac:dyDescent="0.3">
      <c r="A2288" s="1" t="s">
        <v>6556</v>
      </c>
      <c r="B2288" s="5">
        <v>46191</v>
      </c>
      <c r="C2288" s="6">
        <v>0.60416666666666696</v>
      </c>
      <c r="D2288" s="1" t="s">
        <v>30</v>
      </c>
      <c r="E2288" s="1" t="s">
        <v>36</v>
      </c>
      <c r="F2288" s="1" t="s">
        <v>6557</v>
      </c>
      <c r="G2288" s="39" t="s">
        <v>6420</v>
      </c>
      <c r="H2288" s="1">
        <v>3</v>
      </c>
      <c r="I2288" s="1">
        <v>0</v>
      </c>
      <c r="J2288" s="39" t="s">
        <v>6391</v>
      </c>
      <c r="K2288" s="1">
        <v>0</v>
      </c>
      <c r="L2288" s="1">
        <v>3</v>
      </c>
      <c r="S2288" s="1" t="s">
        <v>6558</v>
      </c>
      <c r="T2288" s="1">
        <v>1</v>
      </c>
      <c r="U2288" s="19"/>
      <c r="V2288" s="19"/>
      <c r="W2288" s="218">
        <v>1</v>
      </c>
      <c r="X2288" s="218">
        <v>1</v>
      </c>
      <c r="Y2288" s="218">
        <v>1</v>
      </c>
    </row>
    <row r="2289" spans="1:25" x14ac:dyDescent="0.3">
      <c r="A2289" s="1" t="s">
        <v>6559</v>
      </c>
      <c r="B2289" s="5">
        <v>46184</v>
      </c>
      <c r="C2289" s="6">
        <v>0.60416666666666696</v>
      </c>
      <c r="D2289" s="1" t="s">
        <v>30</v>
      </c>
      <c r="E2289" s="1" t="s">
        <v>36</v>
      </c>
      <c r="F2289" s="1" t="s">
        <v>6560</v>
      </c>
      <c r="G2289" s="39" t="s">
        <v>273</v>
      </c>
      <c r="H2289" s="1">
        <v>1</v>
      </c>
      <c r="I2289" s="1">
        <v>2</v>
      </c>
      <c r="J2289" s="39" t="s">
        <v>6420</v>
      </c>
      <c r="K2289" s="1">
        <v>2</v>
      </c>
      <c r="L2289" s="1">
        <v>1</v>
      </c>
      <c r="S2289" s="1" t="s">
        <v>6561</v>
      </c>
      <c r="T2289" s="1">
        <v>1</v>
      </c>
      <c r="U2289" s="19"/>
      <c r="V2289" s="19"/>
      <c r="W2289" s="218">
        <v>1</v>
      </c>
      <c r="X2289" s="218">
        <v>1</v>
      </c>
      <c r="Y2289" s="218">
        <v>1</v>
      </c>
    </row>
    <row r="2290" spans="1:25" x14ac:dyDescent="0.3">
      <c r="A2290" s="1" t="s">
        <v>6562</v>
      </c>
      <c r="B2290" s="5">
        <v>46178</v>
      </c>
      <c r="C2290" s="6">
        <v>0.58333333333333304</v>
      </c>
      <c r="D2290" s="1" t="s">
        <v>30</v>
      </c>
      <c r="E2290" s="1" t="s">
        <v>36</v>
      </c>
      <c r="F2290" s="1" t="s">
        <v>6563</v>
      </c>
      <c r="G2290" s="39" t="s">
        <v>6420</v>
      </c>
      <c r="H2290" s="1">
        <v>2</v>
      </c>
      <c r="I2290" s="1">
        <v>2</v>
      </c>
      <c r="J2290" s="39" t="s">
        <v>6412</v>
      </c>
      <c r="K2290" s="1">
        <v>2</v>
      </c>
      <c r="L2290" s="1">
        <v>2</v>
      </c>
      <c r="S2290" s="1" t="s">
        <v>6564</v>
      </c>
      <c r="T2290" s="1">
        <v>1</v>
      </c>
      <c r="U2290" s="19"/>
      <c r="V2290" s="19"/>
      <c r="W2290" s="218">
        <v>1</v>
      </c>
      <c r="X2290" s="218">
        <v>1</v>
      </c>
      <c r="Y2290" s="218">
        <v>1</v>
      </c>
    </row>
    <row r="2291" spans="1:25" x14ac:dyDescent="0.3">
      <c r="A2291" s="1" t="s">
        <v>6565</v>
      </c>
      <c r="B2291" s="5">
        <v>46171</v>
      </c>
      <c r="C2291" s="6">
        <v>0.58333333333333304</v>
      </c>
      <c r="D2291" s="1" t="s">
        <v>30</v>
      </c>
      <c r="E2291" s="1" t="s">
        <v>36</v>
      </c>
      <c r="F2291" s="1" t="s">
        <v>6566</v>
      </c>
      <c r="G2291" s="39" t="s">
        <v>955</v>
      </c>
      <c r="H2291" s="1">
        <v>1</v>
      </c>
      <c r="I2291" s="1">
        <v>1</v>
      </c>
      <c r="J2291" s="39" t="s">
        <v>6420</v>
      </c>
      <c r="K2291" s="1">
        <v>1</v>
      </c>
      <c r="L2291" s="1">
        <v>1</v>
      </c>
      <c r="S2291" s="1" t="s">
        <v>6567</v>
      </c>
      <c r="T2291" s="1">
        <v>1</v>
      </c>
      <c r="U2291" s="19"/>
      <c r="V2291" s="19"/>
      <c r="W2291" s="218">
        <v>1</v>
      </c>
      <c r="X2291" s="218">
        <v>1</v>
      </c>
      <c r="Y2291" s="218">
        <v>1</v>
      </c>
    </row>
    <row r="2292" spans="1:25" x14ac:dyDescent="0.3">
      <c r="A2292" s="1" t="s">
        <v>6568</v>
      </c>
      <c r="B2292" s="5">
        <v>46164</v>
      </c>
      <c r="C2292" s="6">
        <v>0.58333333333333304</v>
      </c>
      <c r="D2292" s="1" t="s">
        <v>30</v>
      </c>
      <c r="E2292" s="1" t="s">
        <v>36</v>
      </c>
      <c r="F2292" s="1" t="s">
        <v>6569</v>
      </c>
      <c r="G2292" s="39" t="s">
        <v>6420</v>
      </c>
      <c r="H2292" s="1">
        <v>2</v>
      </c>
      <c r="I2292" s="1">
        <v>1</v>
      </c>
      <c r="J2292" s="39" t="s">
        <v>207</v>
      </c>
      <c r="K2292" s="1">
        <v>1</v>
      </c>
      <c r="L2292" s="1">
        <v>2</v>
      </c>
      <c r="S2292" s="1" t="s">
        <v>6570</v>
      </c>
      <c r="T2292" s="1">
        <v>1</v>
      </c>
      <c r="U2292" s="19"/>
      <c r="V2292" s="19"/>
      <c r="W2292" s="218">
        <v>1</v>
      </c>
      <c r="X2292" s="218">
        <v>1</v>
      </c>
      <c r="Y2292" s="218">
        <v>1</v>
      </c>
    </row>
    <row r="2293" spans="1:25" x14ac:dyDescent="0.3">
      <c r="A2293" s="1" t="s">
        <v>6571</v>
      </c>
      <c r="B2293" s="5">
        <v>46143</v>
      </c>
      <c r="C2293" s="6">
        <v>0.33333333333333298</v>
      </c>
      <c r="D2293" s="1" t="s">
        <v>30</v>
      </c>
      <c r="E2293" s="1" t="s">
        <v>36</v>
      </c>
      <c r="F2293" s="1" t="s">
        <v>6572</v>
      </c>
      <c r="G2293" s="39" t="s">
        <v>6420</v>
      </c>
      <c r="H2293" s="1">
        <v>0</v>
      </c>
      <c r="I2293" s="1">
        <v>2</v>
      </c>
      <c r="J2293" s="39" t="s">
        <v>6384</v>
      </c>
      <c r="K2293" s="1">
        <v>2</v>
      </c>
      <c r="L2293" s="1">
        <v>0</v>
      </c>
      <c r="S2293" s="1" t="s">
        <v>6573</v>
      </c>
      <c r="T2293" s="1">
        <v>1</v>
      </c>
      <c r="U2293" s="19"/>
      <c r="V2293" s="19"/>
      <c r="W2293" s="218">
        <v>1</v>
      </c>
      <c r="X2293" s="218">
        <v>1</v>
      </c>
      <c r="Y2293" s="218">
        <v>1</v>
      </c>
    </row>
    <row r="2294" spans="1:25" x14ac:dyDescent="0.3">
      <c r="A2294" s="1" t="s">
        <v>6574</v>
      </c>
      <c r="B2294" s="5">
        <v>46243</v>
      </c>
      <c r="C2294" s="6">
        <v>0.33333333333333298</v>
      </c>
      <c r="D2294" s="1" t="s">
        <v>30</v>
      </c>
      <c r="E2294" s="1" t="s">
        <v>36</v>
      </c>
      <c r="F2294" s="1" t="s">
        <v>6575</v>
      </c>
      <c r="G2294" s="39" t="s">
        <v>273</v>
      </c>
      <c r="H2294" s="1">
        <v>0</v>
      </c>
      <c r="I2294" s="1">
        <v>6</v>
      </c>
      <c r="J2294" s="39" t="s">
        <v>207</v>
      </c>
      <c r="K2294" s="1">
        <v>6</v>
      </c>
      <c r="L2294" s="1">
        <v>0</v>
      </c>
      <c r="S2294" s="1" t="s">
        <v>6576</v>
      </c>
      <c r="T2294" s="1">
        <v>1</v>
      </c>
      <c r="U2294" s="19"/>
      <c r="V2294" s="19"/>
      <c r="W2294" s="218">
        <v>1</v>
      </c>
      <c r="X2294" s="218">
        <v>1</v>
      </c>
      <c r="Y2294" s="218">
        <v>1</v>
      </c>
    </row>
    <row r="2295" spans="1:25" x14ac:dyDescent="0.3">
      <c r="A2295" s="1" t="s">
        <v>6577</v>
      </c>
      <c r="B2295" s="5">
        <v>46200</v>
      </c>
      <c r="C2295" s="6">
        <v>0.45833333333333298</v>
      </c>
      <c r="D2295" s="1" t="s">
        <v>30</v>
      </c>
      <c r="E2295" s="1" t="s">
        <v>36</v>
      </c>
      <c r="F2295" s="1" t="s">
        <v>6578</v>
      </c>
      <c r="G2295" s="39" t="s">
        <v>6391</v>
      </c>
      <c r="H2295" s="1">
        <v>1</v>
      </c>
      <c r="I2295" s="1">
        <v>1</v>
      </c>
      <c r="J2295" s="39" t="s">
        <v>207</v>
      </c>
      <c r="K2295" s="1">
        <v>1</v>
      </c>
      <c r="L2295" s="1">
        <v>1</v>
      </c>
      <c r="S2295" s="1" t="s">
        <v>6579</v>
      </c>
      <c r="T2295" s="1">
        <v>1</v>
      </c>
      <c r="U2295" s="19"/>
      <c r="V2295" s="19"/>
      <c r="W2295" s="218">
        <v>1</v>
      </c>
      <c r="X2295" s="218">
        <v>1</v>
      </c>
      <c r="Y2295" s="218">
        <v>1</v>
      </c>
    </row>
    <row r="2296" spans="1:25" x14ac:dyDescent="0.3">
      <c r="A2296" s="1" t="s">
        <v>6580</v>
      </c>
      <c r="B2296" s="5">
        <v>46187</v>
      </c>
      <c r="C2296" s="6">
        <v>0.33333333333333298</v>
      </c>
      <c r="D2296" s="1" t="s">
        <v>30</v>
      </c>
      <c r="E2296" s="1" t="s">
        <v>36</v>
      </c>
      <c r="F2296" s="1" t="s">
        <v>6581</v>
      </c>
      <c r="G2296" s="39" t="s">
        <v>6384</v>
      </c>
      <c r="H2296" s="1">
        <v>1</v>
      </c>
      <c r="I2296" s="1">
        <v>1</v>
      </c>
      <c r="J2296" s="39" t="s">
        <v>207</v>
      </c>
      <c r="K2296" s="1">
        <v>1</v>
      </c>
      <c r="L2296" s="1">
        <v>1</v>
      </c>
      <c r="S2296" s="1" t="s">
        <v>6582</v>
      </c>
      <c r="T2296" s="1">
        <v>1</v>
      </c>
      <c r="U2296" s="19"/>
      <c r="V2296" s="19"/>
      <c r="W2296" s="218">
        <v>1</v>
      </c>
      <c r="X2296" s="218">
        <v>1</v>
      </c>
      <c r="Y2296" s="218">
        <v>1</v>
      </c>
    </row>
    <row r="2297" spans="1:25" x14ac:dyDescent="0.3">
      <c r="A2297" s="1" t="s">
        <v>6583</v>
      </c>
      <c r="B2297" s="5">
        <v>46156</v>
      </c>
      <c r="C2297" s="6">
        <v>0.33333333333333298</v>
      </c>
      <c r="D2297" s="1" t="s">
        <v>30</v>
      </c>
      <c r="E2297" s="1" t="s">
        <v>36</v>
      </c>
      <c r="F2297" s="1" t="s">
        <v>6584</v>
      </c>
      <c r="G2297" s="39" t="s">
        <v>207</v>
      </c>
      <c r="H2297" s="1">
        <v>1</v>
      </c>
      <c r="I2297" s="1">
        <v>2</v>
      </c>
      <c r="J2297" s="39" t="s">
        <v>272</v>
      </c>
      <c r="K2297" s="1">
        <v>2</v>
      </c>
      <c r="L2297" s="1">
        <v>1</v>
      </c>
      <c r="S2297" s="1" t="s">
        <v>6585</v>
      </c>
      <c r="T2297" s="1">
        <v>1</v>
      </c>
      <c r="U2297" s="19"/>
      <c r="V2297" s="19"/>
      <c r="W2297" s="218">
        <v>1</v>
      </c>
      <c r="X2297" s="218">
        <v>1</v>
      </c>
      <c r="Y2297" s="218">
        <v>1</v>
      </c>
    </row>
    <row r="2298" spans="1:25" x14ac:dyDescent="0.3">
      <c r="A2298" s="1" t="s">
        <v>6586</v>
      </c>
      <c r="B2298" s="5">
        <v>46150</v>
      </c>
      <c r="C2298" s="6">
        <v>0.58333333333333304</v>
      </c>
      <c r="D2298" s="1" t="s">
        <v>30</v>
      </c>
      <c r="E2298" s="1" t="s">
        <v>36</v>
      </c>
      <c r="F2298" s="1" t="s">
        <v>6587</v>
      </c>
      <c r="G2298" s="39" t="s">
        <v>955</v>
      </c>
      <c r="H2298" s="1">
        <v>1</v>
      </c>
      <c r="I2298" s="1">
        <v>2</v>
      </c>
      <c r="J2298" s="39" t="s">
        <v>207</v>
      </c>
      <c r="K2298" s="1">
        <v>2</v>
      </c>
      <c r="L2298" s="1">
        <v>1</v>
      </c>
      <c r="S2298" s="1" t="s">
        <v>6588</v>
      </c>
      <c r="T2298" s="1">
        <v>1</v>
      </c>
      <c r="U2298" s="19"/>
      <c r="V2298" s="19"/>
      <c r="W2298" s="218">
        <v>1</v>
      </c>
      <c r="X2298" s="218">
        <v>1</v>
      </c>
      <c r="Y2298" s="218">
        <v>1</v>
      </c>
    </row>
    <row r="2299" spans="1:25" x14ac:dyDescent="0.3">
      <c r="A2299" s="1" t="s">
        <v>6589</v>
      </c>
      <c r="B2299" s="5">
        <v>46138</v>
      </c>
      <c r="C2299" s="6">
        <v>0.33333333333333298</v>
      </c>
      <c r="D2299" s="1" t="s">
        <v>30</v>
      </c>
      <c r="E2299" s="1" t="s">
        <v>36</v>
      </c>
      <c r="F2299" s="1" t="s">
        <v>6590</v>
      </c>
      <c r="G2299" s="39" t="s">
        <v>207</v>
      </c>
      <c r="H2299" s="1">
        <v>2</v>
      </c>
      <c r="I2299" s="1">
        <v>0</v>
      </c>
      <c r="J2299" s="39" t="s">
        <v>273</v>
      </c>
      <c r="K2299" s="1">
        <v>0</v>
      </c>
      <c r="L2299" s="1">
        <v>2</v>
      </c>
      <c r="S2299" s="1" t="s">
        <v>6591</v>
      </c>
      <c r="T2299" s="1">
        <v>1</v>
      </c>
      <c r="U2299" s="19"/>
      <c r="V2299" s="19"/>
      <c r="W2299" s="218">
        <v>1</v>
      </c>
      <c r="X2299" s="218">
        <v>1</v>
      </c>
      <c r="Y2299" s="218">
        <v>1</v>
      </c>
    </row>
    <row r="2300" spans="1:25" x14ac:dyDescent="0.3">
      <c r="A2300" s="1" t="s">
        <v>6592</v>
      </c>
      <c r="B2300" s="5">
        <v>46234</v>
      </c>
      <c r="C2300" s="6">
        <v>0.60416666666666696</v>
      </c>
      <c r="D2300" s="1" t="s">
        <v>30</v>
      </c>
      <c r="E2300" s="1" t="s">
        <v>36</v>
      </c>
      <c r="F2300" s="1" t="s">
        <v>6593</v>
      </c>
      <c r="G2300" s="39" t="s">
        <v>6412</v>
      </c>
      <c r="H2300" s="1">
        <v>0</v>
      </c>
      <c r="I2300" s="1">
        <v>0</v>
      </c>
      <c r="J2300" s="39" t="s">
        <v>6384</v>
      </c>
      <c r="K2300" s="1">
        <v>0</v>
      </c>
      <c r="L2300" s="1">
        <v>0</v>
      </c>
      <c r="S2300" s="1" t="s">
        <v>6594</v>
      </c>
      <c r="T2300" s="1">
        <v>1</v>
      </c>
      <c r="U2300" s="19"/>
      <c r="V2300" s="19"/>
      <c r="W2300" s="218">
        <v>1</v>
      </c>
      <c r="X2300" s="218">
        <v>1</v>
      </c>
      <c r="Y2300" s="218">
        <v>1</v>
      </c>
    </row>
    <row r="2301" spans="1:25" x14ac:dyDescent="0.3">
      <c r="A2301" s="1" t="s">
        <v>6595</v>
      </c>
      <c r="B2301" s="5">
        <v>46191</v>
      </c>
      <c r="C2301" s="6">
        <v>0.60416666666666696</v>
      </c>
      <c r="D2301" s="1" t="s">
        <v>30</v>
      </c>
      <c r="E2301" s="1" t="s">
        <v>36</v>
      </c>
      <c r="F2301" s="1" t="s">
        <v>6596</v>
      </c>
      <c r="G2301" s="39" t="s">
        <v>272</v>
      </c>
      <c r="H2301" s="1">
        <v>3</v>
      </c>
      <c r="I2301" s="1">
        <v>2</v>
      </c>
      <c r="J2301" s="39" t="s">
        <v>955</v>
      </c>
      <c r="K2301" s="1">
        <v>2</v>
      </c>
      <c r="L2301" s="1">
        <v>3</v>
      </c>
      <c r="S2301" s="1" t="s">
        <v>6597</v>
      </c>
      <c r="T2301" s="1">
        <v>1</v>
      </c>
      <c r="U2301" s="19"/>
      <c r="V2301" s="19"/>
      <c r="W2301" s="218">
        <v>1</v>
      </c>
      <c r="X2301" s="218">
        <v>1</v>
      </c>
      <c r="Y2301" s="218">
        <v>1</v>
      </c>
    </row>
    <row r="2302" spans="1:25" x14ac:dyDescent="0.3">
      <c r="A2302" s="1" t="s">
        <v>6598</v>
      </c>
      <c r="B2302" s="5">
        <v>46186</v>
      </c>
      <c r="C2302" s="6">
        <v>0.41666666666666702</v>
      </c>
      <c r="D2302" s="1" t="s">
        <v>30</v>
      </c>
      <c r="E2302" s="1" t="s">
        <v>36</v>
      </c>
      <c r="F2302" s="1" t="s">
        <v>6599</v>
      </c>
      <c r="G2302" s="39" t="s">
        <v>955</v>
      </c>
      <c r="H2302" s="1">
        <v>1</v>
      </c>
      <c r="I2302" s="1">
        <v>2</v>
      </c>
      <c r="J2302" s="39" t="s">
        <v>6412</v>
      </c>
      <c r="K2302" s="1">
        <v>2</v>
      </c>
      <c r="L2302" s="1">
        <v>1</v>
      </c>
      <c r="S2302" s="1" t="s">
        <v>6600</v>
      </c>
      <c r="T2302" s="1">
        <v>1</v>
      </c>
      <c r="U2302" s="19"/>
      <c r="V2302" s="19"/>
      <c r="W2302" s="218">
        <v>1</v>
      </c>
      <c r="X2302" s="218">
        <v>1</v>
      </c>
      <c r="Y2302" s="218">
        <v>1</v>
      </c>
    </row>
    <row r="2303" spans="1:25" x14ac:dyDescent="0.3">
      <c r="A2303" s="1" t="s">
        <v>6601</v>
      </c>
      <c r="B2303" s="5">
        <v>46179</v>
      </c>
      <c r="C2303" s="6">
        <v>0.45833333333333298</v>
      </c>
      <c r="D2303" s="1" t="s">
        <v>30</v>
      </c>
      <c r="E2303" s="1" t="s">
        <v>36</v>
      </c>
      <c r="F2303" s="1" t="s">
        <v>6602</v>
      </c>
      <c r="G2303" s="39" t="s">
        <v>272</v>
      </c>
      <c r="H2303" s="1">
        <v>2</v>
      </c>
      <c r="I2303" s="1">
        <v>2</v>
      </c>
      <c r="J2303" s="39" t="s">
        <v>6391</v>
      </c>
      <c r="K2303" s="1">
        <v>2</v>
      </c>
      <c r="L2303" s="1">
        <v>2</v>
      </c>
      <c r="S2303" s="1" t="s">
        <v>6603</v>
      </c>
      <c r="T2303" s="1">
        <v>1</v>
      </c>
      <c r="U2303" s="19"/>
      <c r="V2303" s="19"/>
      <c r="W2303" s="218">
        <v>1</v>
      </c>
      <c r="X2303" s="218">
        <v>1</v>
      </c>
      <c r="Y2303" s="218">
        <v>1</v>
      </c>
    </row>
    <row r="2304" spans="1:25" x14ac:dyDescent="0.3">
      <c r="A2304" s="1" t="s">
        <v>6604</v>
      </c>
      <c r="B2304" s="5">
        <v>46172</v>
      </c>
      <c r="C2304" s="6">
        <v>0.45833333333333298</v>
      </c>
      <c r="D2304" s="1" t="s">
        <v>30</v>
      </c>
      <c r="E2304" s="1" t="s">
        <v>36</v>
      </c>
      <c r="F2304" s="1" t="s">
        <v>6605</v>
      </c>
      <c r="G2304" s="39" t="s">
        <v>6412</v>
      </c>
      <c r="H2304" s="1">
        <v>1</v>
      </c>
      <c r="I2304" s="1">
        <v>2</v>
      </c>
      <c r="J2304" s="39" t="s">
        <v>6391</v>
      </c>
      <c r="K2304" s="1">
        <v>2</v>
      </c>
      <c r="L2304" s="1">
        <v>1</v>
      </c>
      <c r="S2304" s="1" t="s">
        <v>6606</v>
      </c>
      <c r="T2304" s="1">
        <v>1</v>
      </c>
      <c r="U2304" s="19"/>
      <c r="V2304" s="19"/>
      <c r="W2304" s="218">
        <v>1</v>
      </c>
      <c r="X2304" s="218">
        <v>1</v>
      </c>
      <c r="Y2304" s="218">
        <v>1</v>
      </c>
    </row>
    <row r="2305" spans="1:25" x14ac:dyDescent="0.3">
      <c r="A2305" s="1" t="s">
        <v>6607</v>
      </c>
      <c r="B2305" s="5">
        <v>46172</v>
      </c>
      <c r="C2305" s="6">
        <v>0.33333333333333298</v>
      </c>
      <c r="D2305" s="1" t="s">
        <v>30</v>
      </c>
      <c r="E2305" s="1" t="s">
        <v>36</v>
      </c>
      <c r="F2305" s="1" t="s">
        <v>6608</v>
      </c>
      <c r="G2305" s="39" t="s">
        <v>6384</v>
      </c>
      <c r="H2305" s="1">
        <v>0</v>
      </c>
      <c r="I2305" s="1">
        <v>0</v>
      </c>
      <c r="J2305" s="39" t="s">
        <v>273</v>
      </c>
      <c r="K2305" s="1">
        <v>0</v>
      </c>
      <c r="L2305" s="1">
        <v>0</v>
      </c>
      <c r="S2305" s="1" t="s">
        <v>6609</v>
      </c>
      <c r="T2305" s="1">
        <v>1</v>
      </c>
      <c r="U2305" s="19"/>
      <c r="V2305" s="19"/>
      <c r="W2305" s="218">
        <v>1</v>
      </c>
      <c r="X2305" s="218">
        <v>1</v>
      </c>
      <c r="Y2305" s="218">
        <v>1</v>
      </c>
    </row>
    <row r="2306" spans="1:25" x14ac:dyDescent="0.3">
      <c r="A2306" s="1" t="s">
        <v>6610</v>
      </c>
      <c r="B2306" s="5">
        <v>46164</v>
      </c>
      <c r="C2306" s="6">
        <v>0.60416666666666696</v>
      </c>
      <c r="D2306" s="1" t="s">
        <v>30</v>
      </c>
      <c r="E2306" s="1" t="s">
        <v>36</v>
      </c>
      <c r="F2306" s="1" t="s">
        <v>6611</v>
      </c>
      <c r="G2306" s="39" t="s">
        <v>272</v>
      </c>
      <c r="H2306" s="1">
        <v>1</v>
      </c>
      <c r="I2306" s="1">
        <v>2</v>
      </c>
      <c r="J2306" s="39" t="s">
        <v>6384</v>
      </c>
      <c r="K2306" s="1">
        <v>2</v>
      </c>
      <c r="L2306" s="1">
        <v>1</v>
      </c>
      <c r="S2306" s="1" t="s">
        <v>6612</v>
      </c>
      <c r="T2306" s="1">
        <v>1</v>
      </c>
      <c r="U2306" s="19"/>
      <c r="V2306" s="19"/>
      <c r="W2306" s="218">
        <v>1</v>
      </c>
      <c r="X2306" s="218">
        <v>1</v>
      </c>
      <c r="Y2306" s="218">
        <v>1</v>
      </c>
    </row>
    <row r="2307" spans="1:25" x14ac:dyDescent="0.3">
      <c r="A2307" s="1" t="s">
        <v>6613</v>
      </c>
      <c r="B2307" s="5">
        <v>46152</v>
      </c>
      <c r="C2307" s="6">
        <v>0.375</v>
      </c>
      <c r="D2307" s="1" t="s">
        <v>30</v>
      </c>
      <c r="E2307" s="1" t="s">
        <v>36</v>
      </c>
      <c r="F2307" s="1" t="s">
        <v>6614</v>
      </c>
      <c r="G2307" s="39" t="s">
        <v>6391</v>
      </c>
      <c r="H2307" s="1">
        <v>1</v>
      </c>
      <c r="I2307" s="1">
        <v>1</v>
      </c>
      <c r="J2307" s="39" t="s">
        <v>6384</v>
      </c>
      <c r="K2307" s="1">
        <v>1</v>
      </c>
      <c r="L2307" s="1">
        <v>1</v>
      </c>
      <c r="S2307" s="1" t="s">
        <v>6615</v>
      </c>
      <c r="T2307" s="1">
        <v>1</v>
      </c>
      <c r="U2307" s="19"/>
      <c r="V2307" s="19"/>
      <c r="W2307" s="218">
        <v>1</v>
      </c>
      <c r="X2307" s="218">
        <v>1</v>
      </c>
      <c r="Y2307" s="218">
        <v>1</v>
      </c>
    </row>
    <row r="2308" spans="1:25" x14ac:dyDescent="0.3">
      <c r="A2308" s="1" t="s">
        <v>6616</v>
      </c>
      <c r="B2308" s="5">
        <v>46145</v>
      </c>
      <c r="C2308" s="6">
        <v>0.33333333333333298</v>
      </c>
      <c r="D2308" s="1" t="s">
        <v>30</v>
      </c>
      <c r="E2308" s="1" t="s">
        <v>36</v>
      </c>
      <c r="F2308" s="1" t="s">
        <v>6617</v>
      </c>
      <c r="G2308" s="39" t="s">
        <v>273</v>
      </c>
      <c r="H2308" s="1">
        <v>0</v>
      </c>
      <c r="I2308" s="1">
        <v>3</v>
      </c>
      <c r="J2308" s="39" t="s">
        <v>272</v>
      </c>
      <c r="K2308" s="1">
        <v>3</v>
      </c>
      <c r="L2308" s="1">
        <v>0</v>
      </c>
      <c r="S2308" s="1" t="s">
        <v>6618</v>
      </c>
      <c r="T2308" s="1">
        <v>1</v>
      </c>
      <c r="U2308" s="19"/>
      <c r="V2308" s="19"/>
      <c r="W2308" s="218">
        <v>1</v>
      </c>
      <c r="X2308" s="218">
        <v>1</v>
      </c>
      <c r="Y2308" s="218">
        <v>1</v>
      </c>
    </row>
    <row r="2309" spans="1:25" x14ac:dyDescent="0.3">
      <c r="A2309" s="1" t="s">
        <v>6619</v>
      </c>
      <c r="B2309" s="5">
        <v>46142</v>
      </c>
      <c r="C2309" s="6">
        <v>0.58333333333333304</v>
      </c>
      <c r="D2309" s="1" t="s">
        <v>30</v>
      </c>
      <c r="E2309" s="1" t="s">
        <v>36</v>
      </c>
      <c r="F2309" s="1" t="s">
        <v>6620</v>
      </c>
      <c r="G2309" s="39" t="s">
        <v>955</v>
      </c>
      <c r="H2309" s="1">
        <v>2</v>
      </c>
      <c r="I2309" s="1">
        <v>2</v>
      </c>
      <c r="J2309" s="39" t="s">
        <v>6391</v>
      </c>
      <c r="K2309" s="1">
        <v>2</v>
      </c>
      <c r="L2309" s="1">
        <v>2</v>
      </c>
      <c r="S2309" s="1" t="s">
        <v>6621</v>
      </c>
      <c r="T2309" s="1">
        <v>1</v>
      </c>
      <c r="U2309" s="19"/>
      <c r="V2309" s="19"/>
      <c r="W2309" s="218">
        <v>1</v>
      </c>
      <c r="X2309" s="218">
        <v>1</v>
      </c>
      <c r="Y2309" s="218">
        <v>1</v>
      </c>
    </row>
    <row r="2310" spans="1:25" x14ac:dyDescent="0.3">
      <c r="A2310" s="1" t="s">
        <v>6622</v>
      </c>
      <c r="B2310" s="5">
        <v>46137</v>
      </c>
      <c r="C2310" s="6">
        <v>0.29166666666666702</v>
      </c>
      <c r="D2310" s="1" t="s">
        <v>30</v>
      </c>
      <c r="E2310" s="1" t="s">
        <v>36</v>
      </c>
      <c r="F2310" s="1" t="s">
        <v>6623</v>
      </c>
      <c r="G2310" s="39" t="s">
        <v>272</v>
      </c>
      <c r="H2310" s="1">
        <v>3</v>
      </c>
      <c r="I2310" s="1">
        <v>1</v>
      </c>
      <c r="J2310" s="39" t="s">
        <v>6412</v>
      </c>
      <c r="K2310" s="1">
        <v>1</v>
      </c>
      <c r="L2310" s="1">
        <v>3</v>
      </c>
      <c r="S2310" s="1" t="s">
        <v>6624</v>
      </c>
      <c r="T2310" s="1">
        <v>1</v>
      </c>
      <c r="U2310" s="19"/>
      <c r="V2310" s="19"/>
      <c r="W2310" s="218">
        <v>1</v>
      </c>
      <c r="X2310" s="218">
        <v>1</v>
      </c>
      <c r="Y2310" s="218">
        <v>1</v>
      </c>
    </row>
    <row r="2311" spans="1:25" x14ac:dyDescent="0.3">
      <c r="A2311" s="1" t="s">
        <v>6625</v>
      </c>
      <c r="B2311" s="5">
        <v>46159</v>
      </c>
      <c r="C2311" s="6">
        <v>0.33333333333333298</v>
      </c>
      <c r="D2311" s="1" t="s">
        <v>30</v>
      </c>
      <c r="E2311" s="1" t="s">
        <v>36</v>
      </c>
      <c r="F2311" s="1" t="s">
        <v>6626</v>
      </c>
      <c r="G2311" s="39" t="s">
        <v>273</v>
      </c>
      <c r="H2311" s="1">
        <v>2</v>
      </c>
      <c r="I2311" s="1">
        <v>1</v>
      </c>
      <c r="J2311" s="39" t="s">
        <v>955</v>
      </c>
      <c r="K2311" s="1">
        <v>1</v>
      </c>
      <c r="L2311" s="1">
        <v>2</v>
      </c>
      <c r="S2311" s="1" t="s">
        <v>6627</v>
      </c>
      <c r="T2311" s="1">
        <v>1</v>
      </c>
      <c r="U2311" s="19"/>
      <c r="V2311" s="19"/>
      <c r="W2311" s="218">
        <v>1</v>
      </c>
      <c r="X2311" s="218">
        <v>1</v>
      </c>
      <c r="Y2311" s="218">
        <v>1</v>
      </c>
    </row>
    <row r="2312" spans="1:25" x14ac:dyDescent="0.3">
      <c r="A2312" s="1" t="s">
        <v>6628</v>
      </c>
      <c r="B2312" s="5">
        <v>46236</v>
      </c>
      <c r="C2312" s="6">
        <v>0.5</v>
      </c>
      <c r="D2312" s="1" t="s">
        <v>27</v>
      </c>
      <c r="E2312" s="1" t="s">
        <v>28</v>
      </c>
      <c r="F2312" s="1" t="s">
        <v>6629</v>
      </c>
      <c r="G2312" s="39" t="s">
        <v>6630</v>
      </c>
      <c r="H2312" s="1">
        <v>2</v>
      </c>
      <c r="I2312" s="1">
        <v>6</v>
      </c>
      <c r="J2312" s="39" t="s">
        <v>6631</v>
      </c>
      <c r="K2312" s="1">
        <v>6</v>
      </c>
      <c r="L2312" s="1">
        <v>2</v>
      </c>
      <c r="S2312" s="1" t="s">
        <v>6632</v>
      </c>
      <c r="T2312" s="1">
        <v>1</v>
      </c>
      <c r="U2312" s="19"/>
      <c r="V2312" s="19"/>
      <c r="W2312" s="218">
        <v>1</v>
      </c>
      <c r="X2312" s="218">
        <v>1</v>
      </c>
      <c r="Y2312" s="218">
        <v>1</v>
      </c>
    </row>
    <row r="2313" spans="1:25" x14ac:dyDescent="0.3">
      <c r="A2313" s="1" t="s">
        <v>6633</v>
      </c>
      <c r="B2313" s="5">
        <v>46221</v>
      </c>
      <c r="C2313" s="6">
        <v>0.375</v>
      </c>
      <c r="D2313" s="1" t="s">
        <v>27</v>
      </c>
      <c r="E2313" s="1" t="s">
        <v>28</v>
      </c>
      <c r="F2313" s="1" t="s">
        <v>6634</v>
      </c>
      <c r="G2313" s="39" t="s">
        <v>6635</v>
      </c>
      <c r="H2313" s="1">
        <v>1</v>
      </c>
      <c r="I2313" s="1">
        <v>4</v>
      </c>
      <c r="J2313" s="39" t="s">
        <v>6631</v>
      </c>
      <c r="K2313" s="1">
        <v>4</v>
      </c>
      <c r="L2313" s="1">
        <v>1</v>
      </c>
      <c r="S2313" s="1" t="s">
        <v>6636</v>
      </c>
      <c r="T2313" s="1">
        <v>1</v>
      </c>
      <c r="U2313" s="19"/>
      <c r="V2313" s="19"/>
      <c r="W2313" s="218">
        <v>1</v>
      </c>
      <c r="X2313" s="218">
        <v>1</v>
      </c>
      <c r="Y2313" s="218">
        <v>1</v>
      </c>
    </row>
    <row r="2314" spans="1:25" x14ac:dyDescent="0.3">
      <c r="A2314" s="1" t="s">
        <v>6637</v>
      </c>
      <c r="B2314" s="5">
        <v>46214</v>
      </c>
      <c r="C2314" s="6">
        <v>0.54166666666666696</v>
      </c>
      <c r="D2314" s="1" t="s">
        <v>27</v>
      </c>
      <c r="E2314" s="1" t="s">
        <v>28</v>
      </c>
      <c r="F2314" s="1" t="s">
        <v>6638</v>
      </c>
      <c r="G2314" s="39" t="s">
        <v>6631</v>
      </c>
      <c r="H2314" s="1">
        <v>4</v>
      </c>
      <c r="I2314" s="1">
        <v>0</v>
      </c>
      <c r="J2314" s="39" t="s">
        <v>6639</v>
      </c>
      <c r="K2314" s="1">
        <v>0</v>
      </c>
      <c r="L2314" s="1">
        <v>4</v>
      </c>
      <c r="S2314" s="1" t="s">
        <v>6640</v>
      </c>
      <c r="T2314" s="1">
        <v>1</v>
      </c>
      <c r="U2314" s="19"/>
      <c r="V2314" s="19"/>
      <c r="W2314" s="218">
        <v>1</v>
      </c>
      <c r="X2314" s="218">
        <v>1</v>
      </c>
      <c r="Y2314" s="218">
        <v>1</v>
      </c>
    </row>
    <row r="2315" spans="1:25" x14ac:dyDescent="0.3">
      <c r="A2315" s="1" t="s">
        <v>6641</v>
      </c>
      <c r="B2315" s="5">
        <v>46171</v>
      </c>
      <c r="C2315" s="6">
        <v>0.58333333333333304</v>
      </c>
      <c r="D2315" s="1" t="s">
        <v>27</v>
      </c>
      <c r="E2315" s="1" t="s">
        <v>28</v>
      </c>
      <c r="F2315" s="1" t="s">
        <v>6642</v>
      </c>
      <c r="G2315" s="39" t="s">
        <v>6643</v>
      </c>
      <c r="H2315" s="1">
        <v>0</v>
      </c>
      <c r="I2315" s="1">
        <v>0</v>
      </c>
      <c r="J2315" s="39" t="s">
        <v>6631</v>
      </c>
      <c r="K2315" s="1">
        <v>0</v>
      </c>
      <c r="L2315" s="1">
        <v>0</v>
      </c>
      <c r="S2315" s="1" t="s">
        <v>6644</v>
      </c>
      <c r="T2315" s="1">
        <v>1</v>
      </c>
      <c r="U2315" s="19"/>
      <c r="V2315" s="19"/>
      <c r="W2315" s="218">
        <v>1</v>
      </c>
      <c r="X2315" s="218">
        <v>1</v>
      </c>
      <c r="Y2315" s="218">
        <v>1</v>
      </c>
    </row>
    <row r="2316" spans="1:25" x14ac:dyDescent="0.3">
      <c r="A2316" s="1" t="s">
        <v>6645</v>
      </c>
      <c r="B2316" s="5">
        <v>46167</v>
      </c>
      <c r="C2316" s="6">
        <v>0.5</v>
      </c>
      <c r="D2316" s="1" t="s">
        <v>27</v>
      </c>
      <c r="E2316" s="1" t="s">
        <v>28</v>
      </c>
      <c r="F2316" s="1" t="s">
        <v>6646</v>
      </c>
      <c r="G2316" s="39" t="s">
        <v>6631</v>
      </c>
      <c r="H2316" s="1">
        <v>1</v>
      </c>
      <c r="I2316" s="1">
        <v>1</v>
      </c>
      <c r="J2316" s="39" t="s">
        <v>6630</v>
      </c>
      <c r="K2316" s="1">
        <v>1</v>
      </c>
      <c r="L2316" s="1">
        <v>1</v>
      </c>
      <c r="S2316" s="1" t="s">
        <v>6647</v>
      </c>
      <c r="T2316" s="1">
        <v>1</v>
      </c>
      <c r="U2316" s="19"/>
      <c r="V2316" s="19"/>
      <c r="W2316" s="218">
        <v>1</v>
      </c>
      <c r="X2316" s="218">
        <v>1</v>
      </c>
      <c r="Y2316" s="218">
        <v>1</v>
      </c>
    </row>
    <row r="2317" spans="1:25" x14ac:dyDescent="0.3">
      <c r="A2317" s="1" t="s">
        <v>6648</v>
      </c>
      <c r="B2317" s="5">
        <v>46158</v>
      </c>
      <c r="C2317" s="6">
        <v>0.54166666666666696</v>
      </c>
      <c r="D2317" s="1" t="s">
        <v>27</v>
      </c>
      <c r="E2317" s="1" t="s">
        <v>28</v>
      </c>
      <c r="F2317" s="1" t="s">
        <v>6649</v>
      </c>
      <c r="G2317" s="39" t="s">
        <v>6650</v>
      </c>
      <c r="H2317" s="1">
        <v>5</v>
      </c>
      <c r="I2317" s="1">
        <v>0</v>
      </c>
      <c r="J2317" s="39" t="s">
        <v>6631</v>
      </c>
      <c r="K2317" s="1">
        <v>0</v>
      </c>
      <c r="L2317" s="1">
        <v>5</v>
      </c>
      <c r="S2317" s="1" t="s">
        <v>6651</v>
      </c>
      <c r="T2317" s="1">
        <v>1</v>
      </c>
      <c r="U2317" s="19"/>
      <c r="V2317" s="19"/>
      <c r="W2317" s="218">
        <v>1</v>
      </c>
      <c r="X2317" s="218">
        <v>1</v>
      </c>
      <c r="Y2317" s="218">
        <v>1</v>
      </c>
    </row>
    <row r="2318" spans="1:25" x14ac:dyDescent="0.3">
      <c r="A2318" s="1" t="s">
        <v>6652</v>
      </c>
      <c r="B2318" s="5">
        <v>46152</v>
      </c>
      <c r="C2318" s="6">
        <v>0.5</v>
      </c>
      <c r="D2318" s="1" t="s">
        <v>27</v>
      </c>
      <c r="E2318" s="1" t="s">
        <v>28</v>
      </c>
      <c r="F2318" s="1" t="s">
        <v>6653</v>
      </c>
      <c r="G2318" s="39" t="s">
        <v>6631</v>
      </c>
      <c r="H2318" s="1">
        <v>2</v>
      </c>
      <c r="I2318" s="1">
        <v>0</v>
      </c>
      <c r="J2318" s="39" t="s">
        <v>6654</v>
      </c>
      <c r="K2318" s="1">
        <v>0</v>
      </c>
      <c r="L2318" s="1">
        <v>2</v>
      </c>
      <c r="S2318" s="1" t="s">
        <v>6655</v>
      </c>
      <c r="T2318" s="1">
        <v>1</v>
      </c>
      <c r="U2318" s="19"/>
      <c r="V2318" s="19"/>
      <c r="W2318" s="218">
        <v>1</v>
      </c>
      <c r="X2318" s="218">
        <v>1</v>
      </c>
      <c r="Y2318" s="218">
        <v>1</v>
      </c>
    </row>
    <row r="2319" spans="1:25" x14ac:dyDescent="0.3">
      <c r="A2319" s="1" t="s">
        <v>6656</v>
      </c>
      <c r="B2319" s="5">
        <v>46145</v>
      </c>
      <c r="C2319" s="6">
        <v>0.5</v>
      </c>
      <c r="D2319" s="1" t="s">
        <v>27</v>
      </c>
      <c r="E2319" s="1" t="s">
        <v>28</v>
      </c>
      <c r="F2319" s="1" t="s">
        <v>6657</v>
      </c>
      <c r="G2319" s="39" t="s">
        <v>6658</v>
      </c>
      <c r="H2319" s="1">
        <v>1</v>
      </c>
      <c r="I2319" s="1">
        <v>1</v>
      </c>
      <c r="J2319" s="39" t="s">
        <v>6631</v>
      </c>
      <c r="K2319" s="1">
        <v>1</v>
      </c>
      <c r="L2319" s="1">
        <v>1</v>
      </c>
      <c r="S2319" s="1" t="s">
        <v>6659</v>
      </c>
      <c r="T2319" s="1">
        <v>1</v>
      </c>
      <c r="U2319" s="19"/>
      <c r="V2319" s="19"/>
      <c r="W2319" s="218">
        <v>1</v>
      </c>
      <c r="X2319" s="218">
        <v>1</v>
      </c>
      <c r="Y2319" s="218">
        <v>1</v>
      </c>
    </row>
    <row r="2320" spans="1:25" x14ac:dyDescent="0.3">
      <c r="A2320" s="1" t="s">
        <v>6660</v>
      </c>
      <c r="B2320" s="5">
        <v>46141</v>
      </c>
      <c r="C2320" s="6">
        <v>0.58333333333333304</v>
      </c>
      <c r="D2320" s="1" t="s">
        <v>27</v>
      </c>
      <c r="E2320" s="1" t="s">
        <v>28</v>
      </c>
      <c r="F2320" s="1" t="s">
        <v>6661</v>
      </c>
      <c r="G2320" s="39" t="s">
        <v>6631</v>
      </c>
      <c r="H2320" s="1">
        <v>0</v>
      </c>
      <c r="I2320" s="1">
        <v>5</v>
      </c>
      <c r="J2320" s="39" t="s">
        <v>6662</v>
      </c>
      <c r="K2320" s="1">
        <v>5</v>
      </c>
      <c r="L2320" s="1">
        <v>0</v>
      </c>
      <c r="S2320" s="1" t="s">
        <v>6663</v>
      </c>
      <c r="T2320" s="1">
        <v>1</v>
      </c>
      <c r="U2320" s="19"/>
      <c r="V2320" s="19"/>
      <c r="W2320" s="218">
        <v>1</v>
      </c>
      <c r="X2320" s="218">
        <v>1</v>
      </c>
      <c r="Y2320" s="218">
        <v>1</v>
      </c>
    </row>
    <row r="2321" spans="1:25" x14ac:dyDescent="0.3">
      <c r="A2321" s="1" t="s">
        <v>6664</v>
      </c>
      <c r="B2321" s="5">
        <v>46138</v>
      </c>
      <c r="C2321" s="6">
        <v>0.5</v>
      </c>
      <c r="D2321" s="1" t="s">
        <v>27</v>
      </c>
      <c r="E2321" s="1" t="s">
        <v>28</v>
      </c>
      <c r="F2321" s="1" t="s">
        <v>6665</v>
      </c>
      <c r="G2321" s="39" t="s">
        <v>6631</v>
      </c>
      <c r="H2321" s="1">
        <v>3</v>
      </c>
      <c r="I2321" s="1">
        <v>1</v>
      </c>
      <c r="J2321" s="39" t="s">
        <v>6666</v>
      </c>
      <c r="K2321" s="1">
        <v>1</v>
      </c>
      <c r="L2321" s="1">
        <v>3</v>
      </c>
      <c r="S2321" s="1" t="s">
        <v>6667</v>
      </c>
      <c r="T2321" s="1">
        <v>1</v>
      </c>
      <c r="U2321" s="19"/>
      <c r="V2321" s="19"/>
      <c r="W2321" s="218">
        <v>1</v>
      </c>
      <c r="X2321" s="218">
        <v>1</v>
      </c>
      <c r="Y2321" s="218">
        <v>1</v>
      </c>
    </row>
    <row r="2322" spans="1:25" x14ac:dyDescent="0.3">
      <c r="A2322" s="1" t="s">
        <v>6668</v>
      </c>
      <c r="B2322" s="5">
        <v>46131</v>
      </c>
      <c r="C2322" s="6">
        <v>0.5</v>
      </c>
      <c r="D2322" s="1" t="s">
        <v>27</v>
      </c>
      <c r="E2322" s="1" t="s">
        <v>28</v>
      </c>
      <c r="F2322" s="1" t="s">
        <v>6669</v>
      </c>
      <c r="G2322" s="39" t="s">
        <v>6670</v>
      </c>
      <c r="H2322" s="1">
        <v>0</v>
      </c>
      <c r="I2322" s="1">
        <v>1</v>
      </c>
      <c r="J2322" s="39" t="s">
        <v>6631</v>
      </c>
      <c r="K2322" s="1">
        <v>1</v>
      </c>
      <c r="L2322" s="1">
        <v>0</v>
      </c>
      <c r="S2322" s="1" t="s">
        <v>6671</v>
      </c>
      <c r="T2322" s="1">
        <v>1</v>
      </c>
      <c r="U2322" s="19"/>
      <c r="V2322" s="19"/>
      <c r="W2322" s="218">
        <v>1</v>
      </c>
      <c r="X2322" s="218">
        <v>1</v>
      </c>
      <c r="Y2322" s="218">
        <v>1</v>
      </c>
    </row>
    <row r="2323" spans="1:25" x14ac:dyDescent="0.3">
      <c r="A2323" s="1" t="s">
        <v>6672</v>
      </c>
      <c r="B2323" s="5">
        <v>46127</v>
      </c>
      <c r="C2323" s="6">
        <v>0.58333333333333304</v>
      </c>
      <c r="D2323" s="1" t="s">
        <v>27</v>
      </c>
      <c r="E2323" s="1" t="s">
        <v>28</v>
      </c>
      <c r="F2323" s="1" t="s">
        <v>6673</v>
      </c>
      <c r="G2323" s="39" t="s">
        <v>6631</v>
      </c>
      <c r="H2323" s="1">
        <v>0</v>
      </c>
      <c r="I2323" s="1">
        <v>0</v>
      </c>
      <c r="J2323" s="39" t="s">
        <v>6674</v>
      </c>
      <c r="K2323" s="1">
        <v>0</v>
      </c>
      <c r="L2323" s="1">
        <v>0</v>
      </c>
      <c r="S2323" s="1" t="s">
        <v>6675</v>
      </c>
      <c r="T2323" s="1">
        <v>1</v>
      </c>
      <c r="U2323" s="19"/>
      <c r="V2323" s="19"/>
      <c r="W2323" s="218">
        <v>1</v>
      </c>
      <c r="X2323" s="218">
        <v>0</v>
      </c>
      <c r="Y2323" s="218">
        <v>1</v>
      </c>
    </row>
    <row r="2324" spans="1:25" x14ac:dyDescent="0.3">
      <c r="A2324" s="1" t="s">
        <v>6676</v>
      </c>
      <c r="B2324" s="5">
        <v>46242</v>
      </c>
      <c r="C2324" s="6">
        <v>0.45833333333333298</v>
      </c>
      <c r="D2324" s="1" t="s">
        <v>27</v>
      </c>
      <c r="E2324" s="1" t="s">
        <v>28</v>
      </c>
      <c r="F2324" s="1" t="s">
        <v>6677</v>
      </c>
      <c r="G2324" s="39" t="s">
        <v>6678</v>
      </c>
      <c r="H2324" s="1">
        <v>2</v>
      </c>
      <c r="I2324" s="1">
        <v>1</v>
      </c>
      <c r="J2324" s="39" t="s">
        <v>6670</v>
      </c>
      <c r="K2324" s="1">
        <v>1</v>
      </c>
      <c r="L2324" s="1">
        <v>2</v>
      </c>
      <c r="S2324" s="1" t="s">
        <v>6679</v>
      </c>
      <c r="T2324" s="1">
        <v>1</v>
      </c>
      <c r="U2324" s="19"/>
      <c r="V2324" s="19"/>
      <c r="W2324" s="218">
        <v>1</v>
      </c>
      <c r="X2324" s="218">
        <v>1</v>
      </c>
      <c r="Y2324" s="218">
        <v>1</v>
      </c>
    </row>
    <row r="2325" spans="1:25" x14ac:dyDescent="0.3">
      <c r="A2325" s="1" t="s">
        <v>6680</v>
      </c>
      <c r="B2325" s="5">
        <v>46235</v>
      </c>
      <c r="C2325" s="6">
        <v>0.54166666666666696</v>
      </c>
      <c r="D2325" s="1" t="s">
        <v>27</v>
      </c>
      <c r="E2325" s="1" t="s">
        <v>28</v>
      </c>
      <c r="F2325" s="1" t="s">
        <v>6681</v>
      </c>
      <c r="G2325" s="39" t="s">
        <v>6658</v>
      </c>
      <c r="H2325" s="1">
        <v>0</v>
      </c>
      <c r="I2325" s="1">
        <v>3</v>
      </c>
      <c r="J2325" s="39" t="s">
        <v>6678</v>
      </c>
      <c r="K2325" s="1">
        <v>3</v>
      </c>
      <c r="L2325" s="1">
        <v>0</v>
      </c>
      <c r="S2325" s="1" t="s">
        <v>6682</v>
      </c>
      <c r="T2325" s="1">
        <v>1</v>
      </c>
      <c r="U2325" s="19"/>
      <c r="V2325" s="19"/>
      <c r="W2325" s="218">
        <v>1</v>
      </c>
      <c r="X2325" s="218">
        <v>1</v>
      </c>
      <c r="Y2325" s="218">
        <v>1</v>
      </c>
    </row>
    <row r="2326" spans="1:25" x14ac:dyDescent="0.3">
      <c r="A2326" s="1" t="s">
        <v>6683</v>
      </c>
      <c r="B2326" s="5">
        <v>46229</v>
      </c>
      <c r="C2326" s="6">
        <v>0.59375</v>
      </c>
      <c r="D2326" s="1" t="s">
        <v>27</v>
      </c>
      <c r="E2326" s="1" t="s">
        <v>28</v>
      </c>
      <c r="F2326" s="1" t="s">
        <v>6684</v>
      </c>
      <c r="G2326" s="39" t="s">
        <v>6630</v>
      </c>
      <c r="H2326" s="1">
        <v>1</v>
      </c>
      <c r="I2326" s="1">
        <v>1</v>
      </c>
      <c r="J2326" s="39" t="s">
        <v>6678</v>
      </c>
      <c r="K2326" s="1">
        <v>1</v>
      </c>
      <c r="L2326" s="1">
        <v>1</v>
      </c>
      <c r="S2326" s="1" t="s">
        <v>6685</v>
      </c>
      <c r="T2326" s="1">
        <v>1</v>
      </c>
      <c r="U2326" s="19"/>
      <c r="V2326" s="19"/>
      <c r="W2326" s="218">
        <v>1</v>
      </c>
      <c r="X2326" s="218">
        <v>1</v>
      </c>
      <c r="Y2326" s="218">
        <v>1</v>
      </c>
    </row>
    <row r="2327" spans="1:25" x14ac:dyDescent="0.3">
      <c r="A2327" s="1" t="s">
        <v>6686</v>
      </c>
      <c r="B2327" s="5">
        <v>46225</v>
      </c>
      <c r="C2327" s="6">
        <v>0.58333333333333304</v>
      </c>
      <c r="D2327" s="1" t="s">
        <v>27</v>
      </c>
      <c r="E2327" s="1" t="s">
        <v>28</v>
      </c>
      <c r="F2327" s="1" t="s">
        <v>6687</v>
      </c>
      <c r="G2327" s="39" t="s">
        <v>6674</v>
      </c>
      <c r="H2327" s="1">
        <v>1</v>
      </c>
      <c r="I2327" s="1">
        <v>2</v>
      </c>
      <c r="J2327" s="39" t="s">
        <v>6678</v>
      </c>
      <c r="K2327" s="1">
        <v>2</v>
      </c>
      <c r="L2327" s="1">
        <v>1</v>
      </c>
      <c r="S2327" s="1" t="s">
        <v>6688</v>
      </c>
      <c r="T2327" s="1">
        <v>1</v>
      </c>
      <c r="U2327" s="19"/>
      <c r="V2327" s="19"/>
      <c r="W2327" s="218">
        <v>1</v>
      </c>
      <c r="X2327" s="218">
        <v>1</v>
      </c>
      <c r="Y2327" s="218">
        <v>1</v>
      </c>
    </row>
    <row r="2328" spans="1:25" x14ac:dyDescent="0.3">
      <c r="A2328" s="1" t="s">
        <v>6689</v>
      </c>
      <c r="B2328" s="5">
        <v>46221</v>
      </c>
      <c r="C2328" s="6">
        <v>0.54166666666666696</v>
      </c>
      <c r="D2328" s="1" t="s">
        <v>27</v>
      </c>
      <c r="E2328" s="1" t="s">
        <v>28</v>
      </c>
      <c r="F2328" s="1" t="s">
        <v>6690</v>
      </c>
      <c r="G2328" s="39" t="s">
        <v>6678</v>
      </c>
      <c r="H2328" s="1">
        <v>2</v>
      </c>
      <c r="I2328" s="1">
        <v>1</v>
      </c>
      <c r="J2328" s="39" t="s">
        <v>6666</v>
      </c>
      <c r="K2328" s="1">
        <v>1</v>
      </c>
      <c r="L2328" s="1">
        <v>2</v>
      </c>
      <c r="S2328" s="1" t="s">
        <v>6691</v>
      </c>
      <c r="T2328" s="1">
        <v>1</v>
      </c>
      <c r="U2328" s="19"/>
      <c r="V2328" s="19"/>
      <c r="W2328" s="218">
        <v>1</v>
      </c>
      <c r="X2328" s="218">
        <v>1</v>
      </c>
      <c r="Y2328" s="218">
        <v>1</v>
      </c>
    </row>
    <row r="2329" spans="1:25" x14ac:dyDescent="0.3">
      <c r="A2329" s="1" t="s">
        <v>6692</v>
      </c>
      <c r="B2329" s="5">
        <v>46215</v>
      </c>
      <c r="C2329" s="6">
        <v>0.59375</v>
      </c>
      <c r="D2329" s="1" t="s">
        <v>27</v>
      </c>
      <c r="E2329" s="1" t="s">
        <v>28</v>
      </c>
      <c r="F2329" s="1" t="s">
        <v>6693</v>
      </c>
      <c r="G2329" s="39" t="s">
        <v>6670</v>
      </c>
      <c r="H2329" s="1">
        <v>1</v>
      </c>
      <c r="I2329" s="1">
        <v>0</v>
      </c>
      <c r="J2329" s="39" t="s">
        <v>6678</v>
      </c>
      <c r="K2329" s="1">
        <v>0</v>
      </c>
      <c r="L2329" s="1">
        <v>1</v>
      </c>
      <c r="S2329" s="1" t="s">
        <v>6694</v>
      </c>
      <c r="T2329" s="1">
        <v>1</v>
      </c>
      <c r="U2329" s="19"/>
      <c r="V2329" s="19"/>
      <c r="W2329" s="218">
        <v>1</v>
      </c>
      <c r="X2329" s="218">
        <v>1</v>
      </c>
      <c r="Y2329" s="218">
        <v>1</v>
      </c>
    </row>
    <row r="2330" spans="1:25" x14ac:dyDescent="0.3">
      <c r="A2330" s="1" t="s">
        <v>6695</v>
      </c>
      <c r="B2330" s="5">
        <v>46166</v>
      </c>
      <c r="C2330" s="6">
        <v>0.54166666666666696</v>
      </c>
      <c r="D2330" s="1" t="s">
        <v>27</v>
      </c>
      <c r="E2330" s="1" t="s">
        <v>28</v>
      </c>
      <c r="F2330" s="1" t="s">
        <v>6696</v>
      </c>
      <c r="G2330" s="39" t="s">
        <v>6697</v>
      </c>
      <c r="H2330" s="1">
        <v>1</v>
      </c>
      <c r="I2330" s="1">
        <v>2</v>
      </c>
      <c r="J2330" s="39" t="s">
        <v>6678</v>
      </c>
      <c r="K2330" s="1">
        <v>2</v>
      </c>
      <c r="L2330" s="1">
        <v>1</v>
      </c>
      <c r="S2330" s="1" t="s">
        <v>6698</v>
      </c>
      <c r="T2330" s="1">
        <v>1</v>
      </c>
      <c r="U2330" s="19"/>
      <c r="V2330" s="19"/>
      <c r="W2330" s="218">
        <v>1</v>
      </c>
      <c r="X2330" s="218">
        <v>1</v>
      </c>
      <c r="Y2330" s="218">
        <v>1</v>
      </c>
    </row>
    <row r="2331" spans="1:25" x14ac:dyDescent="0.3">
      <c r="A2331" s="1" t="s">
        <v>6699</v>
      </c>
      <c r="B2331" s="5">
        <v>46158</v>
      </c>
      <c r="C2331" s="6">
        <v>0.45833333333333298</v>
      </c>
      <c r="D2331" s="1" t="s">
        <v>27</v>
      </c>
      <c r="E2331" s="1" t="s">
        <v>28</v>
      </c>
      <c r="F2331" s="1" t="s">
        <v>6700</v>
      </c>
      <c r="G2331" s="39" t="s">
        <v>6678</v>
      </c>
      <c r="H2331" s="1">
        <v>6</v>
      </c>
      <c r="I2331" s="1">
        <v>3</v>
      </c>
      <c r="J2331" s="39" t="s">
        <v>6658</v>
      </c>
      <c r="K2331" s="1">
        <v>3</v>
      </c>
      <c r="L2331" s="1">
        <v>6</v>
      </c>
      <c r="S2331" s="1" t="s">
        <v>6701</v>
      </c>
      <c r="T2331" s="1">
        <v>1</v>
      </c>
      <c r="U2331" s="19"/>
      <c r="V2331" s="19"/>
      <c r="W2331" s="218">
        <v>1</v>
      </c>
      <c r="X2331" s="218">
        <v>1</v>
      </c>
      <c r="Y2331" s="218">
        <v>1</v>
      </c>
    </row>
    <row r="2332" spans="1:25" x14ac:dyDescent="0.3">
      <c r="A2332" s="1" t="s">
        <v>6702</v>
      </c>
      <c r="B2332" s="5">
        <v>46152</v>
      </c>
      <c r="C2332" s="6">
        <v>0.5</v>
      </c>
      <c r="D2332" s="1" t="s">
        <v>27</v>
      </c>
      <c r="E2332" s="1" t="s">
        <v>28</v>
      </c>
      <c r="F2332" s="1" t="s">
        <v>6703</v>
      </c>
      <c r="G2332" s="39" t="s">
        <v>6643</v>
      </c>
      <c r="H2332" s="1">
        <v>0</v>
      </c>
      <c r="I2332" s="1">
        <v>2</v>
      </c>
      <c r="J2332" s="39" t="s">
        <v>6678</v>
      </c>
      <c r="K2332" s="1">
        <v>2</v>
      </c>
      <c r="L2332" s="1">
        <v>0</v>
      </c>
      <c r="S2332" s="1" t="s">
        <v>6704</v>
      </c>
      <c r="T2332" s="1">
        <v>1</v>
      </c>
      <c r="U2332" s="19"/>
      <c r="V2332" s="19"/>
      <c r="W2332" s="218">
        <v>1</v>
      </c>
      <c r="X2332" s="218">
        <v>1</v>
      </c>
      <c r="Y2332" s="218">
        <v>1</v>
      </c>
    </row>
    <row r="2333" spans="1:25" x14ac:dyDescent="0.3">
      <c r="A2333" s="1" t="s">
        <v>6705</v>
      </c>
      <c r="B2333" s="5">
        <v>46143</v>
      </c>
      <c r="C2333" s="6">
        <v>0.54166666666666696</v>
      </c>
      <c r="D2333" s="1" t="s">
        <v>27</v>
      </c>
      <c r="E2333" s="1" t="s">
        <v>28</v>
      </c>
      <c r="F2333" s="1" t="s">
        <v>6706</v>
      </c>
      <c r="G2333" s="39" t="s">
        <v>6678</v>
      </c>
      <c r="H2333" s="1">
        <v>3</v>
      </c>
      <c r="I2333" s="1">
        <v>0</v>
      </c>
      <c r="J2333" s="39" t="s">
        <v>6707</v>
      </c>
      <c r="K2333" s="1">
        <v>0</v>
      </c>
      <c r="L2333" s="1">
        <v>3</v>
      </c>
      <c r="S2333" s="1" t="s">
        <v>6708</v>
      </c>
      <c r="T2333" s="1">
        <v>1</v>
      </c>
      <c r="U2333" s="19"/>
      <c r="V2333" s="19"/>
      <c r="W2333" s="218">
        <v>1</v>
      </c>
      <c r="X2333" s="218">
        <v>1</v>
      </c>
      <c r="Y2333" s="218">
        <v>1</v>
      </c>
    </row>
    <row r="2334" spans="1:25" x14ac:dyDescent="0.3">
      <c r="A2334" s="1" t="s">
        <v>6709</v>
      </c>
      <c r="B2334" s="5">
        <v>46137</v>
      </c>
      <c r="C2334" s="6">
        <v>0.45833333333333298</v>
      </c>
      <c r="D2334" s="1" t="s">
        <v>27</v>
      </c>
      <c r="E2334" s="1" t="s">
        <v>28</v>
      </c>
      <c r="F2334" s="1" t="s">
        <v>6710</v>
      </c>
      <c r="G2334" s="39" t="s">
        <v>6711</v>
      </c>
      <c r="H2334" s="1">
        <v>1</v>
      </c>
      <c r="I2334" s="1">
        <v>2</v>
      </c>
      <c r="J2334" s="39" t="s">
        <v>6678</v>
      </c>
      <c r="K2334" s="1">
        <v>2</v>
      </c>
      <c r="L2334" s="1">
        <v>1</v>
      </c>
      <c r="S2334" s="1" t="s">
        <v>6712</v>
      </c>
      <c r="T2334" s="1">
        <v>1</v>
      </c>
      <c r="U2334" s="19"/>
      <c r="V2334" s="19"/>
      <c r="W2334" s="218">
        <v>1</v>
      </c>
      <c r="X2334" s="218">
        <v>1</v>
      </c>
      <c r="Y2334" s="218">
        <v>1</v>
      </c>
    </row>
    <row r="2335" spans="1:25" x14ac:dyDescent="0.3">
      <c r="A2335" s="1" t="s">
        <v>6713</v>
      </c>
      <c r="B2335" s="5">
        <v>46130</v>
      </c>
      <c r="C2335" s="6">
        <v>0.54166666666666696</v>
      </c>
      <c r="D2335" s="1" t="s">
        <v>27</v>
      </c>
      <c r="E2335" s="1" t="s">
        <v>28</v>
      </c>
      <c r="F2335" s="1" t="s">
        <v>6714</v>
      </c>
      <c r="G2335" s="39" t="s">
        <v>6678</v>
      </c>
      <c r="H2335" s="1">
        <v>3</v>
      </c>
      <c r="I2335" s="1">
        <v>2</v>
      </c>
      <c r="J2335" s="39" t="s">
        <v>6662</v>
      </c>
      <c r="K2335" s="1">
        <v>2</v>
      </c>
      <c r="L2335" s="1">
        <v>3</v>
      </c>
      <c r="S2335" s="1" t="s">
        <v>6715</v>
      </c>
      <c r="T2335" s="1">
        <v>1</v>
      </c>
      <c r="U2335" s="19"/>
      <c r="V2335" s="19"/>
      <c r="W2335" s="218">
        <v>1</v>
      </c>
      <c r="X2335" s="218">
        <v>1</v>
      </c>
      <c r="Y2335" s="218">
        <v>1</v>
      </c>
    </row>
    <row r="2336" spans="1:25" x14ac:dyDescent="0.3">
      <c r="A2336" s="1" t="s">
        <v>6716</v>
      </c>
      <c r="B2336" s="5">
        <v>46242</v>
      </c>
      <c r="C2336" s="6">
        <v>0.375</v>
      </c>
      <c r="D2336" s="1" t="s">
        <v>27</v>
      </c>
      <c r="E2336" s="1" t="s">
        <v>28</v>
      </c>
      <c r="F2336" s="1" t="s">
        <v>6717</v>
      </c>
      <c r="G2336" s="39" t="s">
        <v>6639</v>
      </c>
      <c r="H2336" s="1">
        <v>1</v>
      </c>
      <c r="I2336" s="1">
        <v>2</v>
      </c>
      <c r="J2336" s="39" t="s">
        <v>6650</v>
      </c>
      <c r="K2336" s="1">
        <v>2</v>
      </c>
      <c r="L2336" s="1">
        <v>1</v>
      </c>
      <c r="S2336" s="1" t="s">
        <v>6718</v>
      </c>
      <c r="T2336" s="1">
        <v>1</v>
      </c>
      <c r="U2336" s="19"/>
      <c r="V2336" s="19"/>
      <c r="W2336" s="218">
        <v>1</v>
      </c>
      <c r="X2336" s="218">
        <v>1</v>
      </c>
      <c r="Y2336" s="218">
        <v>1</v>
      </c>
    </row>
    <row r="2337" spans="1:25" x14ac:dyDescent="0.3">
      <c r="A2337" s="1" t="s">
        <v>6719</v>
      </c>
      <c r="B2337" s="5">
        <v>46234</v>
      </c>
      <c r="C2337" s="6">
        <v>0.66666666666666696</v>
      </c>
      <c r="D2337" s="1" t="s">
        <v>27</v>
      </c>
      <c r="E2337" s="1" t="s">
        <v>28</v>
      </c>
      <c r="F2337" s="1" t="s">
        <v>6720</v>
      </c>
      <c r="G2337" s="39" t="s">
        <v>6650</v>
      </c>
      <c r="H2337" s="1">
        <v>4</v>
      </c>
      <c r="I2337" s="1">
        <v>0</v>
      </c>
      <c r="J2337" s="39" t="s">
        <v>6674</v>
      </c>
      <c r="K2337" s="1">
        <v>0</v>
      </c>
      <c r="L2337" s="1">
        <v>4</v>
      </c>
      <c r="S2337" s="1" t="s">
        <v>6721</v>
      </c>
      <c r="T2337" s="1">
        <v>1</v>
      </c>
      <c r="U2337" s="19"/>
      <c r="V2337" s="19"/>
      <c r="W2337" s="218">
        <v>1</v>
      </c>
      <c r="X2337" s="218">
        <v>1</v>
      </c>
      <c r="Y2337" s="218">
        <v>1</v>
      </c>
    </row>
    <row r="2338" spans="1:25" x14ac:dyDescent="0.3">
      <c r="A2338" s="1" t="s">
        <v>6722</v>
      </c>
      <c r="B2338" s="5">
        <v>46229</v>
      </c>
      <c r="C2338" s="6">
        <v>0.5</v>
      </c>
      <c r="D2338" s="1" t="s">
        <v>27</v>
      </c>
      <c r="E2338" s="1" t="s">
        <v>28</v>
      </c>
      <c r="F2338" s="1" t="s">
        <v>6723</v>
      </c>
      <c r="G2338" s="39" t="s">
        <v>6666</v>
      </c>
      <c r="H2338" s="1">
        <v>0</v>
      </c>
      <c r="I2338" s="1">
        <v>3</v>
      </c>
      <c r="J2338" s="39" t="s">
        <v>6650</v>
      </c>
      <c r="K2338" s="1">
        <v>3</v>
      </c>
      <c r="L2338" s="1">
        <v>0</v>
      </c>
      <c r="S2338" s="1" t="s">
        <v>6724</v>
      </c>
      <c r="T2338" s="1">
        <v>1</v>
      </c>
      <c r="U2338" s="19"/>
      <c r="V2338" s="19"/>
      <c r="W2338" s="218">
        <v>1</v>
      </c>
      <c r="X2338" s="218">
        <v>1</v>
      </c>
      <c r="Y2338" s="218">
        <v>1</v>
      </c>
    </row>
    <row r="2339" spans="1:25" x14ac:dyDescent="0.3">
      <c r="A2339" s="1" t="s">
        <v>6725</v>
      </c>
      <c r="B2339" s="5">
        <v>46225</v>
      </c>
      <c r="C2339" s="6">
        <v>0.58333333333333304</v>
      </c>
      <c r="D2339" s="1" t="s">
        <v>27</v>
      </c>
      <c r="E2339" s="1" t="s">
        <v>28</v>
      </c>
      <c r="F2339" s="1" t="s">
        <v>6726</v>
      </c>
      <c r="G2339" s="39" t="s">
        <v>6650</v>
      </c>
      <c r="H2339" s="1">
        <v>3</v>
      </c>
      <c r="I2339" s="1">
        <v>0</v>
      </c>
      <c r="J2339" s="39" t="s">
        <v>6635</v>
      </c>
      <c r="K2339" s="1">
        <v>0</v>
      </c>
      <c r="L2339" s="1">
        <v>3</v>
      </c>
      <c r="S2339" s="1" t="s">
        <v>6727</v>
      </c>
      <c r="T2339" s="1">
        <v>1</v>
      </c>
      <c r="U2339" s="19"/>
      <c r="V2339" s="19"/>
      <c r="W2339" s="218">
        <v>1</v>
      </c>
      <c r="X2339" s="218">
        <v>1</v>
      </c>
      <c r="Y2339" s="218">
        <v>1</v>
      </c>
    </row>
    <row r="2340" spans="1:25" x14ac:dyDescent="0.3">
      <c r="A2340" s="1" t="s">
        <v>6728</v>
      </c>
      <c r="B2340" s="5">
        <v>46220</v>
      </c>
      <c r="C2340" s="6">
        <v>0.59375</v>
      </c>
      <c r="D2340" s="1" t="s">
        <v>27</v>
      </c>
      <c r="E2340" s="1" t="s">
        <v>28</v>
      </c>
      <c r="F2340" s="1" t="s">
        <v>6729</v>
      </c>
      <c r="G2340" s="39" t="s">
        <v>6650</v>
      </c>
      <c r="H2340" s="1">
        <v>1</v>
      </c>
      <c r="I2340" s="1">
        <v>0</v>
      </c>
      <c r="J2340" s="39" t="s">
        <v>6711</v>
      </c>
      <c r="K2340" s="1">
        <v>0</v>
      </c>
      <c r="L2340" s="1">
        <v>1</v>
      </c>
      <c r="S2340" s="1" t="s">
        <v>6730</v>
      </c>
      <c r="T2340" s="1">
        <v>1</v>
      </c>
      <c r="U2340" s="19"/>
      <c r="V2340" s="19"/>
      <c r="W2340" s="218">
        <v>1</v>
      </c>
      <c r="X2340" s="218">
        <v>1</v>
      </c>
      <c r="Y2340" s="218">
        <v>1</v>
      </c>
    </row>
    <row r="2341" spans="1:25" x14ac:dyDescent="0.3">
      <c r="A2341" s="1" t="s">
        <v>6731</v>
      </c>
      <c r="B2341" s="5">
        <v>46215</v>
      </c>
      <c r="C2341" s="6">
        <v>0.39583333333333298</v>
      </c>
      <c r="D2341" s="1" t="s">
        <v>27</v>
      </c>
      <c r="E2341" s="1" t="s">
        <v>28</v>
      </c>
      <c r="F2341" s="1" t="s">
        <v>6732</v>
      </c>
      <c r="G2341" s="39" t="s">
        <v>6643</v>
      </c>
      <c r="H2341" s="1">
        <v>0</v>
      </c>
      <c r="I2341" s="1">
        <v>2</v>
      </c>
      <c r="J2341" s="39" t="s">
        <v>6650</v>
      </c>
      <c r="K2341" s="1">
        <v>2</v>
      </c>
      <c r="L2341" s="1">
        <v>0</v>
      </c>
      <c r="S2341" s="1" t="s">
        <v>6733</v>
      </c>
      <c r="T2341" s="1">
        <v>1</v>
      </c>
      <c r="U2341" s="19"/>
      <c r="V2341" s="19"/>
      <c r="W2341" s="218">
        <v>1</v>
      </c>
      <c r="X2341" s="218">
        <v>1</v>
      </c>
      <c r="Y2341" s="218">
        <v>1</v>
      </c>
    </row>
    <row r="2342" spans="1:25" x14ac:dyDescent="0.3">
      <c r="A2342" s="1" t="s">
        <v>6734</v>
      </c>
      <c r="B2342" s="5">
        <v>46171</v>
      </c>
      <c r="C2342" s="6">
        <v>0.58333333333333304</v>
      </c>
      <c r="D2342" s="1" t="s">
        <v>27</v>
      </c>
      <c r="E2342" s="1" t="s">
        <v>28</v>
      </c>
      <c r="F2342" s="1" t="s">
        <v>6735</v>
      </c>
      <c r="G2342" s="39" t="s">
        <v>6707</v>
      </c>
      <c r="H2342" s="1">
        <v>2</v>
      </c>
      <c r="I2342" s="1">
        <v>2</v>
      </c>
      <c r="J2342" s="39" t="s">
        <v>6650</v>
      </c>
      <c r="K2342" s="1">
        <v>2</v>
      </c>
      <c r="L2342" s="1">
        <v>2</v>
      </c>
      <c r="S2342" s="1" t="s">
        <v>6736</v>
      </c>
      <c r="T2342" s="1">
        <v>1</v>
      </c>
      <c r="U2342" s="19"/>
      <c r="V2342" s="19"/>
      <c r="W2342" s="218">
        <v>1</v>
      </c>
      <c r="X2342" s="218">
        <v>1</v>
      </c>
      <c r="Y2342" s="218">
        <v>1</v>
      </c>
    </row>
    <row r="2343" spans="1:25" x14ac:dyDescent="0.3">
      <c r="A2343" s="1" t="s">
        <v>6737</v>
      </c>
      <c r="B2343" s="5">
        <v>46166</v>
      </c>
      <c r="C2343" s="6">
        <v>0.45833333333333298</v>
      </c>
      <c r="D2343" s="1" t="s">
        <v>27</v>
      </c>
      <c r="E2343" s="1" t="s">
        <v>28</v>
      </c>
      <c r="F2343" s="1" t="s">
        <v>6738</v>
      </c>
      <c r="G2343" s="39" t="s">
        <v>6650</v>
      </c>
      <c r="H2343" s="1">
        <v>3</v>
      </c>
      <c r="I2343" s="1">
        <v>1</v>
      </c>
      <c r="J2343" s="39" t="s">
        <v>6662</v>
      </c>
      <c r="K2343" s="1">
        <v>1</v>
      </c>
      <c r="L2343" s="1">
        <v>3</v>
      </c>
      <c r="S2343" s="1" t="s">
        <v>6739</v>
      </c>
      <c r="T2343" s="1">
        <v>1</v>
      </c>
      <c r="U2343" s="19"/>
      <c r="V2343" s="19"/>
      <c r="W2343" s="218">
        <v>1</v>
      </c>
      <c r="X2343" s="218">
        <v>1</v>
      </c>
      <c r="Y2343" s="218">
        <v>1</v>
      </c>
    </row>
    <row r="2344" spans="1:25" x14ac:dyDescent="0.3">
      <c r="A2344" s="1" t="s">
        <v>6740</v>
      </c>
      <c r="B2344" s="5">
        <v>46162</v>
      </c>
      <c r="C2344" s="6">
        <v>0.54166666666666696</v>
      </c>
      <c r="D2344" s="1" t="s">
        <v>27</v>
      </c>
      <c r="E2344" s="1" t="s">
        <v>28</v>
      </c>
      <c r="F2344" s="1" t="s">
        <v>6741</v>
      </c>
      <c r="G2344" s="39" t="s">
        <v>6658</v>
      </c>
      <c r="H2344" s="1">
        <v>1</v>
      </c>
      <c r="I2344" s="1">
        <v>4</v>
      </c>
      <c r="J2344" s="39" t="s">
        <v>6650</v>
      </c>
      <c r="K2344" s="1">
        <v>4</v>
      </c>
      <c r="L2344" s="1">
        <v>1</v>
      </c>
      <c r="S2344" s="1" t="s">
        <v>6742</v>
      </c>
      <c r="T2344" s="1">
        <v>1</v>
      </c>
      <c r="U2344" s="19"/>
      <c r="V2344" s="19"/>
      <c r="W2344" s="218">
        <v>1</v>
      </c>
      <c r="X2344" s="218">
        <v>1</v>
      </c>
      <c r="Y2344" s="218">
        <v>1</v>
      </c>
    </row>
    <row r="2345" spans="1:25" x14ac:dyDescent="0.3">
      <c r="A2345" s="1" t="s">
        <v>6743</v>
      </c>
      <c r="B2345" s="5">
        <v>46146</v>
      </c>
      <c r="C2345" s="6">
        <v>0.58333333333333304</v>
      </c>
      <c r="D2345" s="1" t="s">
        <v>27</v>
      </c>
      <c r="E2345" s="1" t="s">
        <v>28</v>
      </c>
      <c r="F2345" s="1" t="s">
        <v>6744</v>
      </c>
      <c r="G2345" s="39" t="s">
        <v>6650</v>
      </c>
      <c r="H2345" s="1">
        <v>0</v>
      </c>
      <c r="I2345" s="1">
        <v>1</v>
      </c>
      <c r="J2345" s="39" t="s">
        <v>6654</v>
      </c>
      <c r="K2345" s="1">
        <v>1</v>
      </c>
      <c r="L2345" s="1">
        <v>0</v>
      </c>
      <c r="S2345" s="1" t="s">
        <v>6745</v>
      </c>
      <c r="T2345" s="1">
        <v>1</v>
      </c>
      <c r="U2345" s="19"/>
      <c r="V2345" s="19"/>
      <c r="W2345" s="218">
        <v>1</v>
      </c>
      <c r="X2345" s="218">
        <v>1</v>
      </c>
      <c r="Y2345" s="218">
        <v>1</v>
      </c>
    </row>
    <row r="2346" spans="1:25" x14ac:dyDescent="0.3">
      <c r="A2346" s="1" t="s">
        <v>6746</v>
      </c>
      <c r="B2346" s="5">
        <v>46142</v>
      </c>
      <c r="C2346" s="6">
        <v>0.58333333333333304</v>
      </c>
      <c r="D2346" s="1" t="s">
        <v>27</v>
      </c>
      <c r="E2346" s="1" t="s">
        <v>28</v>
      </c>
      <c r="F2346" s="1" t="s">
        <v>6747</v>
      </c>
      <c r="G2346" s="39" t="s">
        <v>6650</v>
      </c>
      <c r="H2346" s="1">
        <v>5</v>
      </c>
      <c r="I2346" s="1">
        <v>0</v>
      </c>
      <c r="J2346" s="39" t="s">
        <v>6658</v>
      </c>
      <c r="K2346" s="1">
        <v>0</v>
      </c>
      <c r="L2346" s="1">
        <v>5</v>
      </c>
      <c r="S2346" s="1" t="s">
        <v>6748</v>
      </c>
      <c r="T2346" s="1">
        <v>1</v>
      </c>
      <c r="U2346" s="19"/>
      <c r="V2346" s="19"/>
      <c r="W2346" s="218">
        <v>1</v>
      </c>
      <c r="X2346" s="218">
        <v>1</v>
      </c>
      <c r="Y2346" s="218">
        <v>1</v>
      </c>
    </row>
    <row r="2347" spans="1:25" x14ac:dyDescent="0.3">
      <c r="A2347" s="1" t="s">
        <v>6749</v>
      </c>
      <c r="B2347" s="5">
        <v>46243</v>
      </c>
      <c r="C2347" s="6">
        <v>0.39583333333333298</v>
      </c>
      <c r="D2347" s="1" t="s">
        <v>27</v>
      </c>
      <c r="E2347" s="1" t="s">
        <v>28</v>
      </c>
      <c r="F2347" s="1" t="s">
        <v>6750</v>
      </c>
      <c r="G2347" s="39" t="s">
        <v>6674</v>
      </c>
      <c r="H2347" s="1">
        <v>0</v>
      </c>
      <c r="I2347" s="1">
        <v>2</v>
      </c>
      <c r="J2347" s="39" t="s">
        <v>6707</v>
      </c>
      <c r="K2347" s="1">
        <v>2</v>
      </c>
      <c r="L2347" s="1">
        <v>0</v>
      </c>
      <c r="S2347" s="1" t="s">
        <v>6751</v>
      </c>
      <c r="T2347" s="1">
        <v>1</v>
      </c>
      <c r="U2347" s="19"/>
      <c r="V2347" s="19"/>
      <c r="W2347" s="218">
        <v>1</v>
      </c>
      <c r="X2347" s="218">
        <v>1</v>
      </c>
      <c r="Y2347" s="218">
        <v>1</v>
      </c>
    </row>
    <row r="2348" spans="1:25" x14ac:dyDescent="0.3">
      <c r="A2348" s="1" t="s">
        <v>6752</v>
      </c>
      <c r="B2348" s="5">
        <v>46221</v>
      </c>
      <c r="C2348" s="6">
        <v>0.45833333333333298</v>
      </c>
      <c r="D2348" s="1" t="s">
        <v>27</v>
      </c>
      <c r="E2348" s="1" t="s">
        <v>28</v>
      </c>
      <c r="F2348" s="1" t="s">
        <v>6753</v>
      </c>
      <c r="G2348" s="39" t="s">
        <v>6674</v>
      </c>
      <c r="H2348" s="1">
        <v>2</v>
      </c>
      <c r="I2348" s="1">
        <v>1</v>
      </c>
      <c r="J2348" s="39" t="s">
        <v>6643</v>
      </c>
      <c r="K2348" s="1">
        <v>1</v>
      </c>
      <c r="L2348" s="1">
        <v>2</v>
      </c>
      <c r="S2348" s="1" t="s">
        <v>6754</v>
      </c>
      <c r="T2348" s="1">
        <v>1</v>
      </c>
      <c r="U2348" s="19"/>
      <c r="V2348" s="19"/>
      <c r="W2348" s="218">
        <v>1</v>
      </c>
      <c r="X2348" s="218">
        <v>1</v>
      </c>
      <c r="Y2348" s="218">
        <v>1</v>
      </c>
    </row>
    <row r="2349" spans="1:25" x14ac:dyDescent="0.3">
      <c r="A2349" s="1" t="s">
        <v>6755</v>
      </c>
      <c r="B2349" s="5">
        <v>46214</v>
      </c>
      <c r="C2349" s="6">
        <v>0.375</v>
      </c>
      <c r="D2349" s="1" t="s">
        <v>27</v>
      </c>
      <c r="E2349" s="1" t="s">
        <v>28</v>
      </c>
      <c r="F2349" s="1" t="s">
        <v>6756</v>
      </c>
      <c r="G2349" s="39" t="s">
        <v>6711</v>
      </c>
      <c r="H2349" s="1">
        <v>0</v>
      </c>
      <c r="I2349" s="1">
        <v>2</v>
      </c>
      <c r="J2349" s="39" t="s">
        <v>6674</v>
      </c>
      <c r="K2349" s="1">
        <v>2</v>
      </c>
      <c r="L2349" s="1">
        <v>0</v>
      </c>
      <c r="S2349" s="1" t="s">
        <v>6757</v>
      </c>
      <c r="T2349" s="1">
        <v>1</v>
      </c>
      <c r="U2349" s="19"/>
      <c r="V2349" s="19"/>
      <c r="W2349" s="218">
        <v>1</v>
      </c>
      <c r="X2349" s="218">
        <v>1</v>
      </c>
      <c r="Y2349" s="218">
        <v>1</v>
      </c>
    </row>
    <row r="2350" spans="1:25" x14ac:dyDescent="0.3">
      <c r="A2350" s="1" t="s">
        <v>6758</v>
      </c>
      <c r="B2350" s="5">
        <v>46167</v>
      </c>
      <c r="C2350" s="6">
        <v>0.5</v>
      </c>
      <c r="D2350" s="1" t="s">
        <v>27</v>
      </c>
      <c r="E2350" s="1" t="s">
        <v>28</v>
      </c>
      <c r="F2350" s="1" t="s">
        <v>6759</v>
      </c>
      <c r="G2350" s="39" t="s">
        <v>6635</v>
      </c>
      <c r="H2350" s="1">
        <v>2</v>
      </c>
      <c r="I2350" s="1">
        <v>0</v>
      </c>
      <c r="J2350" s="39" t="s">
        <v>6674</v>
      </c>
      <c r="K2350" s="1">
        <v>0</v>
      </c>
      <c r="L2350" s="1">
        <v>2</v>
      </c>
      <c r="S2350" s="1" t="s">
        <v>6760</v>
      </c>
      <c r="T2350" s="1">
        <v>1</v>
      </c>
      <c r="U2350" s="19"/>
      <c r="V2350" s="19"/>
      <c r="W2350" s="218">
        <v>1</v>
      </c>
      <c r="X2350" s="218">
        <v>1</v>
      </c>
      <c r="Y2350" s="218">
        <v>1</v>
      </c>
    </row>
    <row r="2351" spans="1:25" x14ac:dyDescent="0.3">
      <c r="A2351" s="1" t="s">
        <v>6761</v>
      </c>
      <c r="B2351" s="5">
        <v>46162</v>
      </c>
      <c r="C2351" s="6">
        <v>0.58333333333333304</v>
      </c>
      <c r="D2351" s="1" t="s">
        <v>27</v>
      </c>
      <c r="E2351" s="1" t="s">
        <v>28</v>
      </c>
      <c r="F2351" s="1" t="s">
        <v>6762</v>
      </c>
      <c r="G2351" s="39" t="s">
        <v>6674</v>
      </c>
      <c r="H2351" s="1">
        <v>1</v>
      </c>
      <c r="I2351" s="1">
        <v>2</v>
      </c>
      <c r="J2351" s="39" t="s">
        <v>6697</v>
      </c>
      <c r="K2351" s="1">
        <v>2</v>
      </c>
      <c r="L2351" s="1">
        <v>1</v>
      </c>
      <c r="S2351" s="1" t="s">
        <v>6763</v>
      </c>
      <c r="T2351" s="1">
        <v>1</v>
      </c>
      <c r="U2351" s="19"/>
      <c r="V2351" s="19"/>
      <c r="W2351" s="218">
        <v>1</v>
      </c>
      <c r="X2351" s="218">
        <v>1</v>
      </c>
      <c r="Y2351" s="218">
        <v>1</v>
      </c>
    </row>
    <row r="2352" spans="1:25" x14ac:dyDescent="0.3">
      <c r="A2352" s="1" t="s">
        <v>6764</v>
      </c>
      <c r="B2352" s="5">
        <v>46158</v>
      </c>
      <c r="C2352" s="6">
        <v>0.45833333333333298</v>
      </c>
      <c r="D2352" s="1" t="s">
        <v>27</v>
      </c>
      <c r="E2352" s="1" t="s">
        <v>28</v>
      </c>
      <c r="F2352" s="1" t="s">
        <v>6765</v>
      </c>
      <c r="G2352" s="39" t="s">
        <v>6674</v>
      </c>
      <c r="H2352" s="1">
        <v>3</v>
      </c>
      <c r="I2352" s="1">
        <v>1</v>
      </c>
      <c r="J2352" s="39" t="s">
        <v>6666</v>
      </c>
      <c r="K2352" s="1">
        <v>1</v>
      </c>
      <c r="L2352" s="1">
        <v>3</v>
      </c>
      <c r="S2352" s="1" t="s">
        <v>6766</v>
      </c>
      <c r="T2352" s="1">
        <v>1</v>
      </c>
      <c r="U2352" s="19"/>
      <c r="V2352" s="19"/>
      <c r="W2352" s="218">
        <v>1</v>
      </c>
      <c r="X2352" s="218">
        <v>1</v>
      </c>
      <c r="Y2352" s="218">
        <v>1</v>
      </c>
    </row>
    <row r="2353" spans="1:25" x14ac:dyDescent="0.3">
      <c r="A2353" s="1" t="s">
        <v>6767</v>
      </c>
      <c r="B2353" s="5">
        <v>46152</v>
      </c>
      <c r="C2353" s="6">
        <v>0.39583333333333298</v>
      </c>
      <c r="D2353" s="1" t="s">
        <v>27</v>
      </c>
      <c r="E2353" s="1" t="s">
        <v>28</v>
      </c>
      <c r="F2353" s="1" t="s">
        <v>6768</v>
      </c>
      <c r="G2353" s="39" t="s">
        <v>6707</v>
      </c>
      <c r="H2353" s="1">
        <v>2</v>
      </c>
      <c r="I2353" s="1">
        <v>0</v>
      </c>
      <c r="J2353" s="39" t="s">
        <v>6674</v>
      </c>
      <c r="K2353" s="1">
        <v>0</v>
      </c>
      <c r="L2353" s="1">
        <v>2</v>
      </c>
      <c r="S2353" s="1" t="s">
        <v>6769</v>
      </c>
      <c r="T2353" s="1">
        <v>1</v>
      </c>
      <c r="U2353" s="19"/>
      <c r="V2353" s="19"/>
      <c r="W2353" s="218">
        <v>1</v>
      </c>
      <c r="X2353" s="218">
        <v>1</v>
      </c>
      <c r="Y2353" s="218">
        <v>1</v>
      </c>
    </row>
    <row r="2354" spans="1:25" x14ac:dyDescent="0.3">
      <c r="A2354" s="1" t="s">
        <v>6770</v>
      </c>
      <c r="B2354" s="5">
        <v>46145</v>
      </c>
      <c r="C2354" s="6">
        <v>0.39583333333333298</v>
      </c>
      <c r="D2354" s="1" t="s">
        <v>27</v>
      </c>
      <c r="E2354" s="1" t="s">
        <v>28</v>
      </c>
      <c r="F2354" s="1" t="s">
        <v>6771</v>
      </c>
      <c r="G2354" s="39" t="s">
        <v>6674</v>
      </c>
      <c r="H2354" s="1">
        <v>4</v>
      </c>
      <c r="I2354" s="1">
        <v>0</v>
      </c>
      <c r="J2354" s="39" t="s">
        <v>6670</v>
      </c>
      <c r="K2354" s="1">
        <v>0</v>
      </c>
      <c r="L2354" s="1">
        <v>4</v>
      </c>
      <c r="S2354" s="1" t="s">
        <v>6772</v>
      </c>
      <c r="T2354" s="1">
        <v>1</v>
      </c>
      <c r="U2354" s="19"/>
      <c r="V2354" s="19"/>
      <c r="W2354" s="218">
        <v>1</v>
      </c>
      <c r="X2354" s="218">
        <v>1</v>
      </c>
      <c r="Y2354" s="218">
        <v>1</v>
      </c>
    </row>
    <row r="2355" spans="1:25" x14ac:dyDescent="0.3">
      <c r="A2355" s="1" t="s">
        <v>6773</v>
      </c>
      <c r="B2355" s="5">
        <v>46138</v>
      </c>
      <c r="C2355" s="6">
        <v>0.59375</v>
      </c>
      <c r="D2355" s="1" t="s">
        <v>27</v>
      </c>
      <c r="E2355" s="1" t="s">
        <v>28</v>
      </c>
      <c r="F2355" s="1" t="s">
        <v>6774</v>
      </c>
      <c r="G2355" s="39" t="s">
        <v>6674</v>
      </c>
      <c r="H2355" s="1">
        <v>0</v>
      </c>
      <c r="I2355" s="1">
        <v>2</v>
      </c>
      <c r="J2355" s="39" t="s">
        <v>6650</v>
      </c>
      <c r="K2355" s="1">
        <v>2</v>
      </c>
      <c r="L2355" s="1">
        <v>0</v>
      </c>
      <c r="S2355" s="1" t="s">
        <v>6775</v>
      </c>
      <c r="T2355" s="1">
        <v>1</v>
      </c>
      <c r="U2355" s="19"/>
      <c r="V2355" s="19"/>
      <c r="W2355" s="218">
        <v>1</v>
      </c>
      <c r="X2355" s="218">
        <v>0</v>
      </c>
      <c r="Y2355" s="218">
        <v>1</v>
      </c>
    </row>
    <row r="2356" spans="1:25" x14ac:dyDescent="0.3">
      <c r="A2356" s="1" t="s">
        <v>6776</v>
      </c>
      <c r="B2356" s="5">
        <v>46131</v>
      </c>
      <c r="C2356" s="6">
        <v>0.39583333333333298</v>
      </c>
      <c r="D2356" s="1" t="s">
        <v>27</v>
      </c>
      <c r="E2356" s="1" t="s">
        <v>28</v>
      </c>
      <c r="F2356" s="1" t="s">
        <v>6777</v>
      </c>
      <c r="G2356" s="39" t="s">
        <v>6639</v>
      </c>
      <c r="H2356" s="1">
        <v>0</v>
      </c>
      <c r="I2356" s="1">
        <v>2</v>
      </c>
      <c r="J2356" s="39" t="s">
        <v>6674</v>
      </c>
      <c r="K2356" s="1">
        <v>2</v>
      </c>
      <c r="L2356" s="1">
        <v>0</v>
      </c>
      <c r="S2356" s="1" t="s">
        <v>6778</v>
      </c>
      <c r="T2356" s="1">
        <v>1</v>
      </c>
      <c r="U2356" s="19"/>
      <c r="V2356" s="19"/>
      <c r="W2356" s="218">
        <v>1</v>
      </c>
      <c r="X2356" s="218">
        <v>1</v>
      </c>
      <c r="Y2356" s="218">
        <v>1</v>
      </c>
    </row>
    <row r="2357" spans="1:25" x14ac:dyDescent="0.3">
      <c r="A2357" s="1" t="s">
        <v>6779</v>
      </c>
      <c r="B2357" s="5">
        <v>46243</v>
      </c>
      <c r="C2357" s="6">
        <v>0.59375</v>
      </c>
      <c r="D2357" s="1" t="s">
        <v>27</v>
      </c>
      <c r="E2357" s="1" t="s">
        <v>28</v>
      </c>
      <c r="F2357" s="1" t="s">
        <v>6780</v>
      </c>
      <c r="G2357" s="39" t="s">
        <v>6697</v>
      </c>
      <c r="H2357" s="1">
        <v>2</v>
      </c>
      <c r="I2357" s="1">
        <v>1</v>
      </c>
      <c r="J2357" s="39" t="s">
        <v>6654</v>
      </c>
      <c r="K2357" s="1">
        <v>1</v>
      </c>
      <c r="L2357" s="1">
        <v>2</v>
      </c>
      <c r="S2357" s="1" t="s">
        <v>6781</v>
      </c>
      <c r="T2357" s="1">
        <v>1</v>
      </c>
      <c r="U2357" s="19"/>
      <c r="V2357" s="19"/>
      <c r="W2357" s="218">
        <v>1</v>
      </c>
      <c r="X2357" s="218">
        <v>1</v>
      </c>
      <c r="Y2357" s="218">
        <v>1</v>
      </c>
    </row>
    <row r="2358" spans="1:25" x14ac:dyDescent="0.3">
      <c r="A2358" s="1" t="s">
        <v>6782</v>
      </c>
      <c r="B2358" s="5">
        <v>46236</v>
      </c>
      <c r="C2358" s="6">
        <v>0.5</v>
      </c>
      <c r="D2358" s="1" t="s">
        <v>27</v>
      </c>
      <c r="E2358" s="1" t="s">
        <v>28</v>
      </c>
      <c r="F2358" s="1" t="s">
        <v>6783</v>
      </c>
      <c r="G2358" s="39" t="s">
        <v>6654</v>
      </c>
      <c r="H2358" s="1">
        <v>3</v>
      </c>
      <c r="I2358" s="1">
        <v>3</v>
      </c>
      <c r="J2358" s="39" t="s">
        <v>6670</v>
      </c>
      <c r="K2358" s="1">
        <v>3</v>
      </c>
      <c r="L2358" s="1">
        <v>3</v>
      </c>
      <c r="S2358" s="1" t="s">
        <v>6784</v>
      </c>
      <c r="T2358" s="1">
        <v>1</v>
      </c>
      <c r="U2358" s="19"/>
      <c r="V2358" s="19"/>
      <c r="W2358" s="218">
        <v>1</v>
      </c>
      <c r="X2358" s="218">
        <v>1</v>
      </c>
      <c r="Y2358" s="218">
        <v>1</v>
      </c>
    </row>
    <row r="2359" spans="1:25" x14ac:dyDescent="0.3">
      <c r="A2359" s="1" t="s">
        <v>6785</v>
      </c>
      <c r="B2359" s="5">
        <v>46229</v>
      </c>
      <c r="C2359" s="6">
        <v>0.5</v>
      </c>
      <c r="D2359" s="1" t="s">
        <v>27</v>
      </c>
      <c r="E2359" s="1" t="s">
        <v>28</v>
      </c>
      <c r="F2359" s="1" t="s">
        <v>6786</v>
      </c>
      <c r="G2359" s="39" t="s">
        <v>6643</v>
      </c>
      <c r="H2359" s="1">
        <v>2</v>
      </c>
      <c r="I2359" s="1">
        <v>4</v>
      </c>
      <c r="J2359" s="39" t="s">
        <v>6654</v>
      </c>
      <c r="K2359" s="1">
        <v>4</v>
      </c>
      <c r="L2359" s="1">
        <v>2</v>
      </c>
      <c r="S2359" s="1" t="s">
        <v>6787</v>
      </c>
      <c r="T2359" s="1">
        <v>1</v>
      </c>
      <c r="U2359" s="19"/>
      <c r="V2359" s="19"/>
      <c r="W2359" s="218">
        <v>1</v>
      </c>
      <c r="X2359" s="218">
        <v>1</v>
      </c>
      <c r="Y2359" s="218">
        <v>1</v>
      </c>
    </row>
    <row r="2360" spans="1:25" x14ac:dyDescent="0.3">
      <c r="A2360" s="1" t="s">
        <v>6788</v>
      </c>
      <c r="B2360" s="5">
        <v>46221</v>
      </c>
      <c r="C2360" s="6">
        <v>0.54166666666666696</v>
      </c>
      <c r="D2360" s="1" t="s">
        <v>27</v>
      </c>
      <c r="E2360" s="1" t="s">
        <v>28</v>
      </c>
      <c r="F2360" s="1" t="s">
        <v>6789</v>
      </c>
      <c r="G2360" s="39" t="s">
        <v>6654</v>
      </c>
      <c r="H2360" s="1">
        <v>1</v>
      </c>
      <c r="I2360" s="1">
        <v>2</v>
      </c>
      <c r="J2360" s="39" t="s">
        <v>6662</v>
      </c>
      <c r="K2360" s="1">
        <v>2</v>
      </c>
      <c r="L2360" s="1">
        <v>1</v>
      </c>
      <c r="S2360" s="1" t="s">
        <v>6790</v>
      </c>
      <c r="T2360" s="1">
        <v>1</v>
      </c>
      <c r="U2360" s="19"/>
      <c r="V2360" s="19"/>
      <c r="W2360" s="218">
        <v>1</v>
      </c>
      <c r="X2360" s="218">
        <v>1</v>
      </c>
      <c r="Y2360" s="218">
        <v>1</v>
      </c>
    </row>
    <row r="2361" spans="1:25" x14ac:dyDescent="0.3">
      <c r="A2361" s="1" t="s">
        <v>6791</v>
      </c>
      <c r="B2361" s="5">
        <v>46214</v>
      </c>
      <c r="C2361" s="6">
        <v>0.45833333333333298</v>
      </c>
      <c r="D2361" s="1" t="s">
        <v>27</v>
      </c>
      <c r="E2361" s="1" t="s">
        <v>28</v>
      </c>
      <c r="F2361" s="1" t="s">
        <v>6792</v>
      </c>
      <c r="G2361" s="39" t="s">
        <v>6630</v>
      </c>
      <c r="H2361" s="1">
        <v>2</v>
      </c>
      <c r="I2361" s="1">
        <v>2</v>
      </c>
      <c r="J2361" s="39" t="s">
        <v>6654</v>
      </c>
      <c r="K2361" s="1">
        <v>2</v>
      </c>
      <c r="L2361" s="1">
        <v>2</v>
      </c>
      <c r="S2361" s="1" t="s">
        <v>6793</v>
      </c>
      <c r="T2361" s="1">
        <v>1</v>
      </c>
      <c r="U2361" s="19"/>
      <c r="V2361" s="19"/>
      <c r="W2361" s="218">
        <v>1</v>
      </c>
      <c r="X2361" s="218">
        <v>1</v>
      </c>
      <c r="Y2361" s="218">
        <v>1</v>
      </c>
    </row>
    <row r="2362" spans="1:25" x14ac:dyDescent="0.3">
      <c r="A2362" s="1" t="s">
        <v>6794</v>
      </c>
      <c r="B2362" s="5">
        <v>46172</v>
      </c>
      <c r="C2362" s="6">
        <v>0.45833333333333298</v>
      </c>
      <c r="D2362" s="1" t="s">
        <v>27</v>
      </c>
      <c r="E2362" s="1" t="s">
        <v>28</v>
      </c>
      <c r="F2362" s="1" t="s">
        <v>6795</v>
      </c>
      <c r="G2362" s="39" t="s">
        <v>6654</v>
      </c>
      <c r="H2362" s="1">
        <v>2</v>
      </c>
      <c r="I2362" s="1">
        <v>1</v>
      </c>
      <c r="J2362" s="39" t="s">
        <v>6666</v>
      </c>
      <c r="K2362" s="1">
        <v>1</v>
      </c>
      <c r="L2362" s="1">
        <v>2</v>
      </c>
      <c r="S2362" s="1" t="s">
        <v>6796</v>
      </c>
      <c r="T2362" s="1">
        <v>1</v>
      </c>
      <c r="U2362" s="19"/>
      <c r="V2362" s="19"/>
      <c r="W2362" s="218">
        <v>1</v>
      </c>
      <c r="X2362" s="218">
        <v>1</v>
      </c>
      <c r="Y2362" s="218">
        <v>1</v>
      </c>
    </row>
    <row r="2363" spans="1:25" x14ac:dyDescent="0.3">
      <c r="A2363" s="1" t="s">
        <v>6797</v>
      </c>
      <c r="B2363" s="5">
        <v>46167</v>
      </c>
      <c r="C2363" s="6">
        <v>0.5</v>
      </c>
      <c r="D2363" s="1" t="s">
        <v>27</v>
      </c>
      <c r="E2363" s="1" t="s">
        <v>28</v>
      </c>
      <c r="F2363" s="1" t="s">
        <v>6798</v>
      </c>
      <c r="G2363" s="39" t="s">
        <v>6670</v>
      </c>
      <c r="H2363" s="1">
        <v>2</v>
      </c>
      <c r="I2363" s="1">
        <v>1</v>
      </c>
      <c r="J2363" s="39" t="s">
        <v>6654</v>
      </c>
      <c r="K2363" s="1">
        <v>1</v>
      </c>
      <c r="L2363" s="1">
        <v>2</v>
      </c>
      <c r="S2363" s="1" t="s">
        <v>6799</v>
      </c>
      <c r="T2363" s="1">
        <v>1</v>
      </c>
      <c r="U2363" s="19"/>
      <c r="V2363" s="19"/>
      <c r="W2363" s="218">
        <v>1</v>
      </c>
      <c r="X2363" s="218">
        <v>1</v>
      </c>
      <c r="Y2363" s="218">
        <v>1</v>
      </c>
    </row>
    <row r="2364" spans="1:25" x14ac:dyDescent="0.3">
      <c r="A2364" s="1" t="s">
        <v>6800</v>
      </c>
      <c r="B2364" s="5">
        <v>46158</v>
      </c>
      <c r="C2364" s="6">
        <v>0.45833333333333298</v>
      </c>
      <c r="D2364" s="1" t="s">
        <v>27</v>
      </c>
      <c r="E2364" s="1" t="s">
        <v>28</v>
      </c>
      <c r="F2364" s="1" t="s">
        <v>6801</v>
      </c>
      <c r="G2364" s="39" t="s">
        <v>6654</v>
      </c>
      <c r="H2364" s="1">
        <v>1</v>
      </c>
      <c r="I2364" s="1">
        <v>0</v>
      </c>
      <c r="J2364" s="39" t="s">
        <v>6697</v>
      </c>
      <c r="K2364" s="1">
        <v>0</v>
      </c>
      <c r="L2364" s="1">
        <v>1</v>
      </c>
      <c r="S2364" s="1" t="s">
        <v>6802</v>
      </c>
      <c r="T2364" s="1">
        <v>1</v>
      </c>
      <c r="U2364" s="19"/>
      <c r="V2364" s="19"/>
      <c r="W2364" s="218">
        <v>1</v>
      </c>
      <c r="X2364" s="218">
        <v>1</v>
      </c>
      <c r="Y2364" s="218">
        <v>1</v>
      </c>
    </row>
    <row r="2365" spans="1:25" x14ac:dyDescent="0.3">
      <c r="A2365" s="1" t="s">
        <v>6803</v>
      </c>
      <c r="B2365" s="5">
        <v>46138</v>
      </c>
      <c r="C2365" s="6">
        <v>0.39583333333333298</v>
      </c>
      <c r="D2365" s="1" t="s">
        <v>27</v>
      </c>
      <c r="E2365" s="1" t="s">
        <v>28</v>
      </c>
      <c r="F2365" s="1" t="s">
        <v>6804</v>
      </c>
      <c r="G2365" s="39" t="s">
        <v>6654</v>
      </c>
      <c r="H2365" s="1">
        <v>5</v>
      </c>
      <c r="I2365" s="1">
        <v>1</v>
      </c>
      <c r="J2365" s="39" t="s">
        <v>6639</v>
      </c>
      <c r="K2365" s="1">
        <v>1</v>
      </c>
      <c r="L2365" s="1">
        <v>5</v>
      </c>
      <c r="S2365" s="1" t="s">
        <v>6805</v>
      </c>
      <c r="T2365" s="1">
        <v>1</v>
      </c>
      <c r="U2365" s="19"/>
      <c r="V2365" s="19"/>
      <c r="W2365" s="218">
        <v>1</v>
      </c>
      <c r="X2365" s="218">
        <v>1</v>
      </c>
      <c r="Y2365" s="218">
        <v>1</v>
      </c>
    </row>
    <row r="2366" spans="1:25" x14ac:dyDescent="0.3">
      <c r="A2366" s="1" t="s">
        <v>6806</v>
      </c>
      <c r="B2366" s="5">
        <v>46131</v>
      </c>
      <c r="C2366" s="6">
        <v>0.59375</v>
      </c>
      <c r="D2366" s="1" t="s">
        <v>27</v>
      </c>
      <c r="E2366" s="1" t="s">
        <v>28</v>
      </c>
      <c r="F2366" s="1" t="s">
        <v>6807</v>
      </c>
      <c r="G2366" s="39" t="s">
        <v>6658</v>
      </c>
      <c r="H2366" s="1">
        <v>1</v>
      </c>
      <c r="I2366" s="1">
        <v>1</v>
      </c>
      <c r="J2366" s="39" t="s">
        <v>6654</v>
      </c>
      <c r="K2366" s="1">
        <v>1</v>
      </c>
      <c r="L2366" s="1">
        <v>1</v>
      </c>
      <c r="S2366" s="1" t="s">
        <v>6808</v>
      </c>
      <c r="T2366" s="1">
        <v>1</v>
      </c>
      <c r="U2366" s="19"/>
      <c r="V2366" s="19"/>
      <c r="W2366" s="218">
        <v>0</v>
      </c>
      <c r="X2366" s="218">
        <v>1</v>
      </c>
      <c r="Y2366" s="218">
        <v>1</v>
      </c>
    </row>
    <row r="2367" spans="1:25" x14ac:dyDescent="0.3">
      <c r="A2367" s="1" t="s">
        <v>6809</v>
      </c>
      <c r="B2367" s="5">
        <v>46243</v>
      </c>
      <c r="C2367" s="6">
        <v>0.5</v>
      </c>
      <c r="D2367" s="1" t="s">
        <v>27</v>
      </c>
      <c r="E2367" s="1" t="s">
        <v>28</v>
      </c>
      <c r="F2367" s="1" t="s">
        <v>6810</v>
      </c>
      <c r="G2367" s="39" t="s">
        <v>6635</v>
      </c>
      <c r="H2367" s="1">
        <v>1</v>
      </c>
      <c r="I2367" s="1">
        <v>1</v>
      </c>
      <c r="J2367" s="39" t="s">
        <v>6630</v>
      </c>
      <c r="K2367" s="1">
        <v>1</v>
      </c>
      <c r="L2367" s="1">
        <v>1</v>
      </c>
      <c r="S2367" s="1" t="s">
        <v>6811</v>
      </c>
      <c r="T2367" s="1">
        <v>1</v>
      </c>
      <c r="U2367" s="19"/>
      <c r="V2367" s="19"/>
      <c r="W2367" s="218">
        <v>1</v>
      </c>
      <c r="X2367" s="218">
        <v>1</v>
      </c>
      <c r="Y2367" s="218">
        <v>1</v>
      </c>
    </row>
    <row r="2368" spans="1:25" x14ac:dyDescent="0.3">
      <c r="A2368" s="1" t="s">
        <v>6812</v>
      </c>
      <c r="B2368" s="5">
        <v>46234</v>
      </c>
      <c r="C2368" s="6">
        <v>0.58333333333333304</v>
      </c>
      <c r="D2368" s="1" t="s">
        <v>27</v>
      </c>
      <c r="E2368" s="1" t="s">
        <v>28</v>
      </c>
      <c r="F2368" s="1" t="s">
        <v>6813</v>
      </c>
      <c r="G2368" s="39" t="s">
        <v>6639</v>
      </c>
      <c r="H2368" s="1">
        <v>0</v>
      </c>
      <c r="I2368" s="1">
        <v>3</v>
      </c>
      <c r="J2368" s="39" t="s">
        <v>6635</v>
      </c>
      <c r="K2368" s="1">
        <v>3</v>
      </c>
      <c r="L2368" s="1">
        <v>0</v>
      </c>
      <c r="S2368" s="1" t="s">
        <v>6814</v>
      </c>
      <c r="T2368" s="1">
        <v>1</v>
      </c>
      <c r="U2368" s="19"/>
      <c r="V2368" s="19"/>
      <c r="W2368" s="218">
        <v>1</v>
      </c>
      <c r="X2368" s="218">
        <v>1</v>
      </c>
      <c r="Y2368" s="218">
        <v>1</v>
      </c>
    </row>
    <row r="2369" spans="1:25" x14ac:dyDescent="0.3">
      <c r="A2369" s="1" t="s">
        <v>6815</v>
      </c>
      <c r="B2369" s="5">
        <v>46229</v>
      </c>
      <c r="C2369" s="6">
        <v>0.5</v>
      </c>
      <c r="D2369" s="1" t="s">
        <v>27</v>
      </c>
      <c r="E2369" s="1" t="s">
        <v>28</v>
      </c>
      <c r="F2369" s="1" t="s">
        <v>6816</v>
      </c>
      <c r="G2369" s="39" t="s">
        <v>6670</v>
      </c>
      <c r="H2369" s="1">
        <v>1</v>
      </c>
      <c r="I2369" s="1">
        <v>0</v>
      </c>
      <c r="J2369" s="39" t="s">
        <v>6635</v>
      </c>
      <c r="K2369" s="1">
        <v>0</v>
      </c>
      <c r="L2369" s="1">
        <v>1</v>
      </c>
      <c r="S2369" s="1" t="s">
        <v>6817</v>
      </c>
      <c r="T2369" s="1">
        <v>1</v>
      </c>
      <c r="U2369" s="19"/>
      <c r="V2369" s="19"/>
      <c r="W2369" s="218">
        <v>1</v>
      </c>
      <c r="X2369" s="218">
        <v>1</v>
      </c>
      <c r="Y2369" s="218">
        <v>1</v>
      </c>
    </row>
    <row r="2370" spans="1:25" x14ac:dyDescent="0.3">
      <c r="A2370" s="1" t="s">
        <v>6818</v>
      </c>
      <c r="B2370" s="5">
        <v>46215</v>
      </c>
      <c r="C2370" s="6">
        <v>0.5</v>
      </c>
      <c r="D2370" s="1" t="s">
        <v>27</v>
      </c>
      <c r="E2370" s="1" t="s">
        <v>28</v>
      </c>
      <c r="F2370" s="1" t="s">
        <v>6819</v>
      </c>
      <c r="G2370" s="39" t="s">
        <v>6666</v>
      </c>
      <c r="H2370" s="1">
        <v>2</v>
      </c>
      <c r="I2370" s="1">
        <v>2</v>
      </c>
      <c r="J2370" s="39" t="s">
        <v>6635</v>
      </c>
      <c r="K2370" s="1">
        <v>2</v>
      </c>
      <c r="L2370" s="1">
        <v>2</v>
      </c>
      <c r="S2370" s="1" t="s">
        <v>6820</v>
      </c>
      <c r="T2370" s="1">
        <v>1</v>
      </c>
      <c r="U2370" s="19"/>
      <c r="V2370" s="19"/>
      <c r="W2370" s="218">
        <v>1</v>
      </c>
      <c r="X2370" s="218">
        <v>1</v>
      </c>
      <c r="Y2370" s="218">
        <v>1</v>
      </c>
    </row>
    <row r="2371" spans="1:25" x14ac:dyDescent="0.3">
      <c r="A2371" s="1" t="s">
        <v>6821</v>
      </c>
      <c r="B2371" s="5">
        <v>46171</v>
      </c>
      <c r="C2371" s="6">
        <v>0.58333333333333304</v>
      </c>
      <c r="D2371" s="1" t="s">
        <v>27</v>
      </c>
      <c r="E2371" s="1" t="s">
        <v>28</v>
      </c>
      <c r="F2371" s="1" t="s">
        <v>6822</v>
      </c>
      <c r="G2371" s="39" t="s">
        <v>6630</v>
      </c>
      <c r="H2371" s="1">
        <v>2</v>
      </c>
      <c r="I2371" s="1">
        <v>2</v>
      </c>
      <c r="J2371" s="39" t="s">
        <v>6635</v>
      </c>
      <c r="K2371" s="1">
        <v>2</v>
      </c>
      <c r="L2371" s="1">
        <v>2</v>
      </c>
      <c r="S2371" s="1" t="s">
        <v>6823</v>
      </c>
      <c r="T2371" s="1">
        <v>1</v>
      </c>
      <c r="U2371" s="19"/>
      <c r="V2371" s="19"/>
      <c r="W2371" s="218">
        <v>1</v>
      </c>
      <c r="X2371" s="218">
        <v>1</v>
      </c>
      <c r="Y2371" s="218">
        <v>1</v>
      </c>
    </row>
    <row r="2372" spans="1:25" x14ac:dyDescent="0.3">
      <c r="A2372" s="1" t="s">
        <v>6824</v>
      </c>
      <c r="B2372" s="5">
        <v>46158</v>
      </c>
      <c r="C2372" s="6">
        <v>0.45833333333333298</v>
      </c>
      <c r="D2372" s="1" t="s">
        <v>27</v>
      </c>
      <c r="E2372" s="1" t="s">
        <v>28</v>
      </c>
      <c r="F2372" s="1" t="s">
        <v>6825</v>
      </c>
      <c r="G2372" s="39" t="s">
        <v>6711</v>
      </c>
      <c r="H2372" s="1">
        <v>2</v>
      </c>
      <c r="I2372" s="1">
        <v>1</v>
      </c>
      <c r="J2372" s="39" t="s">
        <v>6635</v>
      </c>
      <c r="K2372" s="1">
        <v>1</v>
      </c>
      <c r="L2372" s="1">
        <v>2</v>
      </c>
      <c r="S2372" s="1" t="s">
        <v>6826</v>
      </c>
      <c r="T2372" s="1">
        <v>1</v>
      </c>
      <c r="U2372" s="19"/>
      <c r="V2372" s="19"/>
      <c r="W2372" s="218">
        <v>1</v>
      </c>
      <c r="X2372" s="218">
        <v>1</v>
      </c>
      <c r="Y2372" s="218">
        <v>1</v>
      </c>
    </row>
    <row r="2373" spans="1:25" x14ac:dyDescent="0.3">
      <c r="A2373" s="1" t="s">
        <v>6827</v>
      </c>
      <c r="B2373" s="5">
        <v>46150</v>
      </c>
      <c r="C2373" s="6">
        <v>0.58333333333333304</v>
      </c>
      <c r="D2373" s="1" t="s">
        <v>27</v>
      </c>
      <c r="E2373" s="1" t="s">
        <v>28</v>
      </c>
      <c r="F2373" s="1" t="s">
        <v>6828</v>
      </c>
      <c r="G2373" s="39" t="s">
        <v>6635</v>
      </c>
      <c r="H2373" s="1">
        <v>1</v>
      </c>
      <c r="I2373" s="1">
        <v>0</v>
      </c>
      <c r="J2373" s="39" t="s">
        <v>6639</v>
      </c>
      <c r="K2373" s="1">
        <v>0</v>
      </c>
      <c r="L2373" s="1">
        <v>1</v>
      </c>
      <c r="S2373" s="1" t="s">
        <v>6829</v>
      </c>
      <c r="T2373" s="1">
        <v>1</v>
      </c>
      <c r="U2373" s="19"/>
      <c r="V2373" s="19"/>
      <c r="W2373" s="218">
        <v>1</v>
      </c>
      <c r="X2373" s="218">
        <v>1</v>
      </c>
      <c r="Y2373" s="218">
        <v>1</v>
      </c>
    </row>
    <row r="2374" spans="1:25" x14ac:dyDescent="0.3">
      <c r="A2374" s="1" t="s">
        <v>6830</v>
      </c>
      <c r="B2374" s="5">
        <v>46145</v>
      </c>
      <c r="C2374" s="6">
        <v>0.5</v>
      </c>
      <c r="D2374" s="1" t="s">
        <v>27</v>
      </c>
      <c r="E2374" s="1" t="s">
        <v>28</v>
      </c>
      <c r="F2374" s="1" t="s">
        <v>6831</v>
      </c>
      <c r="G2374" s="39" t="s">
        <v>6697</v>
      </c>
      <c r="H2374" s="1">
        <v>1</v>
      </c>
      <c r="I2374" s="1">
        <v>1</v>
      </c>
      <c r="J2374" s="39" t="s">
        <v>6635</v>
      </c>
      <c r="K2374" s="1">
        <v>1</v>
      </c>
      <c r="L2374" s="1">
        <v>1</v>
      </c>
      <c r="S2374" s="1" t="s">
        <v>6832</v>
      </c>
      <c r="T2374" s="1">
        <v>1</v>
      </c>
      <c r="U2374" s="19"/>
      <c r="V2374" s="19"/>
      <c r="W2374" s="218">
        <v>1</v>
      </c>
      <c r="X2374" s="218">
        <v>1</v>
      </c>
      <c r="Y2374" s="218">
        <v>1</v>
      </c>
    </row>
    <row r="2375" spans="1:25" x14ac:dyDescent="0.3">
      <c r="A2375" s="1" t="s">
        <v>6833</v>
      </c>
      <c r="B2375" s="5">
        <v>46138</v>
      </c>
      <c r="C2375" s="6">
        <v>0.5</v>
      </c>
      <c r="D2375" s="1" t="s">
        <v>27</v>
      </c>
      <c r="E2375" s="1" t="s">
        <v>28</v>
      </c>
      <c r="F2375" s="1" t="s">
        <v>6834</v>
      </c>
      <c r="G2375" s="39" t="s">
        <v>6635</v>
      </c>
      <c r="H2375" s="1">
        <v>2</v>
      </c>
      <c r="I2375" s="1">
        <v>1</v>
      </c>
      <c r="J2375" s="39" t="s">
        <v>6658</v>
      </c>
      <c r="K2375" s="1">
        <v>1</v>
      </c>
      <c r="L2375" s="1">
        <v>2</v>
      </c>
      <c r="S2375" s="1" t="s">
        <v>6835</v>
      </c>
      <c r="T2375" s="1">
        <v>1</v>
      </c>
      <c r="U2375" s="19"/>
      <c r="V2375" s="19"/>
      <c r="W2375" s="218">
        <v>1</v>
      </c>
      <c r="X2375" s="218">
        <v>1</v>
      </c>
      <c r="Y2375" s="218">
        <v>1</v>
      </c>
    </row>
    <row r="2376" spans="1:25" x14ac:dyDescent="0.3">
      <c r="A2376" s="1" t="s">
        <v>6836</v>
      </c>
      <c r="B2376" s="5">
        <v>46221</v>
      </c>
      <c r="C2376" s="6">
        <v>0.45833333333333298</v>
      </c>
      <c r="D2376" s="1" t="s">
        <v>27</v>
      </c>
      <c r="E2376" s="1" t="s">
        <v>28</v>
      </c>
      <c r="F2376" s="1" t="s">
        <v>6837</v>
      </c>
      <c r="G2376" s="39" t="s">
        <v>6697</v>
      </c>
      <c r="H2376" s="1">
        <v>0</v>
      </c>
      <c r="I2376" s="1">
        <v>0</v>
      </c>
      <c r="J2376" s="39" t="s">
        <v>6670</v>
      </c>
      <c r="K2376" s="1">
        <v>0</v>
      </c>
      <c r="L2376" s="1">
        <v>0</v>
      </c>
      <c r="S2376" s="1" t="s">
        <v>6838</v>
      </c>
      <c r="T2376" s="1">
        <v>1</v>
      </c>
      <c r="U2376" s="19"/>
      <c r="V2376" s="19"/>
      <c r="W2376" s="218">
        <v>1</v>
      </c>
      <c r="X2376" s="218">
        <v>1</v>
      </c>
      <c r="Y2376" s="218">
        <v>1</v>
      </c>
    </row>
    <row r="2377" spans="1:25" x14ac:dyDescent="0.3">
      <c r="A2377" s="1" t="s">
        <v>6839</v>
      </c>
      <c r="B2377" s="5">
        <v>46171</v>
      </c>
      <c r="C2377" s="6">
        <v>0.58333333333333304</v>
      </c>
      <c r="D2377" s="1" t="s">
        <v>27</v>
      </c>
      <c r="E2377" s="1" t="s">
        <v>28</v>
      </c>
      <c r="F2377" s="1" t="s">
        <v>6840</v>
      </c>
      <c r="G2377" s="39" t="s">
        <v>6662</v>
      </c>
      <c r="H2377" s="1">
        <v>1</v>
      </c>
      <c r="I2377" s="1">
        <v>2</v>
      </c>
      <c r="J2377" s="39" t="s">
        <v>6670</v>
      </c>
      <c r="K2377" s="1">
        <v>2</v>
      </c>
      <c r="L2377" s="1">
        <v>1</v>
      </c>
      <c r="S2377" s="1" t="s">
        <v>6841</v>
      </c>
      <c r="T2377" s="1">
        <v>1</v>
      </c>
      <c r="U2377" s="19"/>
      <c r="V2377" s="19"/>
      <c r="W2377" s="218">
        <v>1</v>
      </c>
      <c r="X2377" s="218">
        <v>1</v>
      </c>
      <c r="Y2377" s="218">
        <v>1</v>
      </c>
    </row>
    <row r="2378" spans="1:25" x14ac:dyDescent="0.3">
      <c r="A2378" s="1" t="s">
        <v>6842</v>
      </c>
      <c r="B2378" s="5">
        <v>46158</v>
      </c>
      <c r="C2378" s="6">
        <v>0.625</v>
      </c>
      <c r="D2378" s="1" t="s">
        <v>27</v>
      </c>
      <c r="E2378" s="1" t="s">
        <v>28</v>
      </c>
      <c r="F2378" s="1" t="s">
        <v>6843</v>
      </c>
      <c r="G2378" s="39" t="s">
        <v>6639</v>
      </c>
      <c r="H2378" s="1">
        <v>3</v>
      </c>
      <c r="I2378" s="1">
        <v>2</v>
      </c>
      <c r="J2378" s="39" t="s">
        <v>6670</v>
      </c>
      <c r="K2378" s="1">
        <v>2</v>
      </c>
      <c r="L2378" s="1">
        <v>3</v>
      </c>
      <c r="S2378" s="1" t="s">
        <v>6844</v>
      </c>
      <c r="T2378" s="1">
        <v>1</v>
      </c>
      <c r="U2378" s="19"/>
      <c r="V2378" s="19"/>
      <c r="W2378" s="218">
        <v>1</v>
      </c>
      <c r="X2378" s="218">
        <v>1</v>
      </c>
      <c r="Y2378" s="218">
        <v>1</v>
      </c>
    </row>
    <row r="2379" spans="1:25" x14ac:dyDescent="0.3">
      <c r="A2379" s="1" t="s">
        <v>6845</v>
      </c>
      <c r="B2379" s="5">
        <v>46151</v>
      </c>
      <c r="C2379" s="6">
        <v>0.375</v>
      </c>
      <c r="D2379" s="1" t="s">
        <v>27</v>
      </c>
      <c r="E2379" s="1" t="s">
        <v>28</v>
      </c>
      <c r="F2379" s="1" t="s">
        <v>6846</v>
      </c>
      <c r="G2379" s="39" t="s">
        <v>6670</v>
      </c>
      <c r="H2379" s="1">
        <v>2</v>
      </c>
      <c r="I2379" s="1">
        <v>1</v>
      </c>
      <c r="J2379" s="39" t="s">
        <v>6711</v>
      </c>
      <c r="K2379" s="1">
        <v>1</v>
      </c>
      <c r="L2379" s="1">
        <v>2</v>
      </c>
      <c r="S2379" s="1" t="s">
        <v>6847</v>
      </c>
      <c r="T2379" s="1">
        <v>1</v>
      </c>
      <c r="U2379" s="19"/>
      <c r="V2379" s="19"/>
      <c r="W2379" s="218">
        <v>1</v>
      </c>
      <c r="X2379" s="218">
        <v>1</v>
      </c>
      <c r="Y2379" s="218">
        <v>1</v>
      </c>
    </row>
    <row r="2380" spans="1:25" x14ac:dyDescent="0.3">
      <c r="A2380" s="1" t="s">
        <v>6848</v>
      </c>
      <c r="B2380" s="5">
        <v>46138</v>
      </c>
      <c r="C2380" s="6">
        <v>0.5</v>
      </c>
      <c r="D2380" s="1" t="s">
        <v>27</v>
      </c>
      <c r="E2380" s="1" t="s">
        <v>28</v>
      </c>
      <c r="F2380" s="1" t="s">
        <v>6849</v>
      </c>
      <c r="G2380" s="39" t="s">
        <v>6643</v>
      </c>
      <c r="H2380" s="1">
        <v>1</v>
      </c>
      <c r="I2380" s="1">
        <v>0</v>
      </c>
      <c r="J2380" s="39" t="s">
        <v>6670</v>
      </c>
      <c r="K2380" s="1">
        <v>0</v>
      </c>
      <c r="L2380" s="1">
        <v>1</v>
      </c>
      <c r="S2380" s="1" t="s">
        <v>6850</v>
      </c>
      <c r="T2380" s="1">
        <v>1</v>
      </c>
      <c r="U2380" s="19"/>
      <c r="V2380" s="19"/>
      <c r="W2380" s="218">
        <v>1</v>
      </c>
      <c r="X2380" s="218">
        <v>1</v>
      </c>
      <c r="Y2380" s="218">
        <v>1</v>
      </c>
    </row>
    <row r="2381" spans="1:25" x14ac:dyDescent="0.3">
      <c r="A2381" s="1" t="s">
        <v>6851</v>
      </c>
      <c r="B2381" s="5">
        <v>46236</v>
      </c>
      <c r="C2381" s="6">
        <v>0.59375</v>
      </c>
      <c r="D2381" s="1" t="s">
        <v>27</v>
      </c>
      <c r="E2381" s="1" t="s">
        <v>28</v>
      </c>
      <c r="F2381" s="1" t="s">
        <v>6852</v>
      </c>
      <c r="G2381" s="39" t="s">
        <v>6662</v>
      </c>
      <c r="H2381" s="1">
        <v>3</v>
      </c>
      <c r="I2381" s="1">
        <v>2</v>
      </c>
      <c r="J2381" s="39" t="s">
        <v>6707</v>
      </c>
      <c r="K2381" s="1">
        <v>2</v>
      </c>
      <c r="L2381" s="1">
        <v>3</v>
      </c>
      <c r="S2381" s="1" t="s">
        <v>6853</v>
      </c>
      <c r="T2381" s="1">
        <v>1</v>
      </c>
      <c r="U2381" s="19"/>
      <c r="V2381" s="19"/>
      <c r="W2381" s="218">
        <v>1</v>
      </c>
      <c r="X2381" s="218">
        <v>1</v>
      </c>
      <c r="Y2381" s="218">
        <v>1</v>
      </c>
    </row>
    <row r="2382" spans="1:25" x14ac:dyDescent="0.3">
      <c r="A2382" s="1" t="s">
        <v>6854</v>
      </c>
      <c r="B2382" s="5">
        <v>46229</v>
      </c>
      <c r="C2382" s="6">
        <v>0.39583333333333298</v>
      </c>
      <c r="D2382" s="1" t="s">
        <v>27</v>
      </c>
      <c r="E2382" s="1" t="s">
        <v>28</v>
      </c>
      <c r="F2382" s="1" t="s">
        <v>6855</v>
      </c>
      <c r="G2382" s="39" t="s">
        <v>6662</v>
      </c>
      <c r="H2382" s="1">
        <v>2</v>
      </c>
      <c r="I2382" s="1">
        <v>3</v>
      </c>
      <c r="J2382" s="39" t="s">
        <v>6639</v>
      </c>
      <c r="K2382" s="1">
        <v>3</v>
      </c>
      <c r="L2382" s="1">
        <v>2</v>
      </c>
      <c r="S2382" s="1" t="s">
        <v>6856</v>
      </c>
      <c r="T2382" s="1">
        <v>1</v>
      </c>
      <c r="U2382" s="19"/>
      <c r="V2382" s="19"/>
      <c r="W2382" s="218">
        <v>1</v>
      </c>
      <c r="X2382" s="218">
        <v>1</v>
      </c>
      <c r="Y2382" s="218">
        <v>1</v>
      </c>
    </row>
    <row r="2383" spans="1:25" x14ac:dyDescent="0.3">
      <c r="A2383" s="1" t="s">
        <v>6857</v>
      </c>
      <c r="B2383" s="5">
        <v>46215</v>
      </c>
      <c r="C2383" s="6">
        <v>0.5</v>
      </c>
      <c r="D2383" s="1" t="s">
        <v>27</v>
      </c>
      <c r="E2383" s="1" t="s">
        <v>28</v>
      </c>
      <c r="F2383" s="1" t="s">
        <v>6858</v>
      </c>
      <c r="G2383" s="39" t="s">
        <v>6662</v>
      </c>
      <c r="H2383" s="1">
        <v>2</v>
      </c>
      <c r="I2383" s="1">
        <v>1</v>
      </c>
      <c r="J2383" s="39" t="s">
        <v>6658</v>
      </c>
      <c r="K2383" s="1">
        <v>1</v>
      </c>
      <c r="L2383" s="1">
        <v>2</v>
      </c>
      <c r="S2383" s="1" t="s">
        <v>6859</v>
      </c>
      <c r="T2383" s="1">
        <v>1</v>
      </c>
      <c r="U2383" s="19"/>
      <c r="V2383" s="19"/>
      <c r="W2383" s="218">
        <v>1</v>
      </c>
      <c r="X2383" s="218">
        <v>1</v>
      </c>
      <c r="Y2383" s="218">
        <v>1</v>
      </c>
    </row>
    <row r="2384" spans="1:25" x14ac:dyDescent="0.3">
      <c r="A2384" s="1" t="s">
        <v>6860</v>
      </c>
      <c r="B2384" s="5">
        <v>46162</v>
      </c>
      <c r="C2384" s="6">
        <v>0.625</v>
      </c>
      <c r="D2384" s="1" t="s">
        <v>27</v>
      </c>
      <c r="E2384" s="1" t="s">
        <v>28</v>
      </c>
      <c r="F2384" s="1" t="s">
        <v>6861</v>
      </c>
      <c r="G2384" s="39" t="s">
        <v>6630</v>
      </c>
      <c r="H2384" s="1">
        <v>2</v>
      </c>
      <c r="I2384" s="1">
        <v>1</v>
      </c>
      <c r="J2384" s="39" t="s">
        <v>6662</v>
      </c>
      <c r="K2384" s="1">
        <v>1</v>
      </c>
      <c r="L2384" s="1">
        <v>2</v>
      </c>
      <c r="S2384" s="1" t="s">
        <v>6862</v>
      </c>
      <c r="T2384" s="1">
        <v>1</v>
      </c>
      <c r="U2384" s="19"/>
      <c r="V2384" s="19"/>
      <c r="W2384" s="218">
        <v>1</v>
      </c>
      <c r="X2384" s="218">
        <v>1</v>
      </c>
      <c r="Y2384" s="218">
        <v>1</v>
      </c>
    </row>
    <row r="2385" spans="1:25" x14ac:dyDescent="0.3">
      <c r="A2385" s="1" t="s">
        <v>6863</v>
      </c>
      <c r="B2385" s="5">
        <v>46158</v>
      </c>
      <c r="C2385" s="6">
        <v>0.375</v>
      </c>
      <c r="D2385" s="1" t="s">
        <v>27</v>
      </c>
      <c r="E2385" s="1" t="s">
        <v>28</v>
      </c>
      <c r="F2385" s="1" t="s">
        <v>6864</v>
      </c>
      <c r="G2385" s="39" t="s">
        <v>6662</v>
      </c>
      <c r="H2385" s="1">
        <v>2</v>
      </c>
      <c r="I2385" s="1">
        <v>1</v>
      </c>
      <c r="J2385" s="39" t="s">
        <v>6643</v>
      </c>
      <c r="K2385" s="1">
        <v>1</v>
      </c>
      <c r="L2385" s="1">
        <v>2</v>
      </c>
      <c r="S2385" s="1" t="s">
        <v>6865</v>
      </c>
      <c r="T2385" s="1">
        <v>1</v>
      </c>
      <c r="U2385" s="19"/>
      <c r="V2385" s="19"/>
      <c r="W2385" s="218">
        <v>1</v>
      </c>
      <c r="X2385" s="218">
        <v>1</v>
      </c>
      <c r="Y2385" s="218">
        <v>1</v>
      </c>
    </row>
    <row r="2386" spans="1:25" x14ac:dyDescent="0.3">
      <c r="A2386" s="1" t="s">
        <v>6866</v>
      </c>
      <c r="B2386" s="5">
        <v>46144</v>
      </c>
      <c r="C2386" s="6">
        <v>0.54166666666666696</v>
      </c>
      <c r="D2386" s="1" t="s">
        <v>27</v>
      </c>
      <c r="E2386" s="1" t="s">
        <v>28</v>
      </c>
      <c r="F2386" s="1" t="s">
        <v>6867</v>
      </c>
      <c r="G2386" s="39" t="s">
        <v>6662</v>
      </c>
      <c r="H2386" s="1">
        <v>3</v>
      </c>
      <c r="I2386" s="1">
        <v>1</v>
      </c>
      <c r="J2386" s="39" t="s">
        <v>6711</v>
      </c>
      <c r="K2386" s="1">
        <v>1</v>
      </c>
      <c r="L2386" s="1">
        <v>3</v>
      </c>
      <c r="S2386" s="1" t="s">
        <v>6868</v>
      </c>
      <c r="T2386" s="1">
        <v>1</v>
      </c>
      <c r="U2386" s="19"/>
      <c r="V2386" s="19"/>
      <c r="W2386" s="218">
        <v>1</v>
      </c>
      <c r="X2386" s="218">
        <v>1</v>
      </c>
      <c r="Y2386" s="218">
        <v>1</v>
      </c>
    </row>
    <row r="2387" spans="1:25" x14ac:dyDescent="0.3">
      <c r="A2387" s="1" t="s">
        <v>6869</v>
      </c>
      <c r="B2387" s="5">
        <v>46137</v>
      </c>
      <c r="C2387" s="6">
        <v>0.54166666666666696</v>
      </c>
      <c r="D2387" s="1" t="s">
        <v>27</v>
      </c>
      <c r="E2387" s="1" t="s">
        <v>28</v>
      </c>
      <c r="F2387" s="1" t="s">
        <v>6870</v>
      </c>
      <c r="G2387" s="39" t="s">
        <v>6707</v>
      </c>
      <c r="H2387" s="1">
        <v>1</v>
      </c>
      <c r="I2387" s="1">
        <v>1</v>
      </c>
      <c r="J2387" s="39" t="s">
        <v>6662</v>
      </c>
      <c r="K2387" s="1">
        <v>1</v>
      </c>
      <c r="L2387" s="1">
        <v>1</v>
      </c>
      <c r="S2387" s="1" t="s">
        <v>6871</v>
      </c>
      <c r="T2387" s="1">
        <v>1</v>
      </c>
      <c r="U2387" s="19"/>
      <c r="V2387" s="19"/>
      <c r="W2387" s="218">
        <v>1</v>
      </c>
      <c r="X2387" s="218">
        <v>1</v>
      </c>
      <c r="Y2387" s="218">
        <v>1</v>
      </c>
    </row>
    <row r="2388" spans="1:25" x14ac:dyDescent="0.3">
      <c r="A2388" s="1" t="s">
        <v>6872</v>
      </c>
      <c r="B2388" s="5">
        <v>46241</v>
      </c>
      <c r="C2388" s="6">
        <v>0.58333333333333304</v>
      </c>
      <c r="D2388" s="1" t="s">
        <v>27</v>
      </c>
      <c r="E2388" s="1" t="s">
        <v>28</v>
      </c>
      <c r="F2388" s="1" t="s">
        <v>6873</v>
      </c>
      <c r="G2388" s="39" t="s">
        <v>6666</v>
      </c>
      <c r="H2388" s="1">
        <v>0</v>
      </c>
      <c r="I2388" s="1">
        <v>1</v>
      </c>
      <c r="J2388" s="39" t="s">
        <v>6643</v>
      </c>
      <c r="K2388" s="1">
        <v>1</v>
      </c>
      <c r="L2388" s="1">
        <v>0</v>
      </c>
      <c r="S2388" s="1" t="s">
        <v>6874</v>
      </c>
      <c r="T2388" s="1">
        <v>1</v>
      </c>
      <c r="U2388" s="19"/>
      <c r="V2388" s="19"/>
      <c r="W2388" s="218">
        <v>1</v>
      </c>
      <c r="X2388" s="218">
        <v>1</v>
      </c>
      <c r="Y2388" s="218">
        <v>1</v>
      </c>
    </row>
    <row r="2389" spans="1:25" x14ac:dyDescent="0.3">
      <c r="A2389" s="1" t="s">
        <v>6875</v>
      </c>
      <c r="B2389" s="5">
        <v>46235</v>
      </c>
      <c r="C2389" s="6">
        <v>0.45833333333333298</v>
      </c>
      <c r="D2389" s="1" t="s">
        <v>27</v>
      </c>
      <c r="E2389" s="1" t="s">
        <v>28</v>
      </c>
      <c r="F2389" s="1" t="s">
        <v>6876</v>
      </c>
      <c r="G2389" s="39" t="s">
        <v>6711</v>
      </c>
      <c r="H2389" s="1">
        <v>1</v>
      </c>
      <c r="I2389" s="1">
        <v>0</v>
      </c>
      <c r="J2389" s="39" t="s">
        <v>6666</v>
      </c>
      <c r="K2389" s="1">
        <v>0</v>
      </c>
      <c r="L2389" s="1">
        <v>1</v>
      </c>
      <c r="S2389" s="1" t="s">
        <v>6877</v>
      </c>
      <c r="T2389" s="1">
        <v>1</v>
      </c>
      <c r="U2389" s="19"/>
      <c r="V2389" s="19"/>
      <c r="W2389" s="218">
        <v>1</v>
      </c>
      <c r="X2389" s="218">
        <v>1</v>
      </c>
      <c r="Y2389" s="218">
        <v>1</v>
      </c>
    </row>
    <row r="2390" spans="1:25" x14ac:dyDescent="0.3">
      <c r="A2390" s="1" t="s">
        <v>6878</v>
      </c>
      <c r="B2390" s="5">
        <v>46167</v>
      </c>
      <c r="C2390" s="6">
        <v>0.59375</v>
      </c>
      <c r="D2390" s="1" t="s">
        <v>27</v>
      </c>
      <c r="E2390" s="1" t="s">
        <v>28</v>
      </c>
      <c r="F2390" s="1" t="s">
        <v>6879</v>
      </c>
      <c r="G2390" s="39" t="s">
        <v>6666</v>
      </c>
      <c r="H2390" s="1">
        <v>1</v>
      </c>
      <c r="I2390" s="1">
        <v>1</v>
      </c>
      <c r="J2390" s="39" t="s">
        <v>6711</v>
      </c>
      <c r="K2390" s="1">
        <v>1</v>
      </c>
      <c r="L2390" s="1">
        <v>1</v>
      </c>
      <c r="S2390" s="1" t="s">
        <v>6880</v>
      </c>
      <c r="T2390" s="1">
        <v>1</v>
      </c>
      <c r="U2390" s="19"/>
      <c r="V2390" s="19"/>
      <c r="W2390" s="218">
        <v>1</v>
      </c>
      <c r="X2390" s="218">
        <v>1</v>
      </c>
      <c r="Y2390" s="218">
        <v>1</v>
      </c>
    </row>
    <row r="2391" spans="1:25" x14ac:dyDescent="0.3">
      <c r="A2391" s="1" t="s">
        <v>6881</v>
      </c>
      <c r="B2391" s="5">
        <v>46152</v>
      </c>
      <c r="C2391" s="6">
        <v>0.5</v>
      </c>
      <c r="D2391" s="1" t="s">
        <v>27</v>
      </c>
      <c r="E2391" s="1" t="s">
        <v>28</v>
      </c>
      <c r="F2391" s="1" t="s">
        <v>6882</v>
      </c>
      <c r="G2391" s="39" t="s">
        <v>6666</v>
      </c>
      <c r="H2391" s="1">
        <v>2</v>
      </c>
      <c r="I2391" s="1">
        <v>0</v>
      </c>
      <c r="J2391" s="39" t="s">
        <v>6697</v>
      </c>
      <c r="K2391" s="1">
        <v>0</v>
      </c>
      <c r="L2391" s="1">
        <v>2</v>
      </c>
      <c r="S2391" s="1" t="s">
        <v>6883</v>
      </c>
      <c r="T2391" s="1">
        <v>1</v>
      </c>
      <c r="U2391" s="19"/>
      <c r="V2391" s="19"/>
      <c r="W2391" s="218">
        <v>1</v>
      </c>
      <c r="X2391" s="218">
        <v>1</v>
      </c>
      <c r="Y2391" s="218">
        <v>1</v>
      </c>
    </row>
    <row r="2392" spans="1:25" x14ac:dyDescent="0.3">
      <c r="A2392" s="1" t="s">
        <v>6884</v>
      </c>
      <c r="B2392" s="5">
        <v>46145</v>
      </c>
      <c r="C2392" s="6">
        <v>0.5</v>
      </c>
      <c r="D2392" s="1" t="s">
        <v>27</v>
      </c>
      <c r="E2392" s="1" t="s">
        <v>28</v>
      </c>
      <c r="F2392" s="1" t="s">
        <v>6885</v>
      </c>
      <c r="G2392" s="39" t="s">
        <v>6666</v>
      </c>
      <c r="H2392" s="1">
        <v>1</v>
      </c>
      <c r="I2392" s="1">
        <v>0</v>
      </c>
      <c r="J2392" s="39" t="s">
        <v>6630</v>
      </c>
      <c r="K2392" s="1">
        <v>0</v>
      </c>
      <c r="L2392" s="1">
        <v>1</v>
      </c>
      <c r="S2392" s="1" t="s">
        <v>6886</v>
      </c>
      <c r="T2392" s="1">
        <v>1</v>
      </c>
      <c r="U2392" s="19"/>
      <c r="V2392" s="19"/>
      <c r="W2392" s="218">
        <v>1</v>
      </c>
      <c r="X2392" s="218">
        <v>1</v>
      </c>
      <c r="Y2392" s="218">
        <v>1</v>
      </c>
    </row>
    <row r="2393" spans="1:25" x14ac:dyDescent="0.3">
      <c r="A2393" s="1" t="s">
        <v>6887</v>
      </c>
      <c r="B2393" s="5">
        <v>46130</v>
      </c>
      <c r="C2393" s="6">
        <v>0.45833333333333298</v>
      </c>
      <c r="D2393" s="1" t="s">
        <v>27</v>
      </c>
      <c r="E2393" s="1" t="s">
        <v>28</v>
      </c>
      <c r="F2393" s="1" t="s">
        <v>6888</v>
      </c>
      <c r="G2393" s="39" t="s">
        <v>6666</v>
      </c>
      <c r="H2393" s="1">
        <v>0</v>
      </c>
      <c r="I2393" s="1">
        <v>0</v>
      </c>
      <c r="J2393" s="39" t="s">
        <v>6707</v>
      </c>
      <c r="K2393" s="1">
        <v>0</v>
      </c>
      <c r="L2393" s="1">
        <v>0</v>
      </c>
      <c r="S2393" s="1" t="s">
        <v>6889</v>
      </c>
      <c r="T2393" s="1">
        <v>1</v>
      </c>
      <c r="U2393" s="19"/>
      <c r="V2393" s="19"/>
      <c r="W2393" s="218">
        <v>1</v>
      </c>
      <c r="X2393" s="218">
        <v>1</v>
      </c>
      <c r="Y2393" s="218">
        <v>1</v>
      </c>
    </row>
    <row r="2394" spans="1:25" x14ac:dyDescent="0.3">
      <c r="A2394" s="1" t="s">
        <v>6890</v>
      </c>
      <c r="B2394" s="5">
        <v>46242</v>
      </c>
      <c r="C2394" s="6">
        <v>0.54166666666666696</v>
      </c>
      <c r="D2394" s="1" t="s">
        <v>27</v>
      </c>
      <c r="E2394" s="1" t="s">
        <v>28</v>
      </c>
      <c r="F2394" s="1" t="s">
        <v>6891</v>
      </c>
      <c r="G2394" s="39" t="s">
        <v>6658</v>
      </c>
      <c r="H2394" s="1">
        <v>0</v>
      </c>
      <c r="I2394" s="1">
        <v>1</v>
      </c>
      <c r="J2394" s="39" t="s">
        <v>6711</v>
      </c>
      <c r="K2394" s="1">
        <v>1</v>
      </c>
      <c r="L2394" s="1">
        <v>0</v>
      </c>
      <c r="S2394" s="1" t="s">
        <v>6892</v>
      </c>
      <c r="T2394" s="1">
        <v>1</v>
      </c>
      <c r="U2394" s="19"/>
      <c r="V2394" s="19"/>
      <c r="W2394" s="218">
        <v>1</v>
      </c>
      <c r="X2394" s="218">
        <v>1</v>
      </c>
      <c r="Y2394" s="218">
        <v>1</v>
      </c>
    </row>
    <row r="2395" spans="1:25" x14ac:dyDescent="0.3">
      <c r="A2395" s="1" t="s">
        <v>6895</v>
      </c>
      <c r="B2395" s="5">
        <v>46171</v>
      </c>
      <c r="C2395" s="6">
        <v>0.58333333333333304</v>
      </c>
      <c r="D2395" s="1" t="s">
        <v>27</v>
      </c>
      <c r="E2395" s="1" t="s">
        <v>28</v>
      </c>
      <c r="F2395" s="1" t="s">
        <v>6896</v>
      </c>
      <c r="G2395" s="39" t="s">
        <v>6711</v>
      </c>
      <c r="H2395" s="1">
        <v>2</v>
      </c>
      <c r="I2395" s="1">
        <v>1</v>
      </c>
      <c r="J2395" s="39" t="s">
        <v>6658</v>
      </c>
      <c r="K2395" s="1">
        <v>1</v>
      </c>
      <c r="L2395" s="1">
        <v>2</v>
      </c>
      <c r="S2395" s="1" t="s">
        <v>6897</v>
      </c>
      <c r="T2395" s="1">
        <v>1</v>
      </c>
      <c r="U2395" s="19"/>
      <c r="V2395" s="19"/>
      <c r="W2395" s="218">
        <v>1</v>
      </c>
      <c r="X2395" s="218">
        <v>1</v>
      </c>
      <c r="Y2395" s="218">
        <v>1</v>
      </c>
    </row>
    <row r="2396" spans="1:25" x14ac:dyDescent="0.3">
      <c r="A2396" s="1" t="s">
        <v>6898</v>
      </c>
      <c r="B2396" s="5">
        <v>46131</v>
      </c>
      <c r="C2396" s="6">
        <v>0.5</v>
      </c>
      <c r="D2396" s="1" t="s">
        <v>27</v>
      </c>
      <c r="E2396" s="1" t="s">
        <v>28</v>
      </c>
      <c r="F2396" s="1" t="s">
        <v>6899</v>
      </c>
      <c r="G2396" s="39" t="s">
        <v>6697</v>
      </c>
      <c r="H2396" s="1">
        <v>2</v>
      </c>
      <c r="I2396" s="1">
        <v>0</v>
      </c>
      <c r="J2396" s="39" t="s">
        <v>6711</v>
      </c>
      <c r="K2396" s="1">
        <v>0</v>
      </c>
      <c r="L2396" s="1">
        <v>2</v>
      </c>
      <c r="S2396" s="1" t="s">
        <v>6900</v>
      </c>
      <c r="T2396" s="1">
        <v>1</v>
      </c>
      <c r="U2396" s="19"/>
      <c r="V2396" s="19"/>
      <c r="W2396" s="218">
        <v>0</v>
      </c>
      <c r="X2396" s="218">
        <v>1</v>
      </c>
      <c r="Y2396" s="218">
        <v>1</v>
      </c>
    </row>
    <row r="2397" spans="1:25" x14ac:dyDescent="0.3">
      <c r="A2397" s="1" t="s">
        <v>6901</v>
      </c>
      <c r="B2397" s="5">
        <v>46219</v>
      </c>
      <c r="C2397" s="6">
        <v>0.58333333333333304</v>
      </c>
      <c r="D2397" s="1" t="s">
        <v>27</v>
      </c>
      <c r="E2397" s="1" t="s">
        <v>28</v>
      </c>
      <c r="F2397" s="1" t="s">
        <v>6902</v>
      </c>
      <c r="G2397" s="39" t="s">
        <v>6639</v>
      </c>
      <c r="H2397" s="1">
        <v>6</v>
      </c>
      <c r="I2397" s="1">
        <v>1</v>
      </c>
      <c r="J2397" s="39" t="s">
        <v>6630</v>
      </c>
      <c r="K2397" s="1">
        <v>1</v>
      </c>
      <c r="L2397" s="1">
        <v>6</v>
      </c>
      <c r="S2397" s="1" t="s">
        <v>6903</v>
      </c>
      <c r="T2397" s="1">
        <v>1</v>
      </c>
      <c r="U2397" s="19"/>
      <c r="V2397" s="19"/>
      <c r="W2397" s="218">
        <v>1</v>
      </c>
      <c r="X2397" s="218">
        <v>1</v>
      </c>
      <c r="Y2397" s="218">
        <v>1</v>
      </c>
    </row>
    <row r="2398" spans="1:25" x14ac:dyDescent="0.3">
      <c r="A2398" s="1" t="s">
        <v>6904</v>
      </c>
      <c r="B2398" s="5">
        <v>46171</v>
      </c>
      <c r="C2398" s="6">
        <v>0.58333333333333304</v>
      </c>
      <c r="D2398" s="1" t="s">
        <v>27</v>
      </c>
      <c r="E2398" s="1" t="s">
        <v>28</v>
      </c>
      <c r="F2398" s="1" t="s">
        <v>6905</v>
      </c>
      <c r="G2398" s="39" t="s">
        <v>6639</v>
      </c>
      <c r="H2398" s="1">
        <v>3</v>
      </c>
      <c r="I2398" s="1">
        <v>1</v>
      </c>
      <c r="J2398" s="39" t="s">
        <v>6697</v>
      </c>
      <c r="K2398" s="1">
        <v>1</v>
      </c>
      <c r="L2398" s="1">
        <v>3</v>
      </c>
      <c r="S2398" s="1" t="s">
        <v>6906</v>
      </c>
      <c r="T2398" s="1">
        <v>1</v>
      </c>
      <c r="U2398" s="19"/>
      <c r="V2398" s="19"/>
      <c r="W2398" s="218">
        <v>1</v>
      </c>
      <c r="X2398" s="218">
        <v>1</v>
      </c>
      <c r="Y2398" s="218">
        <v>1</v>
      </c>
    </row>
    <row r="2399" spans="1:25" x14ac:dyDescent="0.3">
      <c r="A2399" s="1" t="s">
        <v>6907</v>
      </c>
      <c r="B2399" s="5">
        <v>46167</v>
      </c>
      <c r="C2399" s="6">
        <v>0.39583333333333298</v>
      </c>
      <c r="D2399" s="1" t="s">
        <v>27</v>
      </c>
      <c r="E2399" s="1" t="s">
        <v>28</v>
      </c>
      <c r="F2399" s="1" t="s">
        <v>6908</v>
      </c>
      <c r="G2399" s="39" t="s">
        <v>6658</v>
      </c>
      <c r="H2399" s="1">
        <v>2</v>
      </c>
      <c r="I2399" s="1">
        <v>0</v>
      </c>
      <c r="J2399" s="39" t="s">
        <v>6639</v>
      </c>
      <c r="K2399" s="1">
        <v>0</v>
      </c>
      <c r="L2399" s="1">
        <v>2</v>
      </c>
      <c r="S2399" s="1" t="s">
        <v>6909</v>
      </c>
      <c r="T2399" s="1">
        <v>1</v>
      </c>
      <c r="U2399" s="19"/>
      <c r="V2399" s="19"/>
      <c r="W2399" s="218">
        <v>1</v>
      </c>
      <c r="X2399" s="218">
        <v>1</v>
      </c>
      <c r="Y2399" s="218">
        <v>1</v>
      </c>
    </row>
    <row r="2400" spans="1:25" x14ac:dyDescent="0.3">
      <c r="A2400" s="1" t="s">
        <v>6910</v>
      </c>
      <c r="B2400" s="5">
        <v>46145</v>
      </c>
      <c r="C2400" s="6">
        <v>0.59375</v>
      </c>
      <c r="D2400" s="1" t="s">
        <v>27</v>
      </c>
      <c r="E2400" s="1" t="s">
        <v>28</v>
      </c>
      <c r="F2400" s="1" t="s">
        <v>6911</v>
      </c>
      <c r="G2400" s="39" t="s">
        <v>6639</v>
      </c>
      <c r="H2400" s="1">
        <v>2</v>
      </c>
      <c r="I2400" s="1">
        <v>2</v>
      </c>
      <c r="J2400" s="39" t="s">
        <v>6643</v>
      </c>
      <c r="K2400" s="1">
        <v>2</v>
      </c>
      <c r="L2400" s="1">
        <v>2</v>
      </c>
      <c r="S2400" s="1" t="s">
        <v>6912</v>
      </c>
      <c r="T2400" s="1">
        <v>1</v>
      </c>
      <c r="U2400" s="19"/>
      <c r="V2400" s="19"/>
      <c r="W2400" s="218">
        <v>1</v>
      </c>
      <c r="X2400" s="218">
        <v>1</v>
      </c>
      <c r="Y2400" s="218">
        <v>1</v>
      </c>
    </row>
    <row r="2401" spans="1:25" x14ac:dyDescent="0.3">
      <c r="A2401" s="1" t="s">
        <v>6913</v>
      </c>
      <c r="B2401" s="5">
        <v>46158</v>
      </c>
      <c r="C2401" s="6">
        <v>0.45833333333333298</v>
      </c>
      <c r="D2401" s="1" t="s">
        <v>27</v>
      </c>
      <c r="E2401" s="1" t="s">
        <v>28</v>
      </c>
      <c r="F2401" s="1" t="s">
        <v>6914</v>
      </c>
      <c r="G2401" s="39" t="s">
        <v>6707</v>
      </c>
      <c r="H2401" s="1">
        <v>2</v>
      </c>
      <c r="I2401" s="1">
        <v>3</v>
      </c>
      <c r="J2401" s="39" t="s">
        <v>6630</v>
      </c>
      <c r="K2401" s="1">
        <v>3</v>
      </c>
      <c r="L2401" s="1">
        <v>2</v>
      </c>
      <c r="S2401" s="1" t="s">
        <v>6915</v>
      </c>
      <c r="T2401" s="1">
        <v>1</v>
      </c>
      <c r="U2401" s="19"/>
      <c r="V2401" s="19"/>
      <c r="W2401" s="218">
        <v>1</v>
      </c>
      <c r="X2401" s="218">
        <v>1</v>
      </c>
      <c r="Y2401" s="218">
        <v>1</v>
      </c>
    </row>
    <row r="2402" spans="1:25" x14ac:dyDescent="0.3">
      <c r="A2402" s="1" t="s">
        <v>6916</v>
      </c>
      <c r="B2402" s="5">
        <v>46138</v>
      </c>
      <c r="C2402" s="6">
        <v>0.5</v>
      </c>
      <c r="D2402" s="1" t="s">
        <v>27</v>
      </c>
      <c r="E2402" s="1" t="s">
        <v>28</v>
      </c>
      <c r="F2402" s="1" t="s">
        <v>6917</v>
      </c>
      <c r="G2402" s="39" t="s">
        <v>6630</v>
      </c>
      <c r="H2402" s="1">
        <v>1</v>
      </c>
      <c r="I2402" s="1">
        <v>1</v>
      </c>
      <c r="J2402" s="39" t="s">
        <v>6697</v>
      </c>
      <c r="K2402" s="1">
        <v>1</v>
      </c>
      <c r="L2402" s="1">
        <v>1</v>
      </c>
      <c r="S2402" s="1" t="s">
        <v>6918</v>
      </c>
      <c r="T2402" s="1">
        <v>1</v>
      </c>
      <c r="U2402" s="19"/>
      <c r="V2402" s="19"/>
      <c r="W2402" s="218">
        <v>1</v>
      </c>
      <c r="X2402" s="218">
        <v>1</v>
      </c>
      <c r="Y2402" s="218">
        <v>1</v>
      </c>
    </row>
    <row r="2403" spans="1:25" x14ac:dyDescent="0.3">
      <c r="A2403" s="1" t="s">
        <v>6919</v>
      </c>
      <c r="B2403" s="5">
        <v>46130</v>
      </c>
      <c r="C2403" s="6">
        <v>0.375</v>
      </c>
      <c r="D2403" s="1" t="s">
        <v>27</v>
      </c>
      <c r="E2403" s="1" t="s">
        <v>28</v>
      </c>
      <c r="F2403" s="1" t="s">
        <v>6920</v>
      </c>
      <c r="G2403" s="39" t="s">
        <v>6650</v>
      </c>
      <c r="H2403" s="1">
        <v>3</v>
      </c>
      <c r="I2403" s="1">
        <v>0</v>
      </c>
      <c r="J2403" s="39" t="s">
        <v>6630</v>
      </c>
      <c r="K2403" s="1">
        <v>0</v>
      </c>
      <c r="L2403" s="1">
        <v>3</v>
      </c>
      <c r="S2403" s="1" t="s">
        <v>6921</v>
      </c>
      <c r="T2403" s="1">
        <v>1</v>
      </c>
      <c r="U2403" s="19"/>
      <c r="V2403" s="19"/>
      <c r="W2403" s="218">
        <v>0</v>
      </c>
      <c r="X2403" s="218">
        <v>1</v>
      </c>
      <c r="Y2403" s="218">
        <v>1</v>
      </c>
    </row>
    <row r="2404" spans="1:25" x14ac:dyDescent="0.3">
      <c r="A2404" s="1" t="s">
        <v>6922</v>
      </c>
      <c r="B2404" s="5">
        <v>46236</v>
      </c>
      <c r="C2404" s="6">
        <v>0.5</v>
      </c>
      <c r="D2404" s="1" t="s">
        <v>27</v>
      </c>
      <c r="E2404" s="1" t="s">
        <v>28</v>
      </c>
      <c r="F2404" s="1" t="s">
        <v>6923</v>
      </c>
      <c r="G2404" s="39" t="s">
        <v>6643</v>
      </c>
      <c r="H2404" s="1">
        <v>2</v>
      </c>
      <c r="I2404" s="1">
        <v>1</v>
      </c>
      <c r="J2404" s="39" t="s">
        <v>6697</v>
      </c>
      <c r="K2404" s="1">
        <v>1</v>
      </c>
      <c r="L2404" s="1">
        <v>2</v>
      </c>
      <c r="S2404" s="1" t="s">
        <v>6924</v>
      </c>
      <c r="T2404" s="1">
        <v>1</v>
      </c>
      <c r="U2404" s="19"/>
      <c r="V2404" s="19"/>
      <c r="W2404" s="218">
        <v>1</v>
      </c>
      <c r="X2404" s="218">
        <v>1</v>
      </c>
      <c r="Y2404" s="218">
        <v>1</v>
      </c>
    </row>
    <row r="2405" spans="1:25" x14ac:dyDescent="0.3">
      <c r="A2405" s="1" t="s">
        <v>6925</v>
      </c>
      <c r="B2405" s="5">
        <v>46228</v>
      </c>
      <c r="C2405" s="6">
        <v>0.45833333333333298</v>
      </c>
      <c r="D2405" s="1" t="s">
        <v>27</v>
      </c>
      <c r="E2405" s="1" t="s">
        <v>28</v>
      </c>
      <c r="F2405" s="1" t="s">
        <v>6926</v>
      </c>
      <c r="G2405" s="39" t="s">
        <v>6697</v>
      </c>
      <c r="H2405" s="1">
        <v>1</v>
      </c>
      <c r="I2405" s="1">
        <v>2</v>
      </c>
      <c r="J2405" s="39" t="s">
        <v>6658</v>
      </c>
      <c r="K2405" s="1">
        <v>2</v>
      </c>
      <c r="L2405" s="1">
        <v>1</v>
      </c>
      <c r="S2405" s="1" t="s">
        <v>6927</v>
      </c>
      <c r="T2405" s="1">
        <v>1</v>
      </c>
      <c r="U2405" s="19"/>
      <c r="V2405" s="19"/>
      <c r="W2405" s="218">
        <v>1</v>
      </c>
      <c r="X2405" s="218">
        <v>1</v>
      </c>
      <c r="Y2405" s="218">
        <v>1</v>
      </c>
    </row>
    <row r="2406" spans="1:25" x14ac:dyDescent="0.3">
      <c r="A2406" s="1" t="s">
        <v>6928</v>
      </c>
      <c r="B2406" s="5">
        <v>46221</v>
      </c>
      <c r="C2406" s="6">
        <v>0.45833333333333298</v>
      </c>
      <c r="D2406" s="1" t="s">
        <v>27</v>
      </c>
      <c r="E2406" s="1" t="s">
        <v>28</v>
      </c>
      <c r="F2406" s="1" t="s">
        <v>6929</v>
      </c>
      <c r="G2406" s="39" t="s">
        <v>6658</v>
      </c>
      <c r="H2406" s="1">
        <v>0</v>
      </c>
      <c r="I2406" s="1">
        <v>3</v>
      </c>
      <c r="J2406" s="39" t="s">
        <v>6707</v>
      </c>
      <c r="K2406" s="1">
        <v>3</v>
      </c>
      <c r="L2406" s="1">
        <v>0</v>
      </c>
      <c r="S2406" s="1" t="s">
        <v>6930</v>
      </c>
      <c r="T2406" s="1">
        <v>1</v>
      </c>
      <c r="U2406" s="19"/>
      <c r="V2406" s="19"/>
      <c r="W2406" s="218">
        <v>1</v>
      </c>
      <c r="X2406" s="218">
        <v>1</v>
      </c>
      <c r="Y2406" s="218">
        <v>1</v>
      </c>
    </row>
    <row r="2407" spans="1:25" x14ac:dyDescent="0.3">
      <c r="A2407" s="1" t="s">
        <v>6931</v>
      </c>
      <c r="B2407" s="5">
        <v>46215</v>
      </c>
      <c r="C2407" s="6">
        <v>0.5</v>
      </c>
      <c r="D2407" s="1" t="s">
        <v>27</v>
      </c>
      <c r="E2407" s="1" t="s">
        <v>28</v>
      </c>
      <c r="F2407" s="1" t="s">
        <v>6932</v>
      </c>
      <c r="G2407" s="39" t="s">
        <v>6707</v>
      </c>
      <c r="H2407" s="1">
        <v>3</v>
      </c>
      <c r="I2407" s="1">
        <v>0</v>
      </c>
      <c r="J2407" s="39" t="s">
        <v>6697</v>
      </c>
      <c r="K2407" s="1">
        <v>0</v>
      </c>
      <c r="L2407" s="1">
        <v>3</v>
      </c>
      <c r="S2407" s="1" t="s">
        <v>6933</v>
      </c>
      <c r="T2407" s="1">
        <v>1</v>
      </c>
      <c r="U2407" s="19"/>
      <c r="V2407" s="19"/>
      <c r="W2407" s="218">
        <v>1</v>
      </c>
      <c r="X2407" s="218">
        <v>1</v>
      </c>
      <c r="Y2407" s="218">
        <v>1</v>
      </c>
    </row>
    <row r="2408" spans="1:25" x14ac:dyDescent="0.3">
      <c r="A2408" s="1" t="s">
        <v>6934</v>
      </c>
      <c r="B2408" s="5">
        <v>46167</v>
      </c>
      <c r="C2408" s="6">
        <v>0.5</v>
      </c>
      <c r="D2408" s="1" t="s">
        <v>27</v>
      </c>
      <c r="E2408" s="1" t="s">
        <v>28</v>
      </c>
      <c r="F2408" s="1" t="s">
        <v>6935</v>
      </c>
      <c r="G2408" s="39" t="s">
        <v>6643</v>
      </c>
      <c r="H2408" s="1">
        <v>2</v>
      </c>
      <c r="I2408" s="1">
        <v>0</v>
      </c>
      <c r="J2408" s="39" t="s">
        <v>6707</v>
      </c>
      <c r="K2408" s="1">
        <v>0</v>
      </c>
      <c r="L2408" s="1">
        <v>2</v>
      </c>
      <c r="S2408" s="1" t="s">
        <v>6936</v>
      </c>
      <c r="T2408" s="1">
        <v>1</v>
      </c>
      <c r="U2408" s="19"/>
      <c r="V2408" s="19"/>
      <c r="W2408" s="218">
        <v>1</v>
      </c>
      <c r="X2408" s="218">
        <v>1</v>
      </c>
      <c r="Y2408" s="218">
        <v>1</v>
      </c>
    </row>
    <row r="2409" spans="1:25" x14ac:dyDescent="0.3">
      <c r="A2409" s="1" t="s">
        <v>6937</v>
      </c>
      <c r="B2409" s="5">
        <v>46131</v>
      </c>
      <c r="C2409" s="6">
        <v>0.5</v>
      </c>
      <c r="D2409" s="1" t="s">
        <v>27</v>
      </c>
      <c r="E2409" s="1" t="s">
        <v>28</v>
      </c>
      <c r="F2409" s="1" t="s">
        <v>6938</v>
      </c>
      <c r="G2409" s="39" t="s">
        <v>6635</v>
      </c>
      <c r="H2409" s="1">
        <v>4</v>
      </c>
      <c r="I2409" s="1">
        <v>0</v>
      </c>
      <c r="J2409" s="39" t="s">
        <v>6643</v>
      </c>
      <c r="K2409" s="1">
        <v>0</v>
      </c>
      <c r="L2409" s="1">
        <v>4</v>
      </c>
      <c r="S2409" s="1" t="s">
        <v>6939</v>
      </c>
      <c r="T2409" s="1">
        <v>1</v>
      </c>
      <c r="U2409" s="19"/>
      <c r="V2409" s="19"/>
      <c r="W2409" s="218">
        <v>0</v>
      </c>
      <c r="X2409" s="218">
        <v>1</v>
      </c>
      <c r="Y2409" s="218">
        <v>1</v>
      </c>
    </row>
    <row r="2410" spans="1:25" x14ac:dyDescent="0.3">
      <c r="A2410" s="1" t="s">
        <v>6963</v>
      </c>
      <c r="B2410" s="5">
        <v>46243</v>
      </c>
      <c r="C2410" s="6">
        <v>0.5</v>
      </c>
      <c r="D2410" s="1" t="s">
        <v>27</v>
      </c>
      <c r="E2410" s="1" t="s">
        <v>29</v>
      </c>
      <c r="F2410" s="1" t="s">
        <v>6964</v>
      </c>
      <c r="G2410" s="39" t="s">
        <v>6958</v>
      </c>
      <c r="H2410" s="1">
        <v>7</v>
      </c>
      <c r="I2410" s="1">
        <v>2</v>
      </c>
      <c r="J2410" s="39" t="s">
        <v>6965</v>
      </c>
      <c r="K2410" s="1">
        <v>2</v>
      </c>
      <c r="L2410" s="1">
        <v>7</v>
      </c>
      <c r="S2410" s="1" t="s">
        <v>6966</v>
      </c>
      <c r="T2410" s="1">
        <v>1</v>
      </c>
      <c r="U2410" s="19"/>
      <c r="V2410" s="19"/>
      <c r="W2410" s="218">
        <v>1</v>
      </c>
      <c r="X2410" s="218">
        <v>1</v>
      </c>
      <c r="Y2410" s="218">
        <v>1</v>
      </c>
    </row>
    <row r="2411" spans="1:25" x14ac:dyDescent="0.3">
      <c r="A2411" s="1" t="s">
        <v>6967</v>
      </c>
      <c r="B2411" s="5">
        <v>46228</v>
      </c>
      <c r="C2411" s="6">
        <v>0.625</v>
      </c>
      <c r="D2411" s="1" t="s">
        <v>27</v>
      </c>
      <c r="E2411" s="1" t="s">
        <v>29</v>
      </c>
      <c r="F2411" s="1" t="s">
        <v>6968</v>
      </c>
      <c r="G2411" s="39" t="s">
        <v>6958</v>
      </c>
      <c r="H2411" s="1">
        <v>1</v>
      </c>
      <c r="I2411" s="1">
        <v>2</v>
      </c>
      <c r="J2411" s="39" t="s">
        <v>6969</v>
      </c>
      <c r="K2411" s="1">
        <v>2</v>
      </c>
      <c r="L2411" s="1">
        <v>1</v>
      </c>
      <c r="S2411" s="1" t="s">
        <v>6970</v>
      </c>
      <c r="T2411" s="1">
        <v>1</v>
      </c>
      <c r="U2411" s="19"/>
      <c r="V2411" s="19"/>
      <c r="W2411" s="218">
        <v>1</v>
      </c>
      <c r="X2411" s="218">
        <v>1</v>
      </c>
      <c r="Y2411" s="218">
        <v>1</v>
      </c>
    </row>
    <row r="2412" spans="1:25" x14ac:dyDescent="0.3">
      <c r="A2412" s="1" t="s">
        <v>6971</v>
      </c>
      <c r="B2412" s="5">
        <v>46208</v>
      </c>
      <c r="C2412" s="6">
        <v>0.45833333333333298</v>
      </c>
      <c r="D2412" s="1" t="s">
        <v>27</v>
      </c>
      <c r="E2412" s="1" t="s">
        <v>29</v>
      </c>
      <c r="F2412" s="1" t="s">
        <v>6972</v>
      </c>
      <c r="G2412" s="39" t="s">
        <v>6945</v>
      </c>
      <c r="H2412" s="1">
        <v>1</v>
      </c>
      <c r="I2412" s="1">
        <v>3</v>
      </c>
      <c r="J2412" s="39" t="s">
        <v>6958</v>
      </c>
      <c r="K2412" s="1">
        <v>3</v>
      </c>
      <c r="L2412" s="1">
        <v>1</v>
      </c>
      <c r="S2412" s="1" t="s">
        <v>6973</v>
      </c>
      <c r="T2412" s="1">
        <v>1</v>
      </c>
      <c r="U2412" s="19"/>
      <c r="V2412" s="19"/>
      <c r="W2412" s="218">
        <v>1</v>
      </c>
      <c r="X2412" s="218">
        <v>1</v>
      </c>
      <c r="Y2412" s="218">
        <v>1</v>
      </c>
    </row>
    <row r="2413" spans="1:25" x14ac:dyDescent="0.3">
      <c r="A2413" s="1" t="s">
        <v>6974</v>
      </c>
      <c r="B2413" s="5">
        <v>46200</v>
      </c>
      <c r="C2413" s="6">
        <v>0.45833333333333298</v>
      </c>
      <c r="D2413" s="1" t="s">
        <v>27</v>
      </c>
      <c r="E2413" s="1" t="s">
        <v>29</v>
      </c>
      <c r="F2413" s="1" t="s">
        <v>6975</v>
      </c>
      <c r="G2413" s="39" t="s">
        <v>6958</v>
      </c>
      <c r="H2413" s="1">
        <v>4</v>
      </c>
      <c r="I2413" s="1">
        <v>2</v>
      </c>
      <c r="J2413" s="39" t="s">
        <v>6952</v>
      </c>
      <c r="K2413" s="1">
        <v>2</v>
      </c>
      <c r="L2413" s="1">
        <v>4</v>
      </c>
      <c r="S2413" s="1" t="s">
        <v>6976</v>
      </c>
      <c r="T2413" s="1">
        <v>1</v>
      </c>
      <c r="U2413" s="19"/>
      <c r="V2413" s="19"/>
      <c r="W2413" s="218">
        <v>1</v>
      </c>
      <c r="X2413" s="218">
        <v>1</v>
      </c>
      <c r="Y2413" s="218">
        <v>1</v>
      </c>
    </row>
    <row r="2414" spans="1:25" x14ac:dyDescent="0.3">
      <c r="A2414" s="1" t="s">
        <v>6977</v>
      </c>
      <c r="B2414" s="5">
        <v>46194</v>
      </c>
      <c r="C2414" s="6">
        <v>0.45833333333333298</v>
      </c>
      <c r="D2414" s="1" t="s">
        <v>27</v>
      </c>
      <c r="E2414" s="1" t="s">
        <v>29</v>
      </c>
      <c r="F2414" s="1" t="s">
        <v>6978</v>
      </c>
      <c r="G2414" s="39" t="s">
        <v>6954</v>
      </c>
      <c r="H2414" s="1">
        <v>5</v>
      </c>
      <c r="I2414" s="1">
        <v>2</v>
      </c>
      <c r="J2414" s="39" t="s">
        <v>6958</v>
      </c>
      <c r="K2414" s="1">
        <v>2</v>
      </c>
      <c r="L2414" s="1">
        <v>5</v>
      </c>
      <c r="S2414" s="1" t="s">
        <v>6979</v>
      </c>
      <c r="T2414" s="1">
        <v>1</v>
      </c>
      <c r="U2414" s="19"/>
      <c r="V2414" s="19"/>
      <c r="W2414" s="218">
        <v>1</v>
      </c>
      <c r="X2414" s="218">
        <v>1</v>
      </c>
      <c r="Y2414" s="218">
        <v>1</v>
      </c>
    </row>
    <row r="2415" spans="1:25" x14ac:dyDescent="0.3">
      <c r="A2415" s="1" t="s">
        <v>6980</v>
      </c>
      <c r="B2415" s="5">
        <v>46187</v>
      </c>
      <c r="C2415" s="6">
        <v>0.45833333333333298</v>
      </c>
      <c r="D2415" s="1" t="s">
        <v>27</v>
      </c>
      <c r="E2415" s="1" t="s">
        <v>29</v>
      </c>
      <c r="F2415" s="1" t="s">
        <v>6981</v>
      </c>
      <c r="G2415" s="39" t="s">
        <v>6958</v>
      </c>
      <c r="H2415" s="1">
        <v>4</v>
      </c>
      <c r="I2415" s="1">
        <v>1</v>
      </c>
      <c r="J2415" s="39" t="s">
        <v>6957</v>
      </c>
      <c r="K2415" s="1">
        <v>1</v>
      </c>
      <c r="L2415" s="1">
        <v>4</v>
      </c>
      <c r="S2415" s="1" t="s">
        <v>6982</v>
      </c>
      <c r="T2415" s="1">
        <v>1</v>
      </c>
      <c r="U2415" s="19"/>
      <c r="V2415" s="19"/>
      <c r="W2415" s="218">
        <v>1</v>
      </c>
      <c r="X2415" s="218">
        <v>1</v>
      </c>
      <c r="Y2415" s="218">
        <v>1</v>
      </c>
    </row>
    <row r="2416" spans="1:25" x14ac:dyDescent="0.3">
      <c r="A2416" s="1" t="s">
        <v>6983</v>
      </c>
      <c r="B2416" s="5">
        <v>46173</v>
      </c>
      <c r="C2416" s="6">
        <v>0.5</v>
      </c>
      <c r="D2416" s="1" t="s">
        <v>27</v>
      </c>
      <c r="E2416" s="1" t="s">
        <v>29</v>
      </c>
      <c r="F2416" s="1" t="s">
        <v>6984</v>
      </c>
      <c r="G2416" s="39" t="s">
        <v>6965</v>
      </c>
      <c r="H2416" s="1">
        <v>3</v>
      </c>
      <c r="I2416" s="1">
        <v>4</v>
      </c>
      <c r="J2416" s="39" t="s">
        <v>6958</v>
      </c>
      <c r="K2416" s="1">
        <v>4</v>
      </c>
      <c r="L2416" s="1">
        <v>3</v>
      </c>
      <c r="S2416" s="1" t="s">
        <v>6985</v>
      </c>
      <c r="T2416" s="1">
        <v>1</v>
      </c>
      <c r="U2416" s="19"/>
      <c r="V2416" s="19"/>
      <c r="W2416" s="218">
        <v>1</v>
      </c>
      <c r="X2416" s="218">
        <v>1</v>
      </c>
      <c r="Y2416" s="218">
        <v>1</v>
      </c>
    </row>
    <row r="2417" spans="1:25" x14ac:dyDescent="0.3">
      <c r="A2417" s="1" t="s">
        <v>6986</v>
      </c>
      <c r="B2417" s="5">
        <v>46167</v>
      </c>
      <c r="C2417" s="6">
        <v>0.5</v>
      </c>
      <c r="D2417" s="1" t="s">
        <v>27</v>
      </c>
      <c r="E2417" s="1" t="s">
        <v>29</v>
      </c>
      <c r="F2417" s="1" t="s">
        <v>6987</v>
      </c>
      <c r="G2417" s="39" t="s">
        <v>6958</v>
      </c>
      <c r="H2417" s="1">
        <v>3</v>
      </c>
      <c r="I2417" s="1">
        <v>1</v>
      </c>
      <c r="J2417" s="39" t="s">
        <v>6988</v>
      </c>
      <c r="K2417" s="1">
        <v>1</v>
      </c>
      <c r="L2417" s="1">
        <v>3</v>
      </c>
      <c r="S2417" s="1" t="s">
        <v>6989</v>
      </c>
      <c r="T2417" s="1">
        <v>1</v>
      </c>
      <c r="U2417" s="19"/>
      <c r="V2417" s="19"/>
      <c r="W2417" s="218">
        <v>1</v>
      </c>
      <c r="X2417" s="218">
        <v>1</v>
      </c>
      <c r="Y2417" s="218">
        <v>1</v>
      </c>
    </row>
    <row r="2418" spans="1:25" x14ac:dyDescent="0.3">
      <c r="A2418" s="1" t="s">
        <v>6990</v>
      </c>
      <c r="B2418" s="5">
        <v>46162</v>
      </c>
      <c r="C2418" s="6">
        <v>0.58333333333333304</v>
      </c>
      <c r="D2418" s="1" t="s">
        <v>27</v>
      </c>
      <c r="E2418" s="1" t="s">
        <v>29</v>
      </c>
      <c r="F2418" s="1" t="s">
        <v>6991</v>
      </c>
      <c r="G2418" s="39" t="s">
        <v>6961</v>
      </c>
      <c r="H2418" s="1">
        <v>0</v>
      </c>
      <c r="I2418" s="1">
        <v>7</v>
      </c>
      <c r="J2418" s="39" t="s">
        <v>6958</v>
      </c>
      <c r="K2418" s="1">
        <v>7</v>
      </c>
      <c r="L2418" s="1">
        <v>0</v>
      </c>
      <c r="S2418" s="1" t="s">
        <v>6992</v>
      </c>
      <c r="T2418" s="1">
        <v>1</v>
      </c>
      <c r="U2418" s="19"/>
      <c r="V2418" s="19"/>
      <c r="W2418" s="218">
        <v>1</v>
      </c>
      <c r="X2418" s="218">
        <v>1</v>
      </c>
      <c r="Y2418" s="218">
        <v>1</v>
      </c>
    </row>
    <row r="2419" spans="1:25" x14ac:dyDescent="0.3">
      <c r="A2419" s="1" t="s">
        <v>6993</v>
      </c>
      <c r="B2419" s="5">
        <v>46158</v>
      </c>
      <c r="C2419" s="6">
        <v>0.45833333333333298</v>
      </c>
      <c r="D2419" s="1" t="s">
        <v>27</v>
      </c>
      <c r="E2419" s="1" t="s">
        <v>29</v>
      </c>
      <c r="F2419" s="1" t="s">
        <v>6994</v>
      </c>
      <c r="G2419" s="39" t="s">
        <v>6958</v>
      </c>
      <c r="H2419" s="1">
        <v>1</v>
      </c>
      <c r="I2419" s="1">
        <v>1</v>
      </c>
      <c r="J2419" s="39" t="s">
        <v>6946</v>
      </c>
      <c r="K2419" s="1">
        <v>1</v>
      </c>
      <c r="L2419" s="1">
        <v>1</v>
      </c>
      <c r="S2419" s="1" t="s">
        <v>6995</v>
      </c>
      <c r="T2419" s="1">
        <v>1</v>
      </c>
      <c r="U2419" s="19"/>
      <c r="V2419" s="19"/>
      <c r="W2419" s="218">
        <v>1</v>
      </c>
      <c r="X2419" s="218">
        <v>1</v>
      </c>
      <c r="Y2419" s="218">
        <v>1</v>
      </c>
    </row>
    <row r="2420" spans="1:25" x14ac:dyDescent="0.3">
      <c r="A2420" s="1" t="s">
        <v>6996</v>
      </c>
      <c r="B2420" s="5">
        <v>46152</v>
      </c>
      <c r="C2420" s="6">
        <v>0.5</v>
      </c>
      <c r="D2420" s="1" t="s">
        <v>27</v>
      </c>
      <c r="E2420" s="1" t="s">
        <v>29</v>
      </c>
      <c r="F2420" s="1" t="s">
        <v>6997</v>
      </c>
      <c r="G2420" s="39" t="s">
        <v>6950</v>
      </c>
      <c r="H2420" s="1">
        <v>5</v>
      </c>
      <c r="I2420" s="1">
        <v>1</v>
      </c>
      <c r="J2420" s="39" t="s">
        <v>6958</v>
      </c>
      <c r="K2420" s="1">
        <v>1</v>
      </c>
      <c r="L2420" s="1">
        <v>5</v>
      </c>
      <c r="S2420" s="1" t="s">
        <v>6998</v>
      </c>
      <c r="T2420" s="1">
        <v>1</v>
      </c>
      <c r="U2420" s="19"/>
      <c r="V2420" s="19"/>
      <c r="W2420" s="218">
        <v>1</v>
      </c>
      <c r="X2420" s="218">
        <v>1</v>
      </c>
      <c r="Y2420" s="218">
        <v>1</v>
      </c>
    </row>
    <row r="2421" spans="1:25" x14ac:dyDescent="0.3">
      <c r="A2421" s="1" t="s">
        <v>6999</v>
      </c>
      <c r="B2421" s="5">
        <v>46242</v>
      </c>
      <c r="C2421" s="6">
        <v>0.45833333333333298</v>
      </c>
      <c r="D2421" s="1" t="s">
        <v>27</v>
      </c>
      <c r="E2421" s="1" t="s">
        <v>29</v>
      </c>
      <c r="F2421" s="1" t="s">
        <v>7000</v>
      </c>
      <c r="G2421" s="39" t="s">
        <v>6941</v>
      </c>
      <c r="H2421" s="1">
        <v>4</v>
      </c>
      <c r="I2421" s="1">
        <v>3</v>
      </c>
      <c r="J2421" s="39" t="s">
        <v>6949</v>
      </c>
      <c r="K2421" s="1">
        <v>3</v>
      </c>
      <c r="L2421" s="1">
        <v>4</v>
      </c>
      <c r="S2421" s="1" t="s">
        <v>7001</v>
      </c>
      <c r="T2421" s="1">
        <v>1</v>
      </c>
      <c r="U2421" s="19"/>
      <c r="V2421" s="19"/>
      <c r="W2421" s="218">
        <v>1</v>
      </c>
      <c r="X2421" s="218">
        <v>1</v>
      </c>
      <c r="Y2421" s="218">
        <v>1</v>
      </c>
    </row>
    <row r="2422" spans="1:25" x14ac:dyDescent="0.3">
      <c r="A2422" s="1" t="s">
        <v>7002</v>
      </c>
      <c r="B2422" s="5">
        <v>46236</v>
      </c>
      <c r="C2422" s="6">
        <v>0.51041666666666696</v>
      </c>
      <c r="D2422" s="1" t="s">
        <v>27</v>
      </c>
      <c r="E2422" s="1" t="s">
        <v>29</v>
      </c>
      <c r="F2422" s="1" t="s">
        <v>7003</v>
      </c>
      <c r="G2422" s="39" t="s">
        <v>6965</v>
      </c>
      <c r="H2422" s="1">
        <v>0</v>
      </c>
      <c r="I2422" s="1">
        <v>2</v>
      </c>
      <c r="J2422" s="39" t="s">
        <v>6941</v>
      </c>
      <c r="K2422" s="1">
        <v>2</v>
      </c>
      <c r="L2422" s="1">
        <v>0</v>
      </c>
      <c r="S2422" s="1" t="s">
        <v>7004</v>
      </c>
      <c r="T2422" s="1">
        <v>1</v>
      </c>
      <c r="U2422" s="19"/>
      <c r="V2422" s="19"/>
      <c r="W2422" s="218">
        <v>1</v>
      </c>
      <c r="X2422" s="218">
        <v>1</v>
      </c>
      <c r="Y2422" s="218">
        <v>1</v>
      </c>
    </row>
    <row r="2423" spans="1:25" x14ac:dyDescent="0.3">
      <c r="A2423" s="1" t="s">
        <v>7005</v>
      </c>
      <c r="B2423" s="5">
        <v>46206</v>
      </c>
      <c r="C2423" s="6">
        <v>0.58333333333333304</v>
      </c>
      <c r="D2423" s="1" t="s">
        <v>27</v>
      </c>
      <c r="E2423" s="1" t="s">
        <v>29</v>
      </c>
      <c r="F2423" s="1" t="s">
        <v>7006</v>
      </c>
      <c r="G2423" s="39" t="s">
        <v>6957</v>
      </c>
      <c r="H2423" s="1">
        <v>2</v>
      </c>
      <c r="I2423" s="1">
        <v>5</v>
      </c>
      <c r="J2423" s="39" t="s">
        <v>6941</v>
      </c>
      <c r="K2423" s="1">
        <v>5</v>
      </c>
      <c r="L2423" s="1">
        <v>2</v>
      </c>
      <c r="S2423" s="1" t="s">
        <v>7007</v>
      </c>
      <c r="T2423" s="1">
        <v>1</v>
      </c>
      <c r="U2423" s="19"/>
      <c r="V2423" s="19"/>
      <c r="W2423" s="218">
        <v>1</v>
      </c>
      <c r="X2423" s="218">
        <v>1</v>
      </c>
      <c r="Y2423" s="218">
        <v>1</v>
      </c>
    </row>
    <row r="2424" spans="1:25" x14ac:dyDescent="0.3">
      <c r="A2424" s="1" t="s">
        <v>7008</v>
      </c>
      <c r="B2424" s="5">
        <v>46200</v>
      </c>
      <c r="C2424" s="6">
        <v>0.45833333333333298</v>
      </c>
      <c r="D2424" s="1" t="s">
        <v>27</v>
      </c>
      <c r="E2424" s="1" t="s">
        <v>29</v>
      </c>
      <c r="F2424" s="1" t="s">
        <v>7009</v>
      </c>
      <c r="G2424" s="39" t="s">
        <v>6941</v>
      </c>
      <c r="H2424" s="1">
        <v>2</v>
      </c>
      <c r="I2424" s="1">
        <v>0</v>
      </c>
      <c r="J2424" s="39" t="s">
        <v>6969</v>
      </c>
      <c r="K2424" s="1">
        <v>0</v>
      </c>
      <c r="L2424" s="1">
        <v>2</v>
      </c>
      <c r="S2424" s="1" t="s">
        <v>7010</v>
      </c>
      <c r="T2424" s="1">
        <v>1</v>
      </c>
      <c r="U2424" s="19"/>
      <c r="V2424" s="19"/>
      <c r="W2424" s="218">
        <v>1</v>
      </c>
      <c r="X2424" s="218">
        <v>1</v>
      </c>
      <c r="Y2424" s="218">
        <v>1</v>
      </c>
    </row>
    <row r="2425" spans="1:25" x14ac:dyDescent="0.3">
      <c r="A2425" s="1" t="s">
        <v>7011</v>
      </c>
      <c r="B2425" s="5">
        <v>46194</v>
      </c>
      <c r="C2425" s="6">
        <v>0.45833333333333298</v>
      </c>
      <c r="D2425" s="1" t="s">
        <v>27</v>
      </c>
      <c r="E2425" s="1" t="s">
        <v>29</v>
      </c>
      <c r="F2425" s="1" t="s">
        <v>7012</v>
      </c>
      <c r="G2425" s="39" t="s">
        <v>6961</v>
      </c>
      <c r="H2425" s="1">
        <v>1</v>
      </c>
      <c r="I2425" s="1">
        <v>0</v>
      </c>
      <c r="J2425" s="39" t="s">
        <v>6941</v>
      </c>
      <c r="K2425" s="1">
        <v>0</v>
      </c>
      <c r="L2425" s="1">
        <v>1</v>
      </c>
      <c r="S2425" s="1" t="s">
        <v>7013</v>
      </c>
      <c r="T2425" s="1">
        <v>1</v>
      </c>
      <c r="U2425" s="19"/>
      <c r="V2425" s="19"/>
      <c r="W2425" s="218">
        <v>1</v>
      </c>
      <c r="X2425" s="218">
        <v>1</v>
      </c>
      <c r="Y2425" s="218">
        <v>1</v>
      </c>
    </row>
    <row r="2426" spans="1:25" x14ac:dyDescent="0.3">
      <c r="A2426" s="1" t="s">
        <v>7014</v>
      </c>
      <c r="B2426" s="5">
        <v>46187</v>
      </c>
      <c r="C2426" s="6">
        <v>0.45833333333333298</v>
      </c>
      <c r="D2426" s="1" t="s">
        <v>27</v>
      </c>
      <c r="E2426" s="1" t="s">
        <v>29</v>
      </c>
      <c r="F2426" s="1" t="s">
        <v>7015</v>
      </c>
      <c r="G2426" s="39" t="s">
        <v>6941</v>
      </c>
      <c r="H2426" s="1">
        <v>3</v>
      </c>
      <c r="I2426" s="1">
        <v>1</v>
      </c>
      <c r="J2426" s="39" t="s">
        <v>6954</v>
      </c>
      <c r="K2426" s="1">
        <v>1</v>
      </c>
      <c r="L2426" s="1">
        <v>3</v>
      </c>
      <c r="S2426" s="1" t="s">
        <v>7016</v>
      </c>
      <c r="T2426" s="1">
        <v>1</v>
      </c>
      <c r="U2426" s="19"/>
      <c r="V2426" s="19"/>
      <c r="W2426" s="218">
        <v>1</v>
      </c>
      <c r="X2426" s="218">
        <v>1</v>
      </c>
      <c r="Y2426" s="218">
        <v>1</v>
      </c>
    </row>
    <row r="2427" spans="1:25" x14ac:dyDescent="0.3">
      <c r="A2427" s="1" t="s">
        <v>7017</v>
      </c>
      <c r="B2427" s="5">
        <v>46172</v>
      </c>
      <c r="C2427" s="6">
        <v>0.45833333333333298</v>
      </c>
      <c r="D2427" s="1" t="s">
        <v>27</v>
      </c>
      <c r="E2427" s="1" t="s">
        <v>29</v>
      </c>
      <c r="F2427" s="1" t="s">
        <v>7018</v>
      </c>
      <c r="G2427" s="39" t="s">
        <v>6988</v>
      </c>
      <c r="H2427" s="1">
        <v>2</v>
      </c>
      <c r="I2427" s="1">
        <v>2</v>
      </c>
      <c r="J2427" s="39" t="s">
        <v>6941</v>
      </c>
      <c r="K2427" s="1">
        <v>2</v>
      </c>
      <c r="L2427" s="1">
        <v>2</v>
      </c>
      <c r="S2427" s="1" t="s">
        <v>7019</v>
      </c>
      <c r="T2427" s="1">
        <v>1</v>
      </c>
      <c r="U2427" s="19"/>
      <c r="V2427" s="19"/>
      <c r="W2427" s="218">
        <v>1</v>
      </c>
      <c r="X2427" s="218">
        <v>1</v>
      </c>
      <c r="Y2427" s="218">
        <v>1</v>
      </c>
    </row>
    <row r="2428" spans="1:25" x14ac:dyDescent="0.3">
      <c r="A2428" s="1" t="s">
        <v>7020</v>
      </c>
      <c r="B2428" s="5">
        <v>46167</v>
      </c>
      <c r="C2428" s="6">
        <v>0.5</v>
      </c>
      <c r="D2428" s="1" t="s">
        <v>27</v>
      </c>
      <c r="E2428" s="1" t="s">
        <v>29</v>
      </c>
      <c r="F2428" s="1" t="s">
        <v>7021</v>
      </c>
      <c r="G2428" s="39" t="s">
        <v>6941</v>
      </c>
      <c r="H2428" s="1">
        <v>2</v>
      </c>
      <c r="I2428" s="1">
        <v>0</v>
      </c>
      <c r="J2428" s="39" t="s">
        <v>6952</v>
      </c>
      <c r="K2428" s="1">
        <v>0</v>
      </c>
      <c r="L2428" s="1">
        <v>2</v>
      </c>
      <c r="S2428" s="1" t="s">
        <v>7022</v>
      </c>
      <c r="T2428" s="1">
        <v>1</v>
      </c>
      <c r="U2428" s="19"/>
      <c r="V2428" s="19"/>
      <c r="W2428" s="218">
        <v>1</v>
      </c>
      <c r="X2428" s="218">
        <v>1</v>
      </c>
      <c r="Y2428" s="218">
        <v>1</v>
      </c>
    </row>
    <row r="2429" spans="1:25" x14ac:dyDescent="0.3">
      <c r="A2429" s="1" t="s">
        <v>7023</v>
      </c>
      <c r="B2429" s="5">
        <v>46162</v>
      </c>
      <c r="C2429" s="6">
        <v>0.58333333333333304</v>
      </c>
      <c r="D2429" s="1" t="s">
        <v>27</v>
      </c>
      <c r="E2429" s="1" t="s">
        <v>29</v>
      </c>
      <c r="F2429" s="1" t="s">
        <v>7024</v>
      </c>
      <c r="G2429" s="39" t="s">
        <v>6950</v>
      </c>
      <c r="H2429" s="1">
        <v>2</v>
      </c>
      <c r="I2429" s="1">
        <v>2</v>
      </c>
      <c r="J2429" s="39" t="s">
        <v>6941</v>
      </c>
      <c r="K2429" s="1">
        <v>2</v>
      </c>
      <c r="L2429" s="1">
        <v>2</v>
      </c>
      <c r="S2429" s="1" t="s">
        <v>7025</v>
      </c>
      <c r="T2429" s="1">
        <v>1</v>
      </c>
      <c r="U2429" s="19"/>
      <c r="V2429" s="19"/>
      <c r="W2429" s="218">
        <v>1</v>
      </c>
      <c r="X2429" s="218">
        <v>1</v>
      </c>
      <c r="Y2429" s="218">
        <v>1</v>
      </c>
    </row>
    <row r="2430" spans="1:25" x14ac:dyDescent="0.3">
      <c r="A2430" s="1" t="s">
        <v>7026</v>
      </c>
      <c r="B2430" s="5">
        <v>46158</v>
      </c>
      <c r="C2430" s="6">
        <v>0.45833333333333298</v>
      </c>
      <c r="D2430" s="1" t="s">
        <v>27</v>
      </c>
      <c r="E2430" s="1" t="s">
        <v>29</v>
      </c>
      <c r="F2430" s="1" t="s">
        <v>7027</v>
      </c>
      <c r="G2430" s="39" t="s">
        <v>6941</v>
      </c>
      <c r="H2430" s="1">
        <v>1</v>
      </c>
      <c r="I2430" s="1">
        <v>2</v>
      </c>
      <c r="J2430" s="39" t="s">
        <v>6965</v>
      </c>
      <c r="K2430" s="1">
        <v>2</v>
      </c>
      <c r="L2430" s="1">
        <v>1</v>
      </c>
      <c r="S2430" s="1" t="s">
        <v>7028</v>
      </c>
      <c r="T2430" s="1">
        <v>1</v>
      </c>
      <c r="U2430" s="19"/>
      <c r="V2430" s="19"/>
      <c r="W2430" s="218">
        <v>1</v>
      </c>
      <c r="X2430" s="218">
        <v>1</v>
      </c>
      <c r="Y2430" s="218">
        <v>1</v>
      </c>
    </row>
    <row r="2431" spans="1:25" x14ac:dyDescent="0.3">
      <c r="A2431" s="1" t="s">
        <v>7029</v>
      </c>
      <c r="B2431" s="5">
        <v>46152</v>
      </c>
      <c r="C2431" s="6">
        <v>0.5</v>
      </c>
      <c r="D2431" s="1" t="s">
        <v>27</v>
      </c>
      <c r="E2431" s="1" t="s">
        <v>29</v>
      </c>
      <c r="F2431" s="1" t="s">
        <v>7030</v>
      </c>
      <c r="G2431" s="39" t="s">
        <v>290</v>
      </c>
      <c r="H2431" s="1">
        <v>0</v>
      </c>
      <c r="I2431" s="1">
        <v>1</v>
      </c>
      <c r="J2431" s="39" t="s">
        <v>6941</v>
      </c>
      <c r="K2431" s="1">
        <v>1</v>
      </c>
      <c r="L2431" s="1">
        <v>0</v>
      </c>
      <c r="S2431" s="1" t="s">
        <v>7031</v>
      </c>
      <c r="T2431" s="1">
        <v>1</v>
      </c>
      <c r="U2431" s="19"/>
      <c r="V2431" s="19"/>
      <c r="W2431" s="218">
        <v>1</v>
      </c>
      <c r="X2431" s="218">
        <v>1</v>
      </c>
      <c r="Y2431" s="218">
        <v>1</v>
      </c>
    </row>
    <row r="2432" spans="1:25" x14ac:dyDescent="0.3">
      <c r="A2432" s="1" t="s">
        <v>7032</v>
      </c>
      <c r="B2432" s="5">
        <v>46243</v>
      </c>
      <c r="C2432" s="6">
        <v>0.5</v>
      </c>
      <c r="D2432" s="1" t="s">
        <v>27</v>
      </c>
      <c r="E2432" s="1" t="s">
        <v>29</v>
      </c>
      <c r="F2432" s="1" t="s">
        <v>7033</v>
      </c>
      <c r="G2432" s="39" t="s">
        <v>6946</v>
      </c>
      <c r="H2432" s="1">
        <v>1</v>
      </c>
      <c r="I2432" s="1">
        <v>2</v>
      </c>
      <c r="J2432" s="39" t="s">
        <v>6952</v>
      </c>
      <c r="K2432" s="1">
        <v>2</v>
      </c>
      <c r="L2432" s="1">
        <v>1</v>
      </c>
      <c r="S2432" s="1" t="s">
        <v>7034</v>
      </c>
      <c r="T2432" s="1">
        <v>1</v>
      </c>
      <c r="U2432" s="19"/>
      <c r="V2432" s="19"/>
      <c r="W2432" s="218">
        <v>1</v>
      </c>
      <c r="X2432" s="218">
        <v>1</v>
      </c>
      <c r="Y2432" s="218">
        <v>1</v>
      </c>
    </row>
    <row r="2433" spans="1:25" x14ac:dyDescent="0.3">
      <c r="A2433" s="1" t="s">
        <v>7035</v>
      </c>
      <c r="B2433" s="5">
        <v>46229</v>
      </c>
      <c r="C2433" s="6">
        <v>0.5</v>
      </c>
      <c r="D2433" s="1" t="s">
        <v>27</v>
      </c>
      <c r="E2433" s="1" t="s">
        <v>29</v>
      </c>
      <c r="F2433" s="1" t="s">
        <v>7036</v>
      </c>
      <c r="G2433" s="39" t="s">
        <v>290</v>
      </c>
      <c r="H2433" s="1">
        <v>1</v>
      </c>
      <c r="I2433" s="1">
        <v>6</v>
      </c>
      <c r="J2433" s="39" t="s">
        <v>6952</v>
      </c>
      <c r="K2433" s="1">
        <v>6</v>
      </c>
      <c r="L2433" s="1">
        <v>1</v>
      </c>
      <c r="S2433" s="1" t="s">
        <v>7037</v>
      </c>
      <c r="T2433" s="1">
        <v>1</v>
      </c>
      <c r="U2433" s="19"/>
      <c r="V2433" s="19"/>
      <c r="W2433" s="218">
        <v>1</v>
      </c>
      <c r="X2433" s="218">
        <v>1</v>
      </c>
      <c r="Y2433" s="218">
        <v>1</v>
      </c>
    </row>
    <row r="2434" spans="1:25" x14ac:dyDescent="0.3">
      <c r="A2434" s="1" t="s">
        <v>7038</v>
      </c>
      <c r="B2434" s="5">
        <v>46206</v>
      </c>
      <c r="C2434" s="6">
        <v>0.54166666666666696</v>
      </c>
      <c r="D2434" s="1" t="s">
        <v>27</v>
      </c>
      <c r="E2434" s="1" t="s">
        <v>29</v>
      </c>
      <c r="F2434" s="1" t="s">
        <v>7039</v>
      </c>
      <c r="G2434" s="39" t="s">
        <v>6952</v>
      </c>
      <c r="H2434" s="1">
        <v>5</v>
      </c>
      <c r="I2434" s="1">
        <v>1</v>
      </c>
      <c r="J2434" s="39" t="s">
        <v>6950</v>
      </c>
      <c r="K2434" s="1">
        <v>1</v>
      </c>
      <c r="L2434" s="1">
        <v>5</v>
      </c>
      <c r="S2434" s="1" t="s">
        <v>7040</v>
      </c>
      <c r="T2434" s="1">
        <v>1</v>
      </c>
      <c r="U2434" s="19"/>
      <c r="V2434" s="19"/>
      <c r="W2434" s="218">
        <v>1</v>
      </c>
      <c r="X2434" s="218">
        <v>1</v>
      </c>
      <c r="Y2434" s="218">
        <v>1</v>
      </c>
    </row>
    <row r="2435" spans="1:25" x14ac:dyDescent="0.3">
      <c r="A2435" s="1" t="s">
        <v>7041</v>
      </c>
      <c r="B2435" s="5">
        <v>46194</v>
      </c>
      <c r="C2435" s="6">
        <v>0.45833333333333298</v>
      </c>
      <c r="D2435" s="1" t="s">
        <v>27</v>
      </c>
      <c r="E2435" s="1" t="s">
        <v>29</v>
      </c>
      <c r="F2435" s="1" t="s">
        <v>7042</v>
      </c>
      <c r="G2435" s="39" t="s">
        <v>6952</v>
      </c>
      <c r="H2435" s="1">
        <v>4</v>
      </c>
      <c r="I2435" s="1">
        <v>4</v>
      </c>
      <c r="J2435" s="39" t="s">
        <v>7043</v>
      </c>
      <c r="K2435" s="1">
        <v>4</v>
      </c>
      <c r="L2435" s="1">
        <v>4</v>
      </c>
      <c r="S2435" s="1" t="s">
        <v>7044</v>
      </c>
      <c r="T2435" s="1">
        <v>1</v>
      </c>
      <c r="U2435" s="19"/>
      <c r="V2435" s="19"/>
      <c r="W2435" s="218">
        <v>1</v>
      </c>
      <c r="X2435" s="218">
        <v>1</v>
      </c>
      <c r="Y2435" s="218">
        <v>1</v>
      </c>
    </row>
    <row r="2436" spans="1:25" x14ac:dyDescent="0.3">
      <c r="A2436" s="1" t="s">
        <v>7045</v>
      </c>
      <c r="B2436" s="5">
        <v>46187</v>
      </c>
      <c r="C2436" s="6">
        <v>0.45833333333333298</v>
      </c>
      <c r="D2436" s="1" t="s">
        <v>27</v>
      </c>
      <c r="E2436" s="1" t="s">
        <v>29</v>
      </c>
      <c r="F2436" s="1" t="s">
        <v>7046</v>
      </c>
      <c r="G2436" s="39" t="s">
        <v>6942</v>
      </c>
      <c r="H2436" s="1">
        <v>1</v>
      </c>
      <c r="I2436" s="1">
        <v>2</v>
      </c>
      <c r="J2436" s="39" t="s">
        <v>6952</v>
      </c>
      <c r="K2436" s="1">
        <v>2</v>
      </c>
      <c r="L2436" s="1">
        <v>1</v>
      </c>
      <c r="S2436" s="1" t="s">
        <v>7047</v>
      </c>
      <c r="T2436" s="1">
        <v>1</v>
      </c>
      <c r="U2436" s="19"/>
      <c r="V2436" s="19"/>
      <c r="W2436" s="218">
        <v>1</v>
      </c>
      <c r="X2436" s="218">
        <v>1</v>
      </c>
      <c r="Y2436" s="218">
        <v>1</v>
      </c>
    </row>
    <row r="2437" spans="1:25" x14ac:dyDescent="0.3">
      <c r="A2437" s="1" t="s">
        <v>7048</v>
      </c>
      <c r="B2437" s="5">
        <v>46173</v>
      </c>
      <c r="C2437" s="6">
        <v>0.5</v>
      </c>
      <c r="D2437" s="1" t="s">
        <v>27</v>
      </c>
      <c r="E2437" s="1" t="s">
        <v>29</v>
      </c>
      <c r="F2437" s="1" t="s">
        <v>7049</v>
      </c>
      <c r="G2437" s="39" t="s">
        <v>6952</v>
      </c>
      <c r="H2437" s="1">
        <v>3</v>
      </c>
      <c r="I2437" s="1">
        <v>1</v>
      </c>
      <c r="J2437" s="39" t="s">
        <v>6946</v>
      </c>
      <c r="K2437" s="1">
        <v>1</v>
      </c>
      <c r="L2437" s="1">
        <v>3</v>
      </c>
      <c r="S2437" s="1" t="s">
        <v>7050</v>
      </c>
      <c r="T2437" s="1">
        <v>1</v>
      </c>
      <c r="U2437" s="19"/>
      <c r="V2437" s="19"/>
      <c r="W2437" s="218">
        <v>1</v>
      </c>
      <c r="X2437" s="218">
        <v>1</v>
      </c>
      <c r="Y2437" s="218">
        <v>1</v>
      </c>
    </row>
    <row r="2438" spans="1:25" x14ac:dyDescent="0.3">
      <c r="A2438" s="1" t="s">
        <v>7051</v>
      </c>
      <c r="B2438" s="5">
        <v>46162</v>
      </c>
      <c r="C2438" s="6">
        <v>0.58333333333333304</v>
      </c>
      <c r="D2438" s="1" t="s">
        <v>27</v>
      </c>
      <c r="E2438" s="1" t="s">
        <v>29</v>
      </c>
      <c r="F2438" s="1" t="s">
        <v>7052</v>
      </c>
      <c r="G2438" s="39" t="s">
        <v>6952</v>
      </c>
      <c r="H2438" s="1">
        <v>4</v>
      </c>
      <c r="I2438" s="1">
        <v>2</v>
      </c>
      <c r="J2438" s="39" t="s">
        <v>6945</v>
      </c>
      <c r="K2438" s="1">
        <v>2</v>
      </c>
      <c r="L2438" s="1">
        <v>4</v>
      </c>
      <c r="S2438" s="1" t="s">
        <v>7053</v>
      </c>
      <c r="T2438" s="1">
        <v>1</v>
      </c>
      <c r="U2438" s="19"/>
      <c r="V2438" s="19"/>
      <c r="W2438" s="218">
        <v>1</v>
      </c>
      <c r="X2438" s="218">
        <v>1</v>
      </c>
      <c r="Y2438" s="218">
        <v>1</v>
      </c>
    </row>
    <row r="2439" spans="1:25" x14ac:dyDescent="0.3">
      <c r="A2439" s="1" t="s">
        <v>7054</v>
      </c>
      <c r="B2439" s="5">
        <v>46158</v>
      </c>
      <c r="C2439" s="6">
        <v>0.45833333333333298</v>
      </c>
      <c r="D2439" s="1" t="s">
        <v>27</v>
      </c>
      <c r="E2439" s="1" t="s">
        <v>29</v>
      </c>
      <c r="F2439" s="1" t="s">
        <v>7055</v>
      </c>
      <c r="G2439" s="39" t="s">
        <v>6949</v>
      </c>
      <c r="H2439" s="1">
        <v>0</v>
      </c>
      <c r="I2439" s="1">
        <v>3</v>
      </c>
      <c r="J2439" s="39" t="s">
        <v>6952</v>
      </c>
      <c r="K2439" s="1">
        <v>3</v>
      </c>
      <c r="L2439" s="1">
        <v>0</v>
      </c>
      <c r="S2439" s="1" t="s">
        <v>7056</v>
      </c>
      <c r="T2439" s="1">
        <v>1</v>
      </c>
      <c r="U2439" s="19"/>
      <c r="V2439" s="19"/>
      <c r="W2439" s="218">
        <v>1</v>
      </c>
      <c r="X2439" s="218">
        <v>1</v>
      </c>
      <c r="Y2439" s="218">
        <v>1</v>
      </c>
    </row>
    <row r="2440" spans="1:25" x14ac:dyDescent="0.3">
      <c r="A2440" s="1" t="s">
        <v>7057</v>
      </c>
      <c r="B2440" s="5">
        <v>46150</v>
      </c>
      <c r="C2440" s="6">
        <v>0.58333333333333304</v>
      </c>
      <c r="D2440" s="1" t="s">
        <v>27</v>
      </c>
      <c r="E2440" s="1" t="s">
        <v>29</v>
      </c>
      <c r="F2440" s="1" t="s">
        <v>7058</v>
      </c>
      <c r="G2440" s="39" t="s">
        <v>6957</v>
      </c>
      <c r="H2440" s="1">
        <v>1</v>
      </c>
      <c r="I2440" s="1">
        <v>1</v>
      </c>
      <c r="J2440" s="39" t="s">
        <v>6952</v>
      </c>
      <c r="K2440" s="1">
        <v>1</v>
      </c>
      <c r="L2440" s="1">
        <v>1</v>
      </c>
      <c r="S2440" s="1" t="s">
        <v>7059</v>
      </c>
      <c r="T2440" s="1">
        <v>1</v>
      </c>
      <c r="U2440" s="19"/>
      <c r="V2440" s="19"/>
      <c r="W2440" s="218">
        <v>1</v>
      </c>
      <c r="X2440" s="218">
        <v>1</v>
      </c>
      <c r="Y2440" s="218">
        <v>1</v>
      </c>
    </row>
    <row r="2441" spans="1:25" x14ac:dyDescent="0.3">
      <c r="A2441" s="1" t="s">
        <v>7060</v>
      </c>
      <c r="B2441" s="5">
        <v>46243</v>
      </c>
      <c r="C2441" s="6">
        <v>0.5</v>
      </c>
      <c r="D2441" s="1" t="s">
        <v>27</v>
      </c>
      <c r="E2441" s="1" t="s">
        <v>29</v>
      </c>
      <c r="F2441" s="1" t="s">
        <v>7061</v>
      </c>
      <c r="G2441" s="39" t="s">
        <v>7043</v>
      </c>
      <c r="H2441" s="1">
        <v>0</v>
      </c>
      <c r="I2441" s="1">
        <v>2</v>
      </c>
      <c r="J2441" s="39" t="s">
        <v>6954</v>
      </c>
      <c r="K2441" s="1">
        <v>2</v>
      </c>
      <c r="L2441" s="1">
        <v>0</v>
      </c>
      <c r="S2441" s="1" t="s">
        <v>7062</v>
      </c>
      <c r="T2441" s="1">
        <v>1</v>
      </c>
      <c r="U2441" s="19"/>
      <c r="V2441" s="19"/>
      <c r="W2441" s="218">
        <v>1</v>
      </c>
      <c r="X2441" s="218">
        <v>1</v>
      </c>
      <c r="Y2441" s="218">
        <v>1</v>
      </c>
    </row>
    <row r="2442" spans="1:25" x14ac:dyDescent="0.3">
      <c r="A2442" s="1" t="s">
        <v>7063</v>
      </c>
      <c r="B2442" s="5">
        <v>46235</v>
      </c>
      <c r="C2442" s="6">
        <v>0.5</v>
      </c>
      <c r="D2442" s="1" t="s">
        <v>27</v>
      </c>
      <c r="E2442" s="1" t="s">
        <v>29</v>
      </c>
      <c r="F2442" s="1" t="s">
        <v>7064</v>
      </c>
      <c r="G2442" s="39" t="s">
        <v>6969</v>
      </c>
      <c r="H2442" s="1">
        <v>0</v>
      </c>
      <c r="I2442" s="1">
        <v>2</v>
      </c>
      <c r="J2442" s="39" t="s">
        <v>7043</v>
      </c>
      <c r="K2442" s="1">
        <v>2</v>
      </c>
      <c r="L2442" s="1">
        <v>0</v>
      </c>
      <c r="S2442" s="1" t="s">
        <v>7065</v>
      </c>
      <c r="T2442" s="1">
        <v>1</v>
      </c>
      <c r="U2442" s="19"/>
      <c r="V2442" s="19"/>
      <c r="W2442" s="218">
        <v>1</v>
      </c>
      <c r="X2442" s="218">
        <v>1</v>
      </c>
      <c r="Y2442" s="218">
        <v>1</v>
      </c>
    </row>
    <row r="2443" spans="1:25" x14ac:dyDescent="0.3">
      <c r="A2443" s="1" t="s">
        <v>7066</v>
      </c>
      <c r="B2443" s="5">
        <v>46228</v>
      </c>
      <c r="C2443" s="6">
        <v>0.54166666666666696</v>
      </c>
      <c r="D2443" s="1" t="s">
        <v>27</v>
      </c>
      <c r="E2443" s="1" t="s">
        <v>29</v>
      </c>
      <c r="F2443" s="1" t="s">
        <v>7067</v>
      </c>
      <c r="G2443" s="39" t="s">
        <v>7043</v>
      </c>
      <c r="H2443" s="1">
        <v>1</v>
      </c>
      <c r="I2443" s="1">
        <v>1</v>
      </c>
      <c r="J2443" s="39" t="s">
        <v>6949</v>
      </c>
      <c r="K2443" s="1">
        <v>1</v>
      </c>
      <c r="L2443" s="1">
        <v>1</v>
      </c>
      <c r="S2443" s="1" t="s">
        <v>7068</v>
      </c>
      <c r="T2443" s="1">
        <v>1</v>
      </c>
      <c r="U2443" s="19"/>
      <c r="V2443" s="19"/>
      <c r="W2443" s="218">
        <v>1</v>
      </c>
      <c r="X2443" s="218">
        <v>1</v>
      </c>
      <c r="Y2443" s="218">
        <v>1</v>
      </c>
    </row>
    <row r="2444" spans="1:25" x14ac:dyDescent="0.3">
      <c r="A2444" s="1" t="s">
        <v>7069</v>
      </c>
      <c r="B2444" s="5">
        <v>46207</v>
      </c>
      <c r="C2444" s="6">
        <v>0.45833333333333298</v>
      </c>
      <c r="D2444" s="1" t="s">
        <v>27</v>
      </c>
      <c r="E2444" s="1" t="s">
        <v>29</v>
      </c>
      <c r="F2444" s="1" t="s">
        <v>7070</v>
      </c>
      <c r="G2444" s="39" t="s">
        <v>6942</v>
      </c>
      <c r="H2444" s="1">
        <v>4</v>
      </c>
      <c r="I2444" s="1">
        <v>3</v>
      </c>
      <c r="J2444" s="39" t="s">
        <v>7043</v>
      </c>
      <c r="K2444" s="1">
        <v>3</v>
      </c>
      <c r="L2444" s="1">
        <v>4</v>
      </c>
      <c r="S2444" s="1" t="s">
        <v>7071</v>
      </c>
      <c r="T2444" s="1">
        <v>1</v>
      </c>
      <c r="U2444" s="19"/>
      <c r="V2444" s="19"/>
      <c r="W2444" s="218">
        <v>1</v>
      </c>
      <c r="X2444" s="218">
        <v>1</v>
      </c>
      <c r="Y2444" s="218">
        <v>1</v>
      </c>
    </row>
    <row r="2445" spans="1:25" x14ac:dyDescent="0.3">
      <c r="A2445" s="1" t="s">
        <v>7072</v>
      </c>
      <c r="B2445" s="5">
        <v>46200</v>
      </c>
      <c r="C2445" s="6">
        <v>0.54166666666666696</v>
      </c>
      <c r="D2445" s="1" t="s">
        <v>27</v>
      </c>
      <c r="E2445" s="1" t="s">
        <v>29</v>
      </c>
      <c r="F2445" s="1" t="s">
        <v>7073</v>
      </c>
      <c r="G2445" s="39" t="s">
        <v>7043</v>
      </c>
      <c r="H2445" s="1">
        <v>2</v>
      </c>
      <c r="I2445" s="1">
        <v>2</v>
      </c>
      <c r="J2445" s="39" t="s">
        <v>6945</v>
      </c>
      <c r="K2445" s="1">
        <v>2</v>
      </c>
      <c r="L2445" s="1">
        <v>2</v>
      </c>
      <c r="S2445" s="1" t="s">
        <v>7074</v>
      </c>
      <c r="T2445" s="1">
        <v>1</v>
      </c>
      <c r="U2445" s="19"/>
      <c r="V2445" s="19"/>
      <c r="W2445" s="218">
        <v>1</v>
      </c>
      <c r="X2445" s="218">
        <v>1</v>
      </c>
      <c r="Y2445" s="218">
        <v>1</v>
      </c>
    </row>
    <row r="2446" spans="1:25" x14ac:dyDescent="0.3">
      <c r="A2446" s="1" t="s">
        <v>7075</v>
      </c>
      <c r="B2446" s="5">
        <v>46187</v>
      </c>
      <c r="C2446" s="6">
        <v>0.45833333333333298</v>
      </c>
      <c r="D2446" s="1" t="s">
        <v>27</v>
      </c>
      <c r="E2446" s="1" t="s">
        <v>29</v>
      </c>
      <c r="F2446" s="1" t="s">
        <v>7076</v>
      </c>
      <c r="G2446" s="39" t="s">
        <v>7043</v>
      </c>
      <c r="H2446" s="1">
        <v>6</v>
      </c>
      <c r="I2446" s="1">
        <v>1</v>
      </c>
      <c r="J2446" s="39" t="s">
        <v>6965</v>
      </c>
      <c r="K2446" s="1">
        <v>1</v>
      </c>
      <c r="L2446" s="1">
        <v>6</v>
      </c>
      <c r="S2446" s="1" t="s">
        <v>7077</v>
      </c>
      <c r="T2446" s="1">
        <v>1</v>
      </c>
      <c r="U2446" s="19"/>
      <c r="V2446" s="19"/>
      <c r="W2446" s="218">
        <v>1</v>
      </c>
      <c r="X2446" s="218">
        <v>1</v>
      </c>
      <c r="Y2446" s="218">
        <v>1</v>
      </c>
    </row>
    <row r="2447" spans="1:25" x14ac:dyDescent="0.3">
      <c r="A2447" s="1" t="s">
        <v>7078</v>
      </c>
      <c r="B2447" s="5">
        <v>46173</v>
      </c>
      <c r="C2447" s="6">
        <v>0.5</v>
      </c>
      <c r="D2447" s="1" t="s">
        <v>27</v>
      </c>
      <c r="E2447" s="1" t="s">
        <v>29</v>
      </c>
      <c r="F2447" s="1" t="s">
        <v>7079</v>
      </c>
      <c r="G2447" s="39" t="s">
        <v>6954</v>
      </c>
      <c r="H2447" s="1">
        <v>0</v>
      </c>
      <c r="I2447" s="1">
        <v>5</v>
      </c>
      <c r="J2447" s="39" t="s">
        <v>7043</v>
      </c>
      <c r="K2447" s="1">
        <v>5</v>
      </c>
      <c r="L2447" s="1">
        <v>0</v>
      </c>
      <c r="S2447" s="1" t="s">
        <v>7080</v>
      </c>
      <c r="T2447" s="1">
        <v>1</v>
      </c>
      <c r="U2447" s="19"/>
      <c r="V2447" s="19"/>
      <c r="W2447" s="218">
        <v>1</v>
      </c>
      <c r="X2447" s="218">
        <v>1</v>
      </c>
      <c r="Y2447" s="218">
        <v>1</v>
      </c>
    </row>
    <row r="2448" spans="1:25" x14ac:dyDescent="0.3">
      <c r="A2448" s="1" t="s">
        <v>7081</v>
      </c>
      <c r="B2448" s="5">
        <v>46167</v>
      </c>
      <c r="C2448" s="6">
        <v>0.5</v>
      </c>
      <c r="D2448" s="1" t="s">
        <v>27</v>
      </c>
      <c r="E2448" s="1" t="s">
        <v>29</v>
      </c>
      <c r="F2448" s="1" t="s">
        <v>7082</v>
      </c>
      <c r="G2448" s="39" t="s">
        <v>7043</v>
      </c>
      <c r="H2448" s="1">
        <v>1</v>
      </c>
      <c r="I2448" s="1">
        <v>0</v>
      </c>
      <c r="J2448" s="39" t="s">
        <v>6969</v>
      </c>
      <c r="K2448" s="1">
        <v>0</v>
      </c>
      <c r="L2448" s="1">
        <v>1</v>
      </c>
      <c r="S2448" s="1" t="s">
        <v>7083</v>
      </c>
      <c r="T2448" s="1">
        <v>1</v>
      </c>
      <c r="U2448" s="19"/>
      <c r="V2448" s="19"/>
      <c r="W2448" s="218">
        <v>1</v>
      </c>
      <c r="X2448" s="218">
        <v>1</v>
      </c>
      <c r="Y2448" s="218">
        <v>1</v>
      </c>
    </row>
    <row r="2449" spans="1:25" x14ac:dyDescent="0.3">
      <c r="A2449" s="1" t="s">
        <v>7084</v>
      </c>
      <c r="B2449" s="5">
        <v>46162</v>
      </c>
      <c r="C2449" s="6">
        <v>0.58333333333333304</v>
      </c>
      <c r="D2449" s="1" t="s">
        <v>27</v>
      </c>
      <c r="E2449" s="1" t="s">
        <v>29</v>
      </c>
      <c r="F2449" s="1" t="s">
        <v>7085</v>
      </c>
      <c r="G2449" s="39" t="s">
        <v>6988</v>
      </c>
      <c r="H2449" s="1">
        <v>1</v>
      </c>
      <c r="I2449" s="1">
        <v>1</v>
      </c>
      <c r="J2449" s="39" t="s">
        <v>7043</v>
      </c>
      <c r="K2449" s="1">
        <v>1</v>
      </c>
      <c r="L2449" s="1">
        <v>1</v>
      </c>
      <c r="S2449" s="1" t="s">
        <v>7086</v>
      </c>
      <c r="T2449" s="1">
        <v>1</v>
      </c>
      <c r="U2449" s="19"/>
      <c r="V2449" s="19"/>
      <c r="W2449" s="218">
        <v>1</v>
      </c>
      <c r="X2449" s="218">
        <v>1</v>
      </c>
      <c r="Y2449" s="218">
        <v>1</v>
      </c>
    </row>
    <row r="2450" spans="1:25" x14ac:dyDescent="0.3">
      <c r="A2450" s="1" t="s">
        <v>7087</v>
      </c>
      <c r="B2450" s="5">
        <v>46158</v>
      </c>
      <c r="C2450" s="6">
        <v>0.45833333333333298</v>
      </c>
      <c r="D2450" s="1" t="s">
        <v>27</v>
      </c>
      <c r="E2450" s="1" t="s">
        <v>29</v>
      </c>
      <c r="F2450" s="1" t="s">
        <v>7088</v>
      </c>
      <c r="G2450" s="39" t="s">
        <v>7043</v>
      </c>
      <c r="H2450" s="1">
        <v>5</v>
      </c>
      <c r="I2450" s="1">
        <v>4</v>
      </c>
      <c r="J2450" s="39" t="s">
        <v>6957</v>
      </c>
      <c r="K2450" s="1">
        <v>4</v>
      </c>
      <c r="L2450" s="1">
        <v>5</v>
      </c>
      <c r="S2450" s="1" t="s">
        <v>7089</v>
      </c>
      <c r="T2450" s="1">
        <v>1</v>
      </c>
      <c r="U2450" s="19"/>
      <c r="V2450" s="19"/>
      <c r="W2450" s="218">
        <v>1</v>
      </c>
      <c r="X2450" s="218">
        <v>1</v>
      </c>
      <c r="Y2450" s="218">
        <v>1</v>
      </c>
    </row>
    <row r="2451" spans="1:25" x14ac:dyDescent="0.3">
      <c r="A2451" s="1" t="s">
        <v>7090</v>
      </c>
      <c r="B2451" s="5">
        <v>46152</v>
      </c>
      <c r="C2451" s="6">
        <v>0.5</v>
      </c>
      <c r="D2451" s="1" t="s">
        <v>27</v>
      </c>
      <c r="E2451" s="1" t="s">
        <v>29</v>
      </c>
      <c r="F2451" s="1" t="s">
        <v>7091</v>
      </c>
      <c r="G2451" s="39" t="s">
        <v>6946</v>
      </c>
      <c r="H2451" s="1">
        <v>0</v>
      </c>
      <c r="I2451" s="1">
        <v>3</v>
      </c>
      <c r="J2451" s="39" t="s">
        <v>7043</v>
      </c>
      <c r="K2451" s="1">
        <v>3</v>
      </c>
      <c r="L2451" s="1">
        <v>0</v>
      </c>
      <c r="S2451" s="1" t="s">
        <v>7092</v>
      </c>
      <c r="T2451" s="1">
        <v>1</v>
      </c>
      <c r="U2451" s="19"/>
      <c r="V2451" s="19"/>
      <c r="W2451" s="218">
        <v>1</v>
      </c>
      <c r="X2451" s="218">
        <v>1</v>
      </c>
      <c r="Y2451" s="218">
        <v>1</v>
      </c>
    </row>
    <row r="2452" spans="1:25" x14ac:dyDescent="0.3">
      <c r="A2452" s="1" t="s">
        <v>7093</v>
      </c>
      <c r="B2452" s="5">
        <v>46244</v>
      </c>
      <c r="C2452" s="6">
        <v>0.5</v>
      </c>
      <c r="D2452" s="1" t="s">
        <v>27</v>
      </c>
      <c r="E2452" s="1" t="s">
        <v>29</v>
      </c>
      <c r="F2452" s="1" t="s">
        <v>7094</v>
      </c>
      <c r="G2452" s="39" t="s">
        <v>6988</v>
      </c>
      <c r="H2452" s="1">
        <v>3</v>
      </c>
      <c r="I2452" s="1">
        <v>3</v>
      </c>
      <c r="J2452" s="39" t="s">
        <v>6945</v>
      </c>
      <c r="K2452" s="1">
        <v>3</v>
      </c>
      <c r="L2452" s="1">
        <v>3</v>
      </c>
      <c r="S2452" s="1" t="s">
        <v>7095</v>
      </c>
      <c r="T2452" s="1">
        <v>1</v>
      </c>
      <c r="U2452" s="19"/>
      <c r="V2452" s="19"/>
      <c r="W2452" s="218">
        <v>1</v>
      </c>
      <c r="X2452" s="218">
        <v>1</v>
      </c>
      <c r="Y2452" s="218">
        <v>1</v>
      </c>
    </row>
    <row r="2453" spans="1:25" x14ac:dyDescent="0.3">
      <c r="A2453" s="1" t="s">
        <v>7096</v>
      </c>
      <c r="B2453" s="5">
        <v>46229</v>
      </c>
      <c r="C2453" s="6">
        <v>0.5</v>
      </c>
      <c r="D2453" s="1" t="s">
        <v>27</v>
      </c>
      <c r="E2453" s="1" t="s">
        <v>29</v>
      </c>
      <c r="F2453" s="1" t="s">
        <v>7097</v>
      </c>
      <c r="G2453" s="39" t="s">
        <v>6961</v>
      </c>
      <c r="H2453" s="1">
        <v>0</v>
      </c>
      <c r="I2453" s="1">
        <v>0</v>
      </c>
      <c r="J2453" s="39" t="s">
        <v>6945</v>
      </c>
      <c r="K2453" s="1">
        <v>0</v>
      </c>
      <c r="L2453" s="1">
        <v>0</v>
      </c>
      <c r="S2453" s="1" t="s">
        <v>7098</v>
      </c>
      <c r="T2453" s="1">
        <v>1</v>
      </c>
      <c r="U2453" s="19"/>
      <c r="V2453" s="19"/>
      <c r="W2453" s="218">
        <v>1</v>
      </c>
      <c r="X2453" s="218">
        <v>1</v>
      </c>
      <c r="Y2453" s="218">
        <v>1</v>
      </c>
    </row>
    <row r="2454" spans="1:25" x14ac:dyDescent="0.3">
      <c r="A2454" s="1" t="s">
        <v>7099</v>
      </c>
      <c r="B2454" s="5">
        <v>46194</v>
      </c>
      <c r="C2454" s="6">
        <v>0.45833333333333298</v>
      </c>
      <c r="D2454" s="1" t="s">
        <v>27</v>
      </c>
      <c r="E2454" s="1" t="s">
        <v>29</v>
      </c>
      <c r="F2454" s="1" t="s">
        <v>7100</v>
      </c>
      <c r="G2454" s="39" t="s">
        <v>6945</v>
      </c>
      <c r="H2454" s="1">
        <v>0</v>
      </c>
      <c r="I2454" s="1">
        <v>0</v>
      </c>
      <c r="J2454" s="39" t="s">
        <v>6942</v>
      </c>
      <c r="K2454" s="1">
        <v>0</v>
      </c>
      <c r="L2454" s="1">
        <v>0</v>
      </c>
      <c r="S2454" s="1" t="s">
        <v>7101</v>
      </c>
      <c r="T2454" s="1">
        <v>1</v>
      </c>
      <c r="U2454" s="19"/>
      <c r="V2454" s="19"/>
      <c r="W2454" s="218">
        <v>1</v>
      </c>
      <c r="X2454" s="218">
        <v>1</v>
      </c>
      <c r="Y2454" s="218">
        <v>1</v>
      </c>
    </row>
    <row r="2455" spans="1:25" x14ac:dyDescent="0.3">
      <c r="A2455" s="1" t="s">
        <v>7102</v>
      </c>
      <c r="B2455" s="5">
        <v>46187</v>
      </c>
      <c r="C2455" s="6">
        <v>0.45833333333333298</v>
      </c>
      <c r="D2455" s="1" t="s">
        <v>27</v>
      </c>
      <c r="E2455" s="1" t="s">
        <v>29</v>
      </c>
      <c r="F2455" s="1" t="s">
        <v>7103</v>
      </c>
      <c r="G2455" s="39" t="s">
        <v>6946</v>
      </c>
      <c r="H2455" s="1">
        <v>2</v>
      </c>
      <c r="I2455" s="1">
        <v>1</v>
      </c>
      <c r="J2455" s="39" t="s">
        <v>6945</v>
      </c>
      <c r="K2455" s="1">
        <v>1</v>
      </c>
      <c r="L2455" s="1">
        <v>2</v>
      </c>
      <c r="S2455" s="1" t="s">
        <v>7104</v>
      </c>
      <c r="T2455" s="1">
        <v>1</v>
      </c>
      <c r="U2455" s="19"/>
      <c r="V2455" s="19"/>
      <c r="W2455" s="218">
        <v>1</v>
      </c>
      <c r="X2455" s="218">
        <v>1</v>
      </c>
      <c r="Y2455" s="218">
        <v>1</v>
      </c>
    </row>
    <row r="2456" spans="1:25" x14ac:dyDescent="0.3">
      <c r="A2456" s="1" t="s">
        <v>7105</v>
      </c>
      <c r="B2456" s="5">
        <v>46172</v>
      </c>
      <c r="C2456" s="6">
        <v>0.45833333333333298</v>
      </c>
      <c r="D2456" s="1" t="s">
        <v>27</v>
      </c>
      <c r="E2456" s="1" t="s">
        <v>29</v>
      </c>
      <c r="F2456" s="1" t="s">
        <v>7106</v>
      </c>
      <c r="G2456" s="39" t="s">
        <v>6945</v>
      </c>
      <c r="H2456" s="1">
        <v>3</v>
      </c>
      <c r="I2456" s="1">
        <v>0</v>
      </c>
      <c r="J2456" s="39" t="s">
        <v>6949</v>
      </c>
      <c r="K2456" s="1">
        <v>0</v>
      </c>
      <c r="L2456" s="1">
        <v>3</v>
      </c>
      <c r="S2456" s="1" t="s">
        <v>7107</v>
      </c>
      <c r="T2456" s="1">
        <v>1</v>
      </c>
      <c r="U2456" s="19"/>
      <c r="V2456" s="19"/>
      <c r="W2456" s="218">
        <v>1</v>
      </c>
      <c r="X2456" s="218">
        <v>1</v>
      </c>
      <c r="Y2456" s="218">
        <v>1</v>
      </c>
    </row>
    <row r="2457" spans="1:25" x14ac:dyDescent="0.3">
      <c r="A2457" s="1" t="s">
        <v>7108</v>
      </c>
      <c r="B2457" s="5">
        <v>46167</v>
      </c>
      <c r="C2457" s="6">
        <v>0.5</v>
      </c>
      <c r="D2457" s="1" t="s">
        <v>27</v>
      </c>
      <c r="E2457" s="1" t="s">
        <v>29</v>
      </c>
      <c r="F2457" s="1" t="s">
        <v>7109</v>
      </c>
      <c r="G2457" s="39" t="s">
        <v>6945</v>
      </c>
      <c r="H2457" s="1">
        <v>3</v>
      </c>
      <c r="I2457" s="1">
        <v>1</v>
      </c>
      <c r="J2457" s="39" t="s">
        <v>6957</v>
      </c>
      <c r="K2457" s="1">
        <v>1</v>
      </c>
      <c r="L2457" s="1">
        <v>3</v>
      </c>
      <c r="S2457" s="1" t="s">
        <v>7110</v>
      </c>
      <c r="T2457" s="1">
        <v>1</v>
      </c>
      <c r="U2457" s="19"/>
      <c r="V2457" s="19"/>
      <c r="W2457" s="218">
        <v>1</v>
      </c>
      <c r="X2457" s="218">
        <v>1</v>
      </c>
      <c r="Y2457" s="218">
        <v>1</v>
      </c>
    </row>
    <row r="2458" spans="1:25" x14ac:dyDescent="0.3">
      <c r="A2458" s="1" t="s">
        <v>7111</v>
      </c>
      <c r="B2458" s="5">
        <v>46158</v>
      </c>
      <c r="C2458" s="6">
        <v>0.45833333333333298</v>
      </c>
      <c r="D2458" s="1" t="s">
        <v>27</v>
      </c>
      <c r="E2458" s="1" t="s">
        <v>29</v>
      </c>
      <c r="F2458" s="1" t="s">
        <v>7112</v>
      </c>
      <c r="G2458" s="39" t="s">
        <v>6945</v>
      </c>
      <c r="H2458" s="1">
        <v>2</v>
      </c>
      <c r="I2458" s="1">
        <v>3</v>
      </c>
      <c r="J2458" s="39" t="s">
        <v>6988</v>
      </c>
      <c r="K2458" s="1">
        <v>3</v>
      </c>
      <c r="L2458" s="1">
        <v>2</v>
      </c>
      <c r="S2458" s="1" t="s">
        <v>7113</v>
      </c>
      <c r="T2458" s="1">
        <v>1</v>
      </c>
      <c r="U2458" s="19"/>
      <c r="V2458" s="19"/>
      <c r="W2458" s="218">
        <v>1</v>
      </c>
      <c r="X2458" s="218">
        <v>1</v>
      </c>
      <c r="Y2458" s="218">
        <v>1</v>
      </c>
    </row>
    <row r="2459" spans="1:25" x14ac:dyDescent="0.3">
      <c r="A2459" s="1" t="s">
        <v>7114</v>
      </c>
      <c r="B2459" s="5">
        <v>46153</v>
      </c>
      <c r="C2459" s="6">
        <v>0.58333333333333304</v>
      </c>
      <c r="D2459" s="1" t="s">
        <v>27</v>
      </c>
      <c r="E2459" s="1" t="s">
        <v>29</v>
      </c>
      <c r="F2459" s="1" t="s">
        <v>7115</v>
      </c>
      <c r="G2459" s="39" t="s">
        <v>6954</v>
      </c>
      <c r="H2459" s="1">
        <v>0</v>
      </c>
      <c r="I2459" s="1">
        <v>1</v>
      </c>
      <c r="J2459" s="39" t="s">
        <v>6945</v>
      </c>
      <c r="K2459" s="1">
        <v>1</v>
      </c>
      <c r="L2459" s="1">
        <v>0</v>
      </c>
      <c r="S2459" s="1" t="s">
        <v>7116</v>
      </c>
      <c r="T2459" s="1">
        <v>1</v>
      </c>
      <c r="U2459" s="19"/>
      <c r="V2459" s="19"/>
      <c r="W2459" s="218">
        <v>1</v>
      </c>
      <c r="X2459" s="218">
        <v>1</v>
      </c>
      <c r="Y2459" s="218">
        <v>1</v>
      </c>
    </row>
    <row r="2460" spans="1:25" x14ac:dyDescent="0.3">
      <c r="A2460" s="1" t="s">
        <v>7117</v>
      </c>
      <c r="B2460" s="5">
        <v>46243</v>
      </c>
      <c r="C2460" s="6">
        <v>0.5</v>
      </c>
      <c r="D2460" s="1" t="s">
        <v>27</v>
      </c>
      <c r="E2460" s="1" t="s">
        <v>29</v>
      </c>
      <c r="F2460" s="1" t="s">
        <v>7118</v>
      </c>
      <c r="G2460" s="39" t="s">
        <v>290</v>
      </c>
      <c r="H2460" s="1">
        <v>3</v>
      </c>
      <c r="I2460" s="1">
        <v>4</v>
      </c>
      <c r="J2460" s="39" t="s">
        <v>6942</v>
      </c>
      <c r="K2460" s="1">
        <v>4</v>
      </c>
      <c r="L2460" s="1">
        <v>3</v>
      </c>
      <c r="S2460" s="1" t="s">
        <v>7119</v>
      </c>
      <c r="T2460" s="1">
        <v>1</v>
      </c>
      <c r="U2460" s="19"/>
      <c r="V2460" s="19"/>
      <c r="W2460" s="218">
        <v>1</v>
      </c>
      <c r="X2460" s="218">
        <v>1</v>
      </c>
      <c r="Y2460" s="218">
        <v>1</v>
      </c>
    </row>
    <row r="2461" spans="1:25" x14ac:dyDescent="0.3">
      <c r="A2461" s="1" t="s">
        <v>7120</v>
      </c>
      <c r="B2461" s="5">
        <v>46236</v>
      </c>
      <c r="C2461" s="6">
        <v>0.5</v>
      </c>
      <c r="D2461" s="1" t="s">
        <v>27</v>
      </c>
      <c r="E2461" s="1" t="s">
        <v>29</v>
      </c>
      <c r="F2461" s="1" t="s">
        <v>7121</v>
      </c>
      <c r="G2461" s="39" t="s">
        <v>6942</v>
      </c>
      <c r="H2461" s="1">
        <v>2</v>
      </c>
      <c r="I2461" s="1">
        <v>1</v>
      </c>
      <c r="J2461" s="39" t="s">
        <v>6988</v>
      </c>
      <c r="K2461" s="1">
        <v>1</v>
      </c>
      <c r="L2461" s="1">
        <v>2</v>
      </c>
      <c r="S2461" s="1" t="s">
        <v>7122</v>
      </c>
      <c r="T2461" s="1">
        <v>1</v>
      </c>
      <c r="U2461" s="19"/>
      <c r="V2461" s="19"/>
      <c r="W2461" s="218">
        <v>1</v>
      </c>
      <c r="X2461" s="218">
        <v>1</v>
      </c>
      <c r="Y2461" s="218">
        <v>1</v>
      </c>
    </row>
    <row r="2462" spans="1:25" x14ac:dyDescent="0.3">
      <c r="A2462" s="1" t="s">
        <v>7123</v>
      </c>
      <c r="B2462" s="5">
        <v>46200</v>
      </c>
      <c r="C2462" s="6">
        <v>0.45833333333333298</v>
      </c>
      <c r="D2462" s="1" t="s">
        <v>27</v>
      </c>
      <c r="E2462" s="1" t="s">
        <v>29</v>
      </c>
      <c r="F2462" s="1" t="s">
        <v>7124</v>
      </c>
      <c r="G2462" s="39" t="s">
        <v>6949</v>
      </c>
      <c r="H2462" s="1">
        <v>1</v>
      </c>
      <c r="I2462" s="1">
        <v>4</v>
      </c>
      <c r="J2462" s="39" t="s">
        <v>6942</v>
      </c>
      <c r="K2462" s="1">
        <v>4</v>
      </c>
      <c r="L2462" s="1">
        <v>1</v>
      </c>
      <c r="S2462" s="1" t="s">
        <v>7125</v>
      </c>
      <c r="T2462" s="1">
        <v>1</v>
      </c>
      <c r="U2462" s="19"/>
      <c r="V2462" s="19"/>
      <c r="W2462" s="218">
        <v>1</v>
      </c>
      <c r="X2462" s="218">
        <v>1</v>
      </c>
      <c r="Y2462" s="218">
        <v>1</v>
      </c>
    </row>
    <row r="2463" spans="1:25" x14ac:dyDescent="0.3">
      <c r="A2463" s="1" t="s">
        <v>7126</v>
      </c>
      <c r="B2463" s="5">
        <v>46173</v>
      </c>
      <c r="C2463" s="6">
        <v>0.5</v>
      </c>
      <c r="D2463" s="1" t="s">
        <v>27</v>
      </c>
      <c r="E2463" s="1" t="s">
        <v>29</v>
      </c>
      <c r="F2463" s="1" t="s">
        <v>7127</v>
      </c>
      <c r="G2463" s="39" t="s">
        <v>6969</v>
      </c>
      <c r="H2463" s="1">
        <v>1</v>
      </c>
      <c r="I2463" s="1">
        <v>0</v>
      </c>
      <c r="J2463" s="39" t="s">
        <v>6942</v>
      </c>
      <c r="K2463" s="1">
        <v>0</v>
      </c>
      <c r="L2463" s="1">
        <v>1</v>
      </c>
      <c r="S2463" s="1" t="s">
        <v>7128</v>
      </c>
      <c r="T2463" s="1">
        <v>1</v>
      </c>
      <c r="U2463" s="19"/>
      <c r="V2463" s="19"/>
      <c r="W2463" s="218">
        <v>1</v>
      </c>
      <c r="X2463" s="218">
        <v>1</v>
      </c>
      <c r="Y2463" s="218">
        <v>1</v>
      </c>
    </row>
    <row r="2464" spans="1:25" x14ac:dyDescent="0.3">
      <c r="A2464" s="1" t="s">
        <v>7129</v>
      </c>
      <c r="B2464" s="5">
        <v>46167</v>
      </c>
      <c r="C2464" s="6">
        <v>0.5</v>
      </c>
      <c r="D2464" s="1" t="s">
        <v>27</v>
      </c>
      <c r="E2464" s="1" t="s">
        <v>29</v>
      </c>
      <c r="F2464" s="1" t="s">
        <v>7130</v>
      </c>
      <c r="G2464" s="39" t="s">
        <v>6942</v>
      </c>
      <c r="H2464" s="1">
        <v>3</v>
      </c>
      <c r="I2464" s="1">
        <v>1</v>
      </c>
      <c r="J2464" s="39" t="s">
        <v>6954</v>
      </c>
      <c r="K2464" s="1">
        <v>1</v>
      </c>
      <c r="L2464" s="1">
        <v>3</v>
      </c>
      <c r="S2464" s="1" t="s">
        <v>7131</v>
      </c>
      <c r="T2464" s="1">
        <v>1</v>
      </c>
      <c r="U2464" s="19"/>
      <c r="V2464" s="19"/>
      <c r="W2464" s="218">
        <v>1</v>
      </c>
      <c r="X2464" s="218">
        <v>1</v>
      </c>
      <c r="Y2464" s="218">
        <v>1</v>
      </c>
    </row>
    <row r="2465" spans="1:25" x14ac:dyDescent="0.3">
      <c r="A2465" s="1" t="s">
        <v>7132</v>
      </c>
      <c r="B2465" s="5">
        <v>46162</v>
      </c>
      <c r="C2465" s="6">
        <v>0.58333333333333304</v>
      </c>
      <c r="D2465" s="1" t="s">
        <v>27</v>
      </c>
      <c r="E2465" s="1" t="s">
        <v>29</v>
      </c>
      <c r="F2465" s="1" t="s">
        <v>7133</v>
      </c>
      <c r="G2465" s="39" t="s">
        <v>6957</v>
      </c>
      <c r="H2465" s="1">
        <v>3</v>
      </c>
      <c r="I2465" s="1">
        <v>2</v>
      </c>
      <c r="J2465" s="39" t="s">
        <v>6942</v>
      </c>
      <c r="K2465" s="1">
        <v>2</v>
      </c>
      <c r="L2465" s="1">
        <v>3</v>
      </c>
      <c r="S2465" s="1" t="s">
        <v>7134</v>
      </c>
      <c r="T2465" s="1">
        <v>1</v>
      </c>
      <c r="U2465" s="19"/>
      <c r="V2465" s="19"/>
      <c r="W2465" s="218">
        <v>1</v>
      </c>
      <c r="X2465" s="218">
        <v>1</v>
      </c>
      <c r="Y2465" s="218">
        <v>1</v>
      </c>
    </row>
    <row r="2466" spans="1:25" x14ac:dyDescent="0.3">
      <c r="A2466" s="1" t="s">
        <v>7135</v>
      </c>
      <c r="B2466" s="5">
        <v>46158</v>
      </c>
      <c r="C2466" s="6">
        <v>0.45833333333333298</v>
      </c>
      <c r="D2466" s="1" t="s">
        <v>27</v>
      </c>
      <c r="E2466" s="1" t="s">
        <v>29</v>
      </c>
      <c r="F2466" s="1" t="s">
        <v>7136</v>
      </c>
      <c r="G2466" s="39" t="s">
        <v>6942</v>
      </c>
      <c r="H2466" s="1">
        <v>2</v>
      </c>
      <c r="I2466" s="1">
        <v>2</v>
      </c>
      <c r="J2466" s="39" t="s">
        <v>6950</v>
      </c>
      <c r="K2466" s="1">
        <v>2</v>
      </c>
      <c r="L2466" s="1">
        <v>2</v>
      </c>
      <c r="S2466" s="1" t="s">
        <v>7137</v>
      </c>
      <c r="T2466" s="1">
        <v>1</v>
      </c>
      <c r="U2466" s="19"/>
      <c r="V2466" s="19"/>
      <c r="W2466" s="218">
        <v>1</v>
      </c>
      <c r="X2466" s="218">
        <v>1</v>
      </c>
      <c r="Y2466" s="218">
        <v>1</v>
      </c>
    </row>
    <row r="2467" spans="1:25" x14ac:dyDescent="0.3">
      <c r="A2467" s="1" t="s">
        <v>7138</v>
      </c>
      <c r="B2467" s="5">
        <v>46152</v>
      </c>
      <c r="C2467" s="6">
        <v>0.5</v>
      </c>
      <c r="D2467" s="1" t="s">
        <v>27</v>
      </c>
      <c r="E2467" s="1" t="s">
        <v>29</v>
      </c>
      <c r="F2467" s="1" t="s">
        <v>7139</v>
      </c>
      <c r="G2467" s="39" t="s">
        <v>6961</v>
      </c>
      <c r="H2467" s="1">
        <v>1</v>
      </c>
      <c r="I2467" s="1">
        <v>2</v>
      </c>
      <c r="J2467" s="39" t="s">
        <v>6942</v>
      </c>
      <c r="K2467" s="1">
        <v>2</v>
      </c>
      <c r="L2467" s="1">
        <v>1</v>
      </c>
      <c r="S2467" s="1" t="s">
        <v>7140</v>
      </c>
      <c r="T2467" s="1">
        <v>1</v>
      </c>
      <c r="U2467" s="19"/>
      <c r="V2467" s="19"/>
      <c r="W2467" s="218">
        <v>1</v>
      </c>
      <c r="X2467" s="218">
        <v>1</v>
      </c>
      <c r="Y2467" s="218">
        <v>1</v>
      </c>
    </row>
    <row r="2468" spans="1:25" x14ac:dyDescent="0.3">
      <c r="A2468" s="1" t="s">
        <v>7141</v>
      </c>
      <c r="B2468" s="5">
        <v>46229</v>
      </c>
      <c r="C2468" s="6">
        <v>0.5</v>
      </c>
      <c r="D2468" s="1" t="s">
        <v>27</v>
      </c>
      <c r="E2468" s="1" t="s">
        <v>29</v>
      </c>
      <c r="F2468" s="1" t="s">
        <v>7142</v>
      </c>
      <c r="G2468" s="39" t="s">
        <v>6946</v>
      </c>
      <c r="H2468" s="1">
        <v>3</v>
      </c>
      <c r="I2468" s="1">
        <v>3</v>
      </c>
      <c r="J2468" s="39" t="s">
        <v>6954</v>
      </c>
      <c r="K2468" s="1">
        <v>3</v>
      </c>
      <c r="L2468" s="1">
        <v>3</v>
      </c>
      <c r="S2468" s="1" t="s">
        <v>7143</v>
      </c>
      <c r="T2468" s="1">
        <v>1</v>
      </c>
      <c r="U2468" s="19"/>
      <c r="V2468" s="19"/>
      <c r="W2468" s="218">
        <v>1</v>
      </c>
      <c r="X2468" s="218">
        <v>1</v>
      </c>
      <c r="Y2468" s="218">
        <v>1</v>
      </c>
    </row>
    <row r="2469" spans="1:25" x14ac:dyDescent="0.3">
      <c r="A2469" s="1" t="s">
        <v>7144</v>
      </c>
      <c r="B2469" s="5">
        <v>46207</v>
      </c>
      <c r="C2469" s="6">
        <v>0.375</v>
      </c>
      <c r="D2469" s="1" t="s">
        <v>27</v>
      </c>
      <c r="E2469" s="1" t="s">
        <v>29</v>
      </c>
      <c r="F2469" s="1" t="s">
        <v>7145</v>
      </c>
      <c r="G2469" s="39" t="s">
        <v>6954</v>
      </c>
      <c r="H2469" s="1">
        <v>3</v>
      </c>
      <c r="I2469" s="1">
        <v>0</v>
      </c>
      <c r="J2469" s="39" t="s">
        <v>6988</v>
      </c>
      <c r="K2469" s="1">
        <v>0</v>
      </c>
      <c r="L2469" s="1">
        <v>3</v>
      </c>
      <c r="S2469" s="1" t="s">
        <v>7146</v>
      </c>
      <c r="T2469" s="1">
        <v>1</v>
      </c>
      <c r="U2469" s="19"/>
      <c r="V2469" s="19"/>
      <c r="W2469" s="218">
        <v>1</v>
      </c>
      <c r="X2469" s="218">
        <v>1</v>
      </c>
      <c r="Y2469" s="218">
        <v>1</v>
      </c>
    </row>
    <row r="2470" spans="1:25" x14ac:dyDescent="0.3">
      <c r="A2470" s="1" t="s">
        <v>7147</v>
      </c>
      <c r="B2470" s="5">
        <v>46200</v>
      </c>
      <c r="C2470" s="6">
        <v>0.625</v>
      </c>
      <c r="D2470" s="1" t="s">
        <v>27</v>
      </c>
      <c r="E2470" s="1" t="s">
        <v>29</v>
      </c>
      <c r="F2470" s="1" t="s">
        <v>7148</v>
      </c>
      <c r="G2470" s="39" t="s">
        <v>6950</v>
      </c>
      <c r="H2470" s="1">
        <v>4</v>
      </c>
      <c r="I2470" s="1">
        <v>2</v>
      </c>
      <c r="J2470" s="39" t="s">
        <v>6954</v>
      </c>
      <c r="K2470" s="1">
        <v>2</v>
      </c>
      <c r="L2470" s="1">
        <v>4</v>
      </c>
      <c r="S2470" s="1" t="s">
        <v>7149</v>
      </c>
      <c r="T2470" s="1">
        <v>1</v>
      </c>
      <c r="U2470" s="19"/>
      <c r="V2470" s="19"/>
      <c r="W2470" s="218">
        <v>1</v>
      </c>
      <c r="X2470" s="218">
        <v>1</v>
      </c>
      <c r="Y2470" s="218">
        <v>1</v>
      </c>
    </row>
    <row r="2471" spans="1:25" x14ac:dyDescent="0.3">
      <c r="A2471" s="1" t="s">
        <v>7150</v>
      </c>
      <c r="B2471" s="5">
        <v>46162</v>
      </c>
      <c r="C2471" s="6">
        <v>0.58333333333333304</v>
      </c>
      <c r="D2471" s="1" t="s">
        <v>27</v>
      </c>
      <c r="E2471" s="1" t="s">
        <v>29</v>
      </c>
      <c r="F2471" s="1" t="s">
        <v>7151</v>
      </c>
      <c r="G2471" s="39" t="s">
        <v>6954</v>
      </c>
      <c r="H2471" s="1">
        <v>0</v>
      </c>
      <c r="I2471" s="1">
        <v>0</v>
      </c>
      <c r="J2471" s="39" t="s">
        <v>6949</v>
      </c>
      <c r="K2471" s="1">
        <v>0</v>
      </c>
      <c r="L2471" s="1">
        <v>0</v>
      </c>
      <c r="S2471" s="1" t="s">
        <v>7152</v>
      </c>
      <c r="T2471" s="1">
        <v>1</v>
      </c>
      <c r="U2471" s="19"/>
      <c r="V2471" s="19"/>
      <c r="W2471" s="218">
        <v>1</v>
      </c>
      <c r="X2471" s="218">
        <v>1</v>
      </c>
      <c r="Y2471" s="218">
        <v>1</v>
      </c>
    </row>
    <row r="2472" spans="1:25" x14ac:dyDescent="0.3">
      <c r="A2472" s="1" t="s">
        <v>7153</v>
      </c>
      <c r="B2472" s="5">
        <v>46157</v>
      </c>
      <c r="C2472" s="6">
        <v>0.54166666666666696</v>
      </c>
      <c r="D2472" s="1" t="s">
        <v>27</v>
      </c>
      <c r="E2472" s="1" t="s">
        <v>29</v>
      </c>
      <c r="F2472" s="1" t="s">
        <v>7154</v>
      </c>
      <c r="G2472" s="39" t="s">
        <v>290</v>
      </c>
      <c r="H2472" s="1">
        <v>4</v>
      </c>
      <c r="I2472" s="1">
        <v>2</v>
      </c>
      <c r="J2472" s="39" t="s">
        <v>6954</v>
      </c>
      <c r="K2472" s="1">
        <v>2</v>
      </c>
      <c r="L2472" s="1">
        <v>4</v>
      </c>
      <c r="S2472" s="1" t="s">
        <v>7155</v>
      </c>
      <c r="T2472" s="1">
        <v>1</v>
      </c>
      <c r="U2472" s="19"/>
      <c r="V2472" s="19"/>
      <c r="W2472" s="218">
        <v>1</v>
      </c>
      <c r="X2472" s="218">
        <v>1</v>
      </c>
      <c r="Y2472" s="218">
        <v>1</v>
      </c>
    </row>
    <row r="2473" spans="1:25" x14ac:dyDescent="0.3">
      <c r="A2473" s="1" t="s">
        <v>7156</v>
      </c>
      <c r="B2473" s="5">
        <v>46243</v>
      </c>
      <c r="C2473" s="6">
        <v>0.5</v>
      </c>
      <c r="D2473" s="1" t="s">
        <v>27</v>
      </c>
      <c r="E2473" s="1" t="s">
        <v>29</v>
      </c>
      <c r="F2473" s="1" t="s">
        <v>7157</v>
      </c>
      <c r="G2473" s="39" t="s">
        <v>6961</v>
      </c>
      <c r="H2473" s="1">
        <v>1</v>
      </c>
      <c r="I2473" s="1">
        <v>4</v>
      </c>
      <c r="J2473" s="39" t="s">
        <v>6957</v>
      </c>
      <c r="K2473" s="1">
        <v>4</v>
      </c>
      <c r="L2473" s="1">
        <v>1</v>
      </c>
      <c r="S2473" s="1" t="s">
        <v>7158</v>
      </c>
      <c r="T2473" s="1">
        <v>1</v>
      </c>
      <c r="U2473" s="19"/>
      <c r="V2473" s="19"/>
      <c r="W2473" s="218">
        <v>1</v>
      </c>
      <c r="X2473" s="218">
        <v>1</v>
      </c>
      <c r="Y2473" s="218">
        <v>1</v>
      </c>
    </row>
    <row r="2474" spans="1:25" x14ac:dyDescent="0.3">
      <c r="A2474" s="1" t="s">
        <v>7159</v>
      </c>
      <c r="B2474" s="5">
        <v>46229</v>
      </c>
      <c r="C2474" s="6">
        <v>0.5</v>
      </c>
      <c r="D2474" s="1" t="s">
        <v>27</v>
      </c>
      <c r="E2474" s="1" t="s">
        <v>29</v>
      </c>
      <c r="F2474" s="1" t="s">
        <v>7160</v>
      </c>
      <c r="G2474" s="39" t="s">
        <v>6950</v>
      </c>
      <c r="H2474" s="1">
        <v>3</v>
      </c>
      <c r="I2474" s="1">
        <v>2</v>
      </c>
      <c r="J2474" s="39" t="s">
        <v>6957</v>
      </c>
      <c r="K2474" s="1">
        <v>2</v>
      </c>
      <c r="L2474" s="1">
        <v>3</v>
      </c>
      <c r="S2474" s="1" t="s">
        <v>7161</v>
      </c>
      <c r="T2474" s="1">
        <v>1</v>
      </c>
      <c r="U2474" s="19"/>
      <c r="V2474" s="19"/>
      <c r="W2474" s="218">
        <v>1</v>
      </c>
      <c r="X2474" s="218">
        <v>1</v>
      </c>
      <c r="Y2474" s="218">
        <v>1</v>
      </c>
    </row>
    <row r="2475" spans="1:25" x14ac:dyDescent="0.3">
      <c r="A2475" s="1" t="s">
        <v>7162</v>
      </c>
      <c r="B2475" s="5">
        <v>46200</v>
      </c>
      <c r="C2475" s="6">
        <v>0.45833333333333298</v>
      </c>
      <c r="D2475" s="1" t="s">
        <v>27</v>
      </c>
      <c r="E2475" s="1" t="s">
        <v>29</v>
      </c>
      <c r="F2475" s="1" t="s">
        <v>7163</v>
      </c>
      <c r="G2475" s="39" t="s">
        <v>6946</v>
      </c>
      <c r="H2475" s="1">
        <v>3</v>
      </c>
      <c r="I2475" s="1">
        <v>0</v>
      </c>
      <c r="J2475" s="39" t="s">
        <v>6957</v>
      </c>
      <c r="K2475" s="1">
        <v>0</v>
      </c>
      <c r="L2475" s="1">
        <v>3</v>
      </c>
      <c r="S2475" s="1" t="s">
        <v>7164</v>
      </c>
      <c r="T2475" s="1">
        <v>1</v>
      </c>
      <c r="U2475" s="19"/>
      <c r="V2475" s="19"/>
      <c r="W2475" s="218">
        <v>1</v>
      </c>
      <c r="X2475" s="218">
        <v>1</v>
      </c>
      <c r="Y2475" s="218">
        <v>1</v>
      </c>
    </row>
    <row r="2476" spans="1:25" x14ac:dyDescent="0.3">
      <c r="A2476" s="1" t="s">
        <v>7165</v>
      </c>
      <c r="B2476" s="5">
        <v>46192</v>
      </c>
      <c r="C2476" s="6">
        <v>0.58333333333333304</v>
      </c>
      <c r="D2476" s="1" t="s">
        <v>27</v>
      </c>
      <c r="E2476" s="1" t="s">
        <v>29</v>
      </c>
      <c r="F2476" s="1" t="s">
        <v>7166</v>
      </c>
      <c r="G2476" s="39" t="s">
        <v>6957</v>
      </c>
      <c r="H2476" s="1">
        <v>3</v>
      </c>
      <c r="I2476" s="1">
        <v>2</v>
      </c>
      <c r="J2476" s="39" t="s">
        <v>6949</v>
      </c>
      <c r="K2476" s="1">
        <v>2</v>
      </c>
      <c r="L2476" s="1">
        <v>3</v>
      </c>
      <c r="S2476" s="1" t="s">
        <v>7167</v>
      </c>
      <c r="T2476" s="1">
        <v>1</v>
      </c>
      <c r="U2476" s="19"/>
      <c r="V2476" s="19"/>
      <c r="W2476" s="218">
        <v>1</v>
      </c>
      <c r="X2476" s="218">
        <v>1</v>
      </c>
      <c r="Y2476" s="218">
        <v>1</v>
      </c>
    </row>
    <row r="2477" spans="1:25" x14ac:dyDescent="0.3">
      <c r="A2477" s="1" t="s">
        <v>7168</v>
      </c>
      <c r="B2477" s="5">
        <v>46173</v>
      </c>
      <c r="C2477" s="6">
        <v>0.5</v>
      </c>
      <c r="D2477" s="1" t="s">
        <v>27</v>
      </c>
      <c r="E2477" s="1" t="s">
        <v>29</v>
      </c>
      <c r="F2477" s="1" t="s">
        <v>7169</v>
      </c>
      <c r="G2477" s="39" t="s">
        <v>6957</v>
      </c>
      <c r="H2477" s="1">
        <v>5</v>
      </c>
      <c r="I2477" s="1">
        <v>1</v>
      </c>
      <c r="J2477" s="39" t="s">
        <v>290</v>
      </c>
      <c r="K2477" s="1">
        <v>1</v>
      </c>
      <c r="L2477" s="1">
        <v>5</v>
      </c>
      <c r="S2477" s="1" t="s">
        <v>7170</v>
      </c>
      <c r="T2477" s="1">
        <v>1</v>
      </c>
      <c r="U2477" s="19"/>
      <c r="V2477" s="19"/>
      <c r="W2477" s="218">
        <v>1</v>
      </c>
      <c r="X2477" s="218">
        <v>1</v>
      </c>
      <c r="Y2477" s="218">
        <v>1</v>
      </c>
    </row>
    <row r="2478" spans="1:25" x14ac:dyDescent="0.3">
      <c r="A2478" s="1" t="s">
        <v>7171</v>
      </c>
      <c r="B2478" s="5">
        <v>46243</v>
      </c>
      <c r="C2478" s="6">
        <v>0.5</v>
      </c>
      <c r="D2478" s="1" t="s">
        <v>27</v>
      </c>
      <c r="E2478" s="1" t="s">
        <v>29</v>
      </c>
      <c r="F2478" s="1" t="s">
        <v>7172</v>
      </c>
      <c r="G2478" s="39" t="s">
        <v>6950</v>
      </c>
      <c r="H2478" s="1">
        <v>0</v>
      </c>
      <c r="I2478" s="1">
        <v>2</v>
      </c>
      <c r="J2478" s="39" t="s">
        <v>6969</v>
      </c>
      <c r="K2478" s="1">
        <v>2</v>
      </c>
      <c r="L2478" s="1">
        <v>0</v>
      </c>
      <c r="S2478" s="1" t="s">
        <v>7173</v>
      </c>
      <c r="T2478" s="1">
        <v>1</v>
      </c>
      <c r="U2478" s="19"/>
      <c r="V2478" s="19"/>
      <c r="W2478" s="218">
        <v>1</v>
      </c>
      <c r="X2478" s="218">
        <v>1</v>
      </c>
      <c r="Y2478" s="218">
        <v>1</v>
      </c>
    </row>
    <row r="2479" spans="1:25" x14ac:dyDescent="0.3">
      <c r="A2479" s="1" t="s">
        <v>7174</v>
      </c>
      <c r="B2479" s="5">
        <v>46207</v>
      </c>
      <c r="C2479" s="6">
        <v>0.54166666666666696</v>
      </c>
      <c r="D2479" s="1" t="s">
        <v>27</v>
      </c>
      <c r="E2479" s="1" t="s">
        <v>29</v>
      </c>
      <c r="F2479" s="1" t="s">
        <v>7175</v>
      </c>
      <c r="G2479" s="39" t="s">
        <v>6969</v>
      </c>
      <c r="H2479" s="1">
        <v>1</v>
      </c>
      <c r="I2479" s="1">
        <v>1</v>
      </c>
      <c r="J2479" s="39" t="s">
        <v>290</v>
      </c>
      <c r="K2479" s="1">
        <v>1</v>
      </c>
      <c r="L2479" s="1">
        <v>1</v>
      </c>
      <c r="S2479" s="1" t="s">
        <v>7176</v>
      </c>
      <c r="T2479" s="1">
        <v>1</v>
      </c>
      <c r="U2479" s="19"/>
      <c r="V2479" s="19"/>
      <c r="W2479" s="218">
        <v>1</v>
      </c>
      <c r="X2479" s="218">
        <v>1</v>
      </c>
      <c r="Y2479" s="218">
        <v>1</v>
      </c>
    </row>
    <row r="2480" spans="1:25" x14ac:dyDescent="0.3">
      <c r="A2480" s="1" t="s">
        <v>7177</v>
      </c>
      <c r="B2480" s="5">
        <v>46194</v>
      </c>
      <c r="C2480" s="6">
        <v>0.45833333333333298</v>
      </c>
      <c r="D2480" s="1" t="s">
        <v>27</v>
      </c>
      <c r="E2480" s="1" t="s">
        <v>29</v>
      </c>
      <c r="F2480" s="1" t="s">
        <v>7178</v>
      </c>
      <c r="G2480" s="39" t="s">
        <v>6969</v>
      </c>
      <c r="H2480" s="1">
        <v>1</v>
      </c>
      <c r="I2480" s="1">
        <v>0</v>
      </c>
      <c r="J2480" s="39" t="s">
        <v>6946</v>
      </c>
      <c r="K2480" s="1">
        <v>0</v>
      </c>
      <c r="L2480" s="1">
        <v>1</v>
      </c>
      <c r="S2480" s="1" t="s">
        <v>7179</v>
      </c>
      <c r="T2480" s="1">
        <v>1</v>
      </c>
      <c r="U2480" s="19"/>
      <c r="V2480" s="19"/>
      <c r="W2480" s="218">
        <v>1</v>
      </c>
      <c r="X2480" s="218">
        <v>1</v>
      </c>
      <c r="Y2480" s="218">
        <v>1</v>
      </c>
    </row>
    <row r="2481" spans="1:25" x14ac:dyDescent="0.3">
      <c r="A2481" s="1" t="s">
        <v>7180</v>
      </c>
      <c r="B2481" s="5">
        <v>46187</v>
      </c>
      <c r="C2481" s="6">
        <v>0.45833333333333298</v>
      </c>
      <c r="D2481" s="1" t="s">
        <v>27</v>
      </c>
      <c r="E2481" s="1" t="s">
        <v>29</v>
      </c>
      <c r="F2481" s="1" t="s">
        <v>7181</v>
      </c>
      <c r="G2481" s="39" t="s">
        <v>6949</v>
      </c>
      <c r="H2481" s="1">
        <v>0</v>
      </c>
      <c r="I2481" s="1">
        <v>3</v>
      </c>
      <c r="J2481" s="39" t="s">
        <v>6969</v>
      </c>
      <c r="K2481" s="1">
        <v>3</v>
      </c>
      <c r="L2481" s="1">
        <v>0</v>
      </c>
      <c r="S2481" s="1" t="s">
        <v>7182</v>
      </c>
      <c r="T2481" s="1">
        <v>1</v>
      </c>
      <c r="U2481" s="19"/>
      <c r="V2481" s="19"/>
      <c r="W2481" s="218">
        <v>1</v>
      </c>
      <c r="X2481" s="218">
        <v>1</v>
      </c>
      <c r="Y2481" s="218">
        <v>1</v>
      </c>
    </row>
    <row r="2482" spans="1:25" x14ac:dyDescent="0.3">
      <c r="A2482" s="1" t="s">
        <v>7183</v>
      </c>
      <c r="B2482" s="5">
        <v>46162</v>
      </c>
      <c r="C2482" s="6">
        <v>0.58333333333333304</v>
      </c>
      <c r="D2482" s="1" t="s">
        <v>27</v>
      </c>
      <c r="E2482" s="1" t="s">
        <v>29</v>
      </c>
      <c r="F2482" s="1" t="s">
        <v>7184</v>
      </c>
      <c r="G2482" s="39" t="s">
        <v>6965</v>
      </c>
      <c r="H2482" s="1">
        <v>3</v>
      </c>
      <c r="I2482" s="1">
        <v>0</v>
      </c>
      <c r="J2482" s="39" t="s">
        <v>6969</v>
      </c>
      <c r="K2482" s="1">
        <v>0</v>
      </c>
      <c r="L2482" s="1">
        <v>3</v>
      </c>
      <c r="S2482" s="1" t="s">
        <v>7185</v>
      </c>
      <c r="T2482" s="1">
        <v>1</v>
      </c>
      <c r="U2482" s="19"/>
      <c r="V2482" s="19"/>
      <c r="W2482" s="218">
        <v>1</v>
      </c>
      <c r="X2482" s="218">
        <v>1</v>
      </c>
      <c r="Y2482" s="218">
        <v>1</v>
      </c>
    </row>
    <row r="2483" spans="1:25" x14ac:dyDescent="0.3">
      <c r="A2483" s="1" t="s">
        <v>7186</v>
      </c>
      <c r="B2483" s="5">
        <v>46158</v>
      </c>
      <c r="C2483" s="6">
        <v>0.45833333333333298</v>
      </c>
      <c r="D2483" s="1" t="s">
        <v>27</v>
      </c>
      <c r="E2483" s="1" t="s">
        <v>29</v>
      </c>
      <c r="F2483" s="1" t="s">
        <v>7187</v>
      </c>
      <c r="G2483" s="39" t="s">
        <v>6969</v>
      </c>
      <c r="H2483" s="1">
        <v>4</v>
      </c>
      <c r="I2483" s="1">
        <v>2</v>
      </c>
      <c r="J2483" s="39" t="s">
        <v>6961</v>
      </c>
      <c r="K2483" s="1">
        <v>2</v>
      </c>
      <c r="L2483" s="1">
        <v>4</v>
      </c>
      <c r="S2483" s="1" t="s">
        <v>7188</v>
      </c>
      <c r="T2483" s="1">
        <v>1</v>
      </c>
      <c r="U2483" s="19"/>
      <c r="V2483" s="19"/>
      <c r="W2483" s="218">
        <v>1</v>
      </c>
      <c r="X2483" s="218">
        <v>1</v>
      </c>
      <c r="Y2483" s="218">
        <v>1</v>
      </c>
    </row>
    <row r="2484" spans="1:25" x14ac:dyDescent="0.3">
      <c r="A2484" s="1" t="s">
        <v>7189</v>
      </c>
      <c r="B2484" s="5">
        <v>46152</v>
      </c>
      <c r="C2484" s="6">
        <v>0.5</v>
      </c>
      <c r="D2484" s="1" t="s">
        <v>27</v>
      </c>
      <c r="E2484" s="1" t="s">
        <v>29</v>
      </c>
      <c r="F2484" s="1" t="s">
        <v>7190</v>
      </c>
      <c r="G2484" s="39" t="s">
        <v>6988</v>
      </c>
      <c r="H2484" s="1">
        <v>2</v>
      </c>
      <c r="I2484" s="1">
        <v>3</v>
      </c>
      <c r="J2484" s="39" t="s">
        <v>6969</v>
      </c>
      <c r="K2484" s="1">
        <v>3</v>
      </c>
      <c r="L2484" s="1">
        <v>2</v>
      </c>
      <c r="S2484" s="1" t="s">
        <v>7191</v>
      </c>
      <c r="T2484" s="1">
        <v>1</v>
      </c>
      <c r="U2484" s="19"/>
      <c r="V2484" s="19"/>
      <c r="W2484" s="218">
        <v>1</v>
      </c>
      <c r="X2484" s="218">
        <v>1</v>
      </c>
      <c r="Y2484" s="218">
        <v>1</v>
      </c>
    </row>
    <row r="2485" spans="1:25" x14ac:dyDescent="0.3">
      <c r="A2485" s="1" t="s">
        <v>7192</v>
      </c>
      <c r="B2485" s="5">
        <v>46200</v>
      </c>
      <c r="C2485" s="6">
        <v>0.45833333333333298</v>
      </c>
      <c r="D2485" s="1" t="s">
        <v>27</v>
      </c>
      <c r="E2485" s="1" t="s">
        <v>29</v>
      </c>
      <c r="F2485" s="1" t="s">
        <v>7193</v>
      </c>
      <c r="G2485" s="39" t="s">
        <v>290</v>
      </c>
      <c r="H2485" s="1">
        <v>3</v>
      </c>
      <c r="I2485" s="1">
        <v>0</v>
      </c>
      <c r="J2485" s="39" t="s">
        <v>6965</v>
      </c>
      <c r="K2485" s="1">
        <v>0</v>
      </c>
      <c r="L2485" s="1">
        <v>3</v>
      </c>
      <c r="S2485" s="1" t="s">
        <v>7194</v>
      </c>
      <c r="T2485" s="1">
        <v>1</v>
      </c>
      <c r="U2485" s="19"/>
      <c r="V2485" s="19"/>
      <c r="W2485" s="218">
        <v>1</v>
      </c>
      <c r="X2485" s="218">
        <v>1</v>
      </c>
      <c r="Y2485" s="218">
        <v>1</v>
      </c>
    </row>
    <row r="2486" spans="1:25" x14ac:dyDescent="0.3">
      <c r="A2486" s="1" t="s">
        <v>7195</v>
      </c>
      <c r="B2486" s="5">
        <v>46194</v>
      </c>
      <c r="C2486" s="6">
        <v>0.45833333333333298</v>
      </c>
      <c r="D2486" s="1" t="s">
        <v>27</v>
      </c>
      <c r="E2486" s="1" t="s">
        <v>29</v>
      </c>
      <c r="F2486" s="1" t="s">
        <v>7196</v>
      </c>
      <c r="G2486" s="39" t="s">
        <v>6988</v>
      </c>
      <c r="H2486" s="1">
        <v>1</v>
      </c>
      <c r="I2486" s="1">
        <v>4</v>
      </c>
      <c r="J2486" s="39" t="s">
        <v>290</v>
      </c>
      <c r="K2486" s="1">
        <v>4</v>
      </c>
      <c r="L2486" s="1">
        <v>1</v>
      </c>
      <c r="S2486" s="1" t="s">
        <v>7197</v>
      </c>
      <c r="T2486" s="1">
        <v>1</v>
      </c>
      <c r="U2486" s="19"/>
      <c r="V2486" s="19"/>
      <c r="W2486" s="218">
        <v>1</v>
      </c>
      <c r="X2486" s="218">
        <v>1</v>
      </c>
      <c r="Y2486" s="218">
        <v>1</v>
      </c>
    </row>
    <row r="2487" spans="1:25" x14ac:dyDescent="0.3">
      <c r="A2487" s="1" t="s">
        <v>7198</v>
      </c>
      <c r="B2487" s="5">
        <v>46187</v>
      </c>
      <c r="C2487" s="6">
        <v>0.45833333333333298</v>
      </c>
      <c r="D2487" s="1" t="s">
        <v>27</v>
      </c>
      <c r="E2487" s="1" t="s">
        <v>29</v>
      </c>
      <c r="F2487" s="1" t="s">
        <v>7199</v>
      </c>
      <c r="G2487" s="39" t="s">
        <v>290</v>
      </c>
      <c r="H2487" s="1">
        <v>2</v>
      </c>
      <c r="I2487" s="1">
        <v>0</v>
      </c>
      <c r="J2487" s="39" t="s">
        <v>6961</v>
      </c>
      <c r="K2487" s="1">
        <v>0</v>
      </c>
      <c r="L2487" s="1">
        <v>2</v>
      </c>
      <c r="S2487" s="1" t="s">
        <v>7200</v>
      </c>
      <c r="T2487" s="1">
        <v>1</v>
      </c>
      <c r="U2487" s="19"/>
      <c r="V2487" s="19"/>
      <c r="W2487" s="218">
        <v>1</v>
      </c>
      <c r="X2487" s="218">
        <v>1</v>
      </c>
      <c r="Y2487" s="218">
        <v>1</v>
      </c>
    </row>
    <row r="2488" spans="1:25" x14ac:dyDescent="0.3">
      <c r="A2488" s="1" t="s">
        <v>7201</v>
      </c>
      <c r="B2488" s="5">
        <v>46167</v>
      </c>
      <c r="C2488" s="6">
        <v>0.5</v>
      </c>
      <c r="D2488" s="1" t="s">
        <v>27</v>
      </c>
      <c r="E2488" s="1" t="s">
        <v>29</v>
      </c>
      <c r="F2488" s="1" t="s">
        <v>7202</v>
      </c>
      <c r="G2488" s="39" t="s">
        <v>290</v>
      </c>
      <c r="H2488" s="1">
        <v>2</v>
      </c>
      <c r="I2488" s="1">
        <v>0</v>
      </c>
      <c r="J2488" s="39" t="s">
        <v>6950</v>
      </c>
      <c r="K2488" s="1">
        <v>0</v>
      </c>
      <c r="L2488" s="1">
        <v>2</v>
      </c>
      <c r="S2488" s="1" t="s">
        <v>7203</v>
      </c>
      <c r="T2488" s="1">
        <v>1</v>
      </c>
      <c r="U2488" s="19"/>
      <c r="V2488" s="19"/>
      <c r="W2488" s="218">
        <v>1</v>
      </c>
      <c r="X2488" s="218">
        <v>1</v>
      </c>
      <c r="Y2488" s="218">
        <v>1</v>
      </c>
    </row>
    <row r="2489" spans="1:25" x14ac:dyDescent="0.3">
      <c r="A2489" s="1" t="s">
        <v>7204</v>
      </c>
      <c r="B2489" s="5">
        <v>46162</v>
      </c>
      <c r="C2489" s="6">
        <v>0.58333333333333304</v>
      </c>
      <c r="D2489" s="1" t="s">
        <v>27</v>
      </c>
      <c r="E2489" s="1" t="s">
        <v>29</v>
      </c>
      <c r="F2489" s="1" t="s">
        <v>7205</v>
      </c>
      <c r="G2489" s="39" t="s">
        <v>6946</v>
      </c>
      <c r="H2489" s="1">
        <v>2</v>
      </c>
      <c r="I2489" s="1">
        <v>0</v>
      </c>
      <c r="J2489" s="39" t="s">
        <v>290</v>
      </c>
      <c r="K2489" s="1">
        <v>0</v>
      </c>
      <c r="L2489" s="1">
        <v>2</v>
      </c>
      <c r="S2489" s="1" t="s">
        <v>7206</v>
      </c>
      <c r="T2489" s="1">
        <v>1</v>
      </c>
      <c r="U2489" s="19"/>
      <c r="V2489" s="19"/>
      <c r="W2489" s="218">
        <v>1</v>
      </c>
      <c r="X2489" s="218">
        <v>1</v>
      </c>
      <c r="Y2489" s="218">
        <v>1</v>
      </c>
    </row>
    <row r="2490" spans="1:25" x14ac:dyDescent="0.3">
      <c r="A2490" s="1" t="s">
        <v>7207</v>
      </c>
      <c r="B2490" s="5">
        <v>46229</v>
      </c>
      <c r="C2490" s="6">
        <v>0.5</v>
      </c>
      <c r="D2490" s="1" t="s">
        <v>27</v>
      </c>
      <c r="E2490" s="1" t="s">
        <v>29</v>
      </c>
      <c r="F2490" s="1" t="s">
        <v>7208</v>
      </c>
      <c r="G2490" s="39" t="s">
        <v>6988</v>
      </c>
      <c r="H2490" s="1">
        <v>1</v>
      </c>
      <c r="I2490" s="1">
        <v>2</v>
      </c>
      <c r="J2490" s="39" t="s">
        <v>6965</v>
      </c>
      <c r="K2490" s="1">
        <v>2</v>
      </c>
      <c r="L2490" s="1">
        <v>1</v>
      </c>
      <c r="S2490" s="1" t="s">
        <v>7209</v>
      </c>
      <c r="T2490" s="1">
        <v>1</v>
      </c>
      <c r="U2490" s="19"/>
      <c r="V2490" s="19"/>
      <c r="W2490" s="218">
        <v>1</v>
      </c>
      <c r="X2490" s="218">
        <v>1</v>
      </c>
      <c r="Y2490" s="218">
        <v>1</v>
      </c>
    </row>
    <row r="2491" spans="1:25" x14ac:dyDescent="0.3">
      <c r="A2491" s="1" t="s">
        <v>7210</v>
      </c>
      <c r="B2491" s="5">
        <v>46200</v>
      </c>
      <c r="C2491" s="6">
        <v>0.45833333333333298</v>
      </c>
      <c r="D2491" s="1" t="s">
        <v>27</v>
      </c>
      <c r="E2491" s="1" t="s">
        <v>29</v>
      </c>
      <c r="F2491" s="1" t="s">
        <v>7211</v>
      </c>
      <c r="G2491" s="39" t="s">
        <v>6961</v>
      </c>
      <c r="H2491" s="1">
        <v>3</v>
      </c>
      <c r="I2491" s="1">
        <v>2</v>
      </c>
      <c r="J2491" s="39" t="s">
        <v>6988</v>
      </c>
      <c r="K2491" s="1">
        <v>2</v>
      </c>
      <c r="L2491" s="1">
        <v>3</v>
      </c>
      <c r="S2491" s="1" t="s">
        <v>7212</v>
      </c>
      <c r="T2491" s="1">
        <v>1</v>
      </c>
      <c r="U2491" s="19"/>
      <c r="V2491" s="19"/>
      <c r="W2491" s="218">
        <v>1</v>
      </c>
      <c r="X2491" s="218">
        <v>1</v>
      </c>
      <c r="Y2491" s="218">
        <v>1</v>
      </c>
    </row>
    <row r="2492" spans="1:25" x14ac:dyDescent="0.3">
      <c r="A2492" s="1" t="s">
        <v>7213</v>
      </c>
      <c r="B2492" s="5">
        <v>46187</v>
      </c>
      <c r="C2492" s="6">
        <v>0.45833333333333298</v>
      </c>
      <c r="D2492" s="1" t="s">
        <v>27</v>
      </c>
      <c r="E2492" s="1" t="s">
        <v>29</v>
      </c>
      <c r="F2492" s="1" t="s">
        <v>7214</v>
      </c>
      <c r="G2492" s="39" t="s">
        <v>6950</v>
      </c>
      <c r="H2492" s="1">
        <v>2</v>
      </c>
      <c r="I2492" s="1">
        <v>4</v>
      </c>
      <c r="J2492" s="39" t="s">
        <v>6988</v>
      </c>
      <c r="K2492" s="1">
        <v>4</v>
      </c>
      <c r="L2492" s="1">
        <v>2</v>
      </c>
      <c r="S2492" s="1" t="s">
        <v>7215</v>
      </c>
      <c r="T2492" s="1">
        <v>1</v>
      </c>
      <c r="U2492" s="19"/>
      <c r="V2492" s="19"/>
      <c r="W2492" s="218">
        <v>1</v>
      </c>
      <c r="X2492" s="218">
        <v>1</v>
      </c>
      <c r="Y2492" s="218">
        <v>1</v>
      </c>
    </row>
    <row r="2493" spans="1:25" x14ac:dyDescent="0.3">
      <c r="A2493" s="1" t="s">
        <v>7216</v>
      </c>
      <c r="B2493" s="5">
        <v>46194</v>
      </c>
      <c r="C2493" s="6">
        <v>0.45833333333333298</v>
      </c>
      <c r="D2493" s="1" t="s">
        <v>27</v>
      </c>
      <c r="E2493" s="1" t="s">
        <v>29</v>
      </c>
      <c r="F2493" s="1" t="s">
        <v>7217</v>
      </c>
      <c r="G2493" s="39" t="s">
        <v>6965</v>
      </c>
      <c r="H2493" s="1">
        <v>3</v>
      </c>
      <c r="I2493" s="1">
        <v>1</v>
      </c>
      <c r="J2493" s="39" t="s">
        <v>6950</v>
      </c>
      <c r="K2493" s="1">
        <v>1</v>
      </c>
      <c r="L2493" s="1">
        <v>3</v>
      </c>
      <c r="S2493" s="1" t="s">
        <v>7218</v>
      </c>
      <c r="T2493" s="1">
        <v>1</v>
      </c>
      <c r="U2493" s="19"/>
      <c r="V2493" s="19"/>
      <c r="W2493" s="218">
        <v>1</v>
      </c>
      <c r="X2493" s="218">
        <v>1</v>
      </c>
      <c r="Y2493" s="218">
        <v>1</v>
      </c>
    </row>
    <row r="2494" spans="1:25" x14ac:dyDescent="0.3">
      <c r="A2494" s="1" t="s">
        <v>7219</v>
      </c>
      <c r="B2494" s="5">
        <v>46173</v>
      </c>
      <c r="C2494" s="6">
        <v>0.5</v>
      </c>
      <c r="D2494" s="1" t="s">
        <v>27</v>
      </c>
      <c r="E2494" s="1" t="s">
        <v>29</v>
      </c>
      <c r="F2494" s="1" t="s">
        <v>7220</v>
      </c>
      <c r="G2494" s="39" t="s">
        <v>6961</v>
      </c>
      <c r="H2494" s="1">
        <v>2</v>
      </c>
      <c r="I2494" s="1">
        <v>3</v>
      </c>
      <c r="J2494" s="39" t="s">
        <v>6950</v>
      </c>
      <c r="K2494" s="1">
        <v>3</v>
      </c>
      <c r="L2494" s="1">
        <v>2</v>
      </c>
      <c r="S2494" s="1" t="s">
        <v>7221</v>
      </c>
      <c r="T2494" s="1">
        <v>1</v>
      </c>
      <c r="U2494" s="19"/>
      <c r="V2494" s="19"/>
      <c r="W2494" s="218">
        <v>1</v>
      </c>
      <c r="X2494" s="218">
        <v>1</v>
      </c>
      <c r="Y2494" s="218">
        <v>1</v>
      </c>
    </row>
    <row r="2495" spans="1:25" x14ac:dyDescent="0.3">
      <c r="A2495" s="1" t="s">
        <v>7222</v>
      </c>
      <c r="B2495" s="5">
        <v>46205</v>
      </c>
      <c r="C2495" s="6">
        <v>0.54166666666666696</v>
      </c>
      <c r="D2495" s="1" t="s">
        <v>27</v>
      </c>
      <c r="E2495" s="1" t="s">
        <v>29</v>
      </c>
      <c r="F2495" s="1" t="s">
        <v>7223</v>
      </c>
      <c r="G2495" s="39" t="s">
        <v>6949</v>
      </c>
      <c r="H2495" s="1">
        <v>6</v>
      </c>
      <c r="I2495" s="1">
        <v>2</v>
      </c>
      <c r="J2495" s="39" t="s">
        <v>6946</v>
      </c>
      <c r="K2495" s="1">
        <v>2</v>
      </c>
      <c r="L2495" s="1">
        <v>6</v>
      </c>
      <c r="S2495" s="1" t="s">
        <v>7224</v>
      </c>
      <c r="T2495" s="1">
        <v>1</v>
      </c>
      <c r="U2495" s="19"/>
      <c r="V2495" s="19"/>
      <c r="W2495" s="218">
        <v>1</v>
      </c>
      <c r="X2495" s="218">
        <v>1</v>
      </c>
      <c r="Y2495" s="218">
        <v>1</v>
      </c>
    </row>
    <row r="2496" spans="1:25" x14ac:dyDescent="0.3">
      <c r="A2496" s="1" t="s">
        <v>7225</v>
      </c>
      <c r="B2496" s="5">
        <v>46206</v>
      </c>
      <c r="C2496" s="6">
        <v>0.54166666666666696</v>
      </c>
      <c r="D2496" s="1" t="s">
        <v>27</v>
      </c>
      <c r="E2496" s="1" t="s">
        <v>29</v>
      </c>
      <c r="F2496" s="1" t="s">
        <v>7226</v>
      </c>
      <c r="G2496" s="39" t="s">
        <v>6965</v>
      </c>
      <c r="H2496" s="1">
        <v>1</v>
      </c>
      <c r="I2496" s="1">
        <v>0</v>
      </c>
      <c r="J2496" s="39" t="s">
        <v>6961</v>
      </c>
      <c r="K2496" s="1">
        <v>0</v>
      </c>
      <c r="L2496" s="1">
        <v>1</v>
      </c>
      <c r="S2496" s="1" t="s">
        <v>7227</v>
      </c>
      <c r="T2496" s="1">
        <v>1</v>
      </c>
      <c r="U2496" s="19"/>
      <c r="V2496" s="19"/>
      <c r="W2496" s="218">
        <v>1</v>
      </c>
      <c r="X2496" s="218">
        <v>1</v>
      </c>
      <c r="Y2496" s="218">
        <v>1</v>
      </c>
    </row>
    <row r="2497" spans="1:25" x14ac:dyDescent="0.3">
      <c r="A2497" s="1" t="s">
        <v>7228</v>
      </c>
      <c r="B2497" s="5">
        <v>46167</v>
      </c>
      <c r="C2497" s="6">
        <v>0.5</v>
      </c>
      <c r="D2497" s="1" t="s">
        <v>27</v>
      </c>
      <c r="E2497" s="1" t="s">
        <v>29</v>
      </c>
      <c r="F2497" s="1" t="s">
        <v>7229</v>
      </c>
      <c r="G2497" s="39" t="s">
        <v>6946</v>
      </c>
      <c r="H2497" s="1">
        <v>3</v>
      </c>
      <c r="I2497" s="1">
        <v>0</v>
      </c>
      <c r="J2497" s="39" t="s">
        <v>6965</v>
      </c>
      <c r="K2497" s="1">
        <v>0</v>
      </c>
      <c r="L2497" s="1">
        <v>3</v>
      </c>
      <c r="S2497" s="1" t="s">
        <v>7230</v>
      </c>
      <c r="T2497" s="1">
        <v>1</v>
      </c>
      <c r="U2497" s="19"/>
      <c r="V2497" s="19"/>
      <c r="W2497" s="218">
        <v>1</v>
      </c>
      <c r="X2497" s="218">
        <v>1</v>
      </c>
      <c r="Y2497" s="218">
        <v>1</v>
      </c>
    </row>
    <row r="2498" spans="1:25" x14ac:dyDescent="0.3">
      <c r="A2498" s="1" t="s">
        <v>7231</v>
      </c>
      <c r="B2498" s="5">
        <v>46167</v>
      </c>
      <c r="C2498" s="6">
        <v>0.5</v>
      </c>
      <c r="D2498" s="1" t="s">
        <v>27</v>
      </c>
      <c r="E2498" s="1" t="s">
        <v>29</v>
      </c>
      <c r="F2498" s="1" t="s">
        <v>7232</v>
      </c>
      <c r="G2498" s="39" t="s">
        <v>6949</v>
      </c>
      <c r="H2498" s="1">
        <v>1</v>
      </c>
      <c r="I2498" s="1">
        <v>0</v>
      </c>
      <c r="J2498" s="39" t="s">
        <v>6961</v>
      </c>
      <c r="K2498" s="1">
        <v>0</v>
      </c>
      <c r="L2498" s="1">
        <v>1</v>
      </c>
      <c r="S2498" s="1" t="s">
        <v>7233</v>
      </c>
      <c r="T2498" s="1">
        <v>1</v>
      </c>
      <c r="U2498" s="19"/>
      <c r="V2498" s="19"/>
      <c r="W2498" s="218">
        <v>1</v>
      </c>
      <c r="X2498" s="218">
        <v>1</v>
      </c>
      <c r="Y2498" s="218">
        <v>1</v>
      </c>
    </row>
    <row r="2499" spans="1:25" x14ac:dyDescent="0.3">
      <c r="A2499" s="1" t="s">
        <v>7234</v>
      </c>
      <c r="B2499" s="5">
        <v>46152</v>
      </c>
      <c r="C2499" s="6">
        <v>0.5</v>
      </c>
      <c r="D2499" s="1" t="s">
        <v>27</v>
      </c>
      <c r="E2499" s="1" t="s">
        <v>29</v>
      </c>
      <c r="F2499" s="1" t="s">
        <v>7235</v>
      </c>
      <c r="G2499" s="39" t="s">
        <v>6965</v>
      </c>
      <c r="H2499" s="1">
        <v>0</v>
      </c>
      <c r="I2499" s="1">
        <v>1</v>
      </c>
      <c r="J2499" s="39" t="s">
        <v>6949</v>
      </c>
      <c r="K2499" s="1">
        <v>1</v>
      </c>
      <c r="L2499" s="1">
        <v>0</v>
      </c>
      <c r="S2499" s="1" t="s">
        <v>7236</v>
      </c>
      <c r="T2499" s="1">
        <v>1</v>
      </c>
      <c r="U2499" s="19"/>
      <c r="V2499" s="19"/>
      <c r="W2499" s="218">
        <v>1</v>
      </c>
      <c r="X2499" s="218">
        <v>1</v>
      </c>
      <c r="Y2499" s="218">
        <v>1</v>
      </c>
    </row>
    <row r="2500" spans="1:25" x14ac:dyDescent="0.3">
      <c r="A2500" s="1" t="s">
        <v>7237</v>
      </c>
      <c r="B2500" s="5">
        <v>46242</v>
      </c>
      <c r="C2500" s="6">
        <v>0.375</v>
      </c>
      <c r="D2500" s="1" t="s">
        <v>888</v>
      </c>
      <c r="E2500" s="1" t="s">
        <v>889</v>
      </c>
      <c r="F2500" s="1" t="s">
        <v>7238</v>
      </c>
      <c r="G2500" s="39" t="s">
        <v>7239</v>
      </c>
      <c r="H2500" s="1">
        <v>1</v>
      </c>
      <c r="I2500" s="1">
        <v>0</v>
      </c>
      <c r="J2500" s="39" t="s">
        <v>7240</v>
      </c>
      <c r="K2500" s="1">
        <v>0</v>
      </c>
      <c r="L2500" s="1">
        <v>1</v>
      </c>
      <c r="S2500" s="1" t="s">
        <v>7241</v>
      </c>
      <c r="T2500" s="1">
        <v>1</v>
      </c>
      <c r="U2500" s="19"/>
      <c r="V2500" s="19"/>
      <c r="W2500" s="218">
        <v>1</v>
      </c>
      <c r="X2500" s="218">
        <v>1</v>
      </c>
      <c r="Y2500" s="218">
        <v>1</v>
      </c>
    </row>
    <row r="2501" spans="1:25" x14ac:dyDescent="0.3">
      <c r="A2501" s="1" t="s">
        <v>7242</v>
      </c>
      <c r="B2501" s="5">
        <v>46235</v>
      </c>
      <c r="C2501" s="6">
        <v>0.375</v>
      </c>
      <c r="D2501" s="1" t="s">
        <v>888</v>
      </c>
      <c r="E2501" s="1" t="s">
        <v>889</v>
      </c>
      <c r="F2501" s="1" t="s">
        <v>7243</v>
      </c>
      <c r="G2501" s="39" t="s">
        <v>7240</v>
      </c>
      <c r="H2501" s="1">
        <v>1</v>
      </c>
      <c r="I2501" s="1">
        <v>1</v>
      </c>
      <c r="J2501" s="39" t="s">
        <v>7244</v>
      </c>
      <c r="K2501" s="1">
        <v>1</v>
      </c>
      <c r="L2501" s="1">
        <v>1</v>
      </c>
      <c r="S2501" s="1" t="s">
        <v>7245</v>
      </c>
      <c r="T2501" s="1">
        <v>1</v>
      </c>
      <c r="U2501" s="19"/>
      <c r="V2501" s="19"/>
      <c r="W2501" s="218">
        <v>1</v>
      </c>
      <c r="X2501" s="218">
        <v>1</v>
      </c>
      <c r="Y2501" s="218">
        <v>1</v>
      </c>
    </row>
    <row r="2502" spans="1:25" x14ac:dyDescent="0.3">
      <c r="A2502" s="1" t="s">
        <v>7246</v>
      </c>
      <c r="B2502" s="5">
        <v>46229</v>
      </c>
      <c r="C2502" s="6">
        <v>0.35763888888888901</v>
      </c>
      <c r="D2502" s="1" t="s">
        <v>888</v>
      </c>
      <c r="E2502" s="1" t="s">
        <v>889</v>
      </c>
      <c r="F2502" s="1" t="s">
        <v>7247</v>
      </c>
      <c r="G2502" s="39" t="s">
        <v>7240</v>
      </c>
      <c r="H2502" s="1">
        <v>2</v>
      </c>
      <c r="I2502" s="1">
        <v>2</v>
      </c>
      <c r="J2502" s="39" t="s">
        <v>891</v>
      </c>
      <c r="K2502" s="1">
        <v>2</v>
      </c>
      <c r="L2502" s="1">
        <v>2</v>
      </c>
      <c r="S2502" s="1" t="s">
        <v>7248</v>
      </c>
      <c r="T2502" s="1">
        <v>1</v>
      </c>
      <c r="U2502" s="19"/>
      <c r="V2502" s="19"/>
      <c r="W2502" s="218">
        <v>1</v>
      </c>
      <c r="X2502" s="218">
        <v>1</v>
      </c>
      <c r="Y2502" s="218">
        <v>1</v>
      </c>
    </row>
    <row r="2503" spans="1:25" x14ac:dyDescent="0.3">
      <c r="A2503" s="1" t="s">
        <v>7249</v>
      </c>
      <c r="B2503" s="5">
        <v>46220</v>
      </c>
      <c r="C2503" s="6">
        <v>0.33333333333333298</v>
      </c>
      <c r="D2503" s="1" t="s">
        <v>888</v>
      </c>
      <c r="E2503" s="1" t="s">
        <v>889</v>
      </c>
      <c r="F2503" s="1" t="s">
        <v>7250</v>
      </c>
      <c r="G2503" s="39" t="s">
        <v>7251</v>
      </c>
      <c r="H2503" s="1">
        <v>1</v>
      </c>
      <c r="I2503" s="1">
        <v>1</v>
      </c>
      <c r="J2503" s="39" t="s">
        <v>7240</v>
      </c>
      <c r="K2503" s="1">
        <v>1</v>
      </c>
      <c r="L2503" s="1">
        <v>1</v>
      </c>
      <c r="S2503" s="1" t="s">
        <v>7252</v>
      </c>
      <c r="T2503" s="1">
        <v>1</v>
      </c>
      <c r="U2503" s="19"/>
      <c r="V2503" s="19"/>
      <c r="W2503" s="218">
        <v>1</v>
      </c>
      <c r="X2503" s="218">
        <v>1</v>
      </c>
      <c r="Y2503" s="218">
        <v>1</v>
      </c>
    </row>
    <row r="2504" spans="1:25" x14ac:dyDescent="0.3">
      <c r="A2504" s="1" t="s">
        <v>7253</v>
      </c>
      <c r="B2504" s="5">
        <v>46214</v>
      </c>
      <c r="C2504" s="6">
        <v>0.375</v>
      </c>
      <c r="D2504" s="1" t="s">
        <v>888</v>
      </c>
      <c r="E2504" s="1" t="s">
        <v>889</v>
      </c>
      <c r="F2504" s="1" t="s">
        <v>7254</v>
      </c>
      <c r="G2504" s="39" t="s">
        <v>7240</v>
      </c>
      <c r="H2504" s="1">
        <v>1</v>
      </c>
      <c r="I2504" s="1">
        <v>1</v>
      </c>
      <c r="J2504" s="39" t="s">
        <v>7255</v>
      </c>
      <c r="K2504" s="1">
        <v>1</v>
      </c>
      <c r="L2504" s="1">
        <v>1</v>
      </c>
      <c r="S2504" s="1" t="s">
        <v>7256</v>
      </c>
      <c r="T2504" s="1">
        <v>1</v>
      </c>
      <c r="U2504" s="19"/>
      <c r="V2504" s="19"/>
      <c r="W2504" s="218">
        <v>1</v>
      </c>
      <c r="X2504" s="218">
        <v>1</v>
      </c>
      <c r="Y2504" s="218">
        <v>1</v>
      </c>
    </row>
    <row r="2505" spans="1:25" x14ac:dyDescent="0.3">
      <c r="A2505" s="1" t="s">
        <v>7257</v>
      </c>
      <c r="B2505" s="5">
        <v>46208</v>
      </c>
      <c r="C2505" s="6">
        <v>0.33333333333333298</v>
      </c>
      <c r="D2505" s="1" t="s">
        <v>888</v>
      </c>
      <c r="E2505" s="1" t="s">
        <v>889</v>
      </c>
      <c r="F2505" s="1" t="s">
        <v>7258</v>
      </c>
      <c r="G2505" s="39" t="s">
        <v>7259</v>
      </c>
      <c r="H2505" s="1">
        <v>1</v>
      </c>
      <c r="I2505" s="1">
        <v>1</v>
      </c>
      <c r="J2505" s="39" t="s">
        <v>7240</v>
      </c>
      <c r="K2505" s="1">
        <v>1</v>
      </c>
      <c r="L2505" s="1">
        <v>1</v>
      </c>
      <c r="S2505" s="1" t="s">
        <v>7260</v>
      </c>
      <c r="T2505" s="1">
        <v>1</v>
      </c>
      <c r="U2505" s="19"/>
      <c r="V2505" s="19"/>
      <c r="W2505" s="218">
        <v>1</v>
      </c>
      <c r="X2505" s="218">
        <v>1</v>
      </c>
      <c r="Y2505" s="218">
        <v>1</v>
      </c>
    </row>
    <row r="2506" spans="1:25" x14ac:dyDescent="0.3">
      <c r="A2506" s="1" t="s">
        <v>7261</v>
      </c>
      <c r="B2506" s="5">
        <v>46200</v>
      </c>
      <c r="C2506" s="6">
        <v>0.35763888888888901</v>
      </c>
      <c r="D2506" s="1" t="s">
        <v>888</v>
      </c>
      <c r="E2506" s="1" t="s">
        <v>889</v>
      </c>
      <c r="F2506" s="1" t="s">
        <v>7262</v>
      </c>
      <c r="G2506" s="39" t="s">
        <v>892</v>
      </c>
      <c r="H2506" s="1">
        <v>2</v>
      </c>
      <c r="I2506" s="1">
        <v>3</v>
      </c>
      <c r="J2506" s="39" t="s">
        <v>7240</v>
      </c>
      <c r="K2506" s="1">
        <v>3</v>
      </c>
      <c r="L2506" s="1">
        <v>2</v>
      </c>
      <c r="S2506" s="1" t="s">
        <v>7263</v>
      </c>
      <c r="T2506" s="1">
        <v>1</v>
      </c>
      <c r="U2506" s="19"/>
      <c r="V2506" s="19"/>
      <c r="W2506" s="218">
        <v>1</v>
      </c>
      <c r="X2506" s="218">
        <v>1</v>
      </c>
      <c r="Y2506" s="218">
        <v>1</v>
      </c>
    </row>
    <row r="2507" spans="1:25" x14ac:dyDescent="0.3">
      <c r="A2507" s="1" t="s">
        <v>7264</v>
      </c>
      <c r="B2507" s="5">
        <v>46172</v>
      </c>
      <c r="C2507" s="6">
        <v>0.35763888888888901</v>
      </c>
      <c r="D2507" s="1" t="s">
        <v>888</v>
      </c>
      <c r="E2507" s="1" t="s">
        <v>889</v>
      </c>
      <c r="F2507" s="1" t="s">
        <v>7265</v>
      </c>
      <c r="G2507" s="39" t="s">
        <v>7240</v>
      </c>
      <c r="H2507" s="1">
        <v>1</v>
      </c>
      <c r="I2507" s="1">
        <v>0</v>
      </c>
      <c r="J2507" s="39" t="s">
        <v>7266</v>
      </c>
      <c r="K2507" s="1">
        <v>0</v>
      </c>
      <c r="L2507" s="1">
        <v>1</v>
      </c>
      <c r="S2507" s="1" t="s">
        <v>7267</v>
      </c>
      <c r="T2507" s="1">
        <v>1</v>
      </c>
      <c r="U2507" s="19"/>
      <c r="V2507" s="19"/>
      <c r="W2507" s="218">
        <v>1</v>
      </c>
      <c r="X2507" s="218">
        <v>1</v>
      </c>
      <c r="Y2507" s="218">
        <v>1</v>
      </c>
    </row>
    <row r="2508" spans="1:25" x14ac:dyDescent="0.3">
      <c r="A2508" s="1" t="s">
        <v>7268</v>
      </c>
      <c r="B2508" s="5">
        <v>46165</v>
      </c>
      <c r="C2508" s="6">
        <v>0.375</v>
      </c>
      <c r="D2508" s="1" t="s">
        <v>888</v>
      </c>
      <c r="E2508" s="1" t="s">
        <v>889</v>
      </c>
      <c r="F2508" s="1" t="s">
        <v>7269</v>
      </c>
      <c r="G2508" s="39" t="s">
        <v>7270</v>
      </c>
      <c r="H2508" s="1">
        <v>2</v>
      </c>
      <c r="I2508" s="1">
        <v>0</v>
      </c>
      <c r="J2508" s="39" t="s">
        <v>7240</v>
      </c>
      <c r="K2508" s="1">
        <v>0</v>
      </c>
      <c r="L2508" s="1">
        <v>2</v>
      </c>
      <c r="S2508" s="1" t="s">
        <v>7271</v>
      </c>
      <c r="T2508" s="1">
        <v>1</v>
      </c>
      <c r="U2508" s="19"/>
      <c r="V2508" s="19"/>
      <c r="W2508" s="218">
        <v>1</v>
      </c>
      <c r="X2508" s="218">
        <v>1</v>
      </c>
      <c r="Y2508" s="218">
        <v>1</v>
      </c>
    </row>
    <row r="2509" spans="1:25" x14ac:dyDescent="0.3">
      <c r="A2509" s="1" t="s">
        <v>7272</v>
      </c>
      <c r="B2509" s="5">
        <v>46161</v>
      </c>
      <c r="C2509" s="6">
        <v>0.375</v>
      </c>
      <c r="D2509" s="1" t="s">
        <v>888</v>
      </c>
      <c r="E2509" s="1" t="s">
        <v>889</v>
      </c>
      <c r="F2509" s="1" t="s">
        <v>7273</v>
      </c>
      <c r="G2509" s="39" t="s">
        <v>7240</v>
      </c>
      <c r="H2509" s="1">
        <v>0</v>
      </c>
      <c r="I2509" s="1">
        <v>1</v>
      </c>
      <c r="J2509" s="39" t="s">
        <v>7274</v>
      </c>
      <c r="K2509" s="1">
        <v>1</v>
      </c>
      <c r="L2509" s="1">
        <v>0</v>
      </c>
      <c r="S2509" s="1" t="s">
        <v>7275</v>
      </c>
      <c r="T2509" s="1">
        <v>1</v>
      </c>
      <c r="U2509" s="19"/>
      <c r="V2509" s="19"/>
      <c r="W2509" s="218">
        <v>1</v>
      </c>
      <c r="X2509" s="218">
        <v>1</v>
      </c>
      <c r="Y2509" s="218">
        <v>1</v>
      </c>
    </row>
    <row r="2510" spans="1:25" x14ac:dyDescent="0.3">
      <c r="A2510" s="1" t="s">
        <v>7276</v>
      </c>
      <c r="B2510" s="5">
        <v>46157</v>
      </c>
      <c r="C2510" s="6">
        <v>0.35763888888888901</v>
      </c>
      <c r="D2510" s="1" t="s">
        <v>888</v>
      </c>
      <c r="E2510" s="1" t="s">
        <v>889</v>
      </c>
      <c r="F2510" s="1" t="s">
        <v>7277</v>
      </c>
      <c r="G2510" s="39" t="s">
        <v>7278</v>
      </c>
      <c r="H2510" s="1">
        <v>1</v>
      </c>
      <c r="I2510" s="1">
        <v>2</v>
      </c>
      <c r="J2510" s="39" t="s">
        <v>7240</v>
      </c>
      <c r="K2510" s="1">
        <v>2</v>
      </c>
      <c r="L2510" s="1">
        <v>1</v>
      </c>
      <c r="S2510" s="1" t="s">
        <v>7279</v>
      </c>
      <c r="T2510" s="1">
        <v>1</v>
      </c>
      <c r="U2510" s="19"/>
      <c r="V2510" s="19"/>
      <c r="W2510" s="218">
        <v>1</v>
      </c>
      <c r="X2510" s="218">
        <v>1</v>
      </c>
      <c r="Y2510" s="218">
        <v>1</v>
      </c>
    </row>
    <row r="2511" spans="1:25" x14ac:dyDescent="0.3">
      <c r="A2511" s="1" t="s">
        <v>7280</v>
      </c>
      <c r="B2511" s="5">
        <v>46151</v>
      </c>
      <c r="C2511" s="6">
        <v>0.375</v>
      </c>
      <c r="D2511" s="1" t="s">
        <v>888</v>
      </c>
      <c r="E2511" s="1" t="s">
        <v>889</v>
      </c>
      <c r="F2511" s="1" t="s">
        <v>7281</v>
      </c>
      <c r="G2511" s="39" t="s">
        <v>7240</v>
      </c>
      <c r="H2511" s="1">
        <v>3</v>
      </c>
      <c r="I2511" s="1">
        <v>0</v>
      </c>
      <c r="J2511" s="39" t="s">
        <v>7282</v>
      </c>
      <c r="K2511" s="1">
        <v>0</v>
      </c>
      <c r="L2511" s="1">
        <v>3</v>
      </c>
      <c r="S2511" s="1" t="s">
        <v>7283</v>
      </c>
      <c r="T2511" s="1">
        <v>1</v>
      </c>
      <c r="U2511" s="19"/>
      <c r="V2511" s="19"/>
      <c r="W2511" s="218">
        <v>1</v>
      </c>
      <c r="X2511" s="218">
        <v>1</v>
      </c>
      <c r="Y2511" s="218">
        <v>1</v>
      </c>
    </row>
    <row r="2512" spans="1:25" x14ac:dyDescent="0.3">
      <c r="A2512" s="1" t="s">
        <v>7284</v>
      </c>
      <c r="B2512" s="5">
        <v>46243</v>
      </c>
      <c r="C2512" s="6">
        <v>0.33333333333333298</v>
      </c>
      <c r="D2512" s="1" t="s">
        <v>888</v>
      </c>
      <c r="E2512" s="1" t="s">
        <v>889</v>
      </c>
      <c r="F2512" s="1" t="s">
        <v>7285</v>
      </c>
      <c r="G2512" s="39" t="s">
        <v>7282</v>
      </c>
      <c r="H2512" s="1">
        <v>0</v>
      </c>
      <c r="I2512" s="1">
        <v>0</v>
      </c>
      <c r="J2512" s="39" t="s">
        <v>7251</v>
      </c>
      <c r="K2512" s="1">
        <v>0</v>
      </c>
      <c r="L2512" s="1">
        <v>0</v>
      </c>
      <c r="S2512" s="1" t="s">
        <v>7286</v>
      </c>
      <c r="T2512" s="1">
        <v>1</v>
      </c>
      <c r="U2512" s="19"/>
      <c r="V2512" s="19"/>
      <c r="W2512" s="218">
        <v>1</v>
      </c>
      <c r="X2512" s="218">
        <v>1</v>
      </c>
      <c r="Y2512" s="218">
        <v>1</v>
      </c>
    </row>
    <row r="2513" spans="1:25" x14ac:dyDescent="0.3">
      <c r="A2513" s="1" t="s">
        <v>7287</v>
      </c>
      <c r="B2513" s="5">
        <v>46236</v>
      </c>
      <c r="C2513" s="6">
        <v>0.29166666666666702</v>
      </c>
      <c r="D2513" s="1" t="s">
        <v>888</v>
      </c>
      <c r="E2513" s="1" t="s">
        <v>889</v>
      </c>
      <c r="F2513" s="1" t="s">
        <v>7288</v>
      </c>
      <c r="G2513" s="39" t="s">
        <v>7251</v>
      </c>
      <c r="H2513" s="1">
        <v>2</v>
      </c>
      <c r="I2513" s="1">
        <v>0</v>
      </c>
      <c r="J2513" s="39" t="s">
        <v>7259</v>
      </c>
      <c r="K2513" s="1">
        <v>0</v>
      </c>
      <c r="L2513" s="1">
        <v>2</v>
      </c>
      <c r="S2513" s="1" t="s">
        <v>7289</v>
      </c>
      <c r="T2513" s="1">
        <v>1</v>
      </c>
      <c r="U2513" s="19"/>
      <c r="V2513" s="19"/>
      <c r="W2513" s="218">
        <v>1</v>
      </c>
      <c r="X2513" s="218">
        <v>1</v>
      </c>
      <c r="Y2513" s="218">
        <v>1</v>
      </c>
    </row>
    <row r="2514" spans="1:25" x14ac:dyDescent="0.3">
      <c r="A2514" s="1" t="s">
        <v>7290</v>
      </c>
      <c r="B2514" s="5">
        <v>46228</v>
      </c>
      <c r="C2514" s="6">
        <v>0.35763888888888901</v>
      </c>
      <c r="D2514" s="1" t="s">
        <v>888</v>
      </c>
      <c r="E2514" s="1" t="s">
        <v>889</v>
      </c>
      <c r="F2514" s="1" t="s">
        <v>7291</v>
      </c>
      <c r="G2514" s="39" t="s">
        <v>7292</v>
      </c>
      <c r="H2514" s="1">
        <v>0</v>
      </c>
      <c r="I2514" s="1">
        <v>1</v>
      </c>
      <c r="J2514" s="39" t="s">
        <v>7251</v>
      </c>
      <c r="K2514" s="1">
        <v>1</v>
      </c>
      <c r="L2514" s="1">
        <v>0</v>
      </c>
      <c r="S2514" s="1" t="s">
        <v>7293</v>
      </c>
      <c r="T2514" s="1">
        <v>1</v>
      </c>
      <c r="U2514" s="19"/>
      <c r="V2514" s="19"/>
      <c r="W2514" s="218">
        <v>1</v>
      </c>
      <c r="X2514" s="218">
        <v>1</v>
      </c>
      <c r="Y2514" s="218">
        <v>1</v>
      </c>
    </row>
    <row r="2515" spans="1:25" x14ac:dyDescent="0.3">
      <c r="A2515" s="1" t="s">
        <v>7294</v>
      </c>
      <c r="B2515" s="5">
        <v>46214</v>
      </c>
      <c r="C2515" s="6">
        <v>0.35763888888888901</v>
      </c>
      <c r="D2515" s="1" t="s">
        <v>888</v>
      </c>
      <c r="E2515" s="1" t="s">
        <v>889</v>
      </c>
      <c r="F2515" s="1" t="s">
        <v>7295</v>
      </c>
      <c r="G2515" s="39" t="s">
        <v>892</v>
      </c>
      <c r="H2515" s="1">
        <v>3</v>
      </c>
      <c r="I2515" s="1">
        <v>0</v>
      </c>
      <c r="J2515" s="39" t="s">
        <v>7251</v>
      </c>
      <c r="K2515" s="1">
        <v>0</v>
      </c>
      <c r="L2515" s="1">
        <v>3</v>
      </c>
      <c r="S2515" s="1" t="s">
        <v>7296</v>
      </c>
      <c r="T2515" s="1">
        <v>1</v>
      </c>
      <c r="U2515" s="19"/>
      <c r="V2515" s="19"/>
      <c r="W2515" s="218">
        <v>1</v>
      </c>
      <c r="X2515" s="218">
        <v>1</v>
      </c>
      <c r="Y2515" s="218">
        <v>1</v>
      </c>
    </row>
    <row r="2516" spans="1:25" x14ac:dyDescent="0.3">
      <c r="A2516" s="1" t="s">
        <v>7297</v>
      </c>
      <c r="B2516" s="5">
        <v>46207</v>
      </c>
      <c r="C2516" s="6">
        <v>0.33333333333333298</v>
      </c>
      <c r="D2516" s="1" t="s">
        <v>888</v>
      </c>
      <c r="E2516" s="1" t="s">
        <v>889</v>
      </c>
      <c r="F2516" s="1" t="s">
        <v>7298</v>
      </c>
      <c r="G2516" s="39" t="s">
        <v>7251</v>
      </c>
      <c r="H2516" s="1">
        <v>2</v>
      </c>
      <c r="I2516" s="1">
        <v>1</v>
      </c>
      <c r="J2516" s="39" t="s">
        <v>7274</v>
      </c>
      <c r="K2516" s="1">
        <v>1</v>
      </c>
      <c r="L2516" s="1">
        <v>2</v>
      </c>
      <c r="S2516" s="1" t="s">
        <v>7299</v>
      </c>
      <c r="T2516" s="1">
        <v>1</v>
      </c>
      <c r="U2516" s="19"/>
      <c r="V2516" s="19"/>
      <c r="W2516" s="218">
        <v>1</v>
      </c>
      <c r="X2516" s="218">
        <v>1</v>
      </c>
      <c r="Y2516" s="218">
        <v>1</v>
      </c>
    </row>
    <row r="2517" spans="1:25" x14ac:dyDescent="0.3">
      <c r="A2517" s="1" t="s">
        <v>7300</v>
      </c>
      <c r="B2517" s="5">
        <v>46201</v>
      </c>
      <c r="C2517" s="6">
        <v>0.29166666666666702</v>
      </c>
      <c r="D2517" s="1" t="s">
        <v>888</v>
      </c>
      <c r="E2517" s="1" t="s">
        <v>889</v>
      </c>
      <c r="F2517" s="1" t="s">
        <v>7301</v>
      </c>
      <c r="G2517" s="39" t="s">
        <v>7251</v>
      </c>
      <c r="H2517" s="1">
        <v>3</v>
      </c>
      <c r="I2517" s="1">
        <v>1</v>
      </c>
      <c r="J2517" s="39" t="s">
        <v>7302</v>
      </c>
      <c r="K2517" s="1">
        <v>1</v>
      </c>
      <c r="L2517" s="1">
        <v>3</v>
      </c>
      <c r="S2517" s="1" t="s">
        <v>7303</v>
      </c>
      <c r="T2517" s="1">
        <v>1</v>
      </c>
      <c r="U2517" s="19"/>
      <c r="V2517" s="19"/>
      <c r="W2517" s="218">
        <v>1</v>
      </c>
      <c r="X2517" s="218">
        <v>1</v>
      </c>
      <c r="Y2517" s="218">
        <v>1</v>
      </c>
    </row>
    <row r="2518" spans="1:25" x14ac:dyDescent="0.3">
      <c r="A2518" s="1" t="s">
        <v>7304</v>
      </c>
      <c r="B2518" s="5">
        <v>46172</v>
      </c>
      <c r="C2518" s="6">
        <v>0.29166666666666702</v>
      </c>
      <c r="D2518" s="1" t="s">
        <v>888</v>
      </c>
      <c r="E2518" s="1" t="s">
        <v>889</v>
      </c>
      <c r="F2518" s="1" t="s">
        <v>7305</v>
      </c>
      <c r="G2518" s="39" t="s">
        <v>7251</v>
      </c>
      <c r="H2518" s="1">
        <v>2</v>
      </c>
      <c r="I2518" s="1">
        <v>2</v>
      </c>
      <c r="J2518" s="39" t="s">
        <v>7306</v>
      </c>
      <c r="K2518" s="1">
        <v>2</v>
      </c>
      <c r="L2518" s="1">
        <v>2</v>
      </c>
      <c r="S2518" s="1" t="s">
        <v>7307</v>
      </c>
      <c r="T2518" s="1">
        <v>1</v>
      </c>
      <c r="U2518" s="19"/>
      <c r="V2518" s="19"/>
      <c r="W2518" s="218">
        <v>1</v>
      </c>
      <c r="X2518" s="218">
        <v>1</v>
      </c>
      <c r="Y2518" s="218">
        <v>1</v>
      </c>
    </row>
    <row r="2519" spans="1:25" x14ac:dyDescent="0.3">
      <c r="A2519" s="1" t="s">
        <v>7308</v>
      </c>
      <c r="B2519" s="5">
        <v>46166</v>
      </c>
      <c r="C2519" s="6">
        <v>0.33333333333333298</v>
      </c>
      <c r="D2519" s="1" t="s">
        <v>888</v>
      </c>
      <c r="E2519" s="1" t="s">
        <v>889</v>
      </c>
      <c r="F2519" s="1" t="s">
        <v>7309</v>
      </c>
      <c r="G2519" s="39" t="s">
        <v>7239</v>
      </c>
      <c r="H2519" s="1">
        <v>2</v>
      </c>
      <c r="I2519" s="1">
        <v>3</v>
      </c>
      <c r="J2519" s="39" t="s">
        <v>7251</v>
      </c>
      <c r="K2519" s="1">
        <v>3</v>
      </c>
      <c r="L2519" s="1">
        <v>2</v>
      </c>
      <c r="S2519" s="1" t="s">
        <v>7310</v>
      </c>
      <c r="T2519" s="1">
        <v>1</v>
      </c>
      <c r="U2519" s="19"/>
      <c r="V2519" s="19"/>
      <c r="W2519" s="218">
        <v>1</v>
      </c>
      <c r="X2519" s="218">
        <v>1</v>
      </c>
      <c r="Y2519" s="218">
        <v>1</v>
      </c>
    </row>
    <row r="2520" spans="1:25" x14ac:dyDescent="0.3">
      <c r="A2520" s="1" t="s">
        <v>7311</v>
      </c>
      <c r="B2520" s="5">
        <v>46161</v>
      </c>
      <c r="C2520" s="6">
        <v>0.375</v>
      </c>
      <c r="D2520" s="1" t="s">
        <v>888</v>
      </c>
      <c r="E2520" s="1" t="s">
        <v>889</v>
      </c>
      <c r="F2520" s="1" t="s">
        <v>7312</v>
      </c>
      <c r="G2520" s="39" t="s">
        <v>7251</v>
      </c>
      <c r="H2520" s="1">
        <v>1</v>
      </c>
      <c r="I2520" s="1">
        <v>1</v>
      </c>
      <c r="J2520" s="39" t="s">
        <v>891</v>
      </c>
      <c r="K2520" s="1">
        <v>1</v>
      </c>
      <c r="L2520" s="1">
        <v>1</v>
      </c>
      <c r="S2520" s="1" t="s">
        <v>7313</v>
      </c>
      <c r="T2520" s="1">
        <v>1</v>
      </c>
      <c r="U2520" s="19"/>
      <c r="V2520" s="19"/>
      <c r="W2520" s="218">
        <v>1</v>
      </c>
      <c r="X2520" s="218">
        <v>1</v>
      </c>
      <c r="Y2520" s="218">
        <v>1</v>
      </c>
    </row>
    <row r="2521" spans="1:25" x14ac:dyDescent="0.3">
      <c r="A2521" s="1" t="s">
        <v>7314</v>
      </c>
      <c r="B2521" s="5">
        <v>46157</v>
      </c>
      <c r="C2521" s="6">
        <v>0.375</v>
      </c>
      <c r="D2521" s="1" t="s">
        <v>888</v>
      </c>
      <c r="E2521" s="1" t="s">
        <v>889</v>
      </c>
      <c r="F2521" s="1" t="s">
        <v>7315</v>
      </c>
      <c r="G2521" s="39" t="s">
        <v>7270</v>
      </c>
      <c r="H2521" s="1">
        <v>2</v>
      </c>
      <c r="I2521" s="1">
        <v>3</v>
      </c>
      <c r="J2521" s="39" t="s">
        <v>7251</v>
      </c>
      <c r="K2521" s="1">
        <v>3</v>
      </c>
      <c r="L2521" s="1">
        <v>2</v>
      </c>
      <c r="S2521" s="1" t="s">
        <v>7316</v>
      </c>
      <c r="T2521" s="1">
        <v>1</v>
      </c>
      <c r="U2521" s="19"/>
      <c r="V2521" s="19"/>
      <c r="W2521" s="218">
        <v>1</v>
      </c>
      <c r="X2521" s="218">
        <v>1</v>
      </c>
      <c r="Y2521" s="218">
        <v>1</v>
      </c>
    </row>
    <row r="2522" spans="1:25" x14ac:dyDescent="0.3">
      <c r="A2522" s="1" t="s">
        <v>7317</v>
      </c>
      <c r="B2522" s="5">
        <v>46152</v>
      </c>
      <c r="C2522" s="6">
        <v>0.27083333333333298</v>
      </c>
      <c r="D2522" s="1" t="s">
        <v>888</v>
      </c>
      <c r="E2522" s="1" t="s">
        <v>889</v>
      </c>
      <c r="F2522" s="1" t="s">
        <v>7318</v>
      </c>
      <c r="G2522" s="39" t="s">
        <v>7251</v>
      </c>
      <c r="H2522" s="1">
        <v>1</v>
      </c>
      <c r="I2522" s="1">
        <v>1</v>
      </c>
      <c r="J2522" s="39" t="s">
        <v>7244</v>
      </c>
      <c r="K2522" s="1">
        <v>1</v>
      </c>
      <c r="L2522" s="1">
        <v>1</v>
      </c>
      <c r="S2522" s="1" t="s">
        <v>7319</v>
      </c>
      <c r="T2522" s="1">
        <v>1</v>
      </c>
      <c r="U2522" s="19"/>
      <c r="V2522" s="19"/>
      <c r="W2522" s="218">
        <v>1</v>
      </c>
      <c r="X2522" s="218">
        <v>1</v>
      </c>
      <c r="Y2522" s="218">
        <v>1</v>
      </c>
    </row>
    <row r="2523" spans="1:25" x14ac:dyDescent="0.3">
      <c r="A2523" s="1" t="s">
        <v>7320</v>
      </c>
      <c r="B2523" s="5">
        <v>46242</v>
      </c>
      <c r="C2523" s="6">
        <v>0.35763888888888901</v>
      </c>
      <c r="D2523" s="1" t="s">
        <v>888</v>
      </c>
      <c r="E2523" s="1" t="s">
        <v>889</v>
      </c>
      <c r="F2523" s="1" t="s">
        <v>7321</v>
      </c>
      <c r="G2523" s="39" t="s">
        <v>7270</v>
      </c>
      <c r="H2523" s="1">
        <v>1</v>
      </c>
      <c r="I2523" s="1">
        <v>0</v>
      </c>
      <c r="J2523" s="39" t="s">
        <v>7292</v>
      </c>
      <c r="K2523" s="1">
        <v>0</v>
      </c>
      <c r="L2523" s="1">
        <v>1</v>
      </c>
      <c r="S2523" s="1" t="s">
        <v>7322</v>
      </c>
      <c r="T2523" s="1">
        <v>1</v>
      </c>
      <c r="U2523" s="19"/>
      <c r="V2523" s="19"/>
      <c r="W2523" s="218">
        <v>1</v>
      </c>
      <c r="X2523" s="218">
        <v>1</v>
      </c>
      <c r="Y2523" s="218">
        <v>1</v>
      </c>
    </row>
    <row r="2524" spans="1:25" x14ac:dyDescent="0.3">
      <c r="A2524" s="1" t="s">
        <v>7323</v>
      </c>
      <c r="B2524" s="5">
        <v>46234</v>
      </c>
      <c r="C2524" s="6">
        <v>0.35763888888888901</v>
      </c>
      <c r="D2524" s="1" t="s">
        <v>888</v>
      </c>
      <c r="E2524" s="1" t="s">
        <v>889</v>
      </c>
      <c r="F2524" s="1" t="s">
        <v>7324</v>
      </c>
      <c r="G2524" s="39" t="s">
        <v>7282</v>
      </c>
      <c r="H2524" s="1">
        <v>1</v>
      </c>
      <c r="I2524" s="1">
        <v>1</v>
      </c>
      <c r="J2524" s="39" t="s">
        <v>7270</v>
      </c>
      <c r="K2524" s="1">
        <v>1</v>
      </c>
      <c r="L2524" s="1">
        <v>1</v>
      </c>
      <c r="S2524" s="1" t="s">
        <v>7325</v>
      </c>
      <c r="T2524" s="1">
        <v>1</v>
      </c>
      <c r="U2524" s="19"/>
      <c r="V2524" s="19"/>
      <c r="W2524" s="218">
        <v>1</v>
      </c>
      <c r="X2524" s="218">
        <v>1</v>
      </c>
      <c r="Y2524" s="218">
        <v>1</v>
      </c>
    </row>
    <row r="2525" spans="1:25" x14ac:dyDescent="0.3">
      <c r="A2525" s="1" t="s">
        <v>7326</v>
      </c>
      <c r="B2525" s="5">
        <v>46229</v>
      </c>
      <c r="C2525" s="6">
        <v>0.375</v>
      </c>
      <c r="D2525" s="1" t="s">
        <v>888</v>
      </c>
      <c r="E2525" s="1" t="s">
        <v>889</v>
      </c>
      <c r="F2525" s="1" t="s">
        <v>7327</v>
      </c>
      <c r="G2525" s="39" t="s">
        <v>7302</v>
      </c>
      <c r="H2525" s="1">
        <v>3</v>
      </c>
      <c r="I2525" s="1">
        <v>2</v>
      </c>
      <c r="J2525" s="39" t="s">
        <v>7270</v>
      </c>
      <c r="K2525" s="1">
        <v>2</v>
      </c>
      <c r="L2525" s="1">
        <v>3</v>
      </c>
      <c r="S2525" s="1" t="s">
        <v>7328</v>
      </c>
      <c r="T2525" s="1">
        <v>1</v>
      </c>
      <c r="U2525" s="19"/>
      <c r="V2525" s="19"/>
      <c r="W2525" s="218">
        <v>1</v>
      </c>
      <c r="X2525" s="218">
        <v>1</v>
      </c>
      <c r="Y2525" s="218">
        <v>1</v>
      </c>
    </row>
    <row r="2526" spans="1:25" x14ac:dyDescent="0.3">
      <c r="A2526" s="1" t="s">
        <v>7329</v>
      </c>
      <c r="B2526" s="5">
        <v>46221</v>
      </c>
      <c r="C2526" s="6">
        <v>0.35763888888888901</v>
      </c>
      <c r="D2526" s="1" t="s">
        <v>888</v>
      </c>
      <c r="E2526" s="1" t="s">
        <v>889</v>
      </c>
      <c r="F2526" s="1" t="s">
        <v>7330</v>
      </c>
      <c r="G2526" s="39" t="s">
        <v>7270</v>
      </c>
      <c r="H2526" s="1">
        <v>3</v>
      </c>
      <c r="I2526" s="1">
        <v>1</v>
      </c>
      <c r="J2526" s="39" t="s">
        <v>7266</v>
      </c>
      <c r="K2526" s="1">
        <v>1</v>
      </c>
      <c r="L2526" s="1">
        <v>3</v>
      </c>
      <c r="S2526" s="1" t="s">
        <v>7331</v>
      </c>
      <c r="T2526" s="1">
        <v>1</v>
      </c>
      <c r="U2526" s="19"/>
      <c r="V2526" s="19"/>
      <c r="W2526" s="218">
        <v>1</v>
      </c>
      <c r="X2526" s="218">
        <v>1</v>
      </c>
      <c r="Y2526" s="218">
        <v>1</v>
      </c>
    </row>
    <row r="2527" spans="1:25" x14ac:dyDescent="0.3">
      <c r="A2527" s="1" t="s">
        <v>7332</v>
      </c>
      <c r="B2527" s="5">
        <v>46207</v>
      </c>
      <c r="C2527" s="6">
        <v>0.35763888888888901</v>
      </c>
      <c r="D2527" s="1" t="s">
        <v>888</v>
      </c>
      <c r="E2527" s="1" t="s">
        <v>889</v>
      </c>
      <c r="F2527" s="1" t="s">
        <v>7333</v>
      </c>
      <c r="G2527" s="39" t="s">
        <v>7270</v>
      </c>
      <c r="H2527" s="1">
        <v>3</v>
      </c>
      <c r="I2527" s="1">
        <v>2</v>
      </c>
      <c r="J2527" s="39" t="s">
        <v>7244</v>
      </c>
      <c r="K2527" s="1">
        <v>2</v>
      </c>
      <c r="L2527" s="1">
        <v>3</v>
      </c>
      <c r="S2527" s="1" t="s">
        <v>7334</v>
      </c>
      <c r="T2527" s="1">
        <v>1</v>
      </c>
      <c r="U2527" s="19"/>
      <c r="V2527" s="19"/>
      <c r="W2527" s="218">
        <v>1</v>
      </c>
      <c r="X2527" s="218">
        <v>1</v>
      </c>
      <c r="Y2527" s="218">
        <v>1</v>
      </c>
    </row>
    <row r="2528" spans="1:25" x14ac:dyDescent="0.3">
      <c r="A2528" s="1" t="s">
        <v>7335</v>
      </c>
      <c r="B2528" s="5">
        <v>46201</v>
      </c>
      <c r="C2528" s="6">
        <v>0.33333333333333298</v>
      </c>
      <c r="D2528" s="1" t="s">
        <v>888</v>
      </c>
      <c r="E2528" s="1" t="s">
        <v>889</v>
      </c>
      <c r="F2528" s="1" t="s">
        <v>7336</v>
      </c>
      <c r="G2528" s="39" t="s">
        <v>7270</v>
      </c>
      <c r="H2528" s="1">
        <v>1</v>
      </c>
      <c r="I2528" s="1">
        <v>4</v>
      </c>
      <c r="J2528" s="39" t="s">
        <v>7306</v>
      </c>
      <c r="K2528" s="1">
        <v>4</v>
      </c>
      <c r="L2528" s="1">
        <v>1</v>
      </c>
      <c r="S2528" s="1" t="s">
        <v>7337</v>
      </c>
      <c r="T2528" s="1">
        <v>1</v>
      </c>
      <c r="U2528" s="19"/>
      <c r="V2528" s="19"/>
      <c r="W2528" s="218">
        <v>1</v>
      </c>
      <c r="X2528" s="218">
        <v>1</v>
      </c>
      <c r="Y2528" s="218">
        <v>1</v>
      </c>
    </row>
    <row r="2529" spans="1:25" x14ac:dyDescent="0.3">
      <c r="A2529" s="1" t="s">
        <v>7338</v>
      </c>
      <c r="B2529" s="5">
        <v>46173</v>
      </c>
      <c r="C2529" s="6">
        <v>0.33333333333333298</v>
      </c>
      <c r="D2529" s="1" t="s">
        <v>888</v>
      </c>
      <c r="E2529" s="1" t="s">
        <v>889</v>
      </c>
      <c r="F2529" s="1" t="s">
        <v>7339</v>
      </c>
      <c r="G2529" s="39" t="s">
        <v>7278</v>
      </c>
      <c r="H2529" s="1">
        <v>1</v>
      </c>
      <c r="I2529" s="1">
        <v>0</v>
      </c>
      <c r="J2529" s="39" t="s">
        <v>7270</v>
      </c>
      <c r="K2529" s="1">
        <v>0</v>
      </c>
      <c r="L2529" s="1">
        <v>1</v>
      </c>
      <c r="S2529" s="1" t="s">
        <v>7340</v>
      </c>
      <c r="T2529" s="1">
        <v>1</v>
      </c>
      <c r="U2529" s="19"/>
      <c r="V2529" s="19"/>
      <c r="W2529" s="218">
        <v>1</v>
      </c>
      <c r="X2529" s="218">
        <v>1</v>
      </c>
      <c r="Y2529" s="218">
        <v>1</v>
      </c>
    </row>
    <row r="2530" spans="1:25" x14ac:dyDescent="0.3">
      <c r="A2530" s="1" t="s">
        <v>7341</v>
      </c>
      <c r="B2530" s="5">
        <v>46161</v>
      </c>
      <c r="C2530" s="6">
        <v>0.35763888888888901</v>
      </c>
      <c r="D2530" s="1" t="s">
        <v>888</v>
      </c>
      <c r="E2530" s="1" t="s">
        <v>889</v>
      </c>
      <c r="F2530" s="1" t="s">
        <v>7342</v>
      </c>
      <c r="G2530" s="39" t="s">
        <v>892</v>
      </c>
      <c r="H2530" s="1">
        <v>1</v>
      </c>
      <c r="I2530" s="1">
        <v>1</v>
      </c>
      <c r="J2530" s="39" t="s">
        <v>7270</v>
      </c>
      <c r="K2530" s="1">
        <v>1</v>
      </c>
      <c r="L2530" s="1">
        <v>1</v>
      </c>
      <c r="S2530" s="1" t="s">
        <v>7343</v>
      </c>
      <c r="T2530" s="1">
        <v>1</v>
      </c>
      <c r="U2530" s="19"/>
      <c r="V2530" s="19"/>
      <c r="W2530" s="218">
        <v>1</v>
      </c>
      <c r="X2530" s="218">
        <v>1</v>
      </c>
      <c r="Y2530" s="218">
        <v>1</v>
      </c>
    </row>
    <row r="2531" spans="1:25" x14ac:dyDescent="0.3">
      <c r="A2531" s="1" t="s">
        <v>7344</v>
      </c>
      <c r="B2531" s="5">
        <v>46152</v>
      </c>
      <c r="C2531" s="6">
        <v>0.375</v>
      </c>
      <c r="D2531" s="1" t="s">
        <v>888</v>
      </c>
      <c r="E2531" s="1" t="s">
        <v>889</v>
      </c>
      <c r="F2531" s="1" t="s">
        <v>7345</v>
      </c>
      <c r="G2531" s="39" t="s">
        <v>7259</v>
      </c>
      <c r="H2531" s="1">
        <v>3</v>
      </c>
      <c r="I2531" s="1">
        <v>1</v>
      </c>
      <c r="J2531" s="39" t="s">
        <v>7270</v>
      </c>
      <c r="K2531" s="1">
        <v>1</v>
      </c>
      <c r="L2531" s="1">
        <v>3</v>
      </c>
      <c r="S2531" s="1" t="s">
        <v>7346</v>
      </c>
      <c r="T2531" s="1">
        <v>1</v>
      </c>
      <c r="U2531" s="19"/>
      <c r="V2531" s="19"/>
      <c r="W2531" s="218">
        <v>1</v>
      </c>
      <c r="X2531" s="218">
        <v>1</v>
      </c>
      <c r="Y2531" s="218">
        <v>1</v>
      </c>
    </row>
    <row r="2532" spans="1:25" x14ac:dyDescent="0.3">
      <c r="A2532" s="1" t="s">
        <v>7347</v>
      </c>
      <c r="B2532" s="5">
        <v>46148</v>
      </c>
      <c r="C2532" s="6">
        <v>0.35763888888888901</v>
      </c>
      <c r="D2532" s="1" t="s">
        <v>888</v>
      </c>
      <c r="E2532" s="1" t="s">
        <v>889</v>
      </c>
      <c r="F2532" s="1" t="s">
        <v>7348</v>
      </c>
      <c r="G2532" s="39" t="s">
        <v>891</v>
      </c>
      <c r="H2532" s="1">
        <v>3</v>
      </c>
      <c r="I2532" s="1">
        <v>0</v>
      </c>
      <c r="J2532" s="39" t="s">
        <v>7270</v>
      </c>
      <c r="K2532" s="1">
        <v>0</v>
      </c>
      <c r="L2532" s="1">
        <v>3</v>
      </c>
      <c r="S2532" s="1" t="s">
        <v>7349</v>
      </c>
      <c r="T2532" s="1">
        <v>1</v>
      </c>
      <c r="U2532" s="19"/>
      <c r="V2532" s="19"/>
      <c r="W2532" s="218">
        <v>1</v>
      </c>
      <c r="X2532" s="218">
        <v>1</v>
      </c>
      <c r="Y2532" s="218">
        <v>1</v>
      </c>
    </row>
    <row r="2533" spans="1:25" x14ac:dyDescent="0.3">
      <c r="A2533" s="1" t="s">
        <v>7350</v>
      </c>
      <c r="B2533" s="5">
        <v>46235</v>
      </c>
      <c r="C2533" s="6">
        <v>0.33333333333333298</v>
      </c>
      <c r="D2533" s="1" t="s">
        <v>888</v>
      </c>
      <c r="E2533" s="1" t="s">
        <v>889</v>
      </c>
      <c r="F2533" s="1" t="s">
        <v>7351</v>
      </c>
      <c r="G2533" s="39" t="s">
        <v>7278</v>
      </c>
      <c r="H2533" s="1">
        <v>3</v>
      </c>
      <c r="I2533" s="1">
        <v>2</v>
      </c>
      <c r="J2533" s="39" t="s">
        <v>7239</v>
      </c>
      <c r="K2533" s="1">
        <v>2</v>
      </c>
      <c r="L2533" s="1">
        <v>3</v>
      </c>
      <c r="S2533" s="1" t="s">
        <v>7352</v>
      </c>
      <c r="T2533" s="1">
        <v>1</v>
      </c>
      <c r="U2533" s="19"/>
      <c r="V2533" s="19"/>
      <c r="W2533" s="218">
        <v>1</v>
      </c>
      <c r="X2533" s="218">
        <v>1</v>
      </c>
      <c r="Y2533" s="218">
        <v>1</v>
      </c>
    </row>
    <row r="2534" spans="1:25" x14ac:dyDescent="0.3">
      <c r="A2534" s="1" t="s">
        <v>7353</v>
      </c>
      <c r="B2534" s="5">
        <v>46229</v>
      </c>
      <c r="C2534" s="6">
        <v>0.33333333333333298</v>
      </c>
      <c r="D2534" s="1" t="s">
        <v>888</v>
      </c>
      <c r="E2534" s="1" t="s">
        <v>889</v>
      </c>
      <c r="F2534" s="1" t="s">
        <v>7354</v>
      </c>
      <c r="G2534" s="39" t="s">
        <v>7239</v>
      </c>
      <c r="H2534" s="1">
        <v>4</v>
      </c>
      <c r="I2534" s="1">
        <v>3</v>
      </c>
      <c r="J2534" s="39" t="s">
        <v>892</v>
      </c>
      <c r="K2534" s="1">
        <v>3</v>
      </c>
      <c r="L2534" s="1">
        <v>4</v>
      </c>
      <c r="S2534" s="1" t="s">
        <v>7355</v>
      </c>
      <c r="T2534" s="1">
        <v>1</v>
      </c>
      <c r="U2534" s="19"/>
      <c r="V2534" s="19"/>
      <c r="W2534" s="218">
        <v>1</v>
      </c>
      <c r="X2534" s="218">
        <v>1</v>
      </c>
      <c r="Y2534" s="218">
        <v>1</v>
      </c>
    </row>
    <row r="2535" spans="1:25" x14ac:dyDescent="0.3">
      <c r="A2535" s="1" t="s">
        <v>7356</v>
      </c>
      <c r="B2535" s="5">
        <v>46220</v>
      </c>
      <c r="C2535" s="6">
        <v>0.375</v>
      </c>
      <c r="D2535" s="1" t="s">
        <v>888</v>
      </c>
      <c r="E2535" s="1" t="s">
        <v>889</v>
      </c>
      <c r="F2535" s="1" t="s">
        <v>7357</v>
      </c>
      <c r="G2535" s="39" t="s">
        <v>7239</v>
      </c>
      <c r="H2535" s="1">
        <v>2</v>
      </c>
      <c r="I2535" s="1">
        <v>2</v>
      </c>
      <c r="J2535" s="39" t="s">
        <v>7274</v>
      </c>
      <c r="K2535" s="1">
        <v>2</v>
      </c>
      <c r="L2535" s="1">
        <v>2</v>
      </c>
      <c r="S2535" s="1" t="s">
        <v>7358</v>
      </c>
      <c r="T2535" s="1">
        <v>1</v>
      </c>
      <c r="U2535" s="19"/>
      <c r="V2535" s="19"/>
      <c r="W2535" s="218">
        <v>1</v>
      </c>
      <c r="X2535" s="218">
        <v>1</v>
      </c>
      <c r="Y2535" s="218">
        <v>1</v>
      </c>
    </row>
    <row r="2536" spans="1:25" x14ac:dyDescent="0.3">
      <c r="A2536" s="1" t="s">
        <v>7359</v>
      </c>
      <c r="B2536" s="5">
        <v>46213</v>
      </c>
      <c r="C2536" s="6">
        <v>0.35763888888888901</v>
      </c>
      <c r="D2536" s="1" t="s">
        <v>888</v>
      </c>
      <c r="E2536" s="1" t="s">
        <v>889</v>
      </c>
      <c r="F2536" s="1" t="s">
        <v>7360</v>
      </c>
      <c r="G2536" s="39" t="s">
        <v>7266</v>
      </c>
      <c r="H2536" s="1">
        <v>4</v>
      </c>
      <c r="I2536" s="1">
        <v>3</v>
      </c>
      <c r="J2536" s="39" t="s">
        <v>7239</v>
      </c>
      <c r="K2536" s="1">
        <v>3</v>
      </c>
      <c r="L2536" s="1">
        <v>4</v>
      </c>
      <c r="S2536" s="1" t="s">
        <v>7361</v>
      </c>
      <c r="T2536" s="1">
        <v>1</v>
      </c>
      <c r="U2536" s="19"/>
      <c r="V2536" s="19"/>
      <c r="W2536" s="218">
        <v>1</v>
      </c>
      <c r="X2536" s="218">
        <v>1</v>
      </c>
      <c r="Y2536" s="218">
        <v>1</v>
      </c>
    </row>
    <row r="2537" spans="1:25" x14ac:dyDescent="0.3">
      <c r="A2537" s="1" t="s">
        <v>7362</v>
      </c>
      <c r="B2537" s="5">
        <v>46206</v>
      </c>
      <c r="C2537" s="6">
        <v>0.375</v>
      </c>
      <c r="D2537" s="1" t="s">
        <v>888</v>
      </c>
      <c r="E2537" s="1" t="s">
        <v>889</v>
      </c>
      <c r="F2537" s="1" t="s">
        <v>7363</v>
      </c>
      <c r="G2537" s="39" t="s">
        <v>7239</v>
      </c>
      <c r="H2537" s="1">
        <v>2</v>
      </c>
      <c r="I2537" s="1">
        <v>1</v>
      </c>
      <c r="J2537" s="39" t="s">
        <v>7282</v>
      </c>
      <c r="K2537" s="1">
        <v>1</v>
      </c>
      <c r="L2537" s="1">
        <v>2</v>
      </c>
      <c r="S2537" s="1" t="s">
        <v>7364</v>
      </c>
      <c r="T2537" s="1">
        <v>1</v>
      </c>
      <c r="U2537" s="19"/>
      <c r="V2537" s="19"/>
      <c r="W2537" s="218">
        <v>1</v>
      </c>
      <c r="X2537" s="218">
        <v>1</v>
      </c>
      <c r="Y2537" s="218">
        <v>1</v>
      </c>
    </row>
    <row r="2538" spans="1:25" x14ac:dyDescent="0.3">
      <c r="A2538" s="1" t="s">
        <v>7365</v>
      </c>
      <c r="B2538" s="5">
        <v>46199</v>
      </c>
      <c r="C2538" s="6">
        <v>0.35763888888888901</v>
      </c>
      <c r="D2538" s="1" t="s">
        <v>888</v>
      </c>
      <c r="E2538" s="1" t="s">
        <v>889</v>
      </c>
      <c r="F2538" s="1" t="s">
        <v>7366</v>
      </c>
      <c r="G2538" s="39" t="s">
        <v>7259</v>
      </c>
      <c r="H2538" s="1">
        <v>4</v>
      </c>
      <c r="I2538" s="1">
        <v>2</v>
      </c>
      <c r="J2538" s="39" t="s">
        <v>7239</v>
      </c>
      <c r="K2538" s="1">
        <v>2</v>
      </c>
      <c r="L2538" s="1">
        <v>4</v>
      </c>
      <c r="S2538" s="1" t="s">
        <v>7367</v>
      </c>
      <c r="T2538" s="1">
        <v>1</v>
      </c>
      <c r="U2538" s="19"/>
      <c r="V2538" s="19"/>
      <c r="W2538" s="218">
        <v>1</v>
      </c>
      <c r="X2538" s="218">
        <v>1</v>
      </c>
      <c r="Y2538" s="218">
        <v>1</v>
      </c>
    </row>
    <row r="2539" spans="1:25" x14ac:dyDescent="0.3">
      <c r="A2539" s="1" t="s">
        <v>7368</v>
      </c>
      <c r="B2539" s="5">
        <v>46173</v>
      </c>
      <c r="C2539" s="6">
        <v>0.35763888888888901</v>
      </c>
      <c r="D2539" s="1" t="s">
        <v>888</v>
      </c>
      <c r="E2539" s="1" t="s">
        <v>889</v>
      </c>
      <c r="F2539" s="1" t="s">
        <v>7369</v>
      </c>
      <c r="G2539" s="39" t="s">
        <v>7244</v>
      </c>
      <c r="H2539" s="1">
        <v>1</v>
      </c>
      <c r="I2539" s="1">
        <v>1</v>
      </c>
      <c r="J2539" s="39" t="s">
        <v>7239</v>
      </c>
      <c r="K2539" s="1">
        <v>1</v>
      </c>
      <c r="L2539" s="1">
        <v>1</v>
      </c>
      <c r="S2539" s="1" t="s">
        <v>7370</v>
      </c>
      <c r="T2539" s="1">
        <v>1</v>
      </c>
      <c r="U2539" s="19"/>
      <c r="V2539" s="19"/>
      <c r="W2539" s="218">
        <v>1</v>
      </c>
      <c r="X2539" s="218">
        <v>1</v>
      </c>
      <c r="Y2539" s="218">
        <v>1</v>
      </c>
    </row>
    <row r="2540" spans="1:25" x14ac:dyDescent="0.3">
      <c r="A2540" s="1" t="s">
        <v>7371</v>
      </c>
      <c r="B2540" s="5">
        <v>46162</v>
      </c>
      <c r="C2540" s="6">
        <v>0.375</v>
      </c>
      <c r="D2540" s="1" t="s">
        <v>888</v>
      </c>
      <c r="E2540" s="1" t="s">
        <v>889</v>
      </c>
      <c r="F2540" s="1" t="s">
        <v>7372</v>
      </c>
      <c r="G2540" s="39" t="s">
        <v>7255</v>
      </c>
      <c r="H2540" s="1">
        <v>0</v>
      </c>
      <c r="I2540" s="1">
        <v>0</v>
      </c>
      <c r="J2540" s="39" t="s">
        <v>7239</v>
      </c>
      <c r="K2540" s="1">
        <v>0</v>
      </c>
      <c r="L2540" s="1">
        <v>0</v>
      </c>
      <c r="S2540" s="1" t="s">
        <v>7373</v>
      </c>
      <c r="T2540" s="1">
        <v>1</v>
      </c>
      <c r="U2540" s="19"/>
      <c r="V2540" s="19"/>
      <c r="W2540" s="218">
        <v>1</v>
      </c>
      <c r="X2540" s="218">
        <v>1</v>
      </c>
      <c r="Y2540" s="218">
        <v>1</v>
      </c>
    </row>
    <row r="2541" spans="1:25" x14ac:dyDescent="0.3">
      <c r="A2541" s="1" t="s">
        <v>7374</v>
      </c>
      <c r="B2541" s="5">
        <v>46158</v>
      </c>
      <c r="C2541" s="6">
        <v>0.375</v>
      </c>
      <c r="D2541" s="1" t="s">
        <v>888</v>
      </c>
      <c r="E2541" s="1" t="s">
        <v>889</v>
      </c>
      <c r="F2541" s="1" t="s">
        <v>7375</v>
      </c>
      <c r="G2541" s="39" t="s">
        <v>7239</v>
      </c>
      <c r="H2541" s="1">
        <v>1</v>
      </c>
      <c r="I2541" s="1">
        <v>0</v>
      </c>
      <c r="J2541" s="39" t="s">
        <v>7306</v>
      </c>
      <c r="K2541" s="1">
        <v>0</v>
      </c>
      <c r="L2541" s="1">
        <v>1</v>
      </c>
      <c r="S2541" s="1" t="s">
        <v>7376</v>
      </c>
      <c r="T2541" s="1">
        <v>1</v>
      </c>
      <c r="U2541" s="19"/>
      <c r="V2541" s="19"/>
      <c r="W2541" s="218">
        <v>1</v>
      </c>
      <c r="X2541" s="218">
        <v>1</v>
      </c>
      <c r="Y2541" s="218">
        <v>1</v>
      </c>
    </row>
    <row r="2542" spans="1:25" x14ac:dyDescent="0.3">
      <c r="A2542" s="1" t="s">
        <v>7377</v>
      </c>
      <c r="B2542" s="5">
        <v>46152</v>
      </c>
      <c r="C2542" s="6">
        <v>0.33333333333333298</v>
      </c>
      <c r="D2542" s="1" t="s">
        <v>888</v>
      </c>
      <c r="E2542" s="1" t="s">
        <v>889</v>
      </c>
      <c r="F2542" s="1" t="s">
        <v>7378</v>
      </c>
      <c r="G2542" s="39" t="s">
        <v>7292</v>
      </c>
      <c r="H2542" s="1">
        <v>1</v>
      </c>
      <c r="I2542" s="1">
        <v>2</v>
      </c>
      <c r="J2542" s="39" t="s">
        <v>7239</v>
      </c>
      <c r="K2542" s="1">
        <v>2</v>
      </c>
      <c r="L2542" s="1">
        <v>1</v>
      </c>
      <c r="S2542" s="1" t="s">
        <v>7379</v>
      </c>
      <c r="T2542" s="1">
        <v>1</v>
      </c>
      <c r="U2542" s="19"/>
      <c r="V2542" s="19"/>
      <c r="W2542" s="218">
        <v>1</v>
      </c>
      <c r="X2542" s="218">
        <v>1</v>
      </c>
      <c r="Y2542" s="218">
        <v>1</v>
      </c>
    </row>
    <row r="2543" spans="1:25" x14ac:dyDescent="0.3">
      <c r="A2543" s="1" t="s">
        <v>7380</v>
      </c>
      <c r="B2543" s="102">
        <v>46147</v>
      </c>
      <c r="C2543" s="6">
        <v>0.35763888888888901</v>
      </c>
      <c r="D2543" s="1" t="s">
        <v>888</v>
      </c>
      <c r="E2543" s="1" t="s">
        <v>889</v>
      </c>
      <c r="F2543" s="1" t="s">
        <v>7381</v>
      </c>
      <c r="G2543" s="39" t="s">
        <v>7266</v>
      </c>
      <c r="H2543" s="1">
        <v>4</v>
      </c>
      <c r="I2543" s="1">
        <v>1</v>
      </c>
      <c r="J2543" s="39" t="s">
        <v>7306</v>
      </c>
      <c r="K2543" s="1">
        <v>1</v>
      </c>
      <c r="L2543" s="1">
        <v>4</v>
      </c>
      <c r="S2543" s="1" t="s">
        <v>7382</v>
      </c>
      <c r="T2543" s="1">
        <v>1</v>
      </c>
      <c r="U2543" s="19"/>
      <c r="V2543" s="19"/>
      <c r="W2543" s="218">
        <v>0</v>
      </c>
      <c r="X2543" s="218">
        <v>1</v>
      </c>
      <c r="Y2543" s="218">
        <v>1</v>
      </c>
    </row>
    <row r="2544" spans="1:25" x14ac:dyDescent="0.3">
      <c r="A2544" s="1" t="s">
        <v>7383</v>
      </c>
      <c r="B2544" s="102">
        <v>46147</v>
      </c>
      <c r="C2544" s="6">
        <v>0.375</v>
      </c>
      <c r="D2544" s="1" t="s">
        <v>888</v>
      </c>
      <c r="E2544" s="1" t="s">
        <v>889</v>
      </c>
      <c r="F2544" s="1" t="s">
        <v>7384</v>
      </c>
      <c r="G2544" s="39" t="s">
        <v>7255</v>
      </c>
      <c r="H2544" s="1">
        <v>1</v>
      </c>
      <c r="I2544" s="1">
        <v>1</v>
      </c>
      <c r="J2544" s="39" t="s">
        <v>7282</v>
      </c>
      <c r="K2544" s="1">
        <v>1</v>
      </c>
      <c r="L2544" s="1">
        <v>1</v>
      </c>
      <c r="S2544" s="1" t="s">
        <v>7385</v>
      </c>
      <c r="T2544" s="1">
        <v>1</v>
      </c>
      <c r="U2544" s="19"/>
      <c r="V2544" s="19"/>
      <c r="W2544" s="218">
        <v>0</v>
      </c>
      <c r="X2544" s="218">
        <v>1</v>
      </c>
      <c r="Y2544" s="218">
        <v>1</v>
      </c>
    </row>
    <row r="2545" spans="1:25" x14ac:dyDescent="0.3">
      <c r="A2545" s="1" t="s">
        <v>7386</v>
      </c>
      <c r="B2545" s="102">
        <v>46148</v>
      </c>
      <c r="C2545" s="6">
        <v>0.375</v>
      </c>
      <c r="D2545" s="1" t="s">
        <v>888</v>
      </c>
      <c r="E2545" s="1" t="s">
        <v>889</v>
      </c>
      <c r="F2545" s="1" t="s">
        <v>7387</v>
      </c>
      <c r="G2545" s="39" t="s">
        <v>7239</v>
      </c>
      <c r="H2545" s="1">
        <v>1</v>
      </c>
      <c r="I2545" s="1">
        <v>2</v>
      </c>
      <c r="J2545" s="39" t="s">
        <v>7302</v>
      </c>
      <c r="K2545" s="1">
        <v>2</v>
      </c>
      <c r="L2545" s="1">
        <v>1</v>
      </c>
      <c r="S2545" s="1" t="s">
        <v>7388</v>
      </c>
      <c r="T2545" s="1">
        <v>1</v>
      </c>
      <c r="U2545" s="19"/>
      <c r="V2545" s="19"/>
      <c r="W2545" s="218">
        <v>0</v>
      </c>
      <c r="X2545" s="218">
        <v>1</v>
      </c>
      <c r="Y2545" s="218">
        <v>1</v>
      </c>
    </row>
    <row r="2546" spans="1:25" x14ac:dyDescent="0.3">
      <c r="A2546" s="1" t="s">
        <v>7389</v>
      </c>
      <c r="B2546" s="102">
        <v>46151</v>
      </c>
      <c r="C2546" s="6">
        <v>0.35763888888888901</v>
      </c>
      <c r="D2546" s="1" t="s">
        <v>888</v>
      </c>
      <c r="E2546" s="1" t="s">
        <v>889</v>
      </c>
      <c r="F2546" s="1" t="s">
        <v>7390</v>
      </c>
      <c r="G2546" s="39" t="s">
        <v>7306</v>
      </c>
      <c r="H2546" s="1">
        <v>2</v>
      </c>
      <c r="I2546" s="1">
        <v>2</v>
      </c>
      <c r="J2546" s="39" t="s">
        <v>7255</v>
      </c>
      <c r="K2546" s="1">
        <v>2</v>
      </c>
      <c r="L2546" s="1">
        <v>2</v>
      </c>
      <c r="S2546" s="1" t="s">
        <v>7391</v>
      </c>
      <c r="T2546" s="1">
        <v>1</v>
      </c>
      <c r="U2546" s="19"/>
      <c r="V2546" s="19"/>
      <c r="W2546" s="218">
        <v>1</v>
      </c>
      <c r="X2546" s="218">
        <v>1</v>
      </c>
      <c r="Y2546" s="218">
        <v>1</v>
      </c>
    </row>
    <row r="2547" spans="1:25" x14ac:dyDescent="0.3">
      <c r="A2547" s="1" t="s">
        <v>7392</v>
      </c>
      <c r="B2547" s="102">
        <v>46152</v>
      </c>
      <c r="C2547" s="6">
        <v>0.29166666666666702</v>
      </c>
      <c r="D2547" s="1" t="s">
        <v>888</v>
      </c>
      <c r="E2547" s="1" t="s">
        <v>889</v>
      </c>
      <c r="F2547" s="1" t="s">
        <v>7393</v>
      </c>
      <c r="G2547" s="39" t="s">
        <v>892</v>
      </c>
      <c r="H2547" s="1">
        <v>1</v>
      </c>
      <c r="I2547" s="1">
        <v>2</v>
      </c>
      <c r="J2547" s="39" t="s">
        <v>7266</v>
      </c>
      <c r="K2547" s="1">
        <v>2</v>
      </c>
      <c r="L2547" s="1">
        <v>1</v>
      </c>
      <c r="S2547" s="1" t="s">
        <v>7394</v>
      </c>
      <c r="T2547" s="1">
        <v>1</v>
      </c>
      <c r="U2547" s="19"/>
      <c r="V2547" s="19"/>
      <c r="W2547" s="218">
        <v>1</v>
      </c>
      <c r="X2547" s="218">
        <v>1</v>
      </c>
      <c r="Y2547" s="218">
        <v>1</v>
      </c>
    </row>
    <row r="2548" spans="1:25" x14ac:dyDescent="0.3">
      <c r="A2548" s="1" t="s">
        <v>7395</v>
      </c>
      <c r="B2548" s="102">
        <v>46152</v>
      </c>
      <c r="C2548" s="6">
        <v>0.35763888888888901</v>
      </c>
      <c r="D2548" s="1" t="s">
        <v>888</v>
      </c>
      <c r="E2548" s="1" t="s">
        <v>889</v>
      </c>
      <c r="F2548" s="1" t="s">
        <v>7396</v>
      </c>
      <c r="G2548" s="39" t="s">
        <v>7302</v>
      </c>
      <c r="H2548" s="1">
        <v>1</v>
      </c>
      <c r="I2548" s="1">
        <v>1</v>
      </c>
      <c r="J2548" s="39" t="s">
        <v>7278</v>
      </c>
      <c r="K2548" s="1">
        <v>1</v>
      </c>
      <c r="L2548" s="1">
        <v>1</v>
      </c>
      <c r="S2548" s="1" t="s">
        <v>7397</v>
      </c>
      <c r="T2548" s="1">
        <v>1</v>
      </c>
      <c r="U2548" s="19"/>
      <c r="V2548" s="19"/>
      <c r="W2548" s="218">
        <v>1</v>
      </c>
      <c r="X2548" s="218">
        <v>1</v>
      </c>
      <c r="Y2548" s="218">
        <v>1</v>
      </c>
    </row>
    <row r="2549" spans="1:25" x14ac:dyDescent="0.3">
      <c r="A2549" s="1" t="s">
        <v>7398</v>
      </c>
      <c r="B2549" s="102">
        <v>46152</v>
      </c>
      <c r="C2549" s="6">
        <v>0.35763888888888901</v>
      </c>
      <c r="D2549" s="1" t="s">
        <v>888</v>
      </c>
      <c r="E2549" s="1" t="s">
        <v>889</v>
      </c>
      <c r="F2549" s="1" t="s">
        <v>7399</v>
      </c>
      <c r="G2549" s="39" t="s">
        <v>891</v>
      </c>
      <c r="H2549" s="1">
        <v>2</v>
      </c>
      <c r="I2549" s="1">
        <v>2</v>
      </c>
      <c r="J2549" s="39" t="s">
        <v>7274</v>
      </c>
      <c r="K2549" s="1">
        <v>2</v>
      </c>
      <c r="L2549" s="1">
        <v>2</v>
      </c>
      <c r="S2549" s="1" t="s">
        <v>7400</v>
      </c>
      <c r="T2549" s="1">
        <v>1</v>
      </c>
      <c r="U2549" s="19"/>
      <c r="V2549" s="19"/>
      <c r="W2549" s="218">
        <v>1</v>
      </c>
      <c r="X2549" s="218">
        <v>1</v>
      </c>
      <c r="Y2549" s="218">
        <v>1</v>
      </c>
    </row>
    <row r="2550" spans="1:25" x14ac:dyDescent="0.3">
      <c r="A2550" s="1" t="s">
        <v>7401</v>
      </c>
      <c r="B2550" s="102">
        <v>46157</v>
      </c>
      <c r="C2550" s="6">
        <v>0.35763888888888901</v>
      </c>
      <c r="D2550" s="1" t="s">
        <v>888</v>
      </c>
      <c r="E2550" s="1" t="s">
        <v>889</v>
      </c>
      <c r="F2550" s="1" t="s">
        <v>7402</v>
      </c>
      <c r="G2550" s="39" t="s">
        <v>7274</v>
      </c>
      <c r="H2550" s="1">
        <v>2</v>
      </c>
      <c r="I2550" s="1">
        <v>2</v>
      </c>
      <c r="J2550" s="39" t="s">
        <v>7302</v>
      </c>
      <c r="K2550" s="1">
        <v>2</v>
      </c>
      <c r="L2550" s="1">
        <v>2</v>
      </c>
      <c r="S2550" s="1" t="s">
        <v>7403</v>
      </c>
      <c r="T2550" s="1">
        <v>1</v>
      </c>
      <c r="U2550" s="19"/>
      <c r="V2550" s="19"/>
      <c r="W2550" s="218">
        <v>1</v>
      </c>
      <c r="X2550" s="218">
        <v>1</v>
      </c>
      <c r="Y2550" s="218">
        <v>1</v>
      </c>
    </row>
    <row r="2551" spans="1:25" x14ac:dyDescent="0.3">
      <c r="A2551" s="1" t="s">
        <v>7404</v>
      </c>
      <c r="B2551" s="102">
        <v>46157</v>
      </c>
      <c r="C2551" s="6">
        <v>0.375</v>
      </c>
      <c r="D2551" s="1" t="s">
        <v>888</v>
      </c>
      <c r="E2551" s="1" t="s">
        <v>889</v>
      </c>
      <c r="F2551" s="1" t="s">
        <v>7405</v>
      </c>
      <c r="G2551" s="39" t="s">
        <v>891</v>
      </c>
      <c r="H2551" s="1">
        <v>4</v>
      </c>
      <c r="I2551" s="1">
        <v>2</v>
      </c>
      <c r="J2551" s="39" t="s">
        <v>7259</v>
      </c>
      <c r="K2551" s="1">
        <v>2</v>
      </c>
      <c r="L2551" s="1">
        <v>4</v>
      </c>
      <c r="S2551" s="1" t="s">
        <v>7406</v>
      </c>
      <c r="T2551" s="1">
        <v>1</v>
      </c>
      <c r="U2551" s="19"/>
      <c r="V2551" s="19"/>
      <c r="W2551" s="218">
        <v>1</v>
      </c>
      <c r="X2551" s="218">
        <v>1</v>
      </c>
      <c r="Y2551" s="218">
        <v>1</v>
      </c>
    </row>
    <row r="2552" spans="1:25" x14ac:dyDescent="0.3">
      <c r="A2552" s="1" t="s">
        <v>7407</v>
      </c>
      <c r="B2552" s="102">
        <v>46158</v>
      </c>
      <c r="C2552" s="6">
        <v>0.35763888888888901</v>
      </c>
      <c r="D2552" s="1" t="s">
        <v>888</v>
      </c>
      <c r="E2552" s="1" t="s">
        <v>889</v>
      </c>
      <c r="F2552" s="1" t="s">
        <v>7408</v>
      </c>
      <c r="G2552" s="39" t="s">
        <v>7266</v>
      </c>
      <c r="H2552" s="1">
        <v>3</v>
      </c>
      <c r="I2552" s="1">
        <v>1</v>
      </c>
      <c r="J2552" s="39" t="s">
        <v>7255</v>
      </c>
      <c r="K2552" s="1">
        <v>1</v>
      </c>
      <c r="L2552" s="1">
        <v>3</v>
      </c>
      <c r="S2552" s="1" t="s">
        <v>7409</v>
      </c>
      <c r="T2552" s="1">
        <v>1</v>
      </c>
      <c r="U2552" s="19"/>
      <c r="V2552" s="19"/>
      <c r="W2552" s="218">
        <v>1</v>
      </c>
      <c r="X2552" s="218">
        <v>1</v>
      </c>
      <c r="Y2552" s="218">
        <v>1</v>
      </c>
    </row>
    <row r="2553" spans="1:25" x14ac:dyDescent="0.3">
      <c r="A2553" s="1" t="s">
        <v>7410</v>
      </c>
      <c r="B2553" s="102">
        <v>46162</v>
      </c>
      <c r="C2553" s="6">
        <v>0.375</v>
      </c>
      <c r="D2553" s="1" t="s">
        <v>888</v>
      </c>
      <c r="E2553" s="1" t="s">
        <v>889</v>
      </c>
      <c r="F2553" s="1" t="s">
        <v>7411</v>
      </c>
      <c r="G2553" s="39" t="s">
        <v>7302</v>
      </c>
      <c r="H2553" s="1">
        <v>4</v>
      </c>
      <c r="I2553" s="1">
        <v>1</v>
      </c>
      <c r="J2553" s="39" t="s">
        <v>7266</v>
      </c>
      <c r="K2553" s="1">
        <v>1</v>
      </c>
      <c r="L2553" s="1">
        <v>4</v>
      </c>
      <c r="S2553" s="1" t="s">
        <v>7412</v>
      </c>
      <c r="T2553" s="1">
        <v>1</v>
      </c>
      <c r="U2553" s="19"/>
      <c r="V2553" s="19"/>
      <c r="W2553" s="218">
        <v>1</v>
      </c>
      <c r="X2553" s="218">
        <v>1</v>
      </c>
      <c r="Y2553" s="218">
        <v>1</v>
      </c>
    </row>
    <row r="2554" spans="1:25" x14ac:dyDescent="0.3">
      <c r="A2554" s="1" t="s">
        <v>7413</v>
      </c>
      <c r="B2554" s="102">
        <v>46165</v>
      </c>
      <c r="C2554" s="6">
        <v>0.35763888888888901</v>
      </c>
      <c r="D2554" s="1" t="s">
        <v>888</v>
      </c>
      <c r="E2554" s="1" t="s">
        <v>889</v>
      </c>
      <c r="F2554" s="1" t="s">
        <v>7414</v>
      </c>
      <c r="G2554" s="39" t="s">
        <v>891</v>
      </c>
      <c r="H2554" s="1">
        <v>1</v>
      </c>
      <c r="I2554" s="1">
        <v>2</v>
      </c>
      <c r="J2554" s="39" t="s">
        <v>7282</v>
      </c>
      <c r="K2554" s="1">
        <v>2</v>
      </c>
      <c r="L2554" s="1">
        <v>1</v>
      </c>
      <c r="S2554" s="1" t="s">
        <v>7415</v>
      </c>
      <c r="T2554" s="1">
        <v>1</v>
      </c>
      <c r="U2554" s="19"/>
      <c r="V2554" s="19"/>
      <c r="W2554" s="218">
        <v>1</v>
      </c>
      <c r="X2554" s="218">
        <v>1</v>
      </c>
      <c r="Y2554" s="218">
        <v>1</v>
      </c>
    </row>
    <row r="2555" spans="1:25" x14ac:dyDescent="0.3">
      <c r="A2555" s="1" t="s">
        <v>7416</v>
      </c>
      <c r="B2555" s="102">
        <v>46166</v>
      </c>
      <c r="C2555" s="6">
        <v>0.25</v>
      </c>
      <c r="D2555" s="1" t="s">
        <v>888</v>
      </c>
      <c r="E2555" s="1" t="s">
        <v>889</v>
      </c>
      <c r="F2555" s="1" t="s">
        <v>7417</v>
      </c>
      <c r="G2555" s="39" t="s">
        <v>7259</v>
      </c>
      <c r="H2555" s="1">
        <v>0</v>
      </c>
      <c r="I2555" s="1">
        <v>1</v>
      </c>
      <c r="J2555" s="39" t="s">
        <v>7255</v>
      </c>
      <c r="K2555" s="1">
        <v>1</v>
      </c>
      <c r="L2555" s="1">
        <v>0</v>
      </c>
      <c r="S2555" s="1" t="s">
        <v>7418</v>
      </c>
      <c r="T2555" s="1">
        <v>1</v>
      </c>
      <c r="U2555" s="19"/>
      <c r="V2555" s="19"/>
      <c r="W2555" s="218">
        <v>1</v>
      </c>
      <c r="X2555" s="218">
        <v>1</v>
      </c>
      <c r="Y2555" s="218">
        <v>1</v>
      </c>
    </row>
    <row r="2556" spans="1:25" x14ac:dyDescent="0.3">
      <c r="A2556" s="1" t="s">
        <v>7419</v>
      </c>
      <c r="B2556" s="102">
        <v>46166</v>
      </c>
      <c r="C2556" s="6">
        <v>0.35763888888888901</v>
      </c>
      <c r="D2556" s="1" t="s">
        <v>888</v>
      </c>
      <c r="E2556" s="1" t="s">
        <v>889</v>
      </c>
      <c r="F2556" s="1" t="s">
        <v>7420</v>
      </c>
      <c r="G2556" s="39" t="s">
        <v>7302</v>
      </c>
      <c r="H2556" s="1">
        <v>0</v>
      </c>
      <c r="I2556" s="1">
        <v>5</v>
      </c>
      <c r="J2556" s="39" t="s">
        <v>7292</v>
      </c>
      <c r="K2556" s="1">
        <v>5</v>
      </c>
      <c r="L2556" s="1">
        <v>0</v>
      </c>
      <c r="S2556" s="1" t="s">
        <v>7421</v>
      </c>
      <c r="T2556" s="1">
        <v>1</v>
      </c>
      <c r="U2556" s="19"/>
      <c r="V2556" s="19"/>
      <c r="W2556" s="218">
        <v>1</v>
      </c>
      <c r="X2556" s="218">
        <v>1</v>
      </c>
      <c r="Y2556" s="218">
        <v>1</v>
      </c>
    </row>
    <row r="2557" spans="1:25" x14ac:dyDescent="0.3">
      <c r="A2557" s="1" t="s">
        <v>7422</v>
      </c>
      <c r="B2557" s="102">
        <v>46166</v>
      </c>
      <c r="C2557" s="6">
        <v>0.35763888888888901</v>
      </c>
      <c r="D2557" s="1" t="s">
        <v>888</v>
      </c>
      <c r="E2557" s="1" t="s">
        <v>889</v>
      </c>
      <c r="F2557" s="1" t="s">
        <v>7423</v>
      </c>
      <c r="G2557" s="39" t="s">
        <v>7266</v>
      </c>
      <c r="H2557" s="1">
        <v>3</v>
      </c>
      <c r="I2557" s="1">
        <v>3</v>
      </c>
      <c r="J2557" s="39" t="s">
        <v>7244</v>
      </c>
      <c r="K2557" s="1">
        <v>3</v>
      </c>
      <c r="L2557" s="1">
        <v>3</v>
      </c>
      <c r="S2557" s="1" t="s">
        <v>7424</v>
      </c>
      <c r="T2557" s="1">
        <v>1</v>
      </c>
      <c r="U2557" s="19"/>
      <c r="V2557" s="19"/>
      <c r="W2557" s="218">
        <v>1</v>
      </c>
      <c r="X2557" s="218">
        <v>1</v>
      </c>
      <c r="Y2557" s="218">
        <v>1</v>
      </c>
    </row>
    <row r="2558" spans="1:25" x14ac:dyDescent="0.3">
      <c r="A2558" s="1" t="s">
        <v>7425</v>
      </c>
      <c r="B2558" s="102">
        <v>46172</v>
      </c>
      <c r="C2558" s="6">
        <v>0.33333333333333298</v>
      </c>
      <c r="D2558" s="1" t="s">
        <v>888</v>
      </c>
      <c r="E2558" s="1" t="s">
        <v>889</v>
      </c>
      <c r="F2558" s="1" t="s">
        <v>7426</v>
      </c>
      <c r="G2558" s="39" t="s">
        <v>7282</v>
      </c>
      <c r="H2558" s="1">
        <v>0</v>
      </c>
      <c r="I2558" s="1">
        <v>2</v>
      </c>
      <c r="J2558" s="39" t="s">
        <v>7302</v>
      </c>
      <c r="K2558" s="1">
        <v>2</v>
      </c>
      <c r="L2558" s="1">
        <v>0</v>
      </c>
      <c r="S2558" s="1" t="s">
        <v>7427</v>
      </c>
      <c r="T2558" s="1">
        <v>1</v>
      </c>
      <c r="U2558" s="19"/>
      <c r="V2558" s="19"/>
      <c r="W2558" s="218">
        <v>1</v>
      </c>
      <c r="X2558" s="218">
        <v>1</v>
      </c>
      <c r="Y2558" s="218">
        <v>1</v>
      </c>
    </row>
    <row r="2559" spans="1:25" x14ac:dyDescent="0.3">
      <c r="A2559" s="1" t="s">
        <v>7428</v>
      </c>
      <c r="B2559" s="102">
        <v>46172</v>
      </c>
      <c r="C2559" s="6">
        <v>0.375</v>
      </c>
      <c r="D2559" s="1" t="s">
        <v>888</v>
      </c>
      <c r="E2559" s="1" t="s">
        <v>889</v>
      </c>
      <c r="F2559" s="1" t="s">
        <v>7429</v>
      </c>
      <c r="G2559" s="39" t="s">
        <v>7255</v>
      </c>
      <c r="H2559" s="1">
        <v>2</v>
      </c>
      <c r="I2559" s="1">
        <v>3</v>
      </c>
      <c r="J2559" s="39" t="s">
        <v>891</v>
      </c>
      <c r="K2559" s="1">
        <v>3</v>
      </c>
      <c r="L2559" s="1">
        <v>2</v>
      </c>
      <c r="S2559" s="1" t="s">
        <v>7430</v>
      </c>
      <c r="T2559" s="1">
        <v>1</v>
      </c>
      <c r="U2559" s="19"/>
      <c r="V2559" s="19"/>
      <c r="W2559" s="218">
        <v>1</v>
      </c>
      <c r="X2559" s="218">
        <v>1</v>
      </c>
      <c r="Y2559" s="218">
        <v>1</v>
      </c>
    </row>
    <row r="2560" spans="1:25" x14ac:dyDescent="0.3">
      <c r="A2560" s="1" t="s">
        <v>7431</v>
      </c>
      <c r="B2560" s="102">
        <v>46200</v>
      </c>
      <c r="C2560" s="6">
        <v>0.33333333333333298</v>
      </c>
      <c r="D2560" s="1" t="s">
        <v>888</v>
      </c>
      <c r="E2560" s="1" t="s">
        <v>889</v>
      </c>
      <c r="F2560" s="1" t="s">
        <v>7432</v>
      </c>
      <c r="G2560" s="39" t="s">
        <v>7292</v>
      </c>
      <c r="H2560" s="1">
        <v>1</v>
      </c>
      <c r="I2560" s="1">
        <v>5</v>
      </c>
      <c r="J2560" s="39" t="s">
        <v>7266</v>
      </c>
      <c r="K2560" s="1">
        <v>5</v>
      </c>
      <c r="L2560" s="1">
        <v>1</v>
      </c>
      <c r="S2560" s="1" t="s">
        <v>7433</v>
      </c>
      <c r="T2560" s="1">
        <v>1</v>
      </c>
      <c r="U2560" s="19"/>
      <c r="V2560" s="19"/>
      <c r="W2560" s="218">
        <v>1</v>
      </c>
      <c r="X2560" s="218">
        <v>1</v>
      </c>
      <c r="Y2560" s="218">
        <v>1</v>
      </c>
    </row>
    <row r="2561" spans="1:25" x14ac:dyDescent="0.3">
      <c r="A2561" s="1" t="s">
        <v>7434</v>
      </c>
      <c r="B2561" s="102">
        <v>46200</v>
      </c>
      <c r="C2561" s="6">
        <v>0.375</v>
      </c>
      <c r="D2561" s="1" t="s">
        <v>888</v>
      </c>
      <c r="E2561" s="1" t="s">
        <v>889</v>
      </c>
      <c r="F2561" s="1" t="s">
        <v>7435</v>
      </c>
      <c r="G2561" s="39" t="s">
        <v>7255</v>
      </c>
      <c r="H2561" s="1">
        <v>1</v>
      </c>
      <c r="I2561" s="1">
        <v>0</v>
      </c>
      <c r="J2561" s="39" t="s">
        <v>7278</v>
      </c>
      <c r="K2561" s="1">
        <v>0</v>
      </c>
      <c r="L2561" s="1">
        <v>1</v>
      </c>
      <c r="S2561" s="1" t="s">
        <v>7436</v>
      </c>
      <c r="T2561" s="1">
        <v>1</v>
      </c>
      <c r="U2561" s="19"/>
      <c r="V2561" s="19"/>
      <c r="W2561" s="218">
        <v>1</v>
      </c>
      <c r="X2561" s="218">
        <v>1</v>
      </c>
      <c r="Y2561" s="218">
        <v>1</v>
      </c>
    </row>
    <row r="2562" spans="1:25" x14ac:dyDescent="0.3">
      <c r="A2562" s="1" t="s">
        <v>7437</v>
      </c>
      <c r="B2562" s="102">
        <v>46200</v>
      </c>
      <c r="C2562" s="6">
        <v>0.375</v>
      </c>
      <c r="D2562" s="1" t="s">
        <v>888</v>
      </c>
      <c r="E2562" s="1" t="s">
        <v>889</v>
      </c>
      <c r="F2562" s="1" t="s">
        <v>7438</v>
      </c>
      <c r="G2562" s="39" t="s">
        <v>891</v>
      </c>
      <c r="H2562" s="1">
        <v>1</v>
      </c>
      <c r="I2562" s="1">
        <v>0</v>
      </c>
      <c r="J2562" s="39" t="s">
        <v>7244</v>
      </c>
      <c r="K2562" s="1">
        <v>0</v>
      </c>
      <c r="L2562" s="1">
        <v>1</v>
      </c>
      <c r="S2562" s="1" t="s">
        <v>7439</v>
      </c>
      <c r="T2562" s="1">
        <v>1</v>
      </c>
      <c r="U2562" s="19"/>
      <c r="V2562" s="19"/>
      <c r="W2562" s="218">
        <v>1</v>
      </c>
      <c r="X2562" s="218">
        <v>1</v>
      </c>
      <c r="Y2562" s="218">
        <v>1</v>
      </c>
    </row>
    <row r="2563" spans="1:25" x14ac:dyDescent="0.3">
      <c r="A2563" s="1" t="s">
        <v>7440</v>
      </c>
      <c r="B2563" s="102">
        <v>46207</v>
      </c>
      <c r="C2563" s="6">
        <v>0.33333333333333298</v>
      </c>
      <c r="D2563" s="1" t="s">
        <v>888</v>
      </c>
      <c r="E2563" s="1" t="s">
        <v>889</v>
      </c>
      <c r="F2563" s="1" t="s">
        <v>7441</v>
      </c>
      <c r="G2563" s="39" t="s">
        <v>7292</v>
      </c>
      <c r="H2563" s="1">
        <v>3</v>
      </c>
      <c r="I2563" s="1">
        <v>1</v>
      </c>
      <c r="J2563" s="39" t="s">
        <v>7255</v>
      </c>
      <c r="K2563" s="1">
        <v>1</v>
      </c>
      <c r="L2563" s="1">
        <v>3</v>
      </c>
      <c r="S2563" s="1" t="s">
        <v>7442</v>
      </c>
      <c r="T2563" s="1">
        <v>1</v>
      </c>
      <c r="U2563" s="19"/>
      <c r="V2563" s="19"/>
      <c r="W2563" s="218">
        <v>1</v>
      </c>
      <c r="X2563" s="218">
        <v>1</v>
      </c>
      <c r="Y2563" s="218">
        <v>1</v>
      </c>
    </row>
    <row r="2564" spans="1:25" x14ac:dyDescent="0.3">
      <c r="A2564" s="1" t="s">
        <v>7443</v>
      </c>
      <c r="B2564" s="102">
        <v>46207</v>
      </c>
      <c r="C2564" s="6">
        <v>0.35763888888888901</v>
      </c>
      <c r="D2564" s="1" t="s">
        <v>888</v>
      </c>
      <c r="E2564" s="1" t="s">
        <v>889</v>
      </c>
      <c r="F2564" s="1" t="s">
        <v>7444</v>
      </c>
      <c r="G2564" s="39" t="s">
        <v>891</v>
      </c>
      <c r="H2564" s="1">
        <v>2</v>
      </c>
      <c r="I2564" s="1">
        <v>0</v>
      </c>
      <c r="J2564" s="39" t="s">
        <v>7266</v>
      </c>
      <c r="K2564" s="1">
        <v>0</v>
      </c>
      <c r="L2564" s="1">
        <v>2</v>
      </c>
      <c r="S2564" s="1" t="s">
        <v>7445</v>
      </c>
      <c r="T2564" s="1">
        <v>1</v>
      </c>
      <c r="U2564" s="19"/>
      <c r="V2564" s="19"/>
      <c r="W2564" s="218">
        <v>1</v>
      </c>
      <c r="X2564" s="218">
        <v>1</v>
      </c>
      <c r="Y2564" s="218">
        <v>1</v>
      </c>
    </row>
    <row r="2565" spans="1:25" x14ac:dyDescent="0.3">
      <c r="A2565" s="1" t="s">
        <v>7446</v>
      </c>
      <c r="B2565" s="102">
        <v>46208</v>
      </c>
      <c r="C2565" s="6">
        <v>0.35763888888888901</v>
      </c>
      <c r="D2565" s="1" t="s">
        <v>888</v>
      </c>
      <c r="E2565" s="1" t="s">
        <v>889</v>
      </c>
      <c r="F2565" s="1" t="s">
        <v>7447</v>
      </c>
      <c r="G2565" s="39" t="s">
        <v>7306</v>
      </c>
      <c r="H2565" s="1">
        <v>3</v>
      </c>
      <c r="I2565" s="1">
        <v>2</v>
      </c>
      <c r="J2565" s="39" t="s">
        <v>7302</v>
      </c>
      <c r="K2565" s="1">
        <v>2</v>
      </c>
      <c r="L2565" s="1">
        <v>3</v>
      </c>
      <c r="S2565" s="1" t="s">
        <v>7448</v>
      </c>
      <c r="T2565" s="1">
        <v>1</v>
      </c>
      <c r="U2565" s="19"/>
      <c r="V2565" s="19"/>
      <c r="W2565" s="218">
        <v>1</v>
      </c>
      <c r="X2565" s="218">
        <v>1</v>
      </c>
      <c r="Y2565" s="218">
        <v>1</v>
      </c>
    </row>
    <row r="2566" spans="1:25" x14ac:dyDescent="0.3">
      <c r="A2566" s="1" t="s">
        <v>7449</v>
      </c>
      <c r="B2566" s="102">
        <v>46217</v>
      </c>
      <c r="C2566" s="6">
        <v>0.35763888888888901</v>
      </c>
      <c r="D2566" s="1" t="s">
        <v>888</v>
      </c>
      <c r="E2566" s="1" t="s">
        <v>889</v>
      </c>
      <c r="F2566" s="1" t="s">
        <v>7450</v>
      </c>
      <c r="G2566" s="39" t="s">
        <v>7302</v>
      </c>
      <c r="H2566" s="1">
        <v>3</v>
      </c>
      <c r="I2566" s="1">
        <v>2</v>
      </c>
      <c r="J2566" s="39" t="s">
        <v>7259</v>
      </c>
      <c r="K2566" s="1">
        <v>2</v>
      </c>
      <c r="L2566" s="1">
        <v>3</v>
      </c>
      <c r="S2566" s="1" t="s">
        <v>7451</v>
      </c>
      <c r="T2566" s="1">
        <v>1</v>
      </c>
      <c r="U2566" s="19"/>
      <c r="V2566" s="19"/>
      <c r="W2566" s="218">
        <v>1</v>
      </c>
      <c r="X2566" s="218">
        <v>1</v>
      </c>
      <c r="Y2566" s="218">
        <v>1</v>
      </c>
    </row>
    <row r="2567" spans="1:25" x14ac:dyDescent="0.3">
      <c r="A2567" s="1" t="s">
        <v>7452</v>
      </c>
      <c r="B2567" s="102">
        <v>46220</v>
      </c>
      <c r="C2567" s="6">
        <v>0.35763888888888901</v>
      </c>
      <c r="D2567" s="1" t="s">
        <v>888</v>
      </c>
      <c r="E2567" s="1" t="s">
        <v>889</v>
      </c>
      <c r="F2567" s="1" t="s">
        <v>7453</v>
      </c>
      <c r="G2567" s="39" t="s">
        <v>891</v>
      </c>
      <c r="H2567" s="1">
        <v>1</v>
      </c>
      <c r="I2567" s="1">
        <v>1</v>
      </c>
      <c r="J2567" s="39" t="s">
        <v>7292</v>
      </c>
      <c r="K2567" s="1">
        <v>1</v>
      </c>
      <c r="L2567" s="1">
        <v>1</v>
      </c>
      <c r="S2567" s="1" t="s">
        <v>7454</v>
      </c>
      <c r="T2567" s="1">
        <v>1</v>
      </c>
      <c r="U2567" s="19"/>
      <c r="V2567" s="19"/>
      <c r="W2567" s="218">
        <v>1</v>
      </c>
      <c r="X2567" s="218">
        <v>1</v>
      </c>
      <c r="Y2567" s="218">
        <v>1</v>
      </c>
    </row>
    <row r="2568" spans="1:25" x14ac:dyDescent="0.3">
      <c r="A2568" s="1" t="s">
        <v>7455</v>
      </c>
      <c r="B2568" s="102">
        <v>46221</v>
      </c>
      <c r="C2568" s="6">
        <v>0.33333333333333298</v>
      </c>
      <c r="D2568" s="1" t="s">
        <v>888</v>
      </c>
      <c r="E2568" s="1" t="s">
        <v>889</v>
      </c>
      <c r="F2568" s="1" t="s">
        <v>7456</v>
      </c>
      <c r="G2568" s="39" t="s">
        <v>7255</v>
      </c>
      <c r="H2568" s="1">
        <v>1</v>
      </c>
      <c r="I2568" s="1">
        <v>1</v>
      </c>
      <c r="J2568" s="39" t="s">
        <v>7302</v>
      </c>
      <c r="K2568" s="1">
        <v>1</v>
      </c>
      <c r="L2568" s="1">
        <v>1</v>
      </c>
      <c r="S2568" s="1" t="s">
        <v>7457</v>
      </c>
      <c r="T2568" s="1">
        <v>1</v>
      </c>
      <c r="U2568" s="19"/>
      <c r="V2568" s="19"/>
      <c r="W2568" s="218">
        <v>1</v>
      </c>
      <c r="X2568" s="218">
        <v>1</v>
      </c>
      <c r="Y2568" s="218">
        <v>1</v>
      </c>
    </row>
    <row r="2569" spans="1:25" x14ac:dyDescent="0.3">
      <c r="A2569" s="1" t="s">
        <v>7458</v>
      </c>
      <c r="B2569" s="102">
        <v>46228</v>
      </c>
      <c r="C2569" s="6">
        <v>0.375</v>
      </c>
      <c r="D2569" s="1" t="s">
        <v>888</v>
      </c>
      <c r="E2569" s="1" t="s">
        <v>889</v>
      </c>
      <c r="F2569" s="1" t="s">
        <v>7459</v>
      </c>
      <c r="G2569" s="39" t="s">
        <v>7244</v>
      </c>
      <c r="H2569" s="1">
        <v>1</v>
      </c>
      <c r="I2569" s="1">
        <v>0</v>
      </c>
      <c r="J2569" s="39" t="s">
        <v>7255</v>
      </c>
      <c r="K2569" s="1">
        <v>0</v>
      </c>
      <c r="L2569" s="1">
        <v>1</v>
      </c>
      <c r="S2569" s="1" t="s">
        <v>7460</v>
      </c>
      <c r="T2569" s="1">
        <v>1</v>
      </c>
      <c r="U2569" s="19"/>
      <c r="V2569" s="19"/>
      <c r="W2569" s="218">
        <v>1</v>
      </c>
      <c r="X2569" s="218">
        <v>1</v>
      </c>
      <c r="Y2569" s="218">
        <v>1</v>
      </c>
    </row>
    <row r="2570" spans="1:25" x14ac:dyDescent="0.3">
      <c r="A2570" s="1" t="s">
        <v>7461</v>
      </c>
      <c r="B2570" s="102">
        <v>46229</v>
      </c>
      <c r="C2570" s="6">
        <v>0.35763888888888901</v>
      </c>
      <c r="D2570" s="1" t="s">
        <v>888</v>
      </c>
      <c r="E2570" s="1" t="s">
        <v>889</v>
      </c>
      <c r="F2570" s="1" t="s">
        <v>7462</v>
      </c>
      <c r="G2570" s="39" t="s">
        <v>7266</v>
      </c>
      <c r="H2570" s="1">
        <v>1</v>
      </c>
      <c r="I2570" s="1">
        <v>2</v>
      </c>
      <c r="J2570" s="39" t="s">
        <v>7282</v>
      </c>
      <c r="K2570" s="1">
        <v>2</v>
      </c>
      <c r="L2570" s="1">
        <v>1</v>
      </c>
      <c r="S2570" s="1" t="s">
        <v>7463</v>
      </c>
      <c r="T2570" s="1">
        <v>1</v>
      </c>
      <c r="U2570" s="19"/>
      <c r="V2570" s="19"/>
      <c r="W2570" s="218">
        <v>1</v>
      </c>
      <c r="X2570" s="218">
        <v>1</v>
      </c>
      <c r="Y2570" s="218">
        <v>1</v>
      </c>
    </row>
    <row r="2571" spans="1:25" x14ac:dyDescent="0.3">
      <c r="A2571" s="1" t="s">
        <v>7464</v>
      </c>
      <c r="B2571" s="102">
        <v>46235</v>
      </c>
      <c r="C2571" s="6">
        <v>0.35763888888888901</v>
      </c>
      <c r="D2571" s="1" t="s">
        <v>888</v>
      </c>
      <c r="E2571" s="1" t="s">
        <v>889</v>
      </c>
      <c r="F2571" s="1" t="s">
        <v>7465</v>
      </c>
      <c r="G2571" s="39" t="s">
        <v>891</v>
      </c>
      <c r="H2571" s="1">
        <v>2</v>
      </c>
      <c r="I2571" s="1">
        <v>1</v>
      </c>
      <c r="J2571" s="39" t="s">
        <v>7302</v>
      </c>
      <c r="K2571" s="1">
        <v>1</v>
      </c>
      <c r="L2571" s="1">
        <v>2</v>
      </c>
      <c r="S2571" s="1" t="s">
        <v>7466</v>
      </c>
      <c r="T2571" s="1">
        <v>1</v>
      </c>
      <c r="U2571" s="19"/>
      <c r="V2571" s="19"/>
      <c r="W2571" s="218">
        <v>1</v>
      </c>
      <c r="X2571" s="218">
        <v>1</v>
      </c>
      <c r="Y2571" s="218">
        <v>1</v>
      </c>
    </row>
    <row r="2572" spans="1:25" x14ac:dyDescent="0.3">
      <c r="A2572" s="1" t="s">
        <v>7467</v>
      </c>
      <c r="B2572" s="102">
        <v>46235</v>
      </c>
      <c r="C2572" s="6">
        <v>0.35763888888888901</v>
      </c>
      <c r="D2572" s="1" t="s">
        <v>888</v>
      </c>
      <c r="E2572" s="1" t="s">
        <v>889</v>
      </c>
      <c r="F2572" s="1" t="s">
        <v>7468</v>
      </c>
      <c r="G2572" s="39" t="s">
        <v>7274</v>
      </c>
      <c r="H2572" s="1">
        <v>0</v>
      </c>
      <c r="I2572" s="1">
        <v>1</v>
      </c>
      <c r="J2572" s="39" t="s">
        <v>7266</v>
      </c>
      <c r="K2572" s="1">
        <v>1</v>
      </c>
      <c r="L2572" s="1">
        <v>0</v>
      </c>
      <c r="S2572" s="1" t="s">
        <v>7469</v>
      </c>
      <c r="T2572" s="1">
        <v>1</v>
      </c>
      <c r="U2572" s="19"/>
      <c r="V2572" s="19"/>
      <c r="W2572" s="218">
        <v>1</v>
      </c>
      <c r="X2572" s="218">
        <v>1</v>
      </c>
      <c r="Y2572" s="218">
        <v>1</v>
      </c>
    </row>
    <row r="2573" spans="1:25" x14ac:dyDescent="0.3">
      <c r="A2573" s="1" t="s">
        <v>7470</v>
      </c>
      <c r="B2573" s="102">
        <v>46236</v>
      </c>
      <c r="C2573" s="6">
        <v>0.375</v>
      </c>
      <c r="D2573" s="1" t="s">
        <v>888</v>
      </c>
      <c r="E2573" s="1" t="s">
        <v>889</v>
      </c>
      <c r="F2573" s="1" t="s">
        <v>7471</v>
      </c>
      <c r="G2573" s="39" t="s">
        <v>892</v>
      </c>
      <c r="H2573" s="1">
        <v>2</v>
      </c>
      <c r="I2573" s="1">
        <v>0</v>
      </c>
      <c r="J2573" s="39" t="s">
        <v>7255</v>
      </c>
      <c r="K2573" s="1">
        <v>0</v>
      </c>
      <c r="L2573" s="1">
        <v>2</v>
      </c>
      <c r="S2573" s="1" t="s">
        <v>7472</v>
      </c>
      <c r="T2573" s="1">
        <v>1</v>
      </c>
      <c r="U2573" s="19"/>
      <c r="V2573" s="19"/>
      <c r="W2573" s="218">
        <v>1</v>
      </c>
      <c r="X2573" s="218">
        <v>1</v>
      </c>
      <c r="Y2573" s="218">
        <v>1</v>
      </c>
    </row>
    <row r="2574" spans="1:25" x14ac:dyDescent="0.3">
      <c r="A2574" s="1" t="s">
        <v>7473</v>
      </c>
      <c r="B2574" s="102">
        <v>46243</v>
      </c>
      <c r="C2574" s="6">
        <v>0.35763888888888901</v>
      </c>
      <c r="D2574" s="1" t="s">
        <v>888</v>
      </c>
      <c r="E2574" s="1" t="s">
        <v>889</v>
      </c>
      <c r="F2574" s="1" t="s">
        <v>7474</v>
      </c>
      <c r="G2574" s="39" t="s">
        <v>7255</v>
      </c>
      <c r="H2574" s="1">
        <v>2</v>
      </c>
      <c r="I2574" s="1">
        <v>3</v>
      </c>
      <c r="J2574" s="39" t="s">
        <v>7274</v>
      </c>
      <c r="K2574" s="1">
        <v>3</v>
      </c>
      <c r="L2574" s="1">
        <v>2</v>
      </c>
      <c r="S2574" s="1" t="s">
        <v>7475</v>
      </c>
      <c r="T2574" s="1">
        <v>1</v>
      </c>
      <c r="U2574" s="19"/>
      <c r="V2574" s="19"/>
      <c r="W2574" s="218">
        <v>1</v>
      </c>
      <c r="X2574" s="218">
        <v>1</v>
      </c>
      <c r="Y2574" s="218">
        <v>1</v>
      </c>
    </row>
    <row r="2575" spans="1:25" x14ac:dyDescent="0.3">
      <c r="A2575" s="1" t="s">
        <v>7476</v>
      </c>
      <c r="B2575" s="102">
        <v>46243</v>
      </c>
      <c r="C2575" s="6">
        <v>0.375</v>
      </c>
      <c r="D2575" s="1" t="s">
        <v>888</v>
      </c>
      <c r="E2575" s="1" t="s">
        <v>889</v>
      </c>
      <c r="F2575" s="1" t="s">
        <v>7477</v>
      </c>
      <c r="G2575" s="39" t="s">
        <v>7266</v>
      </c>
      <c r="H2575" s="1">
        <v>2</v>
      </c>
      <c r="I2575" s="1">
        <v>1</v>
      </c>
      <c r="J2575" s="39" t="s">
        <v>7278</v>
      </c>
      <c r="K2575" s="1">
        <v>1</v>
      </c>
      <c r="L2575" s="1">
        <v>2</v>
      </c>
      <c r="S2575" s="1" t="s">
        <v>7478</v>
      </c>
      <c r="T2575" s="1">
        <v>1</v>
      </c>
      <c r="U2575" s="19"/>
      <c r="V2575" s="19"/>
      <c r="W2575" s="218">
        <v>1</v>
      </c>
      <c r="X2575" s="218">
        <v>1</v>
      </c>
      <c r="Y2575" s="218">
        <v>1</v>
      </c>
    </row>
    <row r="2576" spans="1:25" x14ac:dyDescent="0.3">
      <c r="A2576" s="1" t="s">
        <v>7479</v>
      </c>
      <c r="B2576" s="102">
        <v>46147</v>
      </c>
      <c r="C2576" s="6">
        <v>0.35763888888888901</v>
      </c>
      <c r="D2576" s="1" t="s">
        <v>888</v>
      </c>
      <c r="E2576" s="1" t="s">
        <v>889</v>
      </c>
      <c r="F2576" s="1" t="s">
        <v>7480</v>
      </c>
      <c r="G2576" s="39" t="s">
        <v>7292</v>
      </c>
      <c r="H2576" s="1">
        <v>0</v>
      </c>
      <c r="I2576" s="1">
        <v>1</v>
      </c>
      <c r="J2576" s="39" t="s">
        <v>7240</v>
      </c>
      <c r="K2576" s="1">
        <v>1</v>
      </c>
      <c r="L2576" s="1">
        <v>0</v>
      </c>
      <c r="S2576" s="1" t="s">
        <v>7481</v>
      </c>
      <c r="T2576" s="1">
        <v>1</v>
      </c>
      <c r="U2576" s="19"/>
      <c r="V2576" s="19"/>
      <c r="W2576" s="218">
        <v>1</v>
      </c>
      <c r="X2576" s="218">
        <v>0</v>
      </c>
      <c r="Y2576" s="218">
        <v>1</v>
      </c>
    </row>
    <row r="2577" spans="1:25" x14ac:dyDescent="0.3">
      <c r="A2577" s="1" t="s">
        <v>7482</v>
      </c>
      <c r="B2577" s="102">
        <v>46148</v>
      </c>
      <c r="C2577" s="6">
        <v>0.35763888888888901</v>
      </c>
      <c r="D2577" s="1" t="s">
        <v>888</v>
      </c>
      <c r="E2577" s="1" t="s">
        <v>889</v>
      </c>
      <c r="F2577" s="1" t="s">
        <v>7483</v>
      </c>
      <c r="G2577" s="39" t="s">
        <v>7274</v>
      </c>
      <c r="H2577" s="1">
        <v>1</v>
      </c>
      <c r="I2577" s="1">
        <v>1</v>
      </c>
      <c r="J2577" s="39" t="s">
        <v>892</v>
      </c>
      <c r="K2577" s="1">
        <v>1</v>
      </c>
      <c r="L2577" s="1">
        <v>1</v>
      </c>
      <c r="S2577" s="1" t="s">
        <v>7484</v>
      </c>
      <c r="T2577" s="1">
        <v>1</v>
      </c>
      <c r="U2577" s="19"/>
      <c r="V2577" s="19"/>
      <c r="W2577" s="218">
        <v>1</v>
      </c>
      <c r="X2577" s="218">
        <v>0</v>
      </c>
      <c r="Y2577" s="218">
        <v>1</v>
      </c>
    </row>
    <row r="2578" spans="1:25" x14ac:dyDescent="0.3">
      <c r="A2578" s="1" t="s">
        <v>7485</v>
      </c>
      <c r="B2578" s="102">
        <v>46157</v>
      </c>
      <c r="C2578" s="6">
        <v>0.35763888888888901</v>
      </c>
      <c r="D2578" s="1" t="s">
        <v>888</v>
      </c>
      <c r="E2578" s="1" t="s">
        <v>889</v>
      </c>
      <c r="F2578" s="1" t="s">
        <v>7486</v>
      </c>
      <c r="G2578" s="39" t="s">
        <v>7282</v>
      </c>
      <c r="H2578" s="1">
        <v>1</v>
      </c>
      <c r="I2578" s="1">
        <v>0</v>
      </c>
      <c r="J2578" s="39" t="s">
        <v>892</v>
      </c>
      <c r="K2578" s="1">
        <v>0</v>
      </c>
      <c r="L2578" s="1">
        <v>1</v>
      </c>
      <c r="S2578" s="1" t="s">
        <v>7487</v>
      </c>
      <c r="T2578" s="1">
        <v>1</v>
      </c>
      <c r="U2578" s="19"/>
      <c r="V2578" s="19"/>
      <c r="W2578" s="218">
        <v>1</v>
      </c>
      <c r="X2578" s="218">
        <v>1</v>
      </c>
      <c r="Y2578" s="218">
        <v>1</v>
      </c>
    </row>
    <row r="2579" spans="1:25" x14ac:dyDescent="0.3">
      <c r="A2579" s="1" t="s">
        <v>7488</v>
      </c>
      <c r="B2579" s="102">
        <v>46158</v>
      </c>
      <c r="C2579" s="6">
        <v>0.33333333333333298</v>
      </c>
      <c r="D2579" s="1" t="s">
        <v>888</v>
      </c>
      <c r="E2579" s="1" t="s">
        <v>889</v>
      </c>
      <c r="F2579" s="1" t="s">
        <v>7489</v>
      </c>
      <c r="G2579" s="39" t="s">
        <v>7244</v>
      </c>
      <c r="H2579" s="1">
        <v>2</v>
      </c>
      <c r="I2579" s="1">
        <v>2</v>
      </c>
      <c r="J2579" s="39" t="s">
        <v>7292</v>
      </c>
      <c r="K2579" s="1">
        <v>2</v>
      </c>
      <c r="L2579" s="1">
        <v>2</v>
      </c>
      <c r="S2579" s="1" t="s">
        <v>7490</v>
      </c>
      <c r="T2579" s="1">
        <v>1</v>
      </c>
      <c r="U2579" s="19"/>
      <c r="V2579" s="19"/>
      <c r="W2579" s="218">
        <v>1</v>
      </c>
      <c r="X2579" s="218">
        <v>1</v>
      </c>
      <c r="Y2579" s="218">
        <v>1</v>
      </c>
    </row>
    <row r="2580" spans="1:25" x14ac:dyDescent="0.3">
      <c r="A2580" s="1" t="s">
        <v>7491</v>
      </c>
      <c r="B2580" s="102">
        <v>46161</v>
      </c>
      <c r="C2580" s="6">
        <v>0.35763888888888901</v>
      </c>
      <c r="D2580" s="1" t="s">
        <v>888</v>
      </c>
      <c r="E2580" s="1" t="s">
        <v>889</v>
      </c>
      <c r="F2580" s="1" t="s">
        <v>7492</v>
      </c>
      <c r="G2580" s="39" t="s">
        <v>7278</v>
      </c>
      <c r="H2580" s="1">
        <v>1</v>
      </c>
      <c r="I2580" s="1">
        <v>2</v>
      </c>
      <c r="J2580" s="39" t="s">
        <v>7282</v>
      </c>
      <c r="K2580" s="1">
        <v>2</v>
      </c>
      <c r="L2580" s="1">
        <v>1</v>
      </c>
      <c r="S2580" s="1" t="s">
        <v>7493</v>
      </c>
      <c r="T2580" s="1">
        <v>1</v>
      </c>
      <c r="U2580" s="19"/>
      <c r="V2580" s="19"/>
      <c r="W2580" s="218">
        <v>1</v>
      </c>
      <c r="X2580" s="218">
        <v>1</v>
      </c>
      <c r="Y2580" s="218">
        <v>1</v>
      </c>
    </row>
    <row r="2581" spans="1:25" x14ac:dyDescent="0.3">
      <c r="A2581" s="1" t="s">
        <v>7494</v>
      </c>
      <c r="B2581" s="102">
        <v>46162</v>
      </c>
      <c r="C2581" s="6">
        <v>0.33333333333333298</v>
      </c>
      <c r="D2581" s="1" t="s">
        <v>888</v>
      </c>
      <c r="E2581" s="1" t="s">
        <v>889</v>
      </c>
      <c r="F2581" s="1" t="s">
        <v>7495</v>
      </c>
      <c r="G2581" s="39" t="s">
        <v>7292</v>
      </c>
      <c r="H2581" s="1">
        <v>2</v>
      </c>
      <c r="I2581" s="1">
        <v>1</v>
      </c>
      <c r="J2581" s="39" t="s">
        <v>7259</v>
      </c>
      <c r="K2581" s="1">
        <v>1</v>
      </c>
      <c r="L2581" s="1">
        <v>2</v>
      </c>
      <c r="S2581" s="1" t="s">
        <v>7496</v>
      </c>
      <c r="T2581" s="1">
        <v>1</v>
      </c>
      <c r="U2581" s="19"/>
      <c r="V2581" s="19"/>
      <c r="W2581" s="218">
        <v>1</v>
      </c>
      <c r="X2581" s="218">
        <v>1</v>
      </c>
      <c r="Y2581" s="218">
        <v>1</v>
      </c>
    </row>
    <row r="2582" spans="1:25" x14ac:dyDescent="0.3">
      <c r="A2582" s="1" t="s">
        <v>7497</v>
      </c>
      <c r="B2582" s="102">
        <v>46165</v>
      </c>
      <c r="C2582" s="6">
        <v>0.33333333333333298</v>
      </c>
      <c r="D2582" s="1" t="s">
        <v>888</v>
      </c>
      <c r="E2582" s="1" t="s">
        <v>889</v>
      </c>
      <c r="F2582" s="1" t="s">
        <v>7498</v>
      </c>
      <c r="G2582" s="39" t="s">
        <v>7274</v>
      </c>
      <c r="H2582" s="1">
        <v>1</v>
      </c>
      <c r="I2582" s="1">
        <v>1</v>
      </c>
      <c r="J2582" s="39" t="s">
        <v>7278</v>
      </c>
      <c r="K2582" s="1">
        <v>1</v>
      </c>
      <c r="L2582" s="1">
        <v>1</v>
      </c>
      <c r="S2582" s="1" t="s">
        <v>7499</v>
      </c>
      <c r="T2582" s="1">
        <v>1</v>
      </c>
      <c r="U2582" s="19"/>
      <c r="V2582" s="19"/>
      <c r="W2582" s="218">
        <v>1</v>
      </c>
      <c r="X2582" s="218">
        <v>1</v>
      </c>
      <c r="Y2582" s="218">
        <v>1</v>
      </c>
    </row>
    <row r="2583" spans="1:25" x14ac:dyDescent="0.3">
      <c r="A2583" s="1" t="s">
        <v>7500</v>
      </c>
      <c r="B2583" s="102">
        <v>46166</v>
      </c>
      <c r="C2583" s="6">
        <v>0.375</v>
      </c>
      <c r="D2583" s="1" t="s">
        <v>888</v>
      </c>
      <c r="E2583" s="1" t="s">
        <v>889</v>
      </c>
      <c r="F2583" s="1" t="s">
        <v>7501</v>
      </c>
      <c r="G2583" s="39" t="s">
        <v>7306</v>
      </c>
      <c r="H2583" s="1">
        <v>1</v>
      </c>
      <c r="I2583" s="1">
        <v>2</v>
      </c>
      <c r="J2583" s="39" t="s">
        <v>892</v>
      </c>
      <c r="K2583" s="1">
        <v>2</v>
      </c>
      <c r="L2583" s="1">
        <v>1</v>
      </c>
      <c r="S2583" s="1" t="s">
        <v>7502</v>
      </c>
      <c r="T2583" s="1">
        <v>1</v>
      </c>
      <c r="U2583" s="19"/>
      <c r="V2583" s="19"/>
      <c r="W2583" s="218">
        <v>1</v>
      </c>
      <c r="X2583" s="218">
        <v>1</v>
      </c>
      <c r="Y2583" s="218">
        <v>1</v>
      </c>
    </row>
    <row r="2584" spans="1:25" x14ac:dyDescent="0.3">
      <c r="A2584" s="1" t="s">
        <v>7503</v>
      </c>
      <c r="B2584" s="102">
        <v>46171</v>
      </c>
      <c r="C2584" s="6">
        <v>0.35763888888888901</v>
      </c>
      <c r="D2584" s="1" t="s">
        <v>888</v>
      </c>
      <c r="E2584" s="1" t="s">
        <v>889</v>
      </c>
      <c r="F2584" s="1" t="s">
        <v>7504</v>
      </c>
      <c r="G2584" s="39" t="s">
        <v>7292</v>
      </c>
      <c r="H2584" s="1">
        <v>3</v>
      </c>
      <c r="I2584" s="1">
        <v>2</v>
      </c>
      <c r="J2584" s="39" t="s">
        <v>7274</v>
      </c>
      <c r="K2584" s="1">
        <v>2</v>
      </c>
      <c r="L2584" s="1">
        <v>3</v>
      </c>
      <c r="S2584" s="1" t="s">
        <v>7505</v>
      </c>
      <c r="T2584" s="1">
        <v>1</v>
      </c>
      <c r="U2584" s="19"/>
      <c r="V2584" s="19"/>
      <c r="W2584" s="218">
        <v>1</v>
      </c>
      <c r="X2584" s="218">
        <v>1</v>
      </c>
      <c r="Y2584" s="218">
        <v>1</v>
      </c>
    </row>
    <row r="2585" spans="1:25" x14ac:dyDescent="0.3">
      <c r="A2585" s="1" t="s">
        <v>7506</v>
      </c>
      <c r="B2585" s="102">
        <v>46172</v>
      </c>
      <c r="C2585" s="6">
        <v>0.375</v>
      </c>
      <c r="D2585" s="1" t="s">
        <v>888</v>
      </c>
      <c r="E2585" s="1" t="s">
        <v>889</v>
      </c>
      <c r="F2585" s="1" t="s">
        <v>7507</v>
      </c>
      <c r="G2585" s="39" t="s">
        <v>892</v>
      </c>
      <c r="H2585" s="1">
        <v>3</v>
      </c>
      <c r="I2585" s="1">
        <v>2</v>
      </c>
      <c r="J2585" s="39" t="s">
        <v>7259</v>
      </c>
      <c r="K2585" s="1">
        <v>2</v>
      </c>
      <c r="L2585" s="1">
        <v>3</v>
      </c>
      <c r="S2585" s="1" t="s">
        <v>7508</v>
      </c>
      <c r="T2585" s="1">
        <v>1</v>
      </c>
      <c r="U2585" s="19"/>
      <c r="V2585" s="19"/>
      <c r="W2585" s="218">
        <v>1</v>
      </c>
      <c r="X2585" s="218">
        <v>1</v>
      </c>
      <c r="Y2585" s="218">
        <v>1</v>
      </c>
    </row>
    <row r="2586" spans="1:25" x14ac:dyDescent="0.3">
      <c r="A2586" s="1" t="s">
        <v>7509</v>
      </c>
      <c r="B2586" s="102">
        <v>46200</v>
      </c>
      <c r="C2586" s="6">
        <v>0.35763888888888901</v>
      </c>
      <c r="D2586" s="1" t="s">
        <v>888</v>
      </c>
      <c r="E2586" s="1" t="s">
        <v>889</v>
      </c>
      <c r="F2586" s="1" t="s">
        <v>7510</v>
      </c>
      <c r="G2586" s="39" t="s">
        <v>7282</v>
      </c>
      <c r="H2586" s="1">
        <v>1</v>
      </c>
      <c r="I2586" s="1">
        <v>2</v>
      </c>
      <c r="J2586" s="39" t="s">
        <v>7274</v>
      </c>
      <c r="K2586" s="1">
        <v>2</v>
      </c>
      <c r="L2586" s="1">
        <v>1</v>
      </c>
      <c r="S2586" s="1" t="s">
        <v>7511</v>
      </c>
      <c r="T2586" s="1">
        <v>1</v>
      </c>
      <c r="U2586" s="19"/>
      <c r="V2586" s="19"/>
      <c r="W2586" s="218">
        <v>1</v>
      </c>
      <c r="X2586" s="218">
        <v>1</v>
      </c>
      <c r="Y2586" s="218">
        <v>1</v>
      </c>
    </row>
    <row r="2587" spans="1:25" x14ac:dyDescent="0.3">
      <c r="A2587" s="1" t="s">
        <v>7512</v>
      </c>
      <c r="B2587" s="102">
        <v>46207</v>
      </c>
      <c r="C2587" s="6">
        <v>0.375</v>
      </c>
      <c r="D2587" s="1" t="s">
        <v>888</v>
      </c>
      <c r="E2587" s="1" t="s">
        <v>889</v>
      </c>
      <c r="F2587" s="1" t="s">
        <v>7513</v>
      </c>
      <c r="G2587" s="39" t="s">
        <v>7278</v>
      </c>
      <c r="H2587" s="1">
        <v>3</v>
      </c>
      <c r="I2587" s="1">
        <v>0</v>
      </c>
      <c r="J2587" s="39" t="s">
        <v>892</v>
      </c>
      <c r="K2587" s="1">
        <v>0</v>
      </c>
      <c r="L2587" s="1">
        <v>3</v>
      </c>
      <c r="S2587" s="1" t="s">
        <v>7514</v>
      </c>
      <c r="T2587" s="1">
        <v>1</v>
      </c>
      <c r="U2587" s="19"/>
      <c r="V2587" s="19"/>
      <c r="W2587" s="218">
        <v>1</v>
      </c>
      <c r="X2587" s="218">
        <v>1</v>
      </c>
      <c r="Y2587" s="218">
        <v>1</v>
      </c>
    </row>
    <row r="2588" spans="1:25" x14ac:dyDescent="0.3">
      <c r="A2588" s="1" t="s">
        <v>7515</v>
      </c>
      <c r="B2588" s="102">
        <v>46220</v>
      </c>
      <c r="C2588" s="6">
        <v>0.35763888888888901</v>
      </c>
      <c r="D2588" s="1" t="s">
        <v>888</v>
      </c>
      <c r="E2588" s="1" t="s">
        <v>889</v>
      </c>
      <c r="F2588" s="1" t="s">
        <v>7516</v>
      </c>
      <c r="G2588" s="39" t="s">
        <v>7282</v>
      </c>
      <c r="H2588" s="1">
        <v>5</v>
      </c>
      <c r="I2588" s="1">
        <v>1</v>
      </c>
      <c r="J2588" s="39" t="s">
        <v>7259</v>
      </c>
      <c r="K2588" s="1">
        <v>1</v>
      </c>
      <c r="L2588" s="1">
        <v>5</v>
      </c>
      <c r="S2588" s="1" t="s">
        <v>7517</v>
      </c>
      <c r="T2588" s="1">
        <v>1</v>
      </c>
      <c r="U2588" s="19"/>
      <c r="V2588" s="19"/>
      <c r="W2588" s="218">
        <v>1</v>
      </c>
      <c r="X2588" s="218">
        <v>1</v>
      </c>
      <c r="Y2588" s="218">
        <v>1</v>
      </c>
    </row>
    <row r="2589" spans="1:25" x14ac:dyDescent="0.3">
      <c r="A2589" s="1" t="s">
        <v>7518</v>
      </c>
      <c r="B2589" s="102">
        <v>46221</v>
      </c>
      <c r="C2589" s="6">
        <v>0.375</v>
      </c>
      <c r="D2589" s="1" t="s">
        <v>888</v>
      </c>
      <c r="E2589" s="1" t="s">
        <v>889</v>
      </c>
      <c r="F2589" s="1" t="s">
        <v>7519</v>
      </c>
      <c r="G2589" s="39" t="s">
        <v>7244</v>
      </c>
      <c r="H2589" s="1">
        <v>2</v>
      </c>
      <c r="I2589" s="1">
        <v>0</v>
      </c>
      <c r="J2589" s="39" t="s">
        <v>892</v>
      </c>
      <c r="K2589" s="1">
        <v>0</v>
      </c>
      <c r="L2589" s="1">
        <v>2</v>
      </c>
      <c r="S2589" s="1" t="s">
        <v>7520</v>
      </c>
      <c r="T2589" s="1">
        <v>1</v>
      </c>
      <c r="U2589" s="19"/>
      <c r="V2589" s="19"/>
      <c r="W2589" s="218">
        <v>1</v>
      </c>
      <c r="X2589" s="218">
        <v>1</v>
      </c>
      <c r="Y2589" s="218">
        <v>1</v>
      </c>
    </row>
    <row r="2590" spans="1:25" x14ac:dyDescent="0.3">
      <c r="A2590" s="1" t="s">
        <v>7521</v>
      </c>
      <c r="B2590" s="102">
        <v>46228</v>
      </c>
      <c r="C2590" s="6">
        <v>0.35763888888888901</v>
      </c>
      <c r="D2590" s="1" t="s">
        <v>888</v>
      </c>
      <c r="E2590" s="1" t="s">
        <v>889</v>
      </c>
      <c r="F2590" s="1" t="s">
        <v>7522</v>
      </c>
      <c r="G2590" s="39" t="s">
        <v>7274</v>
      </c>
      <c r="H2590" s="1">
        <v>2</v>
      </c>
      <c r="I2590" s="1">
        <v>0</v>
      </c>
      <c r="J2590" s="39" t="s">
        <v>7306</v>
      </c>
      <c r="K2590" s="1">
        <v>0</v>
      </c>
      <c r="L2590" s="1">
        <v>2</v>
      </c>
      <c r="S2590" s="1" t="s">
        <v>7523</v>
      </c>
      <c r="T2590" s="1">
        <v>1</v>
      </c>
      <c r="U2590" s="19"/>
      <c r="V2590" s="19"/>
      <c r="W2590" s="218">
        <v>1</v>
      </c>
      <c r="X2590" s="218">
        <v>1</v>
      </c>
      <c r="Y2590" s="218">
        <v>1</v>
      </c>
    </row>
    <row r="2591" spans="1:25" x14ac:dyDescent="0.3">
      <c r="A2591" s="1" t="s">
        <v>7524</v>
      </c>
      <c r="B2591" s="102">
        <v>46236</v>
      </c>
      <c r="C2591" s="6">
        <v>0.35763888888888901</v>
      </c>
      <c r="D2591" s="1" t="s">
        <v>888</v>
      </c>
      <c r="E2591" s="1" t="s">
        <v>889</v>
      </c>
      <c r="F2591" s="1" t="s">
        <v>7525</v>
      </c>
      <c r="G2591" s="39" t="s">
        <v>7292</v>
      </c>
      <c r="H2591" s="1">
        <v>3</v>
      </c>
      <c r="I2591" s="1">
        <v>1</v>
      </c>
      <c r="J2591" s="39" t="s">
        <v>7306</v>
      </c>
      <c r="K2591" s="1">
        <v>1</v>
      </c>
      <c r="L2591" s="1">
        <v>3</v>
      </c>
      <c r="S2591" s="1" t="s">
        <v>7526</v>
      </c>
      <c r="T2591" s="1">
        <v>1</v>
      </c>
      <c r="U2591" s="19"/>
      <c r="V2591" s="19"/>
      <c r="W2591" s="218">
        <v>1</v>
      </c>
      <c r="X2591" s="218">
        <v>1</v>
      </c>
      <c r="Y2591" s="218">
        <v>1</v>
      </c>
    </row>
    <row r="2592" spans="1:25" x14ac:dyDescent="0.3">
      <c r="A2592" s="1" t="s">
        <v>7527</v>
      </c>
      <c r="B2592" s="102">
        <v>46143</v>
      </c>
      <c r="C2592" s="6">
        <v>0.35763888888888901</v>
      </c>
      <c r="D2592" s="1" t="s">
        <v>888</v>
      </c>
      <c r="E2592" s="1" t="s">
        <v>889</v>
      </c>
      <c r="F2592" s="1" t="s">
        <v>7528</v>
      </c>
      <c r="G2592" s="39" t="s">
        <v>7278</v>
      </c>
      <c r="H2592" s="1">
        <v>2</v>
      </c>
      <c r="I2592" s="1">
        <v>2</v>
      </c>
      <c r="J2592" s="39" t="s">
        <v>7244</v>
      </c>
      <c r="K2592" s="1">
        <v>2</v>
      </c>
      <c r="L2592" s="1">
        <v>2</v>
      </c>
      <c r="S2592" s="1" t="s">
        <v>7529</v>
      </c>
      <c r="T2592" s="1">
        <v>1</v>
      </c>
      <c r="U2592" s="19"/>
      <c r="V2592" s="19"/>
      <c r="W2592" s="218">
        <v>0</v>
      </c>
      <c r="X2592" s="218">
        <v>1</v>
      </c>
      <c r="Y2592" s="218">
        <v>1</v>
      </c>
    </row>
    <row r="2593" spans="1:25" x14ac:dyDescent="0.3">
      <c r="A2593" s="1" t="s">
        <v>7530</v>
      </c>
      <c r="B2593" s="102">
        <v>46147</v>
      </c>
      <c r="C2593" s="6">
        <v>0.33333333333333298</v>
      </c>
      <c r="D2593" s="1" t="s">
        <v>888</v>
      </c>
      <c r="E2593" s="1" t="s">
        <v>889</v>
      </c>
      <c r="F2593" s="1" t="s">
        <v>7531</v>
      </c>
      <c r="G2593" s="39" t="s">
        <v>7251</v>
      </c>
      <c r="H2593" s="1">
        <v>1</v>
      </c>
      <c r="I2593" s="1">
        <v>1</v>
      </c>
      <c r="J2593" s="39" t="s">
        <v>7278</v>
      </c>
      <c r="K2593" s="1">
        <v>1</v>
      </c>
      <c r="L2593" s="1">
        <v>1</v>
      </c>
      <c r="S2593" s="1" t="s">
        <v>7532</v>
      </c>
      <c r="T2593" s="1">
        <v>1</v>
      </c>
      <c r="U2593" s="19"/>
      <c r="V2593" s="19"/>
      <c r="W2593" s="218">
        <v>0</v>
      </c>
      <c r="X2593" s="218">
        <v>1</v>
      </c>
      <c r="Y2593" s="218">
        <v>1</v>
      </c>
    </row>
    <row r="2594" spans="1:25" x14ac:dyDescent="0.3">
      <c r="A2594" s="1" t="s">
        <v>7533</v>
      </c>
      <c r="B2594" s="102">
        <v>46148</v>
      </c>
      <c r="C2594" s="6">
        <v>0.33333333333333298</v>
      </c>
      <c r="D2594" s="1" t="s">
        <v>888</v>
      </c>
      <c r="E2594" s="1" t="s">
        <v>889</v>
      </c>
      <c r="F2594" s="1" t="s">
        <v>7534</v>
      </c>
      <c r="G2594" s="39" t="s">
        <v>7244</v>
      </c>
      <c r="H2594" s="1">
        <v>1</v>
      </c>
      <c r="I2594" s="1">
        <v>3</v>
      </c>
      <c r="J2594" s="39" t="s">
        <v>7259</v>
      </c>
      <c r="K2594" s="1">
        <v>3</v>
      </c>
      <c r="L2594" s="1">
        <v>1</v>
      </c>
      <c r="S2594" s="1" t="s">
        <v>7535</v>
      </c>
      <c r="T2594" s="1">
        <v>1</v>
      </c>
      <c r="U2594" s="19"/>
      <c r="V2594" s="19"/>
      <c r="W2594" s="218">
        <v>1</v>
      </c>
      <c r="X2594" s="218">
        <v>0</v>
      </c>
      <c r="Y2594" s="218">
        <v>1</v>
      </c>
    </row>
    <row r="2595" spans="1:25" x14ac:dyDescent="0.3">
      <c r="A2595" s="1" t="s">
        <v>7536</v>
      </c>
      <c r="B2595" s="102">
        <v>46162</v>
      </c>
      <c r="C2595" s="6">
        <v>0.35763888888888901</v>
      </c>
      <c r="D2595" s="1" t="s">
        <v>888</v>
      </c>
      <c r="E2595" s="1" t="s">
        <v>889</v>
      </c>
      <c r="F2595" s="1" t="s">
        <v>7537</v>
      </c>
      <c r="G2595" s="39" t="s">
        <v>7306</v>
      </c>
      <c r="H2595" s="1">
        <v>2</v>
      </c>
      <c r="I2595" s="1">
        <v>2</v>
      </c>
      <c r="J2595" s="39" t="s">
        <v>7244</v>
      </c>
      <c r="K2595" s="1">
        <v>2</v>
      </c>
      <c r="L2595" s="1">
        <v>2</v>
      </c>
      <c r="S2595" s="1" t="s">
        <v>7538</v>
      </c>
      <c r="T2595" s="1">
        <v>1</v>
      </c>
      <c r="U2595" s="19"/>
      <c r="V2595" s="19"/>
      <c r="W2595" s="218">
        <v>1</v>
      </c>
      <c r="X2595" s="218">
        <v>1</v>
      </c>
      <c r="Y2595" s="218">
        <v>1</v>
      </c>
    </row>
    <row r="2596" spans="1:25" x14ac:dyDescent="0.3">
      <c r="A2596" s="1" t="s">
        <v>7539</v>
      </c>
      <c r="B2596" s="102">
        <v>46221</v>
      </c>
      <c r="C2596" s="6">
        <v>0.35763888888888901</v>
      </c>
      <c r="D2596" s="1" t="s">
        <v>888</v>
      </c>
      <c r="E2596" s="1" t="s">
        <v>889</v>
      </c>
      <c r="F2596" s="1" t="s">
        <v>7540</v>
      </c>
      <c r="G2596" s="39" t="s">
        <v>7306</v>
      </c>
      <c r="H2596" s="1">
        <v>0</v>
      </c>
      <c r="I2596" s="1">
        <v>2</v>
      </c>
      <c r="J2596" s="39" t="s">
        <v>7278</v>
      </c>
      <c r="K2596" s="1">
        <v>2</v>
      </c>
      <c r="L2596" s="1">
        <v>0</v>
      </c>
      <c r="S2596" s="1" t="s">
        <v>7541</v>
      </c>
      <c r="T2596" s="1">
        <v>1</v>
      </c>
      <c r="U2596" s="19"/>
      <c r="V2596" s="19"/>
      <c r="W2596" s="218">
        <v>1</v>
      </c>
      <c r="X2596" s="218">
        <v>1</v>
      </c>
      <c r="Y2596" s="218">
        <v>1</v>
      </c>
    </row>
    <row r="2597" spans="1:25" x14ac:dyDescent="0.3">
      <c r="A2597" s="1" t="s">
        <v>7542</v>
      </c>
      <c r="B2597" s="102">
        <v>46228</v>
      </c>
      <c r="C2597" s="6">
        <v>0.27083333333333298</v>
      </c>
      <c r="D2597" s="1" t="s">
        <v>888</v>
      </c>
      <c r="E2597" s="1" t="s">
        <v>889</v>
      </c>
      <c r="F2597" s="1" t="s">
        <v>7543</v>
      </c>
      <c r="G2597" s="39" t="s">
        <v>7259</v>
      </c>
      <c r="H2597" s="1">
        <v>0</v>
      </c>
      <c r="I2597" s="1">
        <v>2</v>
      </c>
      <c r="J2597" s="39" t="s">
        <v>7278</v>
      </c>
      <c r="K2597" s="1">
        <v>2</v>
      </c>
      <c r="L2597" s="1">
        <v>0</v>
      </c>
      <c r="S2597" s="1" t="s">
        <v>7544</v>
      </c>
      <c r="T2597" s="1">
        <v>1</v>
      </c>
      <c r="U2597" s="19"/>
      <c r="V2597" s="19"/>
      <c r="W2597" s="218">
        <v>1</v>
      </c>
      <c r="X2597" s="218">
        <v>1</v>
      </c>
      <c r="Y2597" s="218">
        <v>1</v>
      </c>
    </row>
    <row r="2598" spans="1:25" x14ac:dyDescent="0.3">
      <c r="A2598" s="1" t="s">
        <v>7545</v>
      </c>
      <c r="B2598" s="102">
        <v>46242</v>
      </c>
      <c r="C2598" s="6">
        <v>0.33333333333333298</v>
      </c>
      <c r="D2598" s="1" t="s">
        <v>888</v>
      </c>
      <c r="E2598" s="1" t="s">
        <v>889</v>
      </c>
      <c r="F2598" s="1" t="s">
        <v>7546</v>
      </c>
      <c r="G2598" s="39" t="s">
        <v>7259</v>
      </c>
      <c r="H2598" s="1">
        <v>0</v>
      </c>
      <c r="I2598" s="1">
        <v>1</v>
      </c>
      <c r="J2598" s="39" t="s">
        <v>7306</v>
      </c>
      <c r="K2598" s="1">
        <v>1</v>
      </c>
      <c r="L2598" s="1">
        <v>0</v>
      </c>
      <c r="S2598" s="1" t="s">
        <v>7547</v>
      </c>
      <c r="T2598" s="1">
        <v>1</v>
      </c>
      <c r="U2598" s="19"/>
      <c r="V2598" s="19"/>
      <c r="W2598" s="218">
        <v>1</v>
      </c>
      <c r="X2598" s="218">
        <v>1</v>
      </c>
      <c r="Y2598" s="218">
        <v>1</v>
      </c>
    </row>
    <row r="2599" spans="1:25" x14ac:dyDescent="0.3">
      <c r="A2599" s="1" t="s">
        <v>7548</v>
      </c>
      <c r="B2599" s="5">
        <v>46131</v>
      </c>
      <c r="C2599" s="6">
        <v>0.16666666666666699</v>
      </c>
      <c r="D2599" s="1" t="s">
        <v>888</v>
      </c>
      <c r="E2599" s="1" t="s">
        <v>7584</v>
      </c>
      <c r="F2599" s="1" t="s">
        <v>7585</v>
      </c>
      <c r="G2599" s="39" t="s">
        <v>7586</v>
      </c>
      <c r="H2599" s="1">
        <v>2</v>
      </c>
      <c r="I2599" s="1">
        <v>3</v>
      </c>
      <c r="J2599" s="39" t="s">
        <v>7587</v>
      </c>
      <c r="K2599" s="1">
        <v>3</v>
      </c>
      <c r="L2599" s="1">
        <v>2</v>
      </c>
      <c r="S2599" s="1" t="s">
        <v>7588</v>
      </c>
      <c r="T2599" s="1">
        <v>1</v>
      </c>
      <c r="U2599" s="19"/>
      <c r="V2599" s="19"/>
      <c r="W2599" s="218">
        <v>1</v>
      </c>
      <c r="X2599" s="218">
        <v>0</v>
      </c>
      <c r="Y2599" s="218">
        <v>1</v>
      </c>
    </row>
    <row r="2600" spans="1:25" x14ac:dyDescent="0.3">
      <c r="A2600" s="1" t="s">
        <v>7549</v>
      </c>
      <c r="B2600" s="5">
        <v>46137</v>
      </c>
      <c r="C2600" s="6">
        <v>0.35416666666666702</v>
      </c>
      <c r="D2600" s="1" t="s">
        <v>888</v>
      </c>
      <c r="E2600" s="1" t="s">
        <v>7584</v>
      </c>
      <c r="F2600" s="1" t="s">
        <v>7589</v>
      </c>
      <c r="G2600" s="39" t="s">
        <v>7590</v>
      </c>
      <c r="H2600" s="1">
        <v>0</v>
      </c>
      <c r="I2600" s="1">
        <v>3</v>
      </c>
      <c r="J2600" s="39" t="s">
        <v>7591</v>
      </c>
      <c r="K2600" s="1">
        <v>3</v>
      </c>
      <c r="L2600" s="1">
        <v>0</v>
      </c>
      <c r="S2600" s="1" t="s">
        <v>7592</v>
      </c>
      <c r="T2600" s="1">
        <v>1</v>
      </c>
      <c r="U2600" s="19"/>
      <c r="V2600" s="19"/>
      <c r="W2600" s="218">
        <v>0</v>
      </c>
      <c r="X2600" s="218">
        <v>1</v>
      </c>
      <c r="Y2600" s="218">
        <v>1</v>
      </c>
    </row>
    <row r="2601" spans="1:25" x14ac:dyDescent="0.3">
      <c r="A2601" s="1" t="s">
        <v>7550</v>
      </c>
      <c r="B2601" s="5">
        <v>46137</v>
      </c>
      <c r="C2601" s="6">
        <v>0.35416666666666702</v>
      </c>
      <c r="D2601" s="1" t="s">
        <v>888</v>
      </c>
      <c r="E2601" s="1" t="s">
        <v>7584</v>
      </c>
      <c r="F2601" s="1" t="s">
        <v>7593</v>
      </c>
      <c r="G2601" s="39" t="s">
        <v>7594</v>
      </c>
      <c r="H2601" s="1">
        <v>1</v>
      </c>
      <c r="I2601" s="1">
        <v>0</v>
      </c>
      <c r="J2601" s="39" t="s">
        <v>7595</v>
      </c>
      <c r="K2601" s="1">
        <v>0</v>
      </c>
      <c r="L2601" s="1">
        <v>1</v>
      </c>
      <c r="S2601" s="1" t="s">
        <v>7596</v>
      </c>
      <c r="T2601" s="1">
        <v>1</v>
      </c>
      <c r="U2601" s="19"/>
      <c r="V2601" s="19"/>
      <c r="W2601" s="218">
        <v>1</v>
      </c>
      <c r="X2601" s="218">
        <v>0</v>
      </c>
      <c r="Y2601" s="218">
        <v>1</v>
      </c>
    </row>
    <row r="2602" spans="1:25" x14ac:dyDescent="0.3">
      <c r="A2602" s="1" t="s">
        <v>7597</v>
      </c>
      <c r="B2602" s="5">
        <v>46138</v>
      </c>
      <c r="C2602" s="6">
        <v>0.16666666666666699</v>
      </c>
      <c r="D2602" s="1" t="s">
        <v>888</v>
      </c>
      <c r="E2602" s="1" t="s">
        <v>7584</v>
      </c>
      <c r="F2602" s="1" t="s">
        <v>7598</v>
      </c>
      <c r="G2602" s="39" t="s">
        <v>7586</v>
      </c>
      <c r="H2602" s="1">
        <v>0</v>
      </c>
      <c r="I2602" s="1">
        <v>0</v>
      </c>
      <c r="J2602" s="39" t="s">
        <v>7599</v>
      </c>
      <c r="K2602" s="1">
        <v>0</v>
      </c>
      <c r="L2602" s="1">
        <v>0</v>
      </c>
      <c r="S2602" s="1" t="s">
        <v>7600</v>
      </c>
      <c r="T2602" s="1">
        <v>1</v>
      </c>
      <c r="U2602" s="19"/>
      <c r="V2602" s="19"/>
      <c r="W2602" s="218">
        <v>1</v>
      </c>
      <c r="X2602" s="218">
        <v>0</v>
      </c>
      <c r="Y2602" s="218">
        <v>1</v>
      </c>
    </row>
    <row r="2603" spans="1:25" x14ac:dyDescent="0.3">
      <c r="A2603" s="1" t="s">
        <v>7601</v>
      </c>
      <c r="B2603" s="5">
        <v>46138</v>
      </c>
      <c r="C2603" s="6">
        <v>0.1875</v>
      </c>
      <c r="D2603" s="1" t="s">
        <v>888</v>
      </c>
      <c r="E2603" s="1" t="s">
        <v>7584</v>
      </c>
      <c r="F2603" s="1" t="s">
        <v>7602</v>
      </c>
      <c r="G2603" s="39" t="s">
        <v>7603</v>
      </c>
      <c r="H2603" s="1">
        <v>1</v>
      </c>
      <c r="I2603" s="1">
        <v>2</v>
      </c>
      <c r="J2603" s="39" t="s">
        <v>7604</v>
      </c>
      <c r="K2603" s="1">
        <v>2</v>
      </c>
      <c r="L2603" s="1">
        <v>1</v>
      </c>
      <c r="S2603" s="1" t="s">
        <v>7605</v>
      </c>
      <c r="T2603" s="1">
        <v>1</v>
      </c>
      <c r="U2603" s="19"/>
      <c r="V2603" s="19"/>
      <c r="W2603" s="218">
        <v>1</v>
      </c>
      <c r="X2603" s="218">
        <v>0</v>
      </c>
      <c r="Y2603" s="218">
        <v>1</v>
      </c>
    </row>
    <row r="2604" spans="1:25" x14ac:dyDescent="0.3">
      <c r="A2604" s="1" t="s">
        <v>7606</v>
      </c>
      <c r="B2604" s="5">
        <v>46138</v>
      </c>
      <c r="C2604" s="6">
        <v>0.35416666666666702</v>
      </c>
      <c r="D2604" s="1" t="s">
        <v>888</v>
      </c>
      <c r="E2604" s="1" t="s">
        <v>7584</v>
      </c>
      <c r="F2604" s="1" t="s">
        <v>7607</v>
      </c>
      <c r="G2604" s="39" t="s">
        <v>7608</v>
      </c>
      <c r="H2604" s="1">
        <v>1</v>
      </c>
      <c r="I2604" s="1">
        <v>0</v>
      </c>
      <c r="J2604" s="39" t="s">
        <v>7587</v>
      </c>
      <c r="K2604" s="1">
        <v>0</v>
      </c>
      <c r="L2604" s="1">
        <v>1</v>
      </c>
      <c r="S2604" s="1" t="s">
        <v>7609</v>
      </c>
      <c r="T2604" s="1">
        <v>1</v>
      </c>
      <c r="U2604" s="19"/>
      <c r="V2604" s="19"/>
      <c r="W2604" s="218">
        <v>1</v>
      </c>
      <c r="X2604" s="218">
        <v>0</v>
      </c>
      <c r="Y2604" s="218">
        <v>1</v>
      </c>
    </row>
    <row r="2605" spans="1:25" x14ac:dyDescent="0.3">
      <c r="A2605" s="1" t="s">
        <v>7610</v>
      </c>
      <c r="B2605" s="5">
        <v>46144</v>
      </c>
      <c r="C2605" s="6">
        <v>0.16666666666666699</v>
      </c>
      <c r="D2605" s="1" t="s">
        <v>888</v>
      </c>
      <c r="E2605" s="1" t="s">
        <v>7584</v>
      </c>
      <c r="F2605" s="1" t="s">
        <v>7611</v>
      </c>
      <c r="G2605" s="39" t="s">
        <v>7587</v>
      </c>
      <c r="H2605" s="1">
        <v>2</v>
      </c>
      <c r="I2605" s="1">
        <v>2</v>
      </c>
      <c r="J2605" s="39" t="s">
        <v>7612</v>
      </c>
      <c r="K2605" s="1">
        <v>2</v>
      </c>
      <c r="L2605" s="1">
        <v>2</v>
      </c>
      <c r="S2605" s="1" t="s">
        <v>7613</v>
      </c>
      <c r="T2605" s="1">
        <v>1</v>
      </c>
      <c r="U2605" s="19"/>
      <c r="V2605" s="19"/>
      <c r="W2605" s="218">
        <v>1</v>
      </c>
      <c r="X2605" s="218">
        <v>1</v>
      </c>
      <c r="Y2605" s="218">
        <v>1</v>
      </c>
    </row>
    <row r="2606" spans="1:25" x14ac:dyDescent="0.3">
      <c r="A2606" s="1" t="s">
        <v>7614</v>
      </c>
      <c r="B2606" s="5">
        <v>46144</v>
      </c>
      <c r="C2606" s="6">
        <v>0.16666666666666699</v>
      </c>
      <c r="D2606" s="1" t="s">
        <v>888</v>
      </c>
      <c r="E2606" s="1" t="s">
        <v>7584</v>
      </c>
      <c r="F2606" s="1" t="s">
        <v>7615</v>
      </c>
      <c r="G2606" s="39" t="s">
        <v>7616</v>
      </c>
      <c r="H2606" s="1">
        <v>1</v>
      </c>
      <c r="I2606" s="1">
        <v>1</v>
      </c>
      <c r="J2606" s="39" t="s">
        <v>7586</v>
      </c>
      <c r="K2606" s="1">
        <v>1</v>
      </c>
      <c r="L2606" s="1">
        <v>1</v>
      </c>
      <c r="S2606" s="1" t="s">
        <v>7617</v>
      </c>
      <c r="T2606" s="1">
        <v>1</v>
      </c>
      <c r="U2606" s="19"/>
      <c r="V2606" s="19"/>
      <c r="W2606" s="218">
        <v>1</v>
      </c>
      <c r="X2606" s="218">
        <v>1</v>
      </c>
      <c r="Y2606" s="218">
        <v>1</v>
      </c>
    </row>
    <row r="2607" spans="1:25" x14ac:dyDescent="0.3">
      <c r="A2607" s="1" t="s">
        <v>7618</v>
      </c>
      <c r="B2607" s="5">
        <v>46144</v>
      </c>
      <c r="C2607" s="6">
        <v>0.35416666666666702</v>
      </c>
      <c r="D2607" s="1" t="s">
        <v>888</v>
      </c>
      <c r="E2607" s="1" t="s">
        <v>7584</v>
      </c>
      <c r="F2607" s="1" t="s">
        <v>7619</v>
      </c>
      <c r="G2607" s="39" t="s">
        <v>7620</v>
      </c>
      <c r="H2607" s="1">
        <v>1</v>
      </c>
      <c r="I2607" s="1">
        <v>1</v>
      </c>
      <c r="J2607" s="39" t="s">
        <v>7621</v>
      </c>
      <c r="K2607" s="1">
        <v>1</v>
      </c>
      <c r="L2607" s="1">
        <v>1</v>
      </c>
      <c r="S2607" s="1" t="s">
        <v>7622</v>
      </c>
      <c r="T2607" s="1">
        <v>1</v>
      </c>
      <c r="U2607" s="19"/>
      <c r="V2607" s="19"/>
      <c r="W2607" s="218">
        <v>1</v>
      </c>
      <c r="X2607" s="218">
        <v>1</v>
      </c>
      <c r="Y2607" s="218">
        <v>1</v>
      </c>
    </row>
    <row r="2608" spans="1:25" x14ac:dyDescent="0.3">
      <c r="A2608" s="1" t="s">
        <v>7623</v>
      </c>
      <c r="B2608" s="5">
        <v>46144</v>
      </c>
      <c r="C2608" s="6">
        <v>0.35416666666666702</v>
      </c>
      <c r="D2608" s="1" t="s">
        <v>888</v>
      </c>
      <c r="E2608" s="1" t="s">
        <v>7584</v>
      </c>
      <c r="F2608" s="1" t="s">
        <v>7624</v>
      </c>
      <c r="G2608" s="39" t="s">
        <v>7604</v>
      </c>
      <c r="H2608" s="1">
        <v>3</v>
      </c>
      <c r="I2608" s="1">
        <v>1</v>
      </c>
      <c r="J2608" s="39" t="s">
        <v>7608</v>
      </c>
      <c r="K2608" s="1">
        <v>1</v>
      </c>
      <c r="L2608" s="1">
        <v>3</v>
      </c>
      <c r="S2608" s="1" t="s">
        <v>7625</v>
      </c>
      <c r="T2608" s="1">
        <v>1</v>
      </c>
      <c r="U2608" s="19"/>
      <c r="V2608" s="19"/>
      <c r="W2608" s="218">
        <v>1</v>
      </c>
      <c r="X2608" s="218">
        <v>1</v>
      </c>
      <c r="Y2608" s="218">
        <v>1</v>
      </c>
    </row>
    <row r="2609" spans="1:25" x14ac:dyDescent="0.3">
      <c r="A2609" s="1" t="s">
        <v>7626</v>
      </c>
      <c r="B2609" s="5">
        <v>46144</v>
      </c>
      <c r="C2609" s="6">
        <v>0.35416666666666702</v>
      </c>
      <c r="D2609" s="1" t="s">
        <v>888</v>
      </c>
      <c r="E2609" s="1" t="s">
        <v>7584</v>
      </c>
      <c r="F2609" s="1" t="s">
        <v>7627</v>
      </c>
      <c r="G2609" s="39" t="s">
        <v>7599</v>
      </c>
      <c r="H2609" s="1">
        <v>0</v>
      </c>
      <c r="I2609" s="1">
        <v>3</v>
      </c>
      <c r="J2609" s="39" t="s">
        <v>7594</v>
      </c>
      <c r="K2609" s="1">
        <v>3</v>
      </c>
      <c r="L2609" s="1">
        <v>0</v>
      </c>
      <c r="S2609" s="1" t="s">
        <v>7628</v>
      </c>
      <c r="T2609" s="1">
        <v>1</v>
      </c>
      <c r="U2609" s="19"/>
      <c r="V2609" s="19"/>
      <c r="W2609" s="218">
        <v>1</v>
      </c>
      <c r="X2609" s="218">
        <v>1</v>
      </c>
      <c r="Y2609" s="218">
        <v>1</v>
      </c>
    </row>
    <row r="2610" spans="1:25" x14ac:dyDescent="0.3">
      <c r="A2610" s="1" t="s">
        <v>7629</v>
      </c>
      <c r="B2610" s="5">
        <v>46145</v>
      </c>
      <c r="C2610" s="6">
        <v>0.33333333333333298</v>
      </c>
      <c r="D2610" s="1" t="s">
        <v>888</v>
      </c>
      <c r="E2610" s="1" t="s">
        <v>7584</v>
      </c>
      <c r="F2610" s="1" t="s">
        <v>7630</v>
      </c>
      <c r="G2610" s="39" t="s">
        <v>7591</v>
      </c>
      <c r="H2610" s="1">
        <v>3</v>
      </c>
      <c r="I2610" s="1">
        <v>1</v>
      </c>
      <c r="J2610" s="39" t="s">
        <v>7603</v>
      </c>
      <c r="K2610" s="1">
        <v>1</v>
      </c>
      <c r="L2610" s="1">
        <v>3</v>
      </c>
      <c r="S2610" s="1" t="s">
        <v>7631</v>
      </c>
      <c r="T2610" s="1">
        <v>1</v>
      </c>
      <c r="U2610" s="19"/>
      <c r="V2610" s="19"/>
      <c r="W2610" s="218">
        <v>1</v>
      </c>
      <c r="X2610" s="218">
        <v>1</v>
      </c>
      <c r="Y2610" s="218">
        <v>1</v>
      </c>
    </row>
    <row r="2611" spans="1:25" x14ac:dyDescent="0.3">
      <c r="A2611" s="1" t="s">
        <v>7632</v>
      </c>
      <c r="B2611" s="5">
        <v>46145</v>
      </c>
      <c r="C2611" s="6">
        <v>0.35416666666666702</v>
      </c>
      <c r="D2611" s="1" t="s">
        <v>888</v>
      </c>
      <c r="E2611" s="1" t="s">
        <v>7584</v>
      </c>
      <c r="F2611" s="1" t="s">
        <v>7633</v>
      </c>
      <c r="G2611" s="39" t="s">
        <v>7590</v>
      </c>
      <c r="H2611" s="1">
        <v>1</v>
      </c>
      <c r="I2611" s="1">
        <v>4</v>
      </c>
      <c r="J2611" s="39" t="s">
        <v>7634</v>
      </c>
      <c r="K2611" s="1">
        <v>4</v>
      </c>
      <c r="L2611" s="1">
        <v>1</v>
      </c>
      <c r="S2611" s="1" t="s">
        <v>7635</v>
      </c>
      <c r="T2611" s="1">
        <v>1</v>
      </c>
      <c r="U2611" s="19"/>
      <c r="V2611" s="19"/>
      <c r="W2611" s="218">
        <v>1</v>
      </c>
      <c r="X2611" s="218">
        <v>1</v>
      </c>
      <c r="Y2611" s="218">
        <v>1</v>
      </c>
    </row>
    <row r="2612" spans="1:25" x14ac:dyDescent="0.3">
      <c r="A2612" s="1" t="s">
        <v>7636</v>
      </c>
      <c r="B2612" s="5">
        <v>46145</v>
      </c>
      <c r="C2612" s="6">
        <v>0.35416666666666702</v>
      </c>
      <c r="D2612" s="1" t="s">
        <v>888</v>
      </c>
      <c r="E2612" s="1" t="s">
        <v>7584</v>
      </c>
      <c r="F2612" s="1" t="s">
        <v>7637</v>
      </c>
      <c r="G2612" s="39" t="s">
        <v>7595</v>
      </c>
      <c r="H2612" s="1">
        <v>1</v>
      </c>
      <c r="I2612" s="1">
        <v>0</v>
      </c>
      <c r="J2612" s="39" t="s">
        <v>7638</v>
      </c>
      <c r="K2612" s="1">
        <v>0</v>
      </c>
      <c r="L2612" s="1">
        <v>1</v>
      </c>
      <c r="S2612" s="1" t="s">
        <v>7639</v>
      </c>
      <c r="T2612" s="1">
        <v>1</v>
      </c>
      <c r="U2612" s="19"/>
      <c r="V2612" s="19"/>
      <c r="W2612" s="218">
        <v>1</v>
      </c>
      <c r="X2612" s="218">
        <v>1</v>
      </c>
      <c r="Y2612" s="218">
        <v>1</v>
      </c>
    </row>
    <row r="2613" spans="1:25" x14ac:dyDescent="0.3">
      <c r="A2613" s="1" t="s">
        <v>7640</v>
      </c>
      <c r="B2613" s="5">
        <v>46151</v>
      </c>
      <c r="C2613" s="6">
        <v>0.35416666666666702</v>
      </c>
      <c r="D2613" s="1" t="s">
        <v>888</v>
      </c>
      <c r="E2613" s="1" t="s">
        <v>7584</v>
      </c>
      <c r="F2613" s="1" t="s">
        <v>7641</v>
      </c>
      <c r="G2613" s="39" t="s">
        <v>7620</v>
      </c>
      <c r="H2613" s="1">
        <v>2</v>
      </c>
      <c r="I2613" s="1">
        <v>3</v>
      </c>
      <c r="J2613" s="39" t="s">
        <v>7603</v>
      </c>
      <c r="K2613" s="1">
        <v>3</v>
      </c>
      <c r="L2613" s="1">
        <v>2</v>
      </c>
      <c r="S2613" s="1" t="s">
        <v>7642</v>
      </c>
      <c r="T2613" s="1">
        <v>1</v>
      </c>
      <c r="U2613" s="19"/>
      <c r="V2613" s="19"/>
      <c r="W2613" s="218">
        <v>1</v>
      </c>
      <c r="X2613" s="218">
        <v>1</v>
      </c>
      <c r="Y2613" s="218">
        <v>1</v>
      </c>
    </row>
    <row r="2614" spans="1:25" x14ac:dyDescent="0.3">
      <c r="A2614" s="1" t="s">
        <v>7643</v>
      </c>
      <c r="B2614" s="5">
        <v>46151</v>
      </c>
      <c r="C2614" s="6">
        <v>0.35416666666666702</v>
      </c>
      <c r="D2614" s="1" t="s">
        <v>888</v>
      </c>
      <c r="E2614" s="1" t="s">
        <v>7584</v>
      </c>
      <c r="F2614" s="1" t="s">
        <v>7644</v>
      </c>
      <c r="G2614" s="39" t="s">
        <v>7595</v>
      </c>
      <c r="H2614" s="1">
        <v>2</v>
      </c>
      <c r="I2614" s="1">
        <v>0</v>
      </c>
      <c r="J2614" s="39" t="s">
        <v>7590</v>
      </c>
      <c r="K2614" s="1">
        <v>0</v>
      </c>
      <c r="L2614" s="1">
        <v>2</v>
      </c>
      <c r="S2614" s="1" t="s">
        <v>7645</v>
      </c>
      <c r="T2614" s="1">
        <v>1</v>
      </c>
      <c r="U2614" s="19"/>
      <c r="V2614" s="19"/>
      <c r="W2614" s="218">
        <v>1</v>
      </c>
      <c r="X2614" s="218">
        <v>1</v>
      </c>
      <c r="Y2614" s="218">
        <v>1</v>
      </c>
    </row>
    <row r="2615" spans="1:25" x14ac:dyDescent="0.3">
      <c r="A2615" s="1" t="s">
        <v>7646</v>
      </c>
      <c r="B2615" s="5">
        <v>46152</v>
      </c>
      <c r="C2615" s="6">
        <v>0.16666666666666699</v>
      </c>
      <c r="D2615" s="1" t="s">
        <v>888</v>
      </c>
      <c r="E2615" s="1" t="s">
        <v>7584</v>
      </c>
      <c r="F2615" s="1" t="s">
        <v>7647</v>
      </c>
      <c r="G2615" s="39" t="s">
        <v>7587</v>
      </c>
      <c r="H2615" s="1">
        <v>1</v>
      </c>
      <c r="I2615" s="1">
        <v>1</v>
      </c>
      <c r="J2615" s="39" t="s">
        <v>7604</v>
      </c>
      <c r="K2615" s="1">
        <v>1</v>
      </c>
      <c r="L2615" s="1">
        <v>1</v>
      </c>
      <c r="S2615" s="1" t="s">
        <v>7648</v>
      </c>
      <c r="T2615" s="1">
        <v>1</v>
      </c>
      <c r="U2615" s="19"/>
      <c r="V2615" s="19"/>
      <c r="W2615" s="218">
        <v>1</v>
      </c>
      <c r="X2615" s="218">
        <v>1</v>
      </c>
      <c r="Y2615" s="218">
        <v>1</v>
      </c>
    </row>
    <row r="2616" spans="1:25" x14ac:dyDescent="0.3">
      <c r="A2616" s="1" t="s">
        <v>7649</v>
      </c>
      <c r="B2616" s="5">
        <v>46152</v>
      </c>
      <c r="C2616" s="6">
        <v>0.16666666666666699</v>
      </c>
      <c r="D2616" s="1" t="s">
        <v>888</v>
      </c>
      <c r="E2616" s="1" t="s">
        <v>7584</v>
      </c>
      <c r="F2616" s="1" t="s">
        <v>7650</v>
      </c>
      <c r="G2616" s="39" t="s">
        <v>7616</v>
      </c>
      <c r="H2616" s="1">
        <v>1</v>
      </c>
      <c r="I2616" s="1">
        <v>1</v>
      </c>
      <c r="J2616" s="39" t="s">
        <v>7594</v>
      </c>
      <c r="K2616" s="1">
        <v>1</v>
      </c>
      <c r="L2616" s="1">
        <v>1</v>
      </c>
      <c r="S2616" s="1" t="s">
        <v>7651</v>
      </c>
      <c r="T2616" s="1">
        <v>1</v>
      </c>
      <c r="U2616" s="19"/>
      <c r="V2616" s="19"/>
      <c r="W2616" s="218">
        <v>1</v>
      </c>
      <c r="X2616" s="218">
        <v>1</v>
      </c>
      <c r="Y2616" s="218">
        <v>1</v>
      </c>
    </row>
    <row r="2617" spans="1:25" x14ac:dyDescent="0.3">
      <c r="A2617" s="1" t="s">
        <v>7652</v>
      </c>
      <c r="B2617" s="5">
        <v>46152</v>
      </c>
      <c r="C2617" s="6">
        <v>0.16666666666666699</v>
      </c>
      <c r="D2617" s="1" t="s">
        <v>888</v>
      </c>
      <c r="E2617" s="1" t="s">
        <v>7584</v>
      </c>
      <c r="F2617" s="1" t="s">
        <v>7653</v>
      </c>
      <c r="G2617" s="39" t="s">
        <v>7621</v>
      </c>
      <c r="H2617" s="1">
        <v>1</v>
      </c>
      <c r="I2617" s="1">
        <v>1</v>
      </c>
      <c r="J2617" s="39" t="s">
        <v>7591</v>
      </c>
      <c r="K2617" s="1">
        <v>1</v>
      </c>
      <c r="L2617" s="1">
        <v>1</v>
      </c>
      <c r="S2617" s="1" t="s">
        <v>7654</v>
      </c>
      <c r="T2617" s="1">
        <v>1</v>
      </c>
      <c r="U2617" s="19"/>
      <c r="V2617" s="19"/>
      <c r="W2617" s="218">
        <v>1</v>
      </c>
      <c r="X2617" s="218">
        <v>1</v>
      </c>
      <c r="Y2617" s="218">
        <v>1</v>
      </c>
    </row>
    <row r="2618" spans="1:25" x14ac:dyDescent="0.3">
      <c r="A2618" s="1" t="s">
        <v>7655</v>
      </c>
      <c r="B2618" s="5">
        <v>46152</v>
      </c>
      <c r="C2618" s="6">
        <v>0.33333333333333298</v>
      </c>
      <c r="D2618" s="1" t="s">
        <v>888</v>
      </c>
      <c r="E2618" s="1" t="s">
        <v>7584</v>
      </c>
      <c r="F2618" s="1" t="s">
        <v>7656</v>
      </c>
      <c r="G2618" s="39" t="s">
        <v>7634</v>
      </c>
      <c r="H2618" s="1">
        <v>2</v>
      </c>
      <c r="I2618" s="1">
        <v>0</v>
      </c>
      <c r="J2618" s="39" t="s">
        <v>7599</v>
      </c>
      <c r="K2618" s="1">
        <v>0</v>
      </c>
      <c r="L2618" s="1">
        <v>2</v>
      </c>
      <c r="S2618" s="1" t="s">
        <v>7657</v>
      </c>
      <c r="T2618" s="1">
        <v>1</v>
      </c>
      <c r="U2618" s="19"/>
      <c r="V2618" s="19"/>
      <c r="W2618" s="218">
        <v>1</v>
      </c>
      <c r="X2618" s="218">
        <v>1</v>
      </c>
      <c r="Y2618" s="218">
        <v>1</v>
      </c>
    </row>
    <row r="2619" spans="1:25" x14ac:dyDescent="0.3">
      <c r="A2619" s="1" t="s">
        <v>7658</v>
      </c>
      <c r="B2619" s="5">
        <v>46152</v>
      </c>
      <c r="C2619" s="6">
        <v>0.35416666666666702</v>
      </c>
      <c r="D2619" s="1" t="s">
        <v>888</v>
      </c>
      <c r="E2619" s="1" t="s">
        <v>7584</v>
      </c>
      <c r="F2619" s="1" t="s">
        <v>7659</v>
      </c>
      <c r="G2619" s="39" t="s">
        <v>7612</v>
      </c>
      <c r="H2619" s="1">
        <v>1</v>
      </c>
      <c r="I2619" s="1">
        <v>1</v>
      </c>
      <c r="J2619" s="39" t="s">
        <v>7638</v>
      </c>
      <c r="K2619" s="1">
        <v>1</v>
      </c>
      <c r="L2619" s="1">
        <v>1</v>
      </c>
      <c r="S2619" s="1" t="s">
        <v>7660</v>
      </c>
      <c r="T2619" s="1">
        <v>1</v>
      </c>
      <c r="U2619" s="19"/>
      <c r="V2619" s="19"/>
      <c r="W2619" s="218">
        <v>1</v>
      </c>
      <c r="X2619" s="218">
        <v>1</v>
      </c>
      <c r="Y2619" s="218">
        <v>1</v>
      </c>
    </row>
    <row r="2620" spans="1:25" x14ac:dyDescent="0.3">
      <c r="A2620" s="1" t="s">
        <v>7661</v>
      </c>
      <c r="B2620" s="5">
        <v>46152</v>
      </c>
      <c r="C2620" s="6">
        <v>0.35416666666666702</v>
      </c>
      <c r="D2620" s="1" t="s">
        <v>888</v>
      </c>
      <c r="E2620" s="1" t="s">
        <v>7584</v>
      </c>
      <c r="F2620" s="1" t="s">
        <v>7662</v>
      </c>
      <c r="G2620" s="39" t="s">
        <v>7608</v>
      </c>
      <c r="H2620" s="1">
        <v>1</v>
      </c>
      <c r="I2620" s="1">
        <v>0</v>
      </c>
      <c r="J2620" s="39" t="s">
        <v>7586</v>
      </c>
      <c r="K2620" s="1">
        <v>0</v>
      </c>
      <c r="L2620" s="1">
        <v>1</v>
      </c>
      <c r="S2620" s="1" t="s">
        <v>7663</v>
      </c>
      <c r="T2620" s="1">
        <v>1</v>
      </c>
      <c r="U2620" s="19"/>
      <c r="V2620" s="19"/>
      <c r="W2620" s="218">
        <v>1</v>
      </c>
      <c r="X2620" s="218">
        <v>1</v>
      </c>
      <c r="Y2620" s="218">
        <v>1</v>
      </c>
    </row>
    <row r="2621" spans="1:25" x14ac:dyDescent="0.3">
      <c r="A2621" s="1" t="s">
        <v>7664</v>
      </c>
      <c r="B2621" s="5">
        <v>46165</v>
      </c>
      <c r="C2621" s="6">
        <v>0.33333333333333298</v>
      </c>
      <c r="D2621" s="1" t="s">
        <v>888</v>
      </c>
      <c r="E2621" s="1" t="s">
        <v>7584</v>
      </c>
      <c r="F2621" s="1" t="s">
        <v>7665</v>
      </c>
      <c r="G2621" s="39" t="s">
        <v>7591</v>
      </c>
      <c r="H2621" s="1">
        <v>1</v>
      </c>
      <c r="I2621" s="1">
        <v>0</v>
      </c>
      <c r="J2621" s="39" t="s">
        <v>7587</v>
      </c>
      <c r="K2621" s="1">
        <v>0</v>
      </c>
      <c r="L2621" s="1">
        <v>1</v>
      </c>
      <c r="S2621" s="1" t="s">
        <v>7666</v>
      </c>
      <c r="T2621" s="1">
        <v>1</v>
      </c>
      <c r="U2621" s="19"/>
      <c r="V2621" s="19"/>
      <c r="W2621" s="218">
        <v>1</v>
      </c>
      <c r="X2621" s="218">
        <v>1</v>
      </c>
      <c r="Y2621" s="218">
        <v>1</v>
      </c>
    </row>
    <row r="2622" spans="1:25" x14ac:dyDescent="0.3">
      <c r="A2622" s="1" t="s">
        <v>7667</v>
      </c>
      <c r="B2622" s="5">
        <v>46165</v>
      </c>
      <c r="C2622" s="6">
        <v>0.33333333333333298</v>
      </c>
      <c r="D2622" s="1" t="s">
        <v>888</v>
      </c>
      <c r="E2622" s="1" t="s">
        <v>7584</v>
      </c>
      <c r="F2622" s="1" t="s">
        <v>7668</v>
      </c>
      <c r="G2622" s="39" t="s">
        <v>7586</v>
      </c>
      <c r="H2622" s="1">
        <v>1</v>
      </c>
      <c r="I2622" s="1">
        <v>1</v>
      </c>
      <c r="J2622" s="39" t="s">
        <v>7595</v>
      </c>
      <c r="K2622" s="1">
        <v>1</v>
      </c>
      <c r="L2622" s="1">
        <v>1</v>
      </c>
      <c r="S2622" s="1" t="s">
        <v>7669</v>
      </c>
      <c r="T2622" s="1">
        <v>1</v>
      </c>
      <c r="U2622" s="19"/>
      <c r="V2622" s="19"/>
      <c r="W2622" s="218">
        <v>1</v>
      </c>
      <c r="X2622" s="218">
        <v>1</v>
      </c>
      <c r="Y2622" s="218">
        <v>1</v>
      </c>
    </row>
    <row r="2623" spans="1:25" x14ac:dyDescent="0.3">
      <c r="A2623" s="1" t="s">
        <v>7670</v>
      </c>
      <c r="B2623" s="5">
        <v>46165</v>
      </c>
      <c r="C2623" s="6">
        <v>0.35416666666666702</v>
      </c>
      <c r="D2623" s="1" t="s">
        <v>888</v>
      </c>
      <c r="E2623" s="1" t="s">
        <v>7584</v>
      </c>
      <c r="F2623" s="1" t="s">
        <v>7671</v>
      </c>
      <c r="G2623" s="39" t="s">
        <v>7612</v>
      </c>
      <c r="H2623" s="1">
        <v>1</v>
      </c>
      <c r="I2623" s="1">
        <v>1</v>
      </c>
      <c r="J2623" s="39" t="s">
        <v>7620</v>
      </c>
      <c r="K2623" s="1">
        <v>1</v>
      </c>
      <c r="L2623" s="1">
        <v>1</v>
      </c>
      <c r="S2623" s="1" t="s">
        <v>7672</v>
      </c>
      <c r="T2623" s="1">
        <v>1</v>
      </c>
      <c r="U2623" s="19"/>
      <c r="V2623" s="19"/>
      <c r="W2623" s="218">
        <v>1</v>
      </c>
      <c r="X2623" s="218">
        <v>1</v>
      </c>
      <c r="Y2623" s="218">
        <v>1</v>
      </c>
    </row>
    <row r="2624" spans="1:25" x14ac:dyDescent="0.3">
      <c r="A2624" s="1" t="s">
        <v>7673</v>
      </c>
      <c r="B2624" s="5">
        <v>46165</v>
      </c>
      <c r="C2624" s="6">
        <v>0.35416666666666702</v>
      </c>
      <c r="D2624" s="1" t="s">
        <v>888</v>
      </c>
      <c r="E2624" s="1" t="s">
        <v>7584</v>
      </c>
      <c r="F2624" s="1" t="s">
        <v>7674</v>
      </c>
      <c r="G2624" s="39" t="s">
        <v>7594</v>
      </c>
      <c r="H2624" s="1">
        <v>0</v>
      </c>
      <c r="I2624" s="1">
        <v>0</v>
      </c>
      <c r="J2624" s="39" t="s">
        <v>7608</v>
      </c>
      <c r="K2624" s="1">
        <v>0</v>
      </c>
      <c r="L2624" s="1">
        <v>0</v>
      </c>
      <c r="S2624" s="1" t="s">
        <v>7675</v>
      </c>
      <c r="T2624" s="1">
        <v>1</v>
      </c>
      <c r="U2624" s="19"/>
      <c r="V2624" s="19"/>
      <c r="W2624" s="218">
        <v>1</v>
      </c>
      <c r="X2624" s="218">
        <v>1</v>
      </c>
      <c r="Y2624" s="218">
        <v>1</v>
      </c>
    </row>
    <row r="2625" spans="1:25" x14ac:dyDescent="0.3">
      <c r="A2625" s="1" t="s">
        <v>7676</v>
      </c>
      <c r="B2625" s="5">
        <v>46166</v>
      </c>
      <c r="C2625" s="6">
        <v>0.1875</v>
      </c>
      <c r="D2625" s="1" t="s">
        <v>888</v>
      </c>
      <c r="E2625" s="1" t="s">
        <v>7584</v>
      </c>
      <c r="F2625" s="1" t="s">
        <v>7677</v>
      </c>
      <c r="G2625" s="39" t="s">
        <v>7603</v>
      </c>
      <c r="H2625" s="1">
        <v>0</v>
      </c>
      <c r="I2625" s="1">
        <v>4</v>
      </c>
      <c r="J2625" s="39" t="s">
        <v>7634</v>
      </c>
      <c r="K2625" s="1">
        <v>4</v>
      </c>
      <c r="L2625" s="1">
        <v>0</v>
      </c>
      <c r="S2625" s="1" t="s">
        <v>7678</v>
      </c>
      <c r="T2625" s="1">
        <v>1</v>
      </c>
      <c r="U2625" s="19"/>
      <c r="V2625" s="19"/>
      <c r="W2625" s="218">
        <v>1</v>
      </c>
      <c r="X2625" s="218">
        <v>1</v>
      </c>
      <c r="Y2625" s="218">
        <v>1</v>
      </c>
    </row>
    <row r="2626" spans="1:25" x14ac:dyDescent="0.3">
      <c r="A2626" s="1" t="s">
        <v>7679</v>
      </c>
      <c r="B2626" s="5">
        <v>46166</v>
      </c>
      <c r="C2626" s="6">
        <v>0.33333333333333298</v>
      </c>
      <c r="D2626" s="1" t="s">
        <v>888</v>
      </c>
      <c r="E2626" s="1" t="s">
        <v>7584</v>
      </c>
      <c r="F2626" s="1" t="s">
        <v>7680</v>
      </c>
      <c r="G2626" s="39" t="s">
        <v>7638</v>
      </c>
      <c r="H2626" s="1">
        <v>0</v>
      </c>
      <c r="I2626" s="1">
        <v>3</v>
      </c>
      <c r="J2626" s="39" t="s">
        <v>7621</v>
      </c>
      <c r="K2626" s="1">
        <v>3</v>
      </c>
      <c r="L2626" s="1">
        <v>0</v>
      </c>
      <c r="S2626" s="1" t="s">
        <v>7681</v>
      </c>
      <c r="T2626" s="1">
        <v>1</v>
      </c>
      <c r="U2626" s="19"/>
      <c r="V2626" s="19"/>
      <c r="W2626" s="218">
        <v>1</v>
      </c>
      <c r="X2626" s="218">
        <v>1</v>
      </c>
      <c r="Y2626" s="218">
        <v>1</v>
      </c>
    </row>
    <row r="2627" spans="1:25" x14ac:dyDescent="0.3">
      <c r="A2627" s="1" t="s">
        <v>7682</v>
      </c>
      <c r="B2627" s="5">
        <v>46166</v>
      </c>
      <c r="C2627" s="6">
        <v>0.35416666666666702</v>
      </c>
      <c r="D2627" s="1" t="s">
        <v>888</v>
      </c>
      <c r="E2627" s="1" t="s">
        <v>7584</v>
      </c>
      <c r="F2627" s="1" t="s">
        <v>7683</v>
      </c>
      <c r="G2627" s="39" t="s">
        <v>7604</v>
      </c>
      <c r="H2627" s="1">
        <v>3</v>
      </c>
      <c r="I2627" s="1">
        <v>4</v>
      </c>
      <c r="J2627" s="39" t="s">
        <v>7616</v>
      </c>
      <c r="K2627" s="1">
        <v>4</v>
      </c>
      <c r="L2627" s="1">
        <v>3</v>
      </c>
      <c r="S2627" s="1" t="s">
        <v>7684</v>
      </c>
      <c r="T2627" s="1">
        <v>1</v>
      </c>
      <c r="U2627" s="19"/>
      <c r="V2627" s="19"/>
      <c r="W2627" s="218">
        <v>1</v>
      </c>
      <c r="X2627" s="218">
        <v>1</v>
      </c>
      <c r="Y2627" s="218">
        <v>1</v>
      </c>
    </row>
    <row r="2628" spans="1:25" x14ac:dyDescent="0.3">
      <c r="A2628" s="1" t="s">
        <v>7685</v>
      </c>
      <c r="B2628" s="5">
        <v>46166</v>
      </c>
      <c r="C2628" s="6">
        <v>0.35416666666666702</v>
      </c>
      <c r="D2628" s="1" t="s">
        <v>888</v>
      </c>
      <c r="E2628" s="1" t="s">
        <v>7584</v>
      </c>
      <c r="F2628" s="1" t="s">
        <v>7686</v>
      </c>
      <c r="G2628" s="39" t="s">
        <v>7599</v>
      </c>
      <c r="H2628" s="1">
        <v>0</v>
      </c>
      <c r="I2628" s="1">
        <v>1</v>
      </c>
      <c r="J2628" s="39" t="s">
        <v>7590</v>
      </c>
      <c r="K2628" s="1">
        <v>1</v>
      </c>
      <c r="L2628" s="1">
        <v>0</v>
      </c>
      <c r="S2628" s="1" t="s">
        <v>7687</v>
      </c>
      <c r="T2628" s="1">
        <v>1</v>
      </c>
      <c r="U2628" s="19"/>
      <c r="V2628" s="19"/>
      <c r="W2628" s="218">
        <v>1</v>
      </c>
      <c r="X2628" s="218">
        <v>1</v>
      </c>
      <c r="Y2628" s="218">
        <v>1</v>
      </c>
    </row>
    <row r="2629" spans="1:25" x14ac:dyDescent="0.3">
      <c r="A2629" s="1" t="s">
        <v>7688</v>
      </c>
      <c r="B2629" s="5">
        <v>46171</v>
      </c>
      <c r="C2629" s="6">
        <v>0.16666666666666699</v>
      </c>
      <c r="D2629" s="1" t="s">
        <v>888</v>
      </c>
      <c r="E2629" s="1" t="s">
        <v>7584</v>
      </c>
      <c r="F2629" s="1" t="s">
        <v>7689</v>
      </c>
      <c r="G2629" s="39" t="s">
        <v>7621</v>
      </c>
      <c r="H2629" s="1">
        <v>0</v>
      </c>
      <c r="I2629" s="1">
        <v>1</v>
      </c>
      <c r="J2629" s="39" t="s">
        <v>7595</v>
      </c>
      <c r="K2629" s="1">
        <v>1</v>
      </c>
      <c r="L2629" s="1">
        <v>0</v>
      </c>
      <c r="S2629" s="1" t="s">
        <v>7690</v>
      </c>
      <c r="T2629" s="1">
        <v>1</v>
      </c>
      <c r="U2629" s="19"/>
      <c r="V2629" s="19"/>
      <c r="W2629" s="218">
        <v>1</v>
      </c>
      <c r="X2629" s="218">
        <v>1</v>
      </c>
      <c r="Y2629" s="218">
        <v>1</v>
      </c>
    </row>
    <row r="2630" spans="1:25" x14ac:dyDescent="0.3">
      <c r="A2630" s="1" t="s">
        <v>7691</v>
      </c>
      <c r="B2630" s="5">
        <v>46171</v>
      </c>
      <c r="C2630" s="6">
        <v>0.33333333333333298</v>
      </c>
      <c r="D2630" s="1" t="s">
        <v>888</v>
      </c>
      <c r="E2630" s="1" t="s">
        <v>7584</v>
      </c>
      <c r="F2630" s="1" t="s">
        <v>7692</v>
      </c>
      <c r="G2630" s="39" t="s">
        <v>7591</v>
      </c>
      <c r="H2630" s="1">
        <v>1</v>
      </c>
      <c r="I2630" s="1">
        <v>1</v>
      </c>
      <c r="J2630" s="39" t="s">
        <v>7608</v>
      </c>
      <c r="K2630" s="1">
        <v>1</v>
      </c>
      <c r="L2630" s="1">
        <v>1</v>
      </c>
      <c r="S2630" s="1" t="s">
        <v>7693</v>
      </c>
      <c r="T2630" s="1">
        <v>1</v>
      </c>
      <c r="U2630" s="19"/>
      <c r="V2630" s="19"/>
      <c r="W2630" s="218">
        <v>1</v>
      </c>
      <c r="X2630" s="218">
        <v>1</v>
      </c>
      <c r="Y2630" s="218">
        <v>1</v>
      </c>
    </row>
    <row r="2631" spans="1:25" x14ac:dyDescent="0.3">
      <c r="A2631" s="1" t="s">
        <v>7694</v>
      </c>
      <c r="B2631" s="5">
        <v>46171</v>
      </c>
      <c r="C2631" s="6">
        <v>0.35416666666666702</v>
      </c>
      <c r="D2631" s="1" t="s">
        <v>888</v>
      </c>
      <c r="E2631" s="1" t="s">
        <v>7584</v>
      </c>
      <c r="F2631" s="1" t="s">
        <v>7695</v>
      </c>
      <c r="G2631" s="39" t="s">
        <v>7604</v>
      </c>
      <c r="H2631" s="1">
        <v>0</v>
      </c>
      <c r="I2631" s="1">
        <v>0</v>
      </c>
      <c r="J2631" s="39" t="s">
        <v>7634</v>
      </c>
      <c r="K2631" s="1">
        <v>0</v>
      </c>
      <c r="L2631" s="1">
        <v>0</v>
      </c>
      <c r="S2631" s="1" t="s">
        <v>7696</v>
      </c>
      <c r="T2631" s="1">
        <v>1</v>
      </c>
      <c r="U2631" s="19"/>
      <c r="V2631" s="19"/>
      <c r="W2631" s="218">
        <v>1</v>
      </c>
      <c r="X2631" s="218">
        <v>1</v>
      </c>
      <c r="Y2631" s="218">
        <v>1</v>
      </c>
    </row>
    <row r="2632" spans="1:25" x14ac:dyDescent="0.3">
      <c r="A2632" s="1" t="s">
        <v>7697</v>
      </c>
      <c r="B2632" s="5">
        <v>46172</v>
      </c>
      <c r="C2632" s="6">
        <v>0.16666666666666699</v>
      </c>
      <c r="D2632" s="1" t="s">
        <v>888</v>
      </c>
      <c r="E2632" s="1" t="s">
        <v>7584</v>
      </c>
      <c r="F2632" s="1" t="s">
        <v>7698</v>
      </c>
      <c r="G2632" s="39" t="s">
        <v>7616</v>
      </c>
      <c r="H2632" s="1">
        <v>2</v>
      </c>
      <c r="I2632" s="1">
        <v>2</v>
      </c>
      <c r="J2632" s="39" t="s">
        <v>7603</v>
      </c>
      <c r="K2632" s="1">
        <v>2</v>
      </c>
      <c r="L2632" s="1">
        <v>2</v>
      </c>
      <c r="S2632" s="1" t="s">
        <v>7699</v>
      </c>
      <c r="T2632" s="1">
        <v>1</v>
      </c>
      <c r="U2632" s="19"/>
      <c r="V2632" s="19"/>
      <c r="W2632" s="218">
        <v>1</v>
      </c>
      <c r="X2632" s="218">
        <v>1</v>
      </c>
      <c r="Y2632" s="218">
        <v>1</v>
      </c>
    </row>
    <row r="2633" spans="1:25" x14ac:dyDescent="0.3">
      <c r="A2633" s="1" t="s">
        <v>7700</v>
      </c>
      <c r="B2633" s="5">
        <v>46172</v>
      </c>
      <c r="C2633" s="6">
        <v>0.33333333333333298</v>
      </c>
      <c r="D2633" s="1" t="s">
        <v>888</v>
      </c>
      <c r="E2633" s="1" t="s">
        <v>7584</v>
      </c>
      <c r="F2633" s="1" t="s">
        <v>7701</v>
      </c>
      <c r="G2633" s="39" t="s">
        <v>7587</v>
      </c>
      <c r="H2633" s="1">
        <v>0</v>
      </c>
      <c r="I2633" s="1">
        <v>0</v>
      </c>
      <c r="J2633" s="39" t="s">
        <v>7599</v>
      </c>
      <c r="K2633" s="1">
        <v>0</v>
      </c>
      <c r="L2633" s="1">
        <v>0</v>
      </c>
      <c r="S2633" s="1" t="s">
        <v>7702</v>
      </c>
      <c r="T2633" s="1">
        <v>1</v>
      </c>
      <c r="U2633" s="19"/>
      <c r="V2633" s="19"/>
      <c r="W2633" s="218">
        <v>1</v>
      </c>
      <c r="X2633" s="218">
        <v>1</v>
      </c>
      <c r="Y2633" s="218">
        <v>1</v>
      </c>
    </row>
    <row r="2634" spans="1:25" x14ac:dyDescent="0.3">
      <c r="A2634" s="1" t="s">
        <v>7703</v>
      </c>
      <c r="B2634" s="5">
        <v>46172</v>
      </c>
      <c r="C2634" s="6">
        <v>0.33333333333333298</v>
      </c>
      <c r="D2634" s="1" t="s">
        <v>888</v>
      </c>
      <c r="E2634" s="1" t="s">
        <v>7584</v>
      </c>
      <c r="F2634" s="1" t="s">
        <v>7704</v>
      </c>
      <c r="G2634" s="39" t="s">
        <v>7638</v>
      </c>
      <c r="H2634" s="1">
        <v>1</v>
      </c>
      <c r="I2634" s="1">
        <v>3</v>
      </c>
      <c r="J2634" s="39" t="s">
        <v>7586</v>
      </c>
      <c r="K2634" s="1">
        <v>3</v>
      </c>
      <c r="L2634" s="1">
        <v>1</v>
      </c>
      <c r="S2634" s="1" t="s">
        <v>7705</v>
      </c>
      <c r="T2634" s="1">
        <v>1</v>
      </c>
      <c r="U2634" s="19"/>
      <c r="V2634" s="19"/>
      <c r="W2634" s="218">
        <v>1</v>
      </c>
      <c r="X2634" s="218">
        <v>1</v>
      </c>
      <c r="Y2634" s="218">
        <v>1</v>
      </c>
    </row>
    <row r="2635" spans="1:25" x14ac:dyDescent="0.3">
      <c r="A2635" s="1" t="s">
        <v>7706</v>
      </c>
      <c r="B2635" s="5">
        <v>46172</v>
      </c>
      <c r="C2635" s="6">
        <v>0.35416666666666702</v>
      </c>
      <c r="D2635" s="1" t="s">
        <v>888</v>
      </c>
      <c r="E2635" s="1" t="s">
        <v>7584</v>
      </c>
      <c r="F2635" s="1" t="s">
        <v>7707</v>
      </c>
      <c r="G2635" s="39" t="s">
        <v>7594</v>
      </c>
      <c r="H2635" s="1">
        <v>3</v>
      </c>
      <c r="I2635" s="1">
        <v>3</v>
      </c>
      <c r="J2635" s="39" t="s">
        <v>7612</v>
      </c>
      <c r="K2635" s="1">
        <v>3</v>
      </c>
      <c r="L2635" s="1">
        <v>3</v>
      </c>
      <c r="S2635" s="1" t="s">
        <v>7708</v>
      </c>
      <c r="T2635" s="1">
        <v>1</v>
      </c>
      <c r="U2635" s="19"/>
      <c r="V2635" s="19"/>
      <c r="W2635" s="218">
        <v>1</v>
      </c>
      <c r="X2635" s="218">
        <v>1</v>
      </c>
      <c r="Y2635" s="218">
        <v>1</v>
      </c>
    </row>
    <row r="2636" spans="1:25" x14ac:dyDescent="0.3">
      <c r="A2636" s="1" t="s">
        <v>7709</v>
      </c>
      <c r="B2636" s="5">
        <v>46172</v>
      </c>
      <c r="C2636" s="6">
        <v>0.35416666666666702</v>
      </c>
      <c r="D2636" s="1" t="s">
        <v>888</v>
      </c>
      <c r="E2636" s="1" t="s">
        <v>7584</v>
      </c>
      <c r="F2636" s="1" t="s">
        <v>7710</v>
      </c>
      <c r="G2636" s="39" t="s">
        <v>7590</v>
      </c>
      <c r="H2636" s="1">
        <v>2</v>
      </c>
      <c r="I2636" s="1">
        <v>2</v>
      </c>
      <c r="J2636" s="39" t="s">
        <v>7620</v>
      </c>
      <c r="K2636" s="1">
        <v>2</v>
      </c>
      <c r="L2636" s="1">
        <v>2</v>
      </c>
      <c r="S2636" s="1" t="s">
        <v>7711</v>
      </c>
      <c r="T2636" s="1">
        <v>1</v>
      </c>
      <c r="U2636" s="19"/>
      <c r="V2636" s="19"/>
      <c r="W2636" s="218">
        <v>1</v>
      </c>
      <c r="X2636" s="218">
        <v>1</v>
      </c>
      <c r="Y2636" s="218">
        <v>1</v>
      </c>
    </row>
    <row r="2637" spans="1:25" x14ac:dyDescent="0.3">
      <c r="A2637" s="1" t="s">
        <v>7712</v>
      </c>
      <c r="B2637" s="5">
        <v>46186</v>
      </c>
      <c r="C2637" s="6">
        <v>0.1875</v>
      </c>
      <c r="D2637" s="1" t="s">
        <v>888</v>
      </c>
      <c r="E2637" s="1" t="s">
        <v>7584</v>
      </c>
      <c r="F2637" s="1" t="s">
        <v>7713</v>
      </c>
      <c r="G2637" s="39" t="s">
        <v>7603</v>
      </c>
      <c r="H2637" s="1">
        <v>2</v>
      </c>
      <c r="I2637" s="1">
        <v>1</v>
      </c>
      <c r="J2637" s="39" t="s">
        <v>7587</v>
      </c>
      <c r="K2637" s="1">
        <v>1</v>
      </c>
      <c r="L2637" s="1">
        <v>2</v>
      </c>
      <c r="S2637" s="1" t="s">
        <v>7714</v>
      </c>
      <c r="T2637" s="1">
        <v>1</v>
      </c>
      <c r="U2637" s="19"/>
      <c r="V2637" s="19"/>
      <c r="W2637" s="218">
        <v>1</v>
      </c>
      <c r="X2637" s="218">
        <v>1</v>
      </c>
      <c r="Y2637" s="218">
        <v>1</v>
      </c>
    </row>
    <row r="2638" spans="1:25" x14ac:dyDescent="0.3">
      <c r="A2638" s="1" t="s">
        <v>7715</v>
      </c>
      <c r="B2638" s="5">
        <v>46186</v>
      </c>
      <c r="C2638" s="6">
        <v>0.35416666666666702</v>
      </c>
      <c r="D2638" s="1" t="s">
        <v>888</v>
      </c>
      <c r="E2638" s="1" t="s">
        <v>7584</v>
      </c>
      <c r="F2638" s="1" t="s">
        <v>7716</v>
      </c>
      <c r="G2638" s="39" t="s">
        <v>7595</v>
      </c>
      <c r="H2638" s="1">
        <v>1</v>
      </c>
      <c r="I2638" s="1">
        <v>2</v>
      </c>
      <c r="J2638" s="39" t="s">
        <v>7591</v>
      </c>
      <c r="K2638" s="1">
        <v>2</v>
      </c>
      <c r="L2638" s="1">
        <v>1</v>
      </c>
      <c r="S2638" s="1" t="s">
        <v>7717</v>
      </c>
      <c r="T2638" s="1">
        <v>1</v>
      </c>
      <c r="U2638" s="19"/>
      <c r="V2638" s="19"/>
      <c r="W2638" s="218">
        <v>1</v>
      </c>
      <c r="X2638" s="218">
        <v>1</v>
      </c>
      <c r="Y2638" s="218">
        <v>1</v>
      </c>
    </row>
    <row r="2639" spans="1:25" x14ac:dyDescent="0.3">
      <c r="A2639" s="1" t="s">
        <v>7718</v>
      </c>
      <c r="B2639" s="5">
        <v>46186</v>
      </c>
      <c r="C2639" s="6">
        <v>0.35416666666666702</v>
      </c>
      <c r="D2639" s="1" t="s">
        <v>888</v>
      </c>
      <c r="E2639" s="1" t="s">
        <v>7584</v>
      </c>
      <c r="F2639" s="1" t="s">
        <v>7719</v>
      </c>
      <c r="G2639" s="39" t="s">
        <v>7599</v>
      </c>
      <c r="H2639" s="1">
        <v>1</v>
      </c>
      <c r="I2639" s="1">
        <v>1</v>
      </c>
      <c r="J2639" s="39" t="s">
        <v>7638</v>
      </c>
      <c r="K2639" s="1">
        <v>1</v>
      </c>
      <c r="L2639" s="1">
        <v>1</v>
      </c>
      <c r="S2639" s="1" t="s">
        <v>7720</v>
      </c>
      <c r="T2639" s="1">
        <v>1</v>
      </c>
      <c r="U2639" s="19"/>
      <c r="V2639" s="19"/>
      <c r="W2639" s="218">
        <v>1</v>
      </c>
      <c r="X2639" s="218">
        <v>1</v>
      </c>
      <c r="Y2639" s="218">
        <v>1</v>
      </c>
    </row>
    <row r="2640" spans="1:25" x14ac:dyDescent="0.3">
      <c r="A2640" s="1" t="s">
        <v>7721</v>
      </c>
      <c r="B2640" s="5">
        <v>46186</v>
      </c>
      <c r="C2640" s="6">
        <v>0.375</v>
      </c>
      <c r="D2640" s="1" t="s">
        <v>888</v>
      </c>
      <c r="E2640" s="1" t="s">
        <v>7584</v>
      </c>
      <c r="F2640" s="1" t="s">
        <v>7722</v>
      </c>
      <c r="G2640" s="39" t="s">
        <v>7620</v>
      </c>
      <c r="H2640" s="1">
        <v>1</v>
      </c>
      <c r="I2640" s="1">
        <v>3</v>
      </c>
      <c r="J2640" s="39" t="s">
        <v>7604</v>
      </c>
      <c r="K2640" s="1">
        <v>3</v>
      </c>
      <c r="L2640" s="1">
        <v>1</v>
      </c>
      <c r="S2640" s="1" t="s">
        <v>7723</v>
      </c>
      <c r="T2640" s="1">
        <v>1</v>
      </c>
      <c r="U2640" s="19"/>
      <c r="V2640" s="19"/>
      <c r="W2640" s="218">
        <v>1</v>
      </c>
      <c r="X2640" s="218">
        <v>1</v>
      </c>
      <c r="Y2640" s="218">
        <v>1</v>
      </c>
    </row>
    <row r="2641" spans="1:25" x14ac:dyDescent="0.3">
      <c r="A2641" s="1" t="s">
        <v>7724</v>
      </c>
      <c r="B2641" s="5">
        <v>46187</v>
      </c>
      <c r="C2641" s="6">
        <v>0.33333333333333298</v>
      </c>
      <c r="D2641" s="1" t="s">
        <v>888</v>
      </c>
      <c r="E2641" s="1" t="s">
        <v>7584</v>
      </c>
      <c r="F2641" s="1" t="s">
        <v>7725</v>
      </c>
      <c r="G2641" s="39" t="s">
        <v>7634</v>
      </c>
      <c r="H2641" s="1">
        <v>1</v>
      </c>
      <c r="I2641" s="1">
        <v>1</v>
      </c>
      <c r="J2641" s="39" t="s">
        <v>7594</v>
      </c>
      <c r="K2641" s="1">
        <v>1</v>
      </c>
      <c r="L2641" s="1">
        <v>1</v>
      </c>
      <c r="S2641" s="1" t="s">
        <v>7726</v>
      </c>
      <c r="T2641" s="1">
        <v>1</v>
      </c>
      <c r="U2641" s="19"/>
      <c r="V2641" s="19"/>
      <c r="W2641" s="218">
        <v>1</v>
      </c>
      <c r="X2641" s="218">
        <v>1</v>
      </c>
      <c r="Y2641" s="218">
        <v>1</v>
      </c>
    </row>
    <row r="2642" spans="1:25" x14ac:dyDescent="0.3">
      <c r="A2642" s="1" t="s">
        <v>7727</v>
      </c>
      <c r="B2642" s="5">
        <v>46187</v>
      </c>
      <c r="C2642" s="6">
        <v>0.33333333333333298</v>
      </c>
      <c r="D2642" s="1" t="s">
        <v>888</v>
      </c>
      <c r="E2642" s="1" t="s">
        <v>7584</v>
      </c>
      <c r="F2642" s="1" t="s">
        <v>7728</v>
      </c>
      <c r="G2642" s="39" t="s">
        <v>7586</v>
      </c>
      <c r="H2642" s="1">
        <v>1</v>
      </c>
      <c r="I2642" s="1">
        <v>1</v>
      </c>
      <c r="J2642" s="39" t="s">
        <v>7590</v>
      </c>
      <c r="K2642" s="1">
        <v>1</v>
      </c>
      <c r="L2642" s="1">
        <v>1</v>
      </c>
      <c r="S2642" s="1" t="s">
        <v>7729</v>
      </c>
      <c r="T2642" s="1">
        <v>1</v>
      </c>
      <c r="U2642" s="19"/>
      <c r="V2642" s="19"/>
      <c r="W2642" s="218">
        <v>1</v>
      </c>
      <c r="X2642" s="218">
        <v>1</v>
      </c>
      <c r="Y2642" s="218">
        <v>1</v>
      </c>
    </row>
    <row r="2643" spans="1:25" x14ac:dyDescent="0.3">
      <c r="A2643" s="1" t="s">
        <v>7730</v>
      </c>
      <c r="B2643" s="5">
        <v>46187</v>
      </c>
      <c r="C2643" s="6">
        <v>0.35416666666666702</v>
      </c>
      <c r="D2643" s="1" t="s">
        <v>888</v>
      </c>
      <c r="E2643" s="1" t="s">
        <v>7584</v>
      </c>
      <c r="F2643" s="1" t="s">
        <v>7731</v>
      </c>
      <c r="G2643" s="39" t="s">
        <v>7612</v>
      </c>
      <c r="H2643" s="1">
        <v>0</v>
      </c>
      <c r="I2643" s="1">
        <v>5</v>
      </c>
      <c r="J2643" s="39" t="s">
        <v>7621</v>
      </c>
      <c r="K2643" s="1">
        <v>5</v>
      </c>
      <c r="L2643" s="1">
        <v>0</v>
      </c>
      <c r="S2643" s="1" t="s">
        <v>7732</v>
      </c>
      <c r="T2643" s="1">
        <v>1</v>
      </c>
      <c r="U2643" s="19"/>
      <c r="V2643" s="19"/>
      <c r="W2643" s="218">
        <v>1</v>
      </c>
      <c r="X2643" s="218">
        <v>1</v>
      </c>
      <c r="Y2643" s="218">
        <v>1</v>
      </c>
    </row>
    <row r="2644" spans="1:25" x14ac:dyDescent="0.3">
      <c r="A2644" s="1" t="s">
        <v>7733</v>
      </c>
      <c r="B2644" s="5">
        <v>46187</v>
      </c>
      <c r="C2644" s="6">
        <v>0.35416666666666702</v>
      </c>
      <c r="D2644" s="1" t="s">
        <v>888</v>
      </c>
      <c r="E2644" s="1" t="s">
        <v>7584</v>
      </c>
      <c r="F2644" s="1" t="s">
        <v>7734</v>
      </c>
      <c r="G2644" s="39" t="s">
        <v>7608</v>
      </c>
      <c r="H2644" s="1">
        <v>2</v>
      </c>
      <c r="I2644" s="1">
        <v>0</v>
      </c>
      <c r="J2644" s="39" t="s">
        <v>7616</v>
      </c>
      <c r="K2644" s="1">
        <v>0</v>
      </c>
      <c r="L2644" s="1">
        <v>2</v>
      </c>
      <c r="S2644" s="1" t="s">
        <v>7735</v>
      </c>
      <c r="T2644" s="1">
        <v>1</v>
      </c>
      <c r="U2644" s="19"/>
      <c r="V2644" s="19"/>
      <c r="W2644" s="218">
        <v>1</v>
      </c>
      <c r="X2644" s="218">
        <v>1</v>
      </c>
      <c r="Y2644" s="218">
        <v>1</v>
      </c>
    </row>
    <row r="2645" spans="1:25" x14ac:dyDescent="0.3">
      <c r="A2645" s="1" t="s">
        <v>7736</v>
      </c>
      <c r="B2645" s="5">
        <v>46200</v>
      </c>
      <c r="C2645" s="6">
        <v>0.16666666666666699</v>
      </c>
      <c r="D2645" s="1" t="s">
        <v>888</v>
      </c>
      <c r="E2645" s="1" t="s">
        <v>7584</v>
      </c>
      <c r="F2645" s="1" t="s">
        <v>7737</v>
      </c>
      <c r="G2645" s="39" t="s">
        <v>7603</v>
      </c>
      <c r="H2645" s="1">
        <v>1</v>
      </c>
      <c r="I2645" s="1">
        <v>2</v>
      </c>
      <c r="J2645" s="39" t="s">
        <v>7594</v>
      </c>
      <c r="K2645" s="1">
        <v>2</v>
      </c>
      <c r="L2645" s="1">
        <v>1</v>
      </c>
      <c r="S2645" s="1" t="s">
        <v>7738</v>
      </c>
      <c r="T2645" s="1">
        <v>1</v>
      </c>
      <c r="U2645" s="19"/>
      <c r="V2645" s="19"/>
      <c r="W2645" s="218">
        <v>1</v>
      </c>
      <c r="X2645" s="218">
        <v>1</v>
      </c>
      <c r="Y2645" s="218">
        <v>1</v>
      </c>
    </row>
    <row r="2646" spans="1:25" x14ac:dyDescent="0.3">
      <c r="A2646" s="1" t="s">
        <v>7739</v>
      </c>
      <c r="B2646" s="5">
        <v>46200</v>
      </c>
      <c r="C2646" s="6">
        <v>0.16666666666666699</v>
      </c>
      <c r="D2646" s="1" t="s">
        <v>888</v>
      </c>
      <c r="E2646" s="1" t="s">
        <v>7584</v>
      </c>
      <c r="F2646" s="1" t="s">
        <v>7740</v>
      </c>
      <c r="G2646" s="39" t="s">
        <v>7587</v>
      </c>
      <c r="H2646" s="1">
        <v>5</v>
      </c>
      <c r="I2646" s="1">
        <v>4</v>
      </c>
      <c r="J2646" s="39" t="s">
        <v>7634</v>
      </c>
      <c r="K2646" s="1">
        <v>4</v>
      </c>
      <c r="L2646" s="1">
        <v>5</v>
      </c>
      <c r="S2646" s="1" t="s">
        <v>7741</v>
      </c>
      <c r="T2646" s="1">
        <v>1</v>
      </c>
      <c r="U2646" s="19"/>
      <c r="V2646" s="19"/>
      <c r="W2646" s="218">
        <v>1</v>
      </c>
      <c r="X2646" s="218">
        <v>1</v>
      </c>
      <c r="Y2646" s="218">
        <v>1</v>
      </c>
    </row>
    <row r="2647" spans="1:25" x14ac:dyDescent="0.3">
      <c r="A2647" s="1" t="s">
        <v>7742</v>
      </c>
      <c r="B2647" s="5">
        <v>46200</v>
      </c>
      <c r="C2647" s="6">
        <v>0.35416666666666702</v>
      </c>
      <c r="D2647" s="1" t="s">
        <v>888</v>
      </c>
      <c r="E2647" s="1" t="s">
        <v>7584</v>
      </c>
      <c r="F2647" s="1" t="s">
        <v>7743</v>
      </c>
      <c r="G2647" s="39" t="s">
        <v>7612</v>
      </c>
      <c r="H2647" s="1">
        <v>0</v>
      </c>
      <c r="I2647" s="1">
        <v>2</v>
      </c>
      <c r="J2647" s="39" t="s">
        <v>7616</v>
      </c>
      <c r="K2647" s="1">
        <v>2</v>
      </c>
      <c r="L2647" s="1">
        <v>0</v>
      </c>
      <c r="S2647" s="1" t="s">
        <v>7744</v>
      </c>
      <c r="T2647" s="1">
        <v>1</v>
      </c>
      <c r="U2647" s="19"/>
      <c r="V2647" s="19"/>
      <c r="W2647" s="218">
        <v>1</v>
      </c>
      <c r="X2647" s="218">
        <v>1</v>
      </c>
      <c r="Y2647" s="218">
        <v>1</v>
      </c>
    </row>
    <row r="2648" spans="1:25" x14ac:dyDescent="0.3">
      <c r="A2648" s="1" t="s">
        <v>7745</v>
      </c>
      <c r="B2648" s="5">
        <v>46200</v>
      </c>
      <c r="C2648" s="6">
        <v>0.35416666666666702</v>
      </c>
      <c r="D2648" s="1" t="s">
        <v>888</v>
      </c>
      <c r="E2648" s="1" t="s">
        <v>7584</v>
      </c>
      <c r="F2648" s="1" t="s">
        <v>7746</v>
      </c>
      <c r="G2648" s="39" t="s">
        <v>7604</v>
      </c>
      <c r="H2648" s="1">
        <v>2</v>
      </c>
      <c r="I2648" s="1">
        <v>1</v>
      </c>
      <c r="J2648" s="39" t="s">
        <v>7621</v>
      </c>
      <c r="K2648" s="1">
        <v>1</v>
      </c>
      <c r="L2648" s="1">
        <v>2</v>
      </c>
      <c r="S2648" s="1" t="s">
        <v>7747</v>
      </c>
      <c r="T2648" s="1">
        <v>1</v>
      </c>
      <c r="U2648" s="19"/>
      <c r="V2648" s="19"/>
      <c r="W2648" s="218">
        <v>1</v>
      </c>
      <c r="X2648" s="218">
        <v>1</v>
      </c>
      <c r="Y2648" s="218">
        <v>1</v>
      </c>
    </row>
    <row r="2649" spans="1:25" x14ac:dyDescent="0.3">
      <c r="A2649" s="1" t="s">
        <v>7748</v>
      </c>
      <c r="B2649" s="5">
        <v>46200</v>
      </c>
      <c r="C2649" s="6">
        <v>0.35416666666666702</v>
      </c>
      <c r="D2649" s="1" t="s">
        <v>888</v>
      </c>
      <c r="E2649" s="1" t="s">
        <v>7584</v>
      </c>
      <c r="F2649" s="1" t="s">
        <v>7749</v>
      </c>
      <c r="G2649" s="39" t="s">
        <v>7608</v>
      </c>
      <c r="H2649" s="1">
        <v>1</v>
      </c>
      <c r="I2649" s="1">
        <v>3</v>
      </c>
      <c r="J2649" s="39" t="s">
        <v>7590</v>
      </c>
      <c r="K2649" s="1">
        <v>3</v>
      </c>
      <c r="L2649" s="1">
        <v>1</v>
      </c>
      <c r="S2649" s="1" t="s">
        <v>7750</v>
      </c>
      <c r="T2649" s="1">
        <v>1</v>
      </c>
      <c r="U2649" s="19"/>
      <c r="V2649" s="19"/>
      <c r="W2649" s="218">
        <v>1</v>
      </c>
      <c r="X2649" s="218">
        <v>1</v>
      </c>
      <c r="Y2649" s="218">
        <v>1</v>
      </c>
    </row>
    <row r="2650" spans="1:25" x14ac:dyDescent="0.3">
      <c r="A2650" s="1" t="s">
        <v>7751</v>
      </c>
      <c r="B2650" s="5">
        <v>46200</v>
      </c>
      <c r="C2650" s="6">
        <v>0.35416666666666702</v>
      </c>
      <c r="D2650" s="1" t="s">
        <v>888</v>
      </c>
      <c r="E2650" s="1" t="s">
        <v>7584</v>
      </c>
      <c r="F2650" s="1" t="s">
        <v>7752</v>
      </c>
      <c r="G2650" s="39" t="s">
        <v>7599</v>
      </c>
      <c r="H2650" s="1">
        <v>2</v>
      </c>
      <c r="I2650" s="1">
        <v>1</v>
      </c>
      <c r="J2650" s="39" t="s">
        <v>7595</v>
      </c>
      <c r="K2650" s="1">
        <v>1</v>
      </c>
      <c r="L2650" s="1">
        <v>2</v>
      </c>
      <c r="S2650" s="1" t="s">
        <v>7753</v>
      </c>
      <c r="T2650" s="1">
        <v>1</v>
      </c>
      <c r="U2650" s="19"/>
      <c r="V2650" s="19"/>
      <c r="W2650" s="218">
        <v>1</v>
      </c>
      <c r="X2650" s="218">
        <v>1</v>
      </c>
      <c r="Y2650" s="218">
        <v>1</v>
      </c>
    </row>
    <row r="2651" spans="1:25" x14ac:dyDescent="0.3">
      <c r="A2651" s="1" t="s">
        <v>7754</v>
      </c>
      <c r="B2651" s="5">
        <v>46201</v>
      </c>
      <c r="C2651" s="6">
        <v>0.33333333333333298</v>
      </c>
      <c r="D2651" s="1" t="s">
        <v>888</v>
      </c>
      <c r="E2651" s="1" t="s">
        <v>7584</v>
      </c>
      <c r="F2651" s="1" t="s">
        <v>7755</v>
      </c>
      <c r="G2651" s="39" t="s">
        <v>7638</v>
      </c>
      <c r="H2651" s="1">
        <v>1</v>
      </c>
      <c r="I2651" s="1">
        <v>2</v>
      </c>
      <c r="J2651" s="39" t="s">
        <v>7591</v>
      </c>
      <c r="K2651" s="1">
        <v>2</v>
      </c>
      <c r="L2651" s="1">
        <v>1</v>
      </c>
      <c r="S2651" s="1" t="s">
        <v>7756</v>
      </c>
      <c r="T2651" s="1">
        <v>1</v>
      </c>
      <c r="U2651" s="19"/>
      <c r="V2651" s="19"/>
      <c r="W2651" s="218">
        <v>1</v>
      </c>
      <c r="X2651" s="218">
        <v>1</v>
      </c>
      <c r="Y2651" s="218">
        <v>1</v>
      </c>
    </row>
    <row r="2652" spans="1:25" x14ac:dyDescent="0.3">
      <c r="A2652" s="1" t="s">
        <v>7757</v>
      </c>
      <c r="B2652" s="5">
        <v>46201</v>
      </c>
      <c r="C2652" s="6">
        <v>0.375</v>
      </c>
      <c r="D2652" s="1" t="s">
        <v>888</v>
      </c>
      <c r="E2652" s="1" t="s">
        <v>7584</v>
      </c>
      <c r="F2652" s="1" t="s">
        <v>7758</v>
      </c>
      <c r="G2652" s="39" t="s">
        <v>7620</v>
      </c>
      <c r="H2652" s="1">
        <v>3</v>
      </c>
      <c r="I2652" s="1">
        <v>3</v>
      </c>
      <c r="J2652" s="39" t="s">
        <v>7586</v>
      </c>
      <c r="K2652" s="1">
        <v>3</v>
      </c>
      <c r="L2652" s="1">
        <v>3</v>
      </c>
      <c r="S2652" s="1" t="s">
        <v>7759</v>
      </c>
      <c r="T2652" s="1">
        <v>1</v>
      </c>
      <c r="U2652" s="19"/>
      <c r="V2652" s="19"/>
      <c r="W2652" s="218">
        <v>1</v>
      </c>
      <c r="X2652" s="218">
        <v>1</v>
      </c>
      <c r="Y2652" s="218">
        <v>1</v>
      </c>
    </row>
    <row r="2653" spans="1:25" x14ac:dyDescent="0.3">
      <c r="A2653" s="1" t="s">
        <v>7760</v>
      </c>
      <c r="B2653" s="5">
        <v>46207</v>
      </c>
      <c r="C2653" s="6">
        <v>0.29166666666666702</v>
      </c>
      <c r="D2653" s="1" t="s">
        <v>888</v>
      </c>
      <c r="E2653" s="1" t="s">
        <v>7584</v>
      </c>
      <c r="F2653" s="1" t="s">
        <v>7761</v>
      </c>
      <c r="G2653" s="39" t="s">
        <v>7616</v>
      </c>
      <c r="H2653" s="1">
        <v>3</v>
      </c>
      <c r="I2653" s="1">
        <v>0</v>
      </c>
      <c r="J2653" s="39" t="s">
        <v>7620</v>
      </c>
      <c r="K2653" s="1">
        <v>0</v>
      </c>
      <c r="L2653" s="1">
        <v>3</v>
      </c>
      <c r="S2653" s="1" t="s">
        <v>7762</v>
      </c>
      <c r="T2653" s="1">
        <v>1</v>
      </c>
      <c r="U2653" s="19"/>
      <c r="V2653" s="19"/>
      <c r="W2653" s="218">
        <v>1</v>
      </c>
      <c r="X2653" s="218">
        <v>1</v>
      </c>
      <c r="Y2653" s="218">
        <v>1</v>
      </c>
    </row>
    <row r="2654" spans="1:25" x14ac:dyDescent="0.3">
      <c r="A2654" s="1" t="s">
        <v>7763</v>
      </c>
      <c r="B2654" s="5">
        <v>46207</v>
      </c>
      <c r="C2654" s="6">
        <v>0.33333333333333398</v>
      </c>
      <c r="D2654" s="1" t="s">
        <v>888</v>
      </c>
      <c r="E2654" s="1" t="s">
        <v>7584</v>
      </c>
      <c r="F2654" s="1" t="s">
        <v>7764</v>
      </c>
      <c r="G2654" s="39" t="s">
        <v>7591</v>
      </c>
      <c r="H2654" s="1">
        <v>2</v>
      </c>
      <c r="I2654" s="1">
        <v>1</v>
      </c>
      <c r="J2654" s="39" t="s">
        <v>7599</v>
      </c>
      <c r="K2654" s="1">
        <v>1</v>
      </c>
      <c r="L2654" s="1">
        <v>2</v>
      </c>
      <c r="S2654" s="1" t="s">
        <v>7765</v>
      </c>
      <c r="T2654" s="1">
        <v>1</v>
      </c>
      <c r="U2654" s="19"/>
      <c r="V2654" s="19"/>
      <c r="W2654" s="218">
        <v>1</v>
      </c>
      <c r="X2654" s="218">
        <v>1</v>
      </c>
      <c r="Y2654" s="218">
        <v>1</v>
      </c>
    </row>
    <row r="2655" spans="1:25" x14ac:dyDescent="0.3">
      <c r="A2655" s="1" t="s">
        <v>7766</v>
      </c>
      <c r="B2655" s="5">
        <v>46207</v>
      </c>
      <c r="C2655" s="6">
        <v>0.33333333333333398</v>
      </c>
      <c r="D2655" s="1" t="s">
        <v>888</v>
      </c>
      <c r="E2655" s="1" t="s">
        <v>7584</v>
      </c>
      <c r="F2655" s="1" t="s">
        <v>7767</v>
      </c>
      <c r="G2655" s="39" t="s">
        <v>7621</v>
      </c>
      <c r="H2655" s="1">
        <v>2</v>
      </c>
      <c r="I2655" s="1">
        <v>1</v>
      </c>
      <c r="J2655" s="39" t="s">
        <v>7586</v>
      </c>
      <c r="K2655" s="1">
        <v>1</v>
      </c>
      <c r="L2655" s="1">
        <v>2</v>
      </c>
      <c r="S2655" s="1" t="s">
        <v>7768</v>
      </c>
      <c r="T2655" s="1">
        <v>1</v>
      </c>
      <c r="U2655" s="19"/>
      <c r="V2655" s="19"/>
      <c r="W2655" s="218">
        <v>1</v>
      </c>
      <c r="X2655" s="218">
        <v>1</v>
      </c>
      <c r="Y2655" s="218">
        <v>1</v>
      </c>
    </row>
    <row r="2656" spans="1:25" x14ac:dyDescent="0.3">
      <c r="A2656" s="1" t="s">
        <v>7769</v>
      </c>
      <c r="B2656" s="5">
        <v>46207</v>
      </c>
      <c r="C2656" s="6">
        <v>0.33333333333333398</v>
      </c>
      <c r="D2656" s="1" t="s">
        <v>888</v>
      </c>
      <c r="E2656" s="1" t="s">
        <v>7584</v>
      </c>
      <c r="F2656" s="1" t="s">
        <v>7770</v>
      </c>
      <c r="G2656" s="39" t="s">
        <v>7634</v>
      </c>
      <c r="H2656" s="1">
        <v>0</v>
      </c>
      <c r="I2656" s="1">
        <v>0</v>
      </c>
      <c r="J2656" s="39" t="s">
        <v>7608</v>
      </c>
      <c r="K2656" s="1">
        <v>0</v>
      </c>
      <c r="L2656" s="1">
        <v>0</v>
      </c>
      <c r="S2656" s="1" t="s">
        <v>7771</v>
      </c>
      <c r="T2656" s="1">
        <v>1</v>
      </c>
      <c r="U2656" s="19"/>
      <c r="V2656" s="19"/>
      <c r="W2656" s="218">
        <v>1</v>
      </c>
      <c r="X2656" s="218">
        <v>1</v>
      </c>
      <c r="Y2656" s="218">
        <v>1</v>
      </c>
    </row>
    <row r="2657" spans="1:25" x14ac:dyDescent="0.3">
      <c r="A2657" s="1" t="s">
        <v>7772</v>
      </c>
      <c r="B2657" s="5">
        <v>46207</v>
      </c>
      <c r="C2657" s="6">
        <v>0.33333333333333398</v>
      </c>
      <c r="D2657" s="1" t="s">
        <v>888</v>
      </c>
      <c r="E2657" s="1" t="s">
        <v>7584</v>
      </c>
      <c r="F2657" s="1" t="s">
        <v>7773</v>
      </c>
      <c r="G2657" s="39" t="s">
        <v>7638</v>
      </c>
      <c r="H2657" s="1">
        <v>2</v>
      </c>
      <c r="I2657" s="1">
        <v>2</v>
      </c>
      <c r="J2657" s="39" t="s">
        <v>7604</v>
      </c>
      <c r="K2657" s="1">
        <v>2</v>
      </c>
      <c r="L2657" s="1">
        <v>2</v>
      </c>
      <c r="S2657" s="1" t="s">
        <v>7774</v>
      </c>
      <c r="T2657" s="1">
        <v>1</v>
      </c>
      <c r="U2657" s="19"/>
      <c r="V2657" s="19"/>
      <c r="W2657" s="218">
        <v>1</v>
      </c>
      <c r="X2657" s="218">
        <v>1</v>
      </c>
      <c r="Y2657" s="218">
        <v>1</v>
      </c>
    </row>
    <row r="2658" spans="1:25" x14ac:dyDescent="0.3">
      <c r="A2658" s="1" t="s">
        <v>7775</v>
      </c>
      <c r="B2658" s="5">
        <v>46208</v>
      </c>
      <c r="C2658" s="6">
        <v>0.35416666666666702</v>
      </c>
      <c r="D2658" s="1" t="s">
        <v>888</v>
      </c>
      <c r="E2658" s="1" t="s">
        <v>7584</v>
      </c>
      <c r="F2658" s="1" t="s">
        <v>7776</v>
      </c>
      <c r="G2658" s="39" t="s">
        <v>7594</v>
      </c>
      <c r="H2658" s="1">
        <v>3</v>
      </c>
      <c r="I2658" s="1">
        <v>1</v>
      </c>
      <c r="J2658" s="39" t="s">
        <v>7587</v>
      </c>
      <c r="K2658" s="1">
        <v>1</v>
      </c>
      <c r="L2658" s="1">
        <v>3</v>
      </c>
      <c r="S2658" s="1" t="s">
        <v>7777</v>
      </c>
      <c r="T2658" s="1">
        <v>1</v>
      </c>
      <c r="U2658" s="19"/>
      <c r="V2658" s="19"/>
      <c r="W2658" s="218">
        <v>1</v>
      </c>
      <c r="X2658" s="218">
        <v>1</v>
      </c>
      <c r="Y2658" s="218">
        <v>1</v>
      </c>
    </row>
    <row r="2659" spans="1:25" x14ac:dyDescent="0.3">
      <c r="A2659" s="1" t="s">
        <v>7778</v>
      </c>
      <c r="B2659" s="5">
        <v>46208</v>
      </c>
      <c r="C2659" s="6">
        <v>0.35416666666666702</v>
      </c>
      <c r="D2659" s="1" t="s">
        <v>888</v>
      </c>
      <c r="E2659" s="1" t="s">
        <v>7584</v>
      </c>
      <c r="F2659" s="1" t="s">
        <v>7779</v>
      </c>
      <c r="G2659" s="39" t="s">
        <v>7590</v>
      </c>
      <c r="H2659" s="1">
        <v>1</v>
      </c>
      <c r="I2659" s="1">
        <v>3</v>
      </c>
      <c r="J2659" s="39" t="s">
        <v>7603</v>
      </c>
      <c r="K2659" s="1">
        <v>3</v>
      </c>
      <c r="L2659" s="1">
        <v>1</v>
      </c>
      <c r="S2659" s="1" t="s">
        <v>7780</v>
      </c>
      <c r="T2659" s="1">
        <v>1</v>
      </c>
      <c r="U2659" s="19"/>
      <c r="V2659" s="19"/>
      <c r="W2659" s="218">
        <v>1</v>
      </c>
      <c r="X2659" s="218">
        <v>1</v>
      </c>
      <c r="Y2659" s="218">
        <v>1</v>
      </c>
    </row>
    <row r="2660" spans="1:25" x14ac:dyDescent="0.3">
      <c r="A2660" s="1" t="s">
        <v>7781</v>
      </c>
      <c r="B2660" s="5">
        <v>46208</v>
      </c>
      <c r="C2660" s="6">
        <v>0.35416666666666702</v>
      </c>
      <c r="D2660" s="1" t="s">
        <v>888</v>
      </c>
      <c r="E2660" s="1" t="s">
        <v>7584</v>
      </c>
      <c r="F2660" s="1" t="s">
        <v>7782</v>
      </c>
      <c r="G2660" s="39" t="s">
        <v>7595</v>
      </c>
      <c r="H2660" s="1">
        <v>3</v>
      </c>
      <c r="I2660" s="1">
        <v>1</v>
      </c>
      <c r="J2660" s="39" t="s">
        <v>7612</v>
      </c>
      <c r="K2660" s="1">
        <v>1</v>
      </c>
      <c r="L2660" s="1">
        <v>3</v>
      </c>
      <c r="S2660" s="1" t="s">
        <v>7783</v>
      </c>
      <c r="T2660" s="1">
        <v>1</v>
      </c>
      <c r="U2660" s="19"/>
      <c r="V2660" s="19"/>
      <c r="W2660" s="218">
        <v>1</v>
      </c>
      <c r="X2660" s="218">
        <v>1</v>
      </c>
      <c r="Y2660" s="218">
        <v>1</v>
      </c>
    </row>
    <row r="2661" spans="1:25" x14ac:dyDescent="0.3">
      <c r="A2661" s="1" t="s">
        <v>7784</v>
      </c>
      <c r="B2661" s="5">
        <v>46214</v>
      </c>
      <c r="C2661" s="6">
        <v>0.29166666666666702</v>
      </c>
      <c r="D2661" s="1" t="s">
        <v>888</v>
      </c>
      <c r="E2661" s="1" t="s">
        <v>7584</v>
      </c>
      <c r="F2661" s="1" t="s">
        <v>7785</v>
      </c>
      <c r="G2661" s="39" t="s">
        <v>7616</v>
      </c>
      <c r="H2661" s="1">
        <v>3</v>
      </c>
      <c r="I2661" s="1">
        <v>1</v>
      </c>
      <c r="J2661" s="39" t="s">
        <v>7638</v>
      </c>
      <c r="K2661" s="1">
        <v>1</v>
      </c>
      <c r="L2661" s="1">
        <v>3</v>
      </c>
      <c r="S2661" s="1" t="s">
        <v>7786</v>
      </c>
      <c r="T2661" s="1">
        <v>1</v>
      </c>
      <c r="U2661" s="19"/>
      <c r="V2661" s="19"/>
      <c r="W2661" s="218">
        <v>1</v>
      </c>
      <c r="X2661" s="218">
        <v>1</v>
      </c>
      <c r="Y2661" s="218">
        <v>1</v>
      </c>
    </row>
    <row r="2662" spans="1:25" x14ac:dyDescent="0.3">
      <c r="A2662" s="1" t="s">
        <v>7787</v>
      </c>
      <c r="B2662" s="5">
        <v>46214</v>
      </c>
      <c r="C2662" s="6">
        <v>0.33333333333333398</v>
      </c>
      <c r="D2662" s="1" t="s">
        <v>888</v>
      </c>
      <c r="E2662" s="1" t="s">
        <v>7584</v>
      </c>
      <c r="F2662" s="1" t="s">
        <v>7788</v>
      </c>
      <c r="G2662" s="39" t="s">
        <v>7587</v>
      </c>
      <c r="H2662" s="1">
        <v>2</v>
      </c>
      <c r="I2662" s="1">
        <v>0</v>
      </c>
      <c r="J2662" s="39" t="s">
        <v>7595</v>
      </c>
      <c r="K2662" s="1">
        <v>0</v>
      </c>
      <c r="L2662" s="1">
        <v>2</v>
      </c>
      <c r="S2662" s="1" t="s">
        <v>7789</v>
      </c>
      <c r="T2662" s="1">
        <v>1</v>
      </c>
      <c r="U2662" s="19"/>
      <c r="V2662" s="19"/>
      <c r="W2662" s="218">
        <v>1</v>
      </c>
      <c r="X2662" s="218">
        <v>1</v>
      </c>
      <c r="Y2662" s="218">
        <v>1</v>
      </c>
    </row>
    <row r="2663" spans="1:25" x14ac:dyDescent="0.3">
      <c r="A2663" s="1" t="s">
        <v>7790</v>
      </c>
      <c r="B2663" s="5">
        <v>46214</v>
      </c>
      <c r="C2663" s="6">
        <v>0.33333333333333398</v>
      </c>
      <c r="D2663" s="1" t="s">
        <v>888</v>
      </c>
      <c r="E2663" s="1" t="s">
        <v>7584</v>
      </c>
      <c r="F2663" s="1" t="s">
        <v>7791</v>
      </c>
      <c r="G2663" s="39" t="s">
        <v>7621</v>
      </c>
      <c r="H2663" s="1">
        <v>4</v>
      </c>
      <c r="I2663" s="1">
        <v>0</v>
      </c>
      <c r="J2663" s="39" t="s">
        <v>7590</v>
      </c>
      <c r="K2663" s="1">
        <v>0</v>
      </c>
      <c r="L2663" s="1">
        <v>4</v>
      </c>
      <c r="S2663" s="1" t="s">
        <v>7792</v>
      </c>
      <c r="T2663" s="1">
        <v>1</v>
      </c>
      <c r="U2663" s="19"/>
      <c r="V2663" s="19"/>
      <c r="W2663" s="218">
        <v>1</v>
      </c>
      <c r="X2663" s="218">
        <v>1</v>
      </c>
      <c r="Y2663" s="218">
        <v>1</v>
      </c>
    </row>
    <row r="2664" spans="1:25" x14ac:dyDescent="0.3">
      <c r="A2664" s="1" t="s">
        <v>7793</v>
      </c>
      <c r="B2664" s="5">
        <v>46214</v>
      </c>
      <c r="C2664" s="6">
        <v>0.35416666666666702</v>
      </c>
      <c r="D2664" s="1" t="s">
        <v>888</v>
      </c>
      <c r="E2664" s="1" t="s">
        <v>7584</v>
      </c>
      <c r="F2664" s="1" t="s">
        <v>7794</v>
      </c>
      <c r="G2664" s="39" t="s">
        <v>7604</v>
      </c>
      <c r="H2664" s="1">
        <v>2</v>
      </c>
      <c r="I2664" s="1">
        <v>0</v>
      </c>
      <c r="J2664" s="39" t="s">
        <v>7599</v>
      </c>
      <c r="K2664" s="1">
        <v>0</v>
      </c>
      <c r="L2664" s="1">
        <v>2</v>
      </c>
      <c r="S2664" s="1" t="s">
        <v>7795</v>
      </c>
      <c r="T2664" s="1">
        <v>1</v>
      </c>
      <c r="U2664" s="19"/>
      <c r="V2664" s="19"/>
      <c r="W2664" s="218">
        <v>1</v>
      </c>
      <c r="X2664" s="218">
        <v>1</v>
      </c>
      <c r="Y2664" s="218">
        <v>1</v>
      </c>
    </row>
    <row r="2665" spans="1:25" x14ac:dyDescent="0.3">
      <c r="A2665" s="1" t="s">
        <v>7796</v>
      </c>
      <c r="B2665" s="5">
        <v>46215</v>
      </c>
      <c r="C2665" s="6">
        <v>0.33333333333333398</v>
      </c>
      <c r="D2665" s="1" t="s">
        <v>888</v>
      </c>
      <c r="E2665" s="1" t="s">
        <v>7584</v>
      </c>
      <c r="F2665" s="1" t="s">
        <v>7797</v>
      </c>
      <c r="G2665" s="39" t="s">
        <v>7634</v>
      </c>
      <c r="H2665" s="1">
        <v>3</v>
      </c>
      <c r="I2665" s="1">
        <v>3</v>
      </c>
      <c r="J2665" s="39" t="s">
        <v>7620</v>
      </c>
      <c r="K2665" s="1">
        <v>3</v>
      </c>
      <c r="L2665" s="1">
        <v>3</v>
      </c>
      <c r="S2665" s="1" t="s">
        <v>7798</v>
      </c>
      <c r="T2665" s="1">
        <v>1</v>
      </c>
      <c r="U2665" s="19"/>
      <c r="V2665" s="19"/>
      <c r="W2665" s="218">
        <v>1</v>
      </c>
      <c r="X2665" s="218">
        <v>1</v>
      </c>
      <c r="Y2665" s="218">
        <v>1</v>
      </c>
    </row>
    <row r="2666" spans="1:25" x14ac:dyDescent="0.3">
      <c r="A2666" s="1" t="s">
        <v>7799</v>
      </c>
      <c r="B2666" s="5">
        <v>46216</v>
      </c>
      <c r="C2666" s="6">
        <v>0.33333333333333398</v>
      </c>
      <c r="D2666" s="1" t="s">
        <v>888</v>
      </c>
      <c r="E2666" s="1" t="s">
        <v>7584</v>
      </c>
      <c r="F2666" s="1" t="s">
        <v>7800</v>
      </c>
      <c r="G2666" s="39" t="s">
        <v>7591</v>
      </c>
      <c r="H2666" s="1">
        <v>1</v>
      </c>
      <c r="I2666" s="1">
        <v>0</v>
      </c>
      <c r="J2666" s="39" t="s">
        <v>7612</v>
      </c>
      <c r="K2666" s="1">
        <v>0</v>
      </c>
      <c r="L2666" s="1">
        <v>1</v>
      </c>
      <c r="S2666" s="1" t="s">
        <v>7801</v>
      </c>
      <c r="T2666" s="1">
        <v>1</v>
      </c>
      <c r="U2666" s="19"/>
      <c r="V2666" s="19"/>
      <c r="W2666" s="218">
        <v>1</v>
      </c>
      <c r="X2666" s="218">
        <v>1</v>
      </c>
      <c r="Y2666" s="218">
        <v>1</v>
      </c>
    </row>
    <row r="2667" spans="1:25" x14ac:dyDescent="0.3">
      <c r="A2667" s="1" t="s">
        <v>7802</v>
      </c>
      <c r="B2667" s="5">
        <v>46220</v>
      </c>
      <c r="C2667" s="6">
        <v>0.33333333333333398</v>
      </c>
      <c r="D2667" s="1" t="s">
        <v>888</v>
      </c>
      <c r="E2667" s="1" t="s">
        <v>7584</v>
      </c>
      <c r="F2667" s="1" t="s">
        <v>7803</v>
      </c>
      <c r="G2667" s="39" t="s">
        <v>7603</v>
      </c>
      <c r="H2667" s="1">
        <v>1</v>
      </c>
      <c r="I2667" s="1">
        <v>5</v>
      </c>
      <c r="J2667" s="39" t="s">
        <v>7586</v>
      </c>
      <c r="K2667" s="1">
        <v>5</v>
      </c>
      <c r="L2667" s="1">
        <v>1</v>
      </c>
      <c r="S2667" s="1" t="s">
        <v>7804</v>
      </c>
      <c r="T2667" s="1">
        <v>1</v>
      </c>
      <c r="U2667" s="19"/>
      <c r="V2667" s="19"/>
      <c r="W2667" s="218">
        <v>1</v>
      </c>
      <c r="X2667" s="218">
        <v>1</v>
      </c>
      <c r="Y2667" s="218">
        <v>1</v>
      </c>
    </row>
    <row r="2668" spans="1:25" x14ac:dyDescent="0.3">
      <c r="A2668" s="1" t="s">
        <v>7805</v>
      </c>
      <c r="B2668" s="5">
        <v>46220</v>
      </c>
      <c r="C2668" s="6">
        <v>0.33333333333333398</v>
      </c>
      <c r="D2668" s="1" t="s">
        <v>888</v>
      </c>
      <c r="E2668" s="1" t="s">
        <v>7584</v>
      </c>
      <c r="F2668" s="1" t="s">
        <v>7806</v>
      </c>
      <c r="G2668" s="39" t="s">
        <v>7638</v>
      </c>
      <c r="H2668" s="1">
        <v>0</v>
      </c>
      <c r="I2668" s="1">
        <v>0</v>
      </c>
      <c r="J2668" s="39" t="s">
        <v>7634</v>
      </c>
      <c r="K2668" s="1">
        <v>0</v>
      </c>
      <c r="L2668" s="1">
        <v>0</v>
      </c>
      <c r="S2668" s="1" t="s">
        <v>7807</v>
      </c>
      <c r="T2668" s="1">
        <v>1</v>
      </c>
      <c r="U2668" s="19"/>
      <c r="V2668" s="19"/>
      <c r="W2668" s="218">
        <v>1</v>
      </c>
      <c r="X2668" s="218">
        <v>1</v>
      </c>
      <c r="Y2668" s="218">
        <v>1</v>
      </c>
    </row>
    <row r="2669" spans="1:25" x14ac:dyDescent="0.3">
      <c r="A2669" s="1" t="s">
        <v>7808</v>
      </c>
      <c r="B2669" s="5">
        <v>46220</v>
      </c>
      <c r="C2669" s="6">
        <v>0.35416666666666702</v>
      </c>
      <c r="D2669" s="1" t="s">
        <v>888</v>
      </c>
      <c r="E2669" s="1" t="s">
        <v>7584</v>
      </c>
      <c r="F2669" s="1" t="s">
        <v>7809</v>
      </c>
      <c r="G2669" s="39" t="s">
        <v>7612</v>
      </c>
      <c r="H2669" s="1">
        <v>1</v>
      </c>
      <c r="I2669" s="1">
        <v>2</v>
      </c>
      <c r="J2669" s="39" t="s">
        <v>7608</v>
      </c>
      <c r="K2669" s="1">
        <v>2</v>
      </c>
      <c r="L2669" s="1">
        <v>1</v>
      </c>
      <c r="S2669" s="1" t="s">
        <v>7810</v>
      </c>
      <c r="T2669" s="1">
        <v>1</v>
      </c>
      <c r="U2669" s="19"/>
      <c r="V2669" s="19"/>
      <c r="W2669" s="218">
        <v>1</v>
      </c>
      <c r="X2669" s="218">
        <v>1</v>
      </c>
      <c r="Y2669" s="218">
        <v>1</v>
      </c>
    </row>
    <row r="2670" spans="1:25" x14ac:dyDescent="0.3">
      <c r="A2670" s="1" t="s">
        <v>7811</v>
      </c>
      <c r="B2670" s="5">
        <v>46220</v>
      </c>
      <c r="C2670" s="6">
        <v>0.35416666666666702</v>
      </c>
      <c r="D2670" s="1" t="s">
        <v>888</v>
      </c>
      <c r="E2670" s="1" t="s">
        <v>7584</v>
      </c>
      <c r="F2670" s="1" t="s">
        <v>7812</v>
      </c>
      <c r="G2670" s="39" t="s">
        <v>7599</v>
      </c>
      <c r="H2670" s="1">
        <v>0</v>
      </c>
      <c r="I2670" s="1">
        <v>0</v>
      </c>
      <c r="J2670" s="39" t="s">
        <v>7616</v>
      </c>
      <c r="K2670" s="1">
        <v>0</v>
      </c>
      <c r="L2670" s="1">
        <v>0</v>
      </c>
      <c r="S2670" s="1" t="s">
        <v>7813</v>
      </c>
      <c r="T2670" s="1">
        <v>1</v>
      </c>
      <c r="U2670" s="19"/>
      <c r="V2670" s="19"/>
      <c r="W2670" s="218">
        <v>1</v>
      </c>
      <c r="X2670" s="218">
        <v>1</v>
      </c>
      <c r="Y2670" s="218">
        <v>1</v>
      </c>
    </row>
    <row r="2671" spans="1:25" x14ac:dyDescent="0.3">
      <c r="A2671" s="1" t="s">
        <v>7814</v>
      </c>
      <c r="B2671" s="5">
        <v>46221</v>
      </c>
      <c r="C2671" s="6">
        <v>0.35416666666666702</v>
      </c>
      <c r="D2671" s="1" t="s">
        <v>888</v>
      </c>
      <c r="E2671" s="1" t="s">
        <v>7584</v>
      </c>
      <c r="F2671" s="1" t="s">
        <v>7815</v>
      </c>
      <c r="G2671" s="39" t="s">
        <v>7594</v>
      </c>
      <c r="H2671" s="1">
        <v>3</v>
      </c>
      <c r="I2671" s="1">
        <v>0</v>
      </c>
      <c r="J2671" s="39" t="s">
        <v>7621</v>
      </c>
      <c r="K2671" s="1">
        <v>0</v>
      </c>
      <c r="L2671" s="1">
        <v>3</v>
      </c>
      <c r="S2671" s="1" t="s">
        <v>7816</v>
      </c>
      <c r="T2671" s="1">
        <v>1</v>
      </c>
      <c r="U2671" s="19"/>
      <c r="V2671" s="19"/>
      <c r="W2671" s="218">
        <v>1</v>
      </c>
      <c r="X2671" s="218">
        <v>1</v>
      </c>
      <c r="Y2671" s="218">
        <v>1</v>
      </c>
    </row>
    <row r="2672" spans="1:25" x14ac:dyDescent="0.3">
      <c r="A2672" s="1" t="s">
        <v>7817</v>
      </c>
      <c r="B2672" s="5">
        <v>46221</v>
      </c>
      <c r="C2672" s="6">
        <v>0.35416666666666702</v>
      </c>
      <c r="D2672" s="1" t="s">
        <v>888</v>
      </c>
      <c r="E2672" s="1" t="s">
        <v>7584</v>
      </c>
      <c r="F2672" s="1" t="s">
        <v>7818</v>
      </c>
      <c r="G2672" s="39" t="s">
        <v>7590</v>
      </c>
      <c r="H2672" s="1">
        <v>2</v>
      </c>
      <c r="I2672" s="1">
        <v>0</v>
      </c>
      <c r="J2672" s="39" t="s">
        <v>7587</v>
      </c>
      <c r="K2672" s="1">
        <v>0</v>
      </c>
      <c r="L2672" s="1">
        <v>2</v>
      </c>
      <c r="S2672" s="1" t="s">
        <v>7819</v>
      </c>
      <c r="T2672" s="1">
        <v>1</v>
      </c>
      <c r="U2672" s="19"/>
      <c r="V2672" s="19"/>
      <c r="W2672" s="218">
        <v>1</v>
      </c>
      <c r="X2672" s="218">
        <v>1</v>
      </c>
      <c r="Y2672" s="218">
        <v>1</v>
      </c>
    </row>
    <row r="2673" spans="1:25" x14ac:dyDescent="0.3">
      <c r="A2673" s="1" t="s">
        <v>7820</v>
      </c>
      <c r="B2673" s="5">
        <v>46221</v>
      </c>
      <c r="C2673" s="6">
        <v>0.35416666666666702</v>
      </c>
      <c r="D2673" s="1" t="s">
        <v>888</v>
      </c>
      <c r="E2673" s="1" t="s">
        <v>7584</v>
      </c>
      <c r="F2673" s="1" t="s">
        <v>7821</v>
      </c>
      <c r="G2673" s="39" t="s">
        <v>7595</v>
      </c>
      <c r="H2673" s="1">
        <v>0</v>
      </c>
      <c r="I2673" s="1">
        <v>1</v>
      </c>
      <c r="J2673" s="39" t="s">
        <v>7604</v>
      </c>
      <c r="K2673" s="1">
        <v>1</v>
      </c>
      <c r="L2673" s="1">
        <v>0</v>
      </c>
      <c r="S2673" s="1" t="s">
        <v>7822</v>
      </c>
      <c r="T2673" s="1">
        <v>1</v>
      </c>
      <c r="U2673" s="19"/>
      <c r="V2673" s="19"/>
      <c r="W2673" s="218">
        <v>1</v>
      </c>
      <c r="X2673" s="218">
        <v>1</v>
      </c>
      <c r="Y2673" s="218">
        <v>1</v>
      </c>
    </row>
    <row r="2674" spans="1:25" x14ac:dyDescent="0.3">
      <c r="A2674" s="1" t="s">
        <v>7823</v>
      </c>
      <c r="B2674" s="5">
        <v>46221</v>
      </c>
      <c r="C2674" s="6">
        <v>0.375</v>
      </c>
      <c r="D2674" s="1" t="s">
        <v>888</v>
      </c>
      <c r="E2674" s="1" t="s">
        <v>7584</v>
      </c>
      <c r="F2674" s="1" t="s">
        <v>7824</v>
      </c>
      <c r="G2674" s="39" t="s">
        <v>7620</v>
      </c>
      <c r="H2674" s="1">
        <v>0</v>
      </c>
      <c r="I2674" s="1">
        <v>1</v>
      </c>
      <c r="J2674" s="39" t="s">
        <v>7591</v>
      </c>
      <c r="K2674" s="1">
        <v>1</v>
      </c>
      <c r="L2674" s="1">
        <v>0</v>
      </c>
      <c r="S2674" s="1" t="s">
        <v>7825</v>
      </c>
      <c r="T2674" s="1">
        <v>1</v>
      </c>
      <c r="U2674" s="19"/>
      <c r="V2674" s="19"/>
      <c r="W2674" s="218">
        <v>1</v>
      </c>
      <c r="X2674" s="218">
        <v>1</v>
      </c>
      <c r="Y2674" s="218">
        <v>1</v>
      </c>
    </row>
    <row r="2675" spans="1:25" x14ac:dyDescent="0.3">
      <c r="A2675" s="1" t="s">
        <v>7826</v>
      </c>
      <c r="B2675" s="5">
        <v>46228</v>
      </c>
      <c r="C2675" s="6">
        <v>0.33333333333333398</v>
      </c>
      <c r="D2675" s="1" t="s">
        <v>888</v>
      </c>
      <c r="E2675" s="1" t="s">
        <v>7584</v>
      </c>
      <c r="F2675" s="1" t="s">
        <v>7827</v>
      </c>
      <c r="G2675" s="39" t="s">
        <v>7603</v>
      </c>
      <c r="H2675" s="1">
        <v>2</v>
      </c>
      <c r="I2675" s="1">
        <v>1</v>
      </c>
      <c r="J2675" s="39" t="s">
        <v>7595</v>
      </c>
      <c r="K2675" s="1">
        <v>1</v>
      </c>
      <c r="L2675" s="1">
        <v>2</v>
      </c>
      <c r="S2675" s="1" t="s">
        <v>7828</v>
      </c>
      <c r="T2675" s="1">
        <v>1</v>
      </c>
      <c r="U2675" s="19"/>
      <c r="V2675" s="19"/>
      <c r="W2675" s="218">
        <v>1</v>
      </c>
      <c r="X2675" s="218">
        <v>1</v>
      </c>
      <c r="Y2675" s="218">
        <v>1</v>
      </c>
    </row>
    <row r="2676" spans="1:25" x14ac:dyDescent="0.3">
      <c r="A2676" s="1" t="s">
        <v>7829</v>
      </c>
      <c r="B2676" s="5">
        <v>46228</v>
      </c>
      <c r="C2676" s="6">
        <v>0.33333333333333398</v>
      </c>
      <c r="D2676" s="1" t="s">
        <v>888</v>
      </c>
      <c r="E2676" s="1" t="s">
        <v>7584</v>
      </c>
      <c r="F2676" s="1" t="s">
        <v>7830</v>
      </c>
      <c r="G2676" s="39" t="s">
        <v>7591</v>
      </c>
      <c r="H2676" s="1">
        <v>1</v>
      </c>
      <c r="I2676" s="1">
        <v>2</v>
      </c>
      <c r="J2676" s="39" t="s">
        <v>7604</v>
      </c>
      <c r="K2676" s="1">
        <v>2</v>
      </c>
      <c r="L2676" s="1">
        <v>1</v>
      </c>
      <c r="S2676" s="1" t="s">
        <v>7831</v>
      </c>
      <c r="T2676" s="1">
        <v>1</v>
      </c>
      <c r="U2676" s="19"/>
      <c r="V2676" s="19"/>
      <c r="W2676" s="218">
        <v>1</v>
      </c>
      <c r="X2676" s="218">
        <v>1</v>
      </c>
      <c r="Y2676" s="218">
        <v>1</v>
      </c>
    </row>
    <row r="2677" spans="1:25" x14ac:dyDescent="0.3">
      <c r="A2677" s="1" t="s">
        <v>7832</v>
      </c>
      <c r="B2677" s="5">
        <v>46228</v>
      </c>
      <c r="C2677" s="6">
        <v>0.35416666666666702</v>
      </c>
      <c r="D2677" s="1" t="s">
        <v>888</v>
      </c>
      <c r="E2677" s="1" t="s">
        <v>7584</v>
      </c>
      <c r="F2677" s="1" t="s">
        <v>7833</v>
      </c>
      <c r="G2677" s="39" t="s">
        <v>7612</v>
      </c>
      <c r="H2677" s="1">
        <v>0</v>
      </c>
      <c r="I2677" s="1">
        <v>2</v>
      </c>
      <c r="J2677" s="39" t="s">
        <v>7586</v>
      </c>
      <c r="K2677" s="1">
        <v>2</v>
      </c>
      <c r="L2677" s="1">
        <v>0</v>
      </c>
      <c r="S2677" s="1" t="s">
        <v>7834</v>
      </c>
      <c r="T2677" s="1">
        <v>1</v>
      </c>
      <c r="U2677" s="19"/>
      <c r="V2677" s="19"/>
      <c r="W2677" s="218">
        <v>1</v>
      </c>
      <c r="X2677" s="218">
        <v>1</v>
      </c>
      <c r="Y2677" s="218">
        <v>1</v>
      </c>
    </row>
    <row r="2678" spans="1:25" x14ac:dyDescent="0.3">
      <c r="A2678" s="1" t="s">
        <v>7835</v>
      </c>
      <c r="B2678" s="5">
        <v>46228</v>
      </c>
      <c r="C2678" s="6">
        <v>0.35416666666666702</v>
      </c>
      <c r="D2678" s="1" t="s">
        <v>888</v>
      </c>
      <c r="E2678" s="1" t="s">
        <v>7584</v>
      </c>
      <c r="F2678" s="1" t="s">
        <v>7836</v>
      </c>
      <c r="G2678" s="39" t="s">
        <v>7599</v>
      </c>
      <c r="H2678" s="1">
        <v>1</v>
      </c>
      <c r="I2678" s="1">
        <v>1</v>
      </c>
      <c r="J2678" s="39" t="s">
        <v>7608</v>
      </c>
      <c r="K2678" s="1">
        <v>1</v>
      </c>
      <c r="L2678" s="1">
        <v>1</v>
      </c>
      <c r="S2678" s="1" t="s">
        <v>7837</v>
      </c>
      <c r="T2678" s="1">
        <v>1</v>
      </c>
      <c r="U2678" s="19"/>
      <c r="V2678" s="19"/>
      <c r="W2678" s="218">
        <v>1</v>
      </c>
      <c r="X2678" s="218">
        <v>1</v>
      </c>
      <c r="Y2678" s="218">
        <v>1</v>
      </c>
    </row>
    <row r="2679" spans="1:25" x14ac:dyDescent="0.3">
      <c r="A2679" s="1" t="s">
        <v>7838</v>
      </c>
      <c r="B2679" s="5">
        <v>46228</v>
      </c>
      <c r="C2679" s="6">
        <v>0.375</v>
      </c>
      <c r="D2679" s="1" t="s">
        <v>888</v>
      </c>
      <c r="E2679" s="1" t="s">
        <v>7584</v>
      </c>
      <c r="F2679" s="1" t="s">
        <v>7839</v>
      </c>
      <c r="G2679" s="39" t="s">
        <v>7621</v>
      </c>
      <c r="H2679" s="1">
        <v>3</v>
      </c>
      <c r="I2679" s="1">
        <v>0</v>
      </c>
      <c r="J2679" s="39" t="s">
        <v>7634</v>
      </c>
      <c r="K2679" s="1">
        <v>0</v>
      </c>
      <c r="L2679" s="1">
        <v>3</v>
      </c>
      <c r="S2679" s="1" t="s">
        <v>7840</v>
      </c>
      <c r="T2679" s="1">
        <v>1</v>
      </c>
      <c r="U2679" s="19"/>
      <c r="V2679" s="19"/>
      <c r="W2679" s="218">
        <v>1</v>
      </c>
      <c r="X2679" s="218">
        <v>1</v>
      </c>
      <c r="Y2679" s="218">
        <v>1</v>
      </c>
    </row>
    <row r="2680" spans="1:25" x14ac:dyDescent="0.3">
      <c r="A2680" s="1" t="s">
        <v>7841</v>
      </c>
      <c r="B2680" s="5">
        <v>46229</v>
      </c>
      <c r="C2680" s="6">
        <v>0.29166666666666702</v>
      </c>
      <c r="D2680" s="1" t="s">
        <v>888</v>
      </c>
      <c r="E2680" s="1" t="s">
        <v>7584</v>
      </c>
      <c r="F2680" s="1" t="s">
        <v>7842</v>
      </c>
      <c r="G2680" s="39" t="s">
        <v>7616</v>
      </c>
      <c r="H2680" s="1">
        <v>2</v>
      </c>
      <c r="I2680" s="1">
        <v>1</v>
      </c>
      <c r="J2680" s="39" t="s">
        <v>7590</v>
      </c>
      <c r="K2680" s="1">
        <v>1</v>
      </c>
      <c r="L2680" s="1">
        <v>2</v>
      </c>
      <c r="S2680" s="1" t="s">
        <v>7843</v>
      </c>
      <c r="T2680" s="1">
        <v>1</v>
      </c>
      <c r="U2680" s="19"/>
      <c r="V2680" s="19"/>
      <c r="W2680" s="218">
        <v>1</v>
      </c>
      <c r="X2680" s="218">
        <v>1</v>
      </c>
      <c r="Y2680" s="218">
        <v>1</v>
      </c>
    </row>
    <row r="2681" spans="1:25" x14ac:dyDescent="0.3">
      <c r="A2681" s="1" t="s">
        <v>7844</v>
      </c>
      <c r="B2681" s="5">
        <v>46229</v>
      </c>
      <c r="C2681" s="6">
        <v>0.33333333333333398</v>
      </c>
      <c r="D2681" s="1" t="s">
        <v>888</v>
      </c>
      <c r="E2681" s="1" t="s">
        <v>7584</v>
      </c>
      <c r="F2681" s="1" t="s">
        <v>7845</v>
      </c>
      <c r="G2681" s="39" t="s">
        <v>7587</v>
      </c>
      <c r="H2681" s="1">
        <v>0</v>
      </c>
      <c r="I2681" s="1">
        <v>0</v>
      </c>
      <c r="J2681" s="39" t="s">
        <v>7638</v>
      </c>
      <c r="K2681" s="1">
        <v>0</v>
      </c>
      <c r="L2681" s="1">
        <v>0</v>
      </c>
      <c r="S2681" s="1" t="s">
        <v>7846</v>
      </c>
      <c r="T2681" s="1">
        <v>1</v>
      </c>
      <c r="U2681" s="19"/>
      <c r="V2681" s="19"/>
      <c r="W2681" s="218">
        <v>1</v>
      </c>
      <c r="X2681" s="218">
        <v>1</v>
      </c>
      <c r="Y2681" s="218">
        <v>1</v>
      </c>
    </row>
    <row r="2682" spans="1:25" x14ac:dyDescent="0.3">
      <c r="A2682" s="1" t="s">
        <v>7847</v>
      </c>
      <c r="B2682" s="5">
        <v>46229</v>
      </c>
      <c r="C2682" s="6">
        <v>0.35416666666666702</v>
      </c>
      <c r="D2682" s="1" t="s">
        <v>888</v>
      </c>
      <c r="E2682" s="1" t="s">
        <v>7584</v>
      </c>
      <c r="F2682" s="1" t="s">
        <v>7848</v>
      </c>
      <c r="G2682" s="39" t="s">
        <v>7594</v>
      </c>
      <c r="H2682" s="1">
        <v>4</v>
      </c>
      <c r="I2682" s="1">
        <v>4</v>
      </c>
      <c r="J2682" s="39" t="s">
        <v>7620</v>
      </c>
      <c r="K2682" s="1">
        <v>4</v>
      </c>
      <c r="L2682" s="1">
        <v>4</v>
      </c>
      <c r="S2682" s="1" t="s">
        <v>7849</v>
      </c>
      <c r="T2682" s="1">
        <v>1</v>
      </c>
      <c r="U2682" s="19"/>
      <c r="V2682" s="19"/>
      <c r="W2682" s="218">
        <v>1</v>
      </c>
      <c r="X2682" s="218">
        <v>1</v>
      </c>
      <c r="Y2682" s="218">
        <v>1</v>
      </c>
    </row>
    <row r="2683" spans="1:25" x14ac:dyDescent="0.3">
      <c r="A2683" s="1" t="s">
        <v>7850</v>
      </c>
      <c r="B2683" s="5">
        <v>46235</v>
      </c>
      <c r="C2683" s="6">
        <v>0.29166666666666702</v>
      </c>
      <c r="D2683" s="1" t="s">
        <v>888</v>
      </c>
      <c r="E2683" s="1" t="s">
        <v>7584</v>
      </c>
      <c r="F2683" s="1" t="s">
        <v>7851</v>
      </c>
      <c r="G2683" s="39" t="s">
        <v>7616</v>
      </c>
      <c r="H2683" s="1">
        <v>1</v>
      </c>
      <c r="I2683" s="1">
        <v>1</v>
      </c>
      <c r="J2683" s="39" t="s">
        <v>7595</v>
      </c>
      <c r="K2683" s="1">
        <v>1</v>
      </c>
      <c r="L2683" s="1">
        <v>1</v>
      </c>
      <c r="S2683" s="1" t="s">
        <v>7852</v>
      </c>
      <c r="T2683" s="1">
        <v>1</v>
      </c>
      <c r="U2683" s="19"/>
      <c r="V2683" s="19"/>
      <c r="W2683" s="218">
        <v>1</v>
      </c>
      <c r="X2683" s="218">
        <v>1</v>
      </c>
      <c r="Y2683" s="218">
        <v>1</v>
      </c>
    </row>
    <row r="2684" spans="1:25" x14ac:dyDescent="0.3">
      <c r="A2684" s="1" t="s">
        <v>7853</v>
      </c>
      <c r="B2684" s="5">
        <v>46235</v>
      </c>
      <c r="C2684" s="6">
        <v>0.33333333333333398</v>
      </c>
      <c r="D2684" s="1" t="s">
        <v>888</v>
      </c>
      <c r="E2684" s="1" t="s">
        <v>7584</v>
      </c>
      <c r="F2684" s="1" t="s">
        <v>7854</v>
      </c>
      <c r="G2684" s="39" t="s">
        <v>7587</v>
      </c>
      <c r="H2684" s="1">
        <v>2</v>
      </c>
      <c r="I2684" s="1">
        <v>2</v>
      </c>
      <c r="J2684" s="39" t="s">
        <v>7621</v>
      </c>
      <c r="K2684" s="1">
        <v>2</v>
      </c>
      <c r="L2684" s="1">
        <v>2</v>
      </c>
      <c r="S2684" s="1" t="s">
        <v>7855</v>
      </c>
      <c r="T2684" s="1">
        <v>1</v>
      </c>
      <c r="U2684" s="19"/>
      <c r="V2684" s="19"/>
      <c r="W2684" s="218">
        <v>1</v>
      </c>
      <c r="X2684" s="218">
        <v>1</v>
      </c>
      <c r="Y2684" s="218">
        <v>1</v>
      </c>
    </row>
    <row r="2685" spans="1:25" x14ac:dyDescent="0.3">
      <c r="A2685" s="1" t="s">
        <v>7856</v>
      </c>
      <c r="B2685" s="5">
        <v>46235</v>
      </c>
      <c r="C2685" s="6">
        <v>0.33333333333333398</v>
      </c>
      <c r="D2685" s="1" t="s">
        <v>888</v>
      </c>
      <c r="E2685" s="1" t="s">
        <v>7584</v>
      </c>
      <c r="F2685" s="1" t="s">
        <v>7857</v>
      </c>
      <c r="G2685" s="39" t="s">
        <v>7591</v>
      </c>
      <c r="H2685" s="1">
        <v>2</v>
      </c>
      <c r="I2685" s="1">
        <v>4</v>
      </c>
      <c r="J2685" s="39" t="s">
        <v>7594</v>
      </c>
      <c r="K2685" s="1">
        <v>4</v>
      </c>
      <c r="L2685" s="1">
        <v>2</v>
      </c>
      <c r="S2685" s="1" t="s">
        <v>7858</v>
      </c>
      <c r="T2685" s="1">
        <v>1</v>
      </c>
      <c r="U2685" s="19"/>
      <c r="V2685" s="19"/>
      <c r="W2685" s="218">
        <v>1</v>
      </c>
      <c r="X2685" s="218">
        <v>1</v>
      </c>
      <c r="Y2685" s="218">
        <v>1</v>
      </c>
    </row>
    <row r="2686" spans="1:25" x14ac:dyDescent="0.3">
      <c r="A2686" s="1" t="s">
        <v>7859</v>
      </c>
      <c r="B2686" s="5">
        <v>46235</v>
      </c>
      <c r="C2686" s="6">
        <v>0.35416666666666702</v>
      </c>
      <c r="D2686" s="1" t="s">
        <v>888</v>
      </c>
      <c r="E2686" s="1" t="s">
        <v>7584</v>
      </c>
      <c r="F2686" s="1" t="s">
        <v>7860</v>
      </c>
      <c r="G2686" s="39" t="s">
        <v>7604</v>
      </c>
      <c r="H2686" s="1">
        <v>1</v>
      </c>
      <c r="I2686" s="1">
        <v>1</v>
      </c>
      <c r="J2686" s="39" t="s">
        <v>7612</v>
      </c>
      <c r="K2686" s="1">
        <v>1</v>
      </c>
      <c r="L2686" s="1">
        <v>1</v>
      </c>
      <c r="S2686" s="1" t="s">
        <v>7861</v>
      </c>
      <c r="T2686" s="1">
        <v>1</v>
      </c>
      <c r="U2686" s="19"/>
      <c r="V2686" s="19"/>
      <c r="W2686" s="218">
        <v>1</v>
      </c>
      <c r="X2686" s="218">
        <v>1</v>
      </c>
      <c r="Y2686" s="218">
        <v>1</v>
      </c>
    </row>
    <row r="2687" spans="1:25" x14ac:dyDescent="0.3">
      <c r="A2687" s="1" t="s">
        <v>7862</v>
      </c>
      <c r="B2687" s="5">
        <v>46235</v>
      </c>
      <c r="C2687" s="6">
        <v>0.35416666666666702</v>
      </c>
      <c r="D2687" s="1" t="s">
        <v>888</v>
      </c>
      <c r="E2687" s="1" t="s">
        <v>7584</v>
      </c>
      <c r="F2687" s="1" t="s">
        <v>7863</v>
      </c>
      <c r="G2687" s="39" t="s">
        <v>7608</v>
      </c>
      <c r="H2687" s="1">
        <v>5</v>
      </c>
      <c r="I2687" s="1">
        <v>1</v>
      </c>
      <c r="J2687" s="39" t="s">
        <v>7620</v>
      </c>
      <c r="K2687" s="1">
        <v>1</v>
      </c>
      <c r="L2687" s="1">
        <v>5</v>
      </c>
      <c r="S2687" s="1" t="s">
        <v>7864</v>
      </c>
      <c r="T2687" s="1">
        <v>1</v>
      </c>
      <c r="U2687" s="19"/>
      <c r="V2687" s="19"/>
      <c r="W2687" s="218">
        <v>1</v>
      </c>
      <c r="X2687" s="218">
        <v>1</v>
      </c>
      <c r="Y2687" s="218">
        <v>1</v>
      </c>
    </row>
    <row r="2688" spans="1:25" x14ac:dyDescent="0.3">
      <c r="A2688" s="1" t="s">
        <v>7865</v>
      </c>
      <c r="B2688" s="5">
        <v>46236</v>
      </c>
      <c r="C2688" s="6">
        <v>0.33333333333333398</v>
      </c>
      <c r="D2688" s="1" t="s">
        <v>888</v>
      </c>
      <c r="E2688" s="1" t="s">
        <v>7584</v>
      </c>
      <c r="F2688" s="1" t="s">
        <v>7866</v>
      </c>
      <c r="G2688" s="39" t="s">
        <v>7603</v>
      </c>
      <c r="H2688" s="1">
        <v>2</v>
      </c>
      <c r="I2688" s="1">
        <v>2</v>
      </c>
      <c r="J2688" s="39" t="s">
        <v>7599</v>
      </c>
      <c r="K2688" s="1">
        <v>2</v>
      </c>
      <c r="L2688" s="1">
        <v>2</v>
      </c>
      <c r="S2688" s="1" t="s">
        <v>7867</v>
      </c>
      <c r="T2688" s="1">
        <v>1</v>
      </c>
      <c r="U2688" s="19"/>
      <c r="V2688" s="19"/>
      <c r="W2688" s="218">
        <v>1</v>
      </c>
      <c r="X2688" s="218">
        <v>1</v>
      </c>
      <c r="Y2688" s="218">
        <v>1</v>
      </c>
    </row>
    <row r="2689" spans="1:25" x14ac:dyDescent="0.3">
      <c r="A2689" s="1" t="s">
        <v>7868</v>
      </c>
      <c r="B2689" s="5">
        <v>46236</v>
      </c>
      <c r="C2689" s="6">
        <v>0.33333333333333398</v>
      </c>
      <c r="D2689" s="1" t="s">
        <v>888</v>
      </c>
      <c r="E2689" s="1" t="s">
        <v>7584</v>
      </c>
      <c r="F2689" s="1" t="s">
        <v>7869</v>
      </c>
      <c r="G2689" s="39" t="s">
        <v>7634</v>
      </c>
      <c r="H2689" s="1">
        <v>1</v>
      </c>
      <c r="I2689" s="1">
        <v>0</v>
      </c>
      <c r="J2689" s="39" t="s">
        <v>7586</v>
      </c>
      <c r="K2689" s="1">
        <v>0</v>
      </c>
      <c r="L2689" s="1">
        <v>1</v>
      </c>
      <c r="S2689" s="1" t="s">
        <v>7870</v>
      </c>
      <c r="T2689" s="1">
        <v>1</v>
      </c>
      <c r="U2689" s="19"/>
      <c r="V2689" s="19"/>
      <c r="W2689" s="218">
        <v>1</v>
      </c>
      <c r="X2689" s="218">
        <v>1</v>
      </c>
      <c r="Y2689" s="218">
        <v>1</v>
      </c>
    </row>
    <row r="2690" spans="1:25" x14ac:dyDescent="0.3">
      <c r="A2690" s="1" t="s">
        <v>7871</v>
      </c>
      <c r="B2690" s="5">
        <v>46236</v>
      </c>
      <c r="C2690" s="6">
        <v>0.33333333333333398</v>
      </c>
      <c r="D2690" s="1" t="s">
        <v>888</v>
      </c>
      <c r="E2690" s="1" t="s">
        <v>7584</v>
      </c>
      <c r="F2690" s="1" t="s">
        <v>7872</v>
      </c>
      <c r="G2690" s="39" t="s">
        <v>7638</v>
      </c>
      <c r="H2690" s="1">
        <v>1</v>
      </c>
      <c r="I2690" s="1">
        <v>0</v>
      </c>
      <c r="J2690" s="39" t="s">
        <v>7590</v>
      </c>
      <c r="K2690" s="1">
        <v>0</v>
      </c>
      <c r="L2690" s="1">
        <v>1</v>
      </c>
      <c r="S2690" s="1" t="s">
        <v>7873</v>
      </c>
      <c r="T2690" s="1">
        <v>1</v>
      </c>
      <c r="U2690" s="19"/>
      <c r="V2690" s="19"/>
      <c r="W2690" s="218">
        <v>1</v>
      </c>
      <c r="X2690" s="218">
        <v>1</v>
      </c>
      <c r="Y2690" s="218">
        <v>1</v>
      </c>
    </row>
    <row r="2691" spans="1:25" x14ac:dyDescent="0.3">
      <c r="A2691" s="1" t="s">
        <v>7874</v>
      </c>
      <c r="B2691" s="5">
        <v>46242</v>
      </c>
      <c r="C2691" s="6">
        <v>0.33333333333333398</v>
      </c>
      <c r="D2691" s="1" t="s">
        <v>888</v>
      </c>
      <c r="E2691" s="1" t="s">
        <v>7584</v>
      </c>
      <c r="F2691" s="1" t="s">
        <v>7875</v>
      </c>
      <c r="G2691" s="39" t="s">
        <v>7638</v>
      </c>
      <c r="H2691" s="1">
        <v>2</v>
      </c>
      <c r="I2691" s="1">
        <v>1</v>
      </c>
      <c r="J2691" s="39" t="s">
        <v>7603</v>
      </c>
      <c r="K2691" s="1">
        <v>1</v>
      </c>
      <c r="L2691" s="1">
        <v>2</v>
      </c>
      <c r="S2691" s="1" t="s">
        <v>7876</v>
      </c>
      <c r="T2691" s="1">
        <v>1</v>
      </c>
      <c r="U2691" s="19"/>
      <c r="V2691" s="19"/>
      <c r="W2691" s="218">
        <v>1</v>
      </c>
      <c r="X2691" s="218">
        <v>1</v>
      </c>
      <c r="Y2691" s="218">
        <v>1</v>
      </c>
    </row>
    <row r="2692" spans="1:25" x14ac:dyDescent="0.3">
      <c r="A2692" s="1" t="s">
        <v>7877</v>
      </c>
      <c r="B2692" s="5">
        <v>46242</v>
      </c>
      <c r="C2692" s="6">
        <v>0.35416666666666702</v>
      </c>
      <c r="D2692" s="1" t="s">
        <v>888</v>
      </c>
      <c r="E2692" s="1" t="s">
        <v>7584</v>
      </c>
      <c r="F2692" s="1" t="s">
        <v>7878</v>
      </c>
      <c r="G2692" s="39" t="s">
        <v>7590</v>
      </c>
      <c r="H2692" s="1">
        <v>3</v>
      </c>
      <c r="I2692" s="1">
        <v>2</v>
      </c>
      <c r="J2692" s="39" t="s">
        <v>7612</v>
      </c>
      <c r="K2692" s="1">
        <v>2</v>
      </c>
      <c r="L2692" s="1">
        <v>3</v>
      </c>
      <c r="S2692" s="1" t="s">
        <v>7879</v>
      </c>
      <c r="T2692" s="1">
        <v>1</v>
      </c>
      <c r="U2692" s="19"/>
      <c r="V2692" s="19"/>
      <c r="W2692" s="218">
        <v>1</v>
      </c>
      <c r="X2692" s="218">
        <v>1</v>
      </c>
      <c r="Y2692" s="218">
        <v>1</v>
      </c>
    </row>
    <row r="2693" spans="1:25" x14ac:dyDescent="0.3">
      <c r="A2693" s="1" t="s">
        <v>7880</v>
      </c>
      <c r="B2693" s="5">
        <v>46242</v>
      </c>
      <c r="C2693" s="6">
        <v>0.35416666666666702</v>
      </c>
      <c r="D2693" s="1" t="s">
        <v>888</v>
      </c>
      <c r="E2693" s="1" t="s">
        <v>7584</v>
      </c>
      <c r="F2693" s="1" t="s">
        <v>7881</v>
      </c>
      <c r="G2693" s="39" t="s">
        <v>7595</v>
      </c>
      <c r="H2693" s="1">
        <v>1</v>
      </c>
      <c r="I2693" s="1">
        <v>1</v>
      </c>
      <c r="J2693" s="39" t="s">
        <v>7608</v>
      </c>
      <c r="K2693" s="1">
        <v>1</v>
      </c>
      <c r="L2693" s="1">
        <v>1</v>
      </c>
      <c r="S2693" s="1" t="s">
        <v>7882</v>
      </c>
      <c r="T2693" s="1">
        <v>1</v>
      </c>
      <c r="U2693" s="19"/>
      <c r="V2693" s="19"/>
      <c r="W2693" s="218">
        <v>1</v>
      </c>
      <c r="X2693" s="218">
        <v>1</v>
      </c>
      <c r="Y2693" s="218">
        <v>1</v>
      </c>
    </row>
    <row r="2694" spans="1:25" x14ac:dyDescent="0.3">
      <c r="A2694" s="1" t="s">
        <v>7883</v>
      </c>
      <c r="B2694" s="5">
        <v>46242</v>
      </c>
      <c r="C2694" s="6">
        <v>0.35416666666666702</v>
      </c>
      <c r="D2694" s="1" t="s">
        <v>888</v>
      </c>
      <c r="E2694" s="1" t="s">
        <v>7584</v>
      </c>
      <c r="F2694" s="1" t="s">
        <v>7884</v>
      </c>
      <c r="G2694" s="39" t="s">
        <v>7599</v>
      </c>
      <c r="H2694" s="1">
        <v>2</v>
      </c>
      <c r="I2694" s="1">
        <v>1</v>
      </c>
      <c r="J2694" s="39" t="s">
        <v>7621</v>
      </c>
      <c r="K2694" s="1">
        <v>1</v>
      </c>
      <c r="L2694" s="1">
        <v>2</v>
      </c>
      <c r="S2694" s="1" t="s">
        <v>7885</v>
      </c>
      <c r="T2694" s="1">
        <v>1</v>
      </c>
      <c r="U2694" s="19"/>
      <c r="V2694" s="19"/>
      <c r="W2694" s="218">
        <v>1</v>
      </c>
      <c r="X2694" s="218">
        <v>1</v>
      </c>
      <c r="Y2694" s="218">
        <v>1</v>
      </c>
    </row>
    <row r="2695" spans="1:25" x14ac:dyDescent="0.3">
      <c r="A2695" s="1" t="s">
        <v>7886</v>
      </c>
      <c r="B2695" s="5">
        <v>46242</v>
      </c>
      <c r="C2695" s="6">
        <v>0.375</v>
      </c>
      <c r="D2695" s="1" t="s">
        <v>888</v>
      </c>
      <c r="E2695" s="1" t="s">
        <v>7584</v>
      </c>
      <c r="F2695" s="1" t="s">
        <v>7887</v>
      </c>
      <c r="G2695" s="39" t="s">
        <v>7620</v>
      </c>
      <c r="H2695" s="1">
        <v>2</v>
      </c>
      <c r="I2695" s="1">
        <v>1</v>
      </c>
      <c r="J2695" s="39" t="s">
        <v>7587</v>
      </c>
      <c r="K2695" s="1">
        <v>1</v>
      </c>
      <c r="L2695" s="1">
        <v>2</v>
      </c>
      <c r="S2695" s="1" t="s">
        <v>7888</v>
      </c>
      <c r="T2695" s="1">
        <v>1</v>
      </c>
      <c r="U2695" s="19"/>
      <c r="V2695" s="19"/>
      <c r="W2695" s="218">
        <v>1</v>
      </c>
      <c r="X2695" s="218">
        <v>1</v>
      </c>
      <c r="Y2695" s="218">
        <v>1</v>
      </c>
    </row>
    <row r="2696" spans="1:25" x14ac:dyDescent="0.3">
      <c r="A2696" s="1" t="s">
        <v>7889</v>
      </c>
      <c r="B2696" s="5">
        <v>46243</v>
      </c>
      <c r="C2696" s="6">
        <v>0.29166666666666702</v>
      </c>
      <c r="D2696" s="1" t="s">
        <v>888</v>
      </c>
      <c r="E2696" s="1" t="s">
        <v>7584</v>
      </c>
      <c r="F2696" s="1" t="s">
        <v>7890</v>
      </c>
      <c r="G2696" s="39" t="s">
        <v>7616</v>
      </c>
      <c r="H2696" s="1">
        <v>0</v>
      </c>
      <c r="I2696" s="1">
        <v>1</v>
      </c>
      <c r="J2696" s="39" t="s">
        <v>7634</v>
      </c>
      <c r="K2696" s="1">
        <v>1</v>
      </c>
      <c r="L2696" s="1">
        <v>0</v>
      </c>
      <c r="S2696" s="1" t="s">
        <v>7891</v>
      </c>
      <c r="T2696" s="1">
        <v>1</v>
      </c>
      <c r="U2696" s="19"/>
      <c r="V2696" s="19"/>
      <c r="W2696" s="218">
        <v>1</v>
      </c>
      <c r="X2696" s="218">
        <v>1</v>
      </c>
      <c r="Y2696" s="218">
        <v>1</v>
      </c>
    </row>
    <row r="2697" spans="1:25" x14ac:dyDescent="0.3">
      <c r="A2697" s="1" t="s">
        <v>7892</v>
      </c>
      <c r="B2697" s="5">
        <v>46243</v>
      </c>
      <c r="C2697" s="6">
        <v>0.35416666666666702</v>
      </c>
      <c r="D2697" s="1" t="s">
        <v>888</v>
      </c>
      <c r="E2697" s="1" t="s">
        <v>7584</v>
      </c>
      <c r="F2697" s="1" t="s">
        <v>7893</v>
      </c>
      <c r="G2697" s="39" t="s">
        <v>7604</v>
      </c>
      <c r="H2697" s="1">
        <v>2</v>
      </c>
      <c r="I2697" s="1">
        <v>0</v>
      </c>
      <c r="J2697" s="39" t="s">
        <v>7594</v>
      </c>
      <c r="K2697" s="1">
        <v>0</v>
      </c>
      <c r="L2697" s="1">
        <v>2</v>
      </c>
      <c r="S2697" s="1" t="s">
        <v>7894</v>
      </c>
      <c r="T2697" s="1">
        <v>1</v>
      </c>
      <c r="U2697" s="19"/>
      <c r="V2697" s="19"/>
      <c r="W2697" s="218">
        <v>1</v>
      </c>
      <c r="X2697" s="218">
        <v>1</v>
      </c>
      <c r="Y2697" s="218">
        <v>1</v>
      </c>
    </row>
    <row r="2698" spans="1:25" x14ac:dyDescent="0.3">
      <c r="A2698" s="1" t="s">
        <v>4558</v>
      </c>
      <c r="B2698" s="102">
        <v>46145</v>
      </c>
      <c r="C2698" s="6">
        <v>0.70833333333333304</v>
      </c>
      <c r="D2698" s="1" t="s">
        <v>12</v>
      </c>
      <c r="E2698" s="1" t="s">
        <v>4555</v>
      </c>
      <c r="F2698" s="1" t="s">
        <v>4559</v>
      </c>
      <c r="G2698" s="39" t="s">
        <v>4560</v>
      </c>
      <c r="H2698" s="1">
        <v>1</v>
      </c>
      <c r="I2698" s="1">
        <v>0</v>
      </c>
      <c r="J2698" s="39" t="s">
        <v>4556</v>
      </c>
      <c r="K2698" s="1">
        <v>0</v>
      </c>
      <c r="L2698" s="1">
        <v>1</v>
      </c>
      <c r="S2698" s="1" t="s">
        <v>10419</v>
      </c>
      <c r="T2698" s="1">
        <v>1</v>
      </c>
      <c r="U2698" s="19"/>
      <c r="V2698" s="19"/>
      <c r="W2698" s="218">
        <v>1</v>
      </c>
      <c r="X2698" s="218">
        <v>1</v>
      </c>
      <c r="Y2698" s="218">
        <v>1</v>
      </c>
    </row>
    <row r="2699" spans="1:25" x14ac:dyDescent="0.3">
      <c r="A2699" s="1" t="s">
        <v>4561</v>
      </c>
      <c r="B2699" s="102">
        <v>46151</v>
      </c>
      <c r="C2699" s="6">
        <v>0.70833333333333304</v>
      </c>
      <c r="D2699" s="1" t="s">
        <v>12</v>
      </c>
      <c r="E2699" s="1" t="s">
        <v>4555</v>
      </c>
      <c r="F2699" s="1" t="s">
        <v>4562</v>
      </c>
      <c r="G2699" s="39" t="s">
        <v>4563</v>
      </c>
      <c r="H2699" s="1">
        <v>2</v>
      </c>
      <c r="I2699" s="1">
        <v>1</v>
      </c>
      <c r="J2699" s="39" t="s">
        <v>4556</v>
      </c>
      <c r="K2699" s="1">
        <v>1</v>
      </c>
      <c r="L2699" s="1">
        <v>2</v>
      </c>
      <c r="S2699" s="1" t="s">
        <v>10420</v>
      </c>
      <c r="T2699" s="1">
        <v>1</v>
      </c>
      <c r="U2699" s="19"/>
      <c r="V2699" s="19"/>
      <c r="W2699" s="218">
        <v>1</v>
      </c>
      <c r="X2699" s="218">
        <v>1</v>
      </c>
      <c r="Y2699" s="218">
        <v>1</v>
      </c>
    </row>
    <row r="2700" spans="1:25" x14ac:dyDescent="0.3">
      <c r="A2700" s="1" t="s">
        <v>4564</v>
      </c>
      <c r="B2700" s="102">
        <v>46159</v>
      </c>
      <c r="C2700" s="6">
        <v>0.75</v>
      </c>
      <c r="D2700" s="1" t="s">
        <v>12</v>
      </c>
      <c r="E2700" s="1" t="s">
        <v>4555</v>
      </c>
      <c r="F2700" s="1" t="s">
        <v>4565</v>
      </c>
      <c r="G2700" s="39" t="s">
        <v>4556</v>
      </c>
      <c r="H2700" s="1">
        <v>1</v>
      </c>
      <c r="I2700" s="1">
        <v>1</v>
      </c>
      <c r="J2700" s="39" t="s">
        <v>4566</v>
      </c>
      <c r="K2700" s="1">
        <v>1</v>
      </c>
      <c r="L2700" s="1">
        <v>1</v>
      </c>
      <c r="S2700" s="1" t="s">
        <v>10421</v>
      </c>
      <c r="T2700" s="1">
        <v>1</v>
      </c>
      <c r="U2700" s="19"/>
      <c r="V2700" s="19"/>
      <c r="W2700" s="218">
        <v>1</v>
      </c>
      <c r="X2700" s="218">
        <v>1</v>
      </c>
      <c r="Y2700" s="218">
        <v>1</v>
      </c>
    </row>
    <row r="2701" spans="1:25" x14ac:dyDescent="0.3">
      <c r="A2701" s="1" t="s">
        <v>4567</v>
      </c>
      <c r="B2701" s="102">
        <v>46166</v>
      </c>
      <c r="C2701" s="6">
        <v>0.6875</v>
      </c>
      <c r="D2701" s="1" t="s">
        <v>12</v>
      </c>
      <c r="E2701" s="1" t="s">
        <v>4555</v>
      </c>
      <c r="F2701" s="1" t="s">
        <v>4568</v>
      </c>
      <c r="G2701" s="39" t="s">
        <v>4569</v>
      </c>
      <c r="H2701" s="1">
        <v>1</v>
      </c>
      <c r="I2701" s="1">
        <v>0</v>
      </c>
      <c r="J2701" s="39" t="s">
        <v>4556</v>
      </c>
      <c r="K2701" s="1">
        <v>0</v>
      </c>
      <c r="L2701" s="1">
        <v>1</v>
      </c>
      <c r="S2701" s="1" t="s">
        <v>10422</v>
      </c>
      <c r="T2701" s="1">
        <v>1</v>
      </c>
      <c r="U2701" s="19"/>
      <c r="V2701" s="19"/>
      <c r="W2701" s="218">
        <v>1</v>
      </c>
      <c r="X2701" s="218">
        <v>1</v>
      </c>
      <c r="Y2701" s="218">
        <v>1</v>
      </c>
    </row>
    <row r="2702" spans="1:25" x14ac:dyDescent="0.3">
      <c r="A2702" s="1" t="s">
        <v>4570</v>
      </c>
      <c r="B2702" s="102">
        <v>46173</v>
      </c>
      <c r="C2702" s="6">
        <v>0.77083333333333304</v>
      </c>
      <c r="D2702" s="1" t="s">
        <v>12</v>
      </c>
      <c r="E2702" s="1" t="s">
        <v>4555</v>
      </c>
      <c r="F2702" s="1" t="s">
        <v>4571</v>
      </c>
      <c r="G2702" s="39" t="s">
        <v>4556</v>
      </c>
      <c r="H2702" s="1">
        <v>0</v>
      </c>
      <c r="I2702" s="1">
        <v>0</v>
      </c>
      <c r="J2702" s="39" t="s">
        <v>4572</v>
      </c>
      <c r="K2702" s="1">
        <v>0</v>
      </c>
      <c r="L2702" s="1">
        <v>0</v>
      </c>
      <c r="S2702" s="1" t="s">
        <v>10423</v>
      </c>
      <c r="T2702" s="1">
        <v>1</v>
      </c>
      <c r="U2702" s="19"/>
      <c r="V2702" s="19"/>
      <c r="W2702" s="218">
        <v>1</v>
      </c>
      <c r="X2702" s="218">
        <v>1</v>
      </c>
      <c r="Y2702" s="218">
        <v>1</v>
      </c>
    </row>
    <row r="2703" spans="1:25" x14ac:dyDescent="0.3">
      <c r="A2703" s="1" t="s">
        <v>4573</v>
      </c>
      <c r="B2703" s="102">
        <v>46186</v>
      </c>
      <c r="C2703" s="6">
        <v>0.66666666666666696</v>
      </c>
      <c r="D2703" s="1" t="s">
        <v>12</v>
      </c>
      <c r="E2703" s="1" t="s">
        <v>4555</v>
      </c>
      <c r="F2703" s="1" t="s">
        <v>4574</v>
      </c>
      <c r="G2703" s="39" t="s">
        <v>4575</v>
      </c>
      <c r="H2703" s="1">
        <v>1</v>
      </c>
      <c r="I2703" s="1">
        <v>0</v>
      </c>
      <c r="J2703" s="39" t="s">
        <v>4556</v>
      </c>
      <c r="K2703" s="1">
        <v>0</v>
      </c>
      <c r="L2703" s="1">
        <v>1</v>
      </c>
      <c r="S2703" s="1" t="s">
        <v>10424</v>
      </c>
      <c r="T2703" s="1">
        <v>1</v>
      </c>
      <c r="U2703" s="19"/>
      <c r="V2703" s="19"/>
      <c r="W2703" s="218">
        <v>1</v>
      </c>
      <c r="X2703" s="218">
        <v>1</v>
      </c>
      <c r="Y2703" s="218">
        <v>1</v>
      </c>
    </row>
    <row r="2704" spans="1:25" x14ac:dyDescent="0.3">
      <c r="A2704" s="1" t="s">
        <v>4576</v>
      </c>
      <c r="B2704" s="102">
        <v>46193</v>
      </c>
      <c r="C2704" s="6">
        <v>0.6875</v>
      </c>
      <c r="D2704" s="1" t="s">
        <v>12</v>
      </c>
      <c r="E2704" s="1" t="s">
        <v>4555</v>
      </c>
      <c r="F2704" s="1" t="s">
        <v>4577</v>
      </c>
      <c r="G2704" s="39" t="s">
        <v>4556</v>
      </c>
      <c r="H2704" s="1">
        <v>2</v>
      </c>
      <c r="I2704" s="1">
        <v>0</v>
      </c>
      <c r="J2704" s="39" t="s">
        <v>4578</v>
      </c>
      <c r="K2704" s="1">
        <v>0</v>
      </c>
      <c r="L2704" s="1">
        <v>2</v>
      </c>
      <c r="S2704" s="1" t="s">
        <v>10425</v>
      </c>
      <c r="T2704" s="1">
        <v>1</v>
      </c>
      <c r="U2704" s="19"/>
      <c r="V2704" s="19"/>
      <c r="W2704" s="218">
        <v>1</v>
      </c>
      <c r="X2704" s="218">
        <v>1</v>
      </c>
      <c r="Y2704" s="218">
        <v>1</v>
      </c>
    </row>
    <row r="2705" spans="1:25" x14ac:dyDescent="0.3">
      <c r="A2705" s="1" t="s">
        <v>4579</v>
      </c>
      <c r="B2705" s="102">
        <v>46203</v>
      </c>
      <c r="C2705" s="6">
        <v>0.8125</v>
      </c>
      <c r="D2705" s="1" t="s">
        <v>12</v>
      </c>
      <c r="E2705" s="1" t="s">
        <v>4555</v>
      </c>
      <c r="F2705" s="1" t="s">
        <v>4580</v>
      </c>
      <c r="G2705" s="39" t="s">
        <v>4581</v>
      </c>
      <c r="H2705" s="1">
        <v>1</v>
      </c>
      <c r="I2705" s="1">
        <v>1</v>
      </c>
      <c r="J2705" s="39" t="s">
        <v>4556</v>
      </c>
      <c r="K2705" s="1">
        <v>1</v>
      </c>
      <c r="L2705" s="1">
        <v>1</v>
      </c>
      <c r="S2705" s="1" t="s">
        <v>10426</v>
      </c>
      <c r="T2705" s="1">
        <v>1</v>
      </c>
      <c r="U2705" s="19"/>
      <c r="V2705" s="19"/>
      <c r="W2705" s="218">
        <v>1</v>
      </c>
      <c r="X2705" s="218">
        <v>1</v>
      </c>
      <c r="Y2705" s="218">
        <v>1</v>
      </c>
    </row>
    <row r="2706" spans="1:25" x14ac:dyDescent="0.3">
      <c r="A2706" s="1" t="s">
        <v>4582</v>
      </c>
      <c r="B2706" s="102">
        <v>46208</v>
      </c>
      <c r="C2706" s="6">
        <v>0.875</v>
      </c>
      <c r="D2706" s="1" t="s">
        <v>12</v>
      </c>
      <c r="E2706" s="1" t="s">
        <v>4555</v>
      </c>
      <c r="F2706" s="1" t="s">
        <v>4583</v>
      </c>
      <c r="G2706" s="39" t="s">
        <v>4556</v>
      </c>
      <c r="H2706" s="1">
        <v>0</v>
      </c>
      <c r="I2706" s="1">
        <v>2</v>
      </c>
      <c r="J2706" s="39" t="s">
        <v>4584</v>
      </c>
      <c r="K2706" s="1">
        <v>2</v>
      </c>
      <c r="L2706" s="1">
        <v>0</v>
      </c>
      <c r="S2706" s="1" t="s">
        <v>7932</v>
      </c>
      <c r="T2706" s="1">
        <v>1</v>
      </c>
      <c r="U2706" s="19"/>
      <c r="V2706" s="19"/>
      <c r="W2706" s="218">
        <v>1</v>
      </c>
      <c r="X2706" s="218">
        <v>1</v>
      </c>
      <c r="Y2706" s="218">
        <v>1</v>
      </c>
    </row>
    <row r="2707" spans="1:25" x14ac:dyDescent="0.3">
      <c r="A2707" s="1" t="s">
        <v>4585</v>
      </c>
      <c r="B2707" s="102">
        <v>46215</v>
      </c>
      <c r="C2707" s="6">
        <v>0.66666666666666696</v>
      </c>
      <c r="D2707" s="1" t="s">
        <v>12</v>
      </c>
      <c r="E2707" s="1" t="s">
        <v>4555</v>
      </c>
      <c r="F2707" s="1" t="s">
        <v>4586</v>
      </c>
      <c r="G2707" s="39" t="s">
        <v>4556</v>
      </c>
      <c r="H2707" s="1">
        <v>0</v>
      </c>
      <c r="I2707" s="1">
        <v>1</v>
      </c>
      <c r="J2707" s="39" t="s">
        <v>4587</v>
      </c>
      <c r="K2707" s="1">
        <v>1</v>
      </c>
      <c r="L2707" s="1">
        <v>0</v>
      </c>
      <c r="S2707" s="1" t="s">
        <v>10427</v>
      </c>
      <c r="T2707" s="1">
        <v>1</v>
      </c>
      <c r="U2707" s="19"/>
      <c r="V2707" s="19"/>
      <c r="W2707" s="218">
        <v>1</v>
      </c>
      <c r="X2707" s="218">
        <v>1</v>
      </c>
      <c r="Y2707" s="218">
        <v>1</v>
      </c>
    </row>
    <row r="2708" spans="1:25" x14ac:dyDescent="0.3">
      <c r="A2708" s="1" t="s">
        <v>4588</v>
      </c>
      <c r="B2708" s="102">
        <v>46228</v>
      </c>
      <c r="C2708" s="6">
        <v>0.79166666666666696</v>
      </c>
      <c r="D2708" s="1" t="s">
        <v>12</v>
      </c>
      <c r="E2708" s="1" t="s">
        <v>4555</v>
      </c>
      <c r="F2708" s="1" t="s">
        <v>4589</v>
      </c>
      <c r="G2708" s="39" t="s">
        <v>4590</v>
      </c>
      <c r="H2708" s="1">
        <v>1</v>
      </c>
      <c r="I2708" s="1">
        <v>4</v>
      </c>
      <c r="J2708" s="39" t="s">
        <v>4556</v>
      </c>
      <c r="K2708" s="1">
        <v>4</v>
      </c>
      <c r="L2708" s="1">
        <v>1</v>
      </c>
      <c r="S2708" s="1" t="s">
        <v>10428</v>
      </c>
      <c r="T2708" s="1">
        <v>1</v>
      </c>
      <c r="U2708" s="19"/>
      <c r="V2708" s="19"/>
      <c r="W2708" s="218">
        <v>1</v>
      </c>
      <c r="X2708" s="218">
        <v>1</v>
      </c>
      <c r="Y2708" s="218">
        <v>1</v>
      </c>
    </row>
    <row r="2709" spans="1:25" x14ac:dyDescent="0.3">
      <c r="A2709" s="1" t="s">
        <v>4592</v>
      </c>
      <c r="B2709" s="102">
        <v>46144</v>
      </c>
      <c r="C2709" s="6">
        <v>0.70833333333333304</v>
      </c>
      <c r="D2709" s="1" t="s">
        <v>12</v>
      </c>
      <c r="E2709" s="1" t="s">
        <v>4555</v>
      </c>
      <c r="F2709" s="1" t="s">
        <v>4593</v>
      </c>
      <c r="G2709" s="39" t="s">
        <v>4591</v>
      </c>
      <c r="H2709" s="1">
        <v>1</v>
      </c>
      <c r="I2709" s="1">
        <v>0</v>
      </c>
      <c r="J2709" s="39" t="s">
        <v>4594</v>
      </c>
      <c r="K2709" s="1">
        <v>0</v>
      </c>
      <c r="L2709" s="1">
        <v>1</v>
      </c>
      <c r="S2709" s="1" t="s">
        <v>10429</v>
      </c>
      <c r="T2709" s="1">
        <v>1</v>
      </c>
      <c r="U2709" s="19"/>
      <c r="V2709" s="19"/>
      <c r="W2709" s="218">
        <v>1</v>
      </c>
      <c r="X2709" s="218">
        <v>1</v>
      </c>
      <c r="Y2709" s="218">
        <v>1</v>
      </c>
    </row>
    <row r="2710" spans="1:25" x14ac:dyDescent="0.3">
      <c r="A2710" s="1" t="s">
        <v>4595</v>
      </c>
      <c r="B2710" s="102">
        <v>46153</v>
      </c>
      <c r="C2710" s="6">
        <v>0.83333333333333304</v>
      </c>
      <c r="D2710" s="1" t="s">
        <v>12</v>
      </c>
      <c r="E2710" s="1" t="s">
        <v>4555</v>
      </c>
      <c r="F2710" s="1" t="s">
        <v>4596</v>
      </c>
      <c r="G2710" s="39" t="s">
        <v>4587</v>
      </c>
      <c r="H2710" s="1">
        <v>0</v>
      </c>
      <c r="I2710" s="1">
        <v>5</v>
      </c>
      <c r="J2710" s="39" t="s">
        <v>4591</v>
      </c>
      <c r="K2710" s="1">
        <v>5</v>
      </c>
      <c r="L2710" s="1">
        <v>0</v>
      </c>
      <c r="S2710" s="1" t="s">
        <v>10430</v>
      </c>
      <c r="T2710" s="1">
        <v>1</v>
      </c>
      <c r="U2710" s="19"/>
      <c r="V2710" s="19"/>
      <c r="W2710" s="218">
        <v>1</v>
      </c>
      <c r="X2710" s="218">
        <v>1</v>
      </c>
      <c r="Y2710" s="218">
        <v>1</v>
      </c>
    </row>
    <row r="2711" spans="1:25" x14ac:dyDescent="0.3">
      <c r="A2711" s="1" t="s">
        <v>4597</v>
      </c>
      <c r="B2711" s="102">
        <v>46159</v>
      </c>
      <c r="C2711" s="6">
        <v>0.77083333333333304</v>
      </c>
      <c r="D2711" s="1" t="s">
        <v>12</v>
      </c>
      <c r="E2711" s="1" t="s">
        <v>4555</v>
      </c>
      <c r="F2711" s="1" t="s">
        <v>4598</v>
      </c>
      <c r="G2711" s="39" t="s">
        <v>4591</v>
      </c>
      <c r="H2711" s="1">
        <v>1</v>
      </c>
      <c r="I2711" s="1">
        <v>3</v>
      </c>
      <c r="J2711" s="39" t="s">
        <v>4599</v>
      </c>
      <c r="K2711" s="1">
        <v>3</v>
      </c>
      <c r="L2711" s="1">
        <v>1</v>
      </c>
      <c r="S2711" s="1" t="s">
        <v>10431</v>
      </c>
      <c r="T2711" s="1">
        <v>1</v>
      </c>
      <c r="U2711" s="19"/>
      <c r="V2711" s="19"/>
      <c r="W2711" s="218">
        <v>1</v>
      </c>
      <c r="X2711" s="218">
        <v>1</v>
      </c>
      <c r="Y2711" s="218">
        <v>1</v>
      </c>
    </row>
    <row r="2712" spans="1:25" x14ac:dyDescent="0.3">
      <c r="A2712" s="1" t="s">
        <v>4600</v>
      </c>
      <c r="B2712" s="102">
        <v>46165</v>
      </c>
      <c r="C2712" s="6">
        <v>0.70833333333333304</v>
      </c>
      <c r="D2712" s="1" t="s">
        <v>12</v>
      </c>
      <c r="E2712" s="1" t="s">
        <v>4555</v>
      </c>
      <c r="F2712" s="1" t="s">
        <v>4601</v>
      </c>
      <c r="G2712" s="39" t="s">
        <v>4566</v>
      </c>
      <c r="H2712" s="1">
        <v>0</v>
      </c>
      <c r="I2712" s="1">
        <v>2</v>
      </c>
      <c r="J2712" s="39" t="s">
        <v>4591</v>
      </c>
      <c r="K2712" s="1">
        <v>2</v>
      </c>
      <c r="L2712" s="1">
        <v>0</v>
      </c>
      <c r="S2712" s="1" t="s">
        <v>10432</v>
      </c>
      <c r="T2712" s="1">
        <v>1</v>
      </c>
      <c r="U2712" s="19"/>
      <c r="V2712" s="19"/>
      <c r="W2712" s="218">
        <v>1</v>
      </c>
      <c r="X2712" s="218">
        <v>1</v>
      </c>
      <c r="Y2712" s="218">
        <v>1</v>
      </c>
    </row>
    <row r="2713" spans="1:25" x14ac:dyDescent="0.3">
      <c r="A2713" s="1" t="s">
        <v>4602</v>
      </c>
      <c r="B2713" s="102">
        <v>46173</v>
      </c>
      <c r="C2713" s="6">
        <v>0.66666666666666696</v>
      </c>
      <c r="D2713" s="1" t="s">
        <v>12</v>
      </c>
      <c r="E2713" s="1" t="s">
        <v>4555</v>
      </c>
      <c r="F2713" s="1" t="s">
        <v>4603</v>
      </c>
      <c r="G2713" s="39" t="s">
        <v>4591</v>
      </c>
      <c r="H2713" s="1">
        <v>5</v>
      </c>
      <c r="I2713" s="1">
        <v>0</v>
      </c>
      <c r="J2713" s="39" t="s">
        <v>4575</v>
      </c>
      <c r="K2713" s="1">
        <v>0</v>
      </c>
      <c r="L2713" s="1">
        <v>5</v>
      </c>
      <c r="S2713" s="1" t="s">
        <v>10433</v>
      </c>
      <c r="T2713" s="1">
        <v>1</v>
      </c>
      <c r="U2713" s="19"/>
      <c r="V2713" s="19"/>
      <c r="W2713" s="218">
        <v>1</v>
      </c>
      <c r="X2713" s="218">
        <v>1</v>
      </c>
      <c r="Y2713" s="218">
        <v>1</v>
      </c>
    </row>
    <row r="2714" spans="1:25" x14ac:dyDescent="0.3">
      <c r="A2714" s="1" t="s">
        <v>4604</v>
      </c>
      <c r="B2714" s="102">
        <v>46186</v>
      </c>
      <c r="C2714" s="6">
        <v>0.45833333333333298</v>
      </c>
      <c r="D2714" s="1" t="s">
        <v>12</v>
      </c>
      <c r="E2714" s="1" t="s">
        <v>4555</v>
      </c>
      <c r="F2714" s="1" t="s">
        <v>4605</v>
      </c>
      <c r="G2714" s="39" t="s">
        <v>4591</v>
      </c>
      <c r="H2714" s="1">
        <v>2</v>
      </c>
      <c r="I2714" s="1">
        <v>1</v>
      </c>
      <c r="J2714" s="39" t="s">
        <v>4581</v>
      </c>
      <c r="K2714" s="1">
        <v>1</v>
      </c>
      <c r="L2714" s="1">
        <v>2</v>
      </c>
      <c r="S2714" s="1" t="s">
        <v>10434</v>
      </c>
      <c r="T2714" s="1">
        <v>1</v>
      </c>
      <c r="U2714" s="19"/>
      <c r="V2714" s="19"/>
      <c r="W2714" s="218">
        <v>1</v>
      </c>
      <c r="X2714" s="218">
        <v>1</v>
      </c>
      <c r="Y2714" s="218">
        <v>1</v>
      </c>
    </row>
    <row r="2715" spans="1:25" x14ac:dyDescent="0.3">
      <c r="A2715" s="1" t="s">
        <v>4606</v>
      </c>
      <c r="B2715" s="102">
        <v>46195</v>
      </c>
      <c r="C2715" s="6">
        <v>0.8125</v>
      </c>
      <c r="D2715" s="1" t="s">
        <v>12</v>
      </c>
      <c r="E2715" s="1" t="s">
        <v>4555</v>
      </c>
      <c r="F2715" s="1" t="s">
        <v>4607</v>
      </c>
      <c r="G2715" s="39" t="s">
        <v>4608</v>
      </c>
      <c r="H2715" s="1">
        <v>2</v>
      </c>
      <c r="I2715" s="1">
        <v>0</v>
      </c>
      <c r="J2715" s="39" t="s">
        <v>4591</v>
      </c>
      <c r="K2715" s="1">
        <v>0</v>
      </c>
      <c r="L2715" s="1">
        <v>2</v>
      </c>
      <c r="S2715" s="1" t="s">
        <v>10435</v>
      </c>
      <c r="T2715" s="1">
        <v>1</v>
      </c>
      <c r="U2715" s="19"/>
      <c r="V2715" s="19"/>
      <c r="W2715" s="218">
        <v>1</v>
      </c>
      <c r="X2715" s="218">
        <v>1</v>
      </c>
      <c r="Y2715" s="218">
        <v>1</v>
      </c>
    </row>
    <row r="2716" spans="1:25" x14ac:dyDescent="0.3">
      <c r="A2716" s="1" t="s">
        <v>4609</v>
      </c>
      <c r="B2716" s="102">
        <v>46201</v>
      </c>
      <c r="C2716" s="6">
        <v>0.45833333333333298</v>
      </c>
      <c r="D2716" s="1" t="s">
        <v>12</v>
      </c>
      <c r="E2716" s="1" t="s">
        <v>4555</v>
      </c>
      <c r="F2716" s="1" t="s">
        <v>4610</v>
      </c>
      <c r="G2716" s="39" t="s">
        <v>4557</v>
      </c>
      <c r="H2716" s="1">
        <v>1</v>
      </c>
      <c r="I2716" s="1">
        <v>1</v>
      </c>
      <c r="J2716" s="39" t="s">
        <v>4591</v>
      </c>
      <c r="K2716" s="1">
        <v>1</v>
      </c>
      <c r="L2716" s="1">
        <v>1</v>
      </c>
      <c r="S2716" s="1" t="s">
        <v>10436</v>
      </c>
      <c r="T2716" s="1">
        <v>1</v>
      </c>
      <c r="U2716" s="19"/>
      <c r="V2716" s="19"/>
      <c r="W2716" s="218">
        <v>1</v>
      </c>
      <c r="X2716" s="218">
        <v>1</v>
      </c>
      <c r="Y2716" s="218">
        <v>1</v>
      </c>
    </row>
    <row r="2717" spans="1:25" x14ac:dyDescent="0.3">
      <c r="A2717" s="1" t="s">
        <v>4611</v>
      </c>
      <c r="B2717" s="102">
        <v>46207</v>
      </c>
      <c r="C2717" s="6">
        <v>0.85416666666666696</v>
      </c>
      <c r="D2717" s="1" t="s">
        <v>12</v>
      </c>
      <c r="E2717" s="1" t="s">
        <v>4555</v>
      </c>
      <c r="F2717" s="1" t="s">
        <v>4612</v>
      </c>
      <c r="G2717" s="39" t="s">
        <v>4591</v>
      </c>
      <c r="H2717" s="1">
        <v>0</v>
      </c>
      <c r="I2717" s="1">
        <v>0</v>
      </c>
      <c r="J2717" s="39" t="s">
        <v>4613</v>
      </c>
      <c r="K2717" s="1">
        <v>0</v>
      </c>
      <c r="L2717" s="1">
        <v>0</v>
      </c>
      <c r="S2717" s="1" t="s">
        <v>10437</v>
      </c>
      <c r="T2717" s="1">
        <v>1</v>
      </c>
      <c r="U2717" s="19"/>
      <c r="V2717" s="19"/>
      <c r="W2717" s="218">
        <v>1</v>
      </c>
      <c r="X2717" s="218">
        <v>1</v>
      </c>
      <c r="Y2717" s="218">
        <v>1</v>
      </c>
    </row>
    <row r="2718" spans="1:25" x14ac:dyDescent="0.3">
      <c r="A2718" s="1" t="s">
        <v>4614</v>
      </c>
      <c r="B2718" s="102">
        <v>46215</v>
      </c>
      <c r="C2718" s="6">
        <v>0.66666666666666696</v>
      </c>
      <c r="D2718" s="1" t="s">
        <v>12</v>
      </c>
      <c r="E2718" s="1" t="s">
        <v>4555</v>
      </c>
      <c r="F2718" s="1" t="s">
        <v>4615</v>
      </c>
      <c r="G2718" s="39" t="s">
        <v>4563</v>
      </c>
      <c r="H2718" s="1">
        <v>3</v>
      </c>
      <c r="I2718" s="1">
        <v>2</v>
      </c>
      <c r="J2718" s="39" t="s">
        <v>4591</v>
      </c>
      <c r="K2718" s="1">
        <v>2</v>
      </c>
      <c r="L2718" s="1">
        <v>3</v>
      </c>
      <c r="S2718" s="1" t="s">
        <v>10438</v>
      </c>
      <c r="T2718" s="1">
        <v>1</v>
      </c>
      <c r="U2718" s="19"/>
      <c r="V2718" s="19"/>
      <c r="W2718" s="218">
        <v>1</v>
      </c>
      <c r="X2718" s="218">
        <v>1</v>
      </c>
      <c r="Y2718" s="218">
        <v>1</v>
      </c>
    </row>
    <row r="2719" spans="1:25" x14ac:dyDescent="0.3">
      <c r="A2719" s="1" t="s">
        <v>4616</v>
      </c>
      <c r="B2719" s="102">
        <v>46230</v>
      </c>
      <c r="C2719" s="6">
        <v>0.83333333333333304</v>
      </c>
      <c r="D2719" s="1" t="s">
        <v>12</v>
      </c>
      <c r="E2719" s="1" t="s">
        <v>4555</v>
      </c>
      <c r="F2719" s="1" t="s">
        <v>4617</v>
      </c>
      <c r="G2719" s="39" t="s">
        <v>4591</v>
      </c>
      <c r="H2719" s="1">
        <v>3</v>
      </c>
      <c r="I2719" s="1">
        <v>1</v>
      </c>
      <c r="J2719" s="39" t="s">
        <v>4618</v>
      </c>
      <c r="K2719" s="1">
        <v>1</v>
      </c>
      <c r="L2719" s="1">
        <v>3</v>
      </c>
      <c r="S2719" s="1" t="s">
        <v>10439</v>
      </c>
      <c r="T2719" s="1">
        <v>1</v>
      </c>
      <c r="U2719" s="19"/>
      <c r="V2719" s="19"/>
      <c r="W2719" s="218">
        <v>1</v>
      </c>
      <c r="X2719" s="218">
        <v>1</v>
      </c>
      <c r="Y2719" s="218">
        <v>1</v>
      </c>
    </row>
    <row r="2720" spans="1:25" x14ac:dyDescent="0.3">
      <c r="A2720" s="1" t="s">
        <v>4619</v>
      </c>
      <c r="B2720" s="102">
        <v>46145</v>
      </c>
      <c r="C2720" s="6">
        <v>0.79166666666666696</v>
      </c>
      <c r="D2720" s="1" t="s">
        <v>12</v>
      </c>
      <c r="E2720" s="1" t="s">
        <v>4555</v>
      </c>
      <c r="F2720" s="1" t="s">
        <v>4620</v>
      </c>
      <c r="G2720" s="39" t="s">
        <v>4563</v>
      </c>
      <c r="H2720" s="1">
        <v>4</v>
      </c>
      <c r="I2720" s="1">
        <v>2</v>
      </c>
      <c r="J2720" s="39" t="s">
        <v>4584</v>
      </c>
      <c r="K2720" s="1">
        <v>2</v>
      </c>
      <c r="L2720" s="1">
        <v>4</v>
      </c>
      <c r="S2720" s="1" t="s">
        <v>10440</v>
      </c>
      <c r="T2720" s="1">
        <v>1</v>
      </c>
      <c r="U2720" s="19"/>
      <c r="V2720" s="19"/>
      <c r="W2720" s="218">
        <v>0</v>
      </c>
      <c r="X2720" s="218">
        <v>1</v>
      </c>
      <c r="Y2720" s="218">
        <v>1</v>
      </c>
    </row>
    <row r="2721" spans="1:25" x14ac:dyDescent="0.3">
      <c r="A2721" s="1" t="s">
        <v>4621</v>
      </c>
      <c r="B2721" s="102">
        <v>46159</v>
      </c>
      <c r="C2721" s="6">
        <v>0.66666666666666696</v>
      </c>
      <c r="D2721" s="1" t="s">
        <v>12</v>
      </c>
      <c r="E2721" s="1" t="s">
        <v>4555</v>
      </c>
      <c r="F2721" s="1" t="s">
        <v>4622</v>
      </c>
      <c r="G2721" s="39" t="s">
        <v>4581</v>
      </c>
      <c r="H2721" s="1">
        <v>2</v>
      </c>
      <c r="I2721" s="1">
        <v>0</v>
      </c>
      <c r="J2721" s="39" t="s">
        <v>4563</v>
      </c>
      <c r="K2721" s="1">
        <v>0</v>
      </c>
      <c r="L2721" s="1">
        <v>2</v>
      </c>
      <c r="S2721" s="1" t="s">
        <v>10441</v>
      </c>
      <c r="T2721" s="1">
        <v>1</v>
      </c>
      <c r="U2721" s="19"/>
      <c r="V2721" s="19"/>
      <c r="W2721" s="218">
        <v>1</v>
      </c>
      <c r="X2721" s="218">
        <v>1</v>
      </c>
      <c r="Y2721" s="218">
        <v>1</v>
      </c>
    </row>
    <row r="2722" spans="1:25" x14ac:dyDescent="0.3">
      <c r="A2722" s="1" t="s">
        <v>4623</v>
      </c>
      <c r="B2722" s="102">
        <v>46167</v>
      </c>
      <c r="C2722" s="6">
        <v>0.83333333333333304</v>
      </c>
      <c r="D2722" s="1" t="s">
        <v>12</v>
      </c>
      <c r="E2722" s="1" t="s">
        <v>4555</v>
      </c>
      <c r="F2722" s="1" t="s">
        <v>4624</v>
      </c>
      <c r="G2722" s="39" t="s">
        <v>4563</v>
      </c>
      <c r="H2722" s="1">
        <v>2</v>
      </c>
      <c r="I2722" s="1">
        <v>1</v>
      </c>
      <c r="J2722" s="39" t="s">
        <v>4613</v>
      </c>
      <c r="K2722" s="1">
        <v>1</v>
      </c>
      <c r="L2722" s="1">
        <v>2</v>
      </c>
      <c r="S2722" s="1" t="s">
        <v>10442</v>
      </c>
      <c r="T2722" s="1">
        <v>1</v>
      </c>
      <c r="U2722" s="19"/>
      <c r="V2722" s="19"/>
      <c r="W2722" s="218">
        <v>1</v>
      </c>
      <c r="X2722" s="218">
        <v>1</v>
      </c>
      <c r="Y2722" s="218">
        <v>1</v>
      </c>
    </row>
    <row r="2723" spans="1:25" x14ac:dyDescent="0.3">
      <c r="A2723" s="1" t="s">
        <v>4625</v>
      </c>
      <c r="B2723" s="102">
        <v>46173</v>
      </c>
      <c r="C2723" s="6">
        <v>0.85416666666666696</v>
      </c>
      <c r="D2723" s="1" t="s">
        <v>12</v>
      </c>
      <c r="E2723" s="1" t="s">
        <v>4555</v>
      </c>
      <c r="F2723" s="1" t="s">
        <v>4626</v>
      </c>
      <c r="G2723" s="39" t="s">
        <v>4557</v>
      </c>
      <c r="H2723" s="1">
        <v>2</v>
      </c>
      <c r="I2723" s="1">
        <v>1</v>
      </c>
      <c r="J2723" s="39" t="s">
        <v>4563</v>
      </c>
      <c r="K2723" s="1">
        <v>1</v>
      </c>
      <c r="L2723" s="1">
        <v>2</v>
      </c>
      <c r="S2723" s="1" t="s">
        <v>10443</v>
      </c>
      <c r="T2723" s="1">
        <v>1</v>
      </c>
      <c r="U2723" s="19"/>
      <c r="V2723" s="19"/>
      <c r="W2723" s="218">
        <v>1</v>
      </c>
      <c r="X2723" s="218">
        <v>1</v>
      </c>
      <c r="Y2723" s="218">
        <v>1</v>
      </c>
    </row>
    <row r="2724" spans="1:25" x14ac:dyDescent="0.3">
      <c r="A2724" s="1" t="s">
        <v>4627</v>
      </c>
      <c r="B2724" s="102">
        <v>46187</v>
      </c>
      <c r="C2724" s="6">
        <v>0.66666666666666696</v>
      </c>
      <c r="D2724" s="1" t="s">
        <v>12</v>
      </c>
      <c r="E2724" s="1" t="s">
        <v>4555</v>
      </c>
      <c r="F2724" s="1" t="s">
        <v>4628</v>
      </c>
      <c r="G2724" s="39" t="s">
        <v>4563</v>
      </c>
      <c r="H2724" s="1">
        <v>1</v>
      </c>
      <c r="I2724" s="1">
        <v>2</v>
      </c>
      <c r="J2724" s="39" t="s">
        <v>4618</v>
      </c>
      <c r="K2724" s="1">
        <v>2</v>
      </c>
      <c r="L2724" s="1">
        <v>1</v>
      </c>
      <c r="S2724" s="1" t="s">
        <v>10444</v>
      </c>
      <c r="T2724" s="1">
        <v>1</v>
      </c>
      <c r="U2724" s="19"/>
      <c r="V2724" s="19"/>
      <c r="W2724" s="218">
        <v>1</v>
      </c>
      <c r="X2724" s="218">
        <v>1</v>
      </c>
      <c r="Y2724" s="218">
        <v>1</v>
      </c>
    </row>
    <row r="2725" spans="1:25" x14ac:dyDescent="0.3">
      <c r="A2725" s="1" t="s">
        <v>4629</v>
      </c>
      <c r="B2725" s="102">
        <v>46194</v>
      </c>
      <c r="C2725" s="6">
        <v>0.875</v>
      </c>
      <c r="D2725" s="1" t="s">
        <v>12</v>
      </c>
      <c r="E2725" s="1" t="s">
        <v>4555</v>
      </c>
      <c r="F2725" s="1" t="s">
        <v>4630</v>
      </c>
      <c r="G2725" s="39" t="s">
        <v>4572</v>
      </c>
      <c r="H2725" s="1">
        <v>0</v>
      </c>
      <c r="I2725" s="1">
        <v>1</v>
      </c>
      <c r="J2725" s="39" t="s">
        <v>4563</v>
      </c>
      <c r="K2725" s="1">
        <v>1</v>
      </c>
      <c r="L2725" s="1">
        <v>0</v>
      </c>
      <c r="S2725" s="1" t="s">
        <v>10445</v>
      </c>
      <c r="T2725" s="1">
        <v>1</v>
      </c>
      <c r="U2725" s="19"/>
      <c r="V2725" s="19"/>
      <c r="W2725" s="218">
        <v>1</v>
      </c>
      <c r="X2725" s="218">
        <v>1</v>
      </c>
      <c r="Y2725" s="218">
        <v>1</v>
      </c>
    </row>
    <row r="2726" spans="1:25" x14ac:dyDescent="0.3">
      <c r="A2726" s="1" t="s">
        <v>4631</v>
      </c>
      <c r="B2726" s="102">
        <v>46200</v>
      </c>
      <c r="C2726" s="6">
        <v>0.70833333333333304</v>
      </c>
      <c r="D2726" s="1" t="s">
        <v>12</v>
      </c>
      <c r="E2726" s="1" t="s">
        <v>4555</v>
      </c>
      <c r="F2726" s="1" t="s">
        <v>4632</v>
      </c>
      <c r="G2726" s="39" t="s">
        <v>4563</v>
      </c>
      <c r="H2726" s="1">
        <v>1</v>
      </c>
      <c r="I2726" s="1">
        <v>3</v>
      </c>
      <c r="J2726" s="39" t="s">
        <v>4594</v>
      </c>
      <c r="K2726" s="1">
        <v>3</v>
      </c>
      <c r="L2726" s="1">
        <v>1</v>
      </c>
      <c r="S2726" s="1" t="s">
        <v>10446</v>
      </c>
      <c r="T2726" s="1">
        <v>1</v>
      </c>
      <c r="U2726" s="19"/>
      <c r="V2726" s="19"/>
      <c r="W2726" s="218">
        <v>1</v>
      </c>
      <c r="X2726" s="218">
        <v>1</v>
      </c>
      <c r="Y2726" s="218">
        <v>1</v>
      </c>
    </row>
    <row r="2727" spans="1:25" x14ac:dyDescent="0.3">
      <c r="A2727" s="1" t="s">
        <v>4633</v>
      </c>
      <c r="B2727" s="102">
        <v>46208</v>
      </c>
      <c r="C2727" s="6">
        <v>0.45833333333333298</v>
      </c>
      <c r="D2727" s="1" t="s">
        <v>12</v>
      </c>
      <c r="E2727" s="1" t="s">
        <v>4555</v>
      </c>
      <c r="F2727" s="1" t="s">
        <v>4634</v>
      </c>
      <c r="G2727" s="39" t="s">
        <v>4635</v>
      </c>
      <c r="H2727" s="1">
        <v>1</v>
      </c>
      <c r="I2727" s="1">
        <v>0</v>
      </c>
      <c r="J2727" s="39" t="s">
        <v>4563</v>
      </c>
      <c r="K2727" s="1">
        <v>0</v>
      </c>
      <c r="L2727" s="1">
        <v>1</v>
      </c>
      <c r="S2727" s="1" t="s">
        <v>10447</v>
      </c>
      <c r="T2727" s="1">
        <v>1</v>
      </c>
      <c r="U2727" s="19"/>
      <c r="V2727" s="19"/>
      <c r="W2727" s="218">
        <v>1</v>
      </c>
      <c r="X2727" s="218">
        <v>1</v>
      </c>
      <c r="Y2727" s="218">
        <v>1</v>
      </c>
    </row>
    <row r="2728" spans="1:25" x14ac:dyDescent="0.3">
      <c r="A2728" s="1" t="s">
        <v>4636</v>
      </c>
      <c r="B2728" s="102">
        <v>46229</v>
      </c>
      <c r="C2728" s="6">
        <v>0.85416666666666696</v>
      </c>
      <c r="D2728" s="1" t="s">
        <v>12</v>
      </c>
      <c r="E2728" s="1" t="s">
        <v>4555</v>
      </c>
      <c r="F2728" s="1" t="s">
        <v>4637</v>
      </c>
      <c r="G2728" s="39" t="s">
        <v>4575</v>
      </c>
      <c r="H2728" s="1">
        <v>2</v>
      </c>
      <c r="I2728" s="1">
        <v>1</v>
      </c>
      <c r="J2728" s="39" t="s">
        <v>4563</v>
      </c>
      <c r="K2728" s="1">
        <v>1</v>
      </c>
      <c r="L2728" s="1">
        <v>2</v>
      </c>
      <c r="S2728" s="1" t="s">
        <v>10448</v>
      </c>
      <c r="T2728" s="1">
        <v>1</v>
      </c>
      <c r="U2728" s="19"/>
      <c r="V2728" s="19"/>
      <c r="W2728" s="218">
        <v>1</v>
      </c>
      <c r="X2728" s="218">
        <v>1</v>
      </c>
      <c r="Y2728" s="218">
        <v>1</v>
      </c>
    </row>
    <row r="2729" spans="1:25" x14ac:dyDescent="0.3">
      <c r="A2729" s="1" t="s">
        <v>4638</v>
      </c>
      <c r="B2729" s="102">
        <v>46144</v>
      </c>
      <c r="C2729" s="6">
        <v>0.79166666666666696</v>
      </c>
      <c r="D2729" s="1" t="s">
        <v>12</v>
      </c>
      <c r="E2729" s="1" t="s">
        <v>4555</v>
      </c>
      <c r="F2729" s="1" t="s">
        <v>4639</v>
      </c>
      <c r="G2729" s="39" t="s">
        <v>4608</v>
      </c>
      <c r="H2729" s="1">
        <v>0</v>
      </c>
      <c r="I2729" s="1">
        <v>1</v>
      </c>
      <c r="J2729" s="39" t="s">
        <v>4618</v>
      </c>
      <c r="K2729" s="1">
        <v>1</v>
      </c>
      <c r="L2729" s="1">
        <v>0</v>
      </c>
      <c r="S2729" s="1" t="s">
        <v>10449</v>
      </c>
      <c r="T2729" s="1">
        <v>1</v>
      </c>
      <c r="U2729" s="19"/>
      <c r="V2729" s="19"/>
      <c r="W2729" s="218">
        <v>1</v>
      </c>
      <c r="X2729" s="218">
        <v>1</v>
      </c>
      <c r="Y2729" s="218">
        <v>1</v>
      </c>
    </row>
    <row r="2730" spans="1:25" x14ac:dyDescent="0.3">
      <c r="A2730" s="1" t="s">
        <v>4640</v>
      </c>
      <c r="B2730" s="102">
        <v>46152</v>
      </c>
      <c r="C2730" s="6">
        <v>0.8125</v>
      </c>
      <c r="D2730" s="1" t="s">
        <v>12</v>
      </c>
      <c r="E2730" s="1" t="s">
        <v>4555</v>
      </c>
      <c r="F2730" s="1" t="s">
        <v>4641</v>
      </c>
      <c r="G2730" s="39" t="s">
        <v>4599</v>
      </c>
      <c r="H2730" s="1">
        <v>3</v>
      </c>
      <c r="I2730" s="1">
        <v>1</v>
      </c>
      <c r="J2730" s="39" t="s">
        <v>4608</v>
      </c>
      <c r="K2730" s="1">
        <v>1</v>
      </c>
      <c r="L2730" s="1">
        <v>3</v>
      </c>
      <c r="S2730" s="1" t="s">
        <v>10450</v>
      </c>
      <c r="T2730" s="1">
        <v>1</v>
      </c>
      <c r="U2730" s="19"/>
      <c r="V2730" s="19"/>
      <c r="W2730" s="218">
        <v>1</v>
      </c>
      <c r="X2730" s="218">
        <v>1</v>
      </c>
      <c r="Y2730" s="218">
        <v>1</v>
      </c>
    </row>
    <row r="2731" spans="1:25" x14ac:dyDescent="0.3">
      <c r="A2731" s="1" t="s">
        <v>4642</v>
      </c>
      <c r="B2731" s="102">
        <v>46160</v>
      </c>
      <c r="C2731" s="6">
        <v>0.83333333333333304</v>
      </c>
      <c r="D2731" s="1" t="s">
        <v>12</v>
      </c>
      <c r="E2731" s="1" t="s">
        <v>4555</v>
      </c>
      <c r="F2731" s="1" t="s">
        <v>4643</v>
      </c>
      <c r="G2731" s="39" t="s">
        <v>4608</v>
      </c>
      <c r="H2731" s="1">
        <v>2</v>
      </c>
      <c r="I2731" s="1">
        <v>1</v>
      </c>
      <c r="J2731" s="39" t="s">
        <v>4572</v>
      </c>
      <c r="K2731" s="1">
        <v>1</v>
      </c>
      <c r="L2731" s="1">
        <v>2</v>
      </c>
      <c r="S2731" s="1" t="s">
        <v>10451</v>
      </c>
      <c r="T2731" s="1">
        <v>1</v>
      </c>
      <c r="U2731" s="19"/>
      <c r="V2731" s="19"/>
      <c r="W2731" s="218">
        <v>1</v>
      </c>
      <c r="X2731" s="218">
        <v>1</v>
      </c>
      <c r="Y2731" s="218">
        <v>1</v>
      </c>
    </row>
    <row r="2732" spans="1:25" x14ac:dyDescent="0.3">
      <c r="A2732" s="1" t="s">
        <v>4644</v>
      </c>
      <c r="B2732" s="102">
        <v>46166</v>
      </c>
      <c r="C2732" s="6">
        <v>0.75</v>
      </c>
      <c r="D2732" s="1" t="s">
        <v>12</v>
      </c>
      <c r="E2732" s="1" t="s">
        <v>4555</v>
      </c>
      <c r="F2732" s="1" t="s">
        <v>4645</v>
      </c>
      <c r="G2732" s="39" t="s">
        <v>4608</v>
      </c>
      <c r="H2732" s="1">
        <v>0</v>
      </c>
      <c r="I2732" s="1">
        <v>2</v>
      </c>
      <c r="J2732" s="39" t="s">
        <v>4557</v>
      </c>
      <c r="K2732" s="1">
        <v>2</v>
      </c>
      <c r="L2732" s="1">
        <v>0</v>
      </c>
      <c r="S2732" s="1" t="s">
        <v>10452</v>
      </c>
      <c r="T2732" s="1">
        <v>1</v>
      </c>
      <c r="U2732" s="19"/>
      <c r="V2732" s="19"/>
      <c r="W2732" s="218">
        <v>1</v>
      </c>
      <c r="X2732" s="218">
        <v>1</v>
      </c>
      <c r="Y2732" s="218">
        <v>1</v>
      </c>
    </row>
    <row r="2733" spans="1:25" x14ac:dyDescent="0.3">
      <c r="A2733" s="1" t="s">
        <v>4646</v>
      </c>
      <c r="B2733" s="102">
        <v>46172</v>
      </c>
      <c r="C2733" s="6">
        <v>0.70833333333333304</v>
      </c>
      <c r="D2733" s="1" t="s">
        <v>12</v>
      </c>
      <c r="E2733" s="1" t="s">
        <v>4555</v>
      </c>
      <c r="F2733" s="1" t="s">
        <v>4647</v>
      </c>
      <c r="G2733" s="39" t="s">
        <v>4613</v>
      </c>
      <c r="H2733" s="1">
        <v>2</v>
      </c>
      <c r="I2733" s="1">
        <v>1</v>
      </c>
      <c r="J2733" s="39" t="s">
        <v>4608</v>
      </c>
      <c r="K2733" s="1">
        <v>1</v>
      </c>
      <c r="L2733" s="1">
        <v>2</v>
      </c>
      <c r="S2733" s="1" t="s">
        <v>10453</v>
      </c>
      <c r="T2733" s="1">
        <v>1</v>
      </c>
      <c r="U2733" s="19"/>
      <c r="V2733" s="19"/>
      <c r="W2733" s="218">
        <v>1</v>
      </c>
      <c r="X2733" s="218">
        <v>1</v>
      </c>
      <c r="Y2733" s="218">
        <v>1</v>
      </c>
    </row>
    <row r="2734" spans="1:25" x14ac:dyDescent="0.3">
      <c r="A2734" s="1" t="s">
        <v>4648</v>
      </c>
      <c r="B2734" s="102">
        <v>46187</v>
      </c>
      <c r="C2734" s="6">
        <v>0.8125</v>
      </c>
      <c r="D2734" s="1" t="s">
        <v>12</v>
      </c>
      <c r="E2734" s="1" t="s">
        <v>4555</v>
      </c>
      <c r="F2734" s="1" t="s">
        <v>4649</v>
      </c>
      <c r="G2734" s="39" t="s">
        <v>4590</v>
      </c>
      <c r="H2734" s="1">
        <v>3</v>
      </c>
      <c r="I2734" s="1">
        <v>1</v>
      </c>
      <c r="J2734" s="39" t="s">
        <v>4608</v>
      </c>
      <c r="K2734" s="1">
        <v>1</v>
      </c>
      <c r="L2734" s="1">
        <v>3</v>
      </c>
      <c r="S2734" s="1" t="s">
        <v>10454</v>
      </c>
      <c r="T2734" s="1">
        <v>1</v>
      </c>
      <c r="U2734" s="19"/>
      <c r="V2734" s="19"/>
      <c r="W2734" s="218">
        <v>1</v>
      </c>
      <c r="X2734" s="218">
        <v>1</v>
      </c>
      <c r="Y2734" s="218">
        <v>1</v>
      </c>
    </row>
    <row r="2735" spans="1:25" x14ac:dyDescent="0.3">
      <c r="A2735" s="1" t="s">
        <v>4650</v>
      </c>
      <c r="B2735" s="102">
        <v>46201</v>
      </c>
      <c r="C2735" s="6">
        <v>0.85416666666666696</v>
      </c>
      <c r="D2735" s="1" t="s">
        <v>12</v>
      </c>
      <c r="E2735" s="1" t="s">
        <v>4555</v>
      </c>
      <c r="F2735" s="1" t="s">
        <v>4651</v>
      </c>
      <c r="G2735" s="39" t="s">
        <v>4635</v>
      </c>
      <c r="H2735" s="1">
        <v>1</v>
      </c>
      <c r="I2735" s="1">
        <v>1</v>
      </c>
      <c r="J2735" s="39" t="s">
        <v>4608</v>
      </c>
      <c r="K2735" s="1">
        <v>1</v>
      </c>
      <c r="L2735" s="1">
        <v>1</v>
      </c>
      <c r="S2735" s="1" t="s">
        <v>10455</v>
      </c>
      <c r="T2735" s="1">
        <v>1</v>
      </c>
      <c r="U2735" s="19"/>
      <c r="V2735" s="19"/>
      <c r="W2735" s="218">
        <v>1</v>
      </c>
      <c r="X2735" s="218">
        <v>1</v>
      </c>
      <c r="Y2735" s="218">
        <v>1</v>
      </c>
    </row>
    <row r="2736" spans="1:25" x14ac:dyDescent="0.3">
      <c r="A2736" s="1" t="s">
        <v>4652</v>
      </c>
      <c r="B2736" s="102">
        <v>46207</v>
      </c>
      <c r="C2736" s="6">
        <v>0.79166666666666696</v>
      </c>
      <c r="D2736" s="1" t="s">
        <v>12</v>
      </c>
      <c r="E2736" s="1" t="s">
        <v>4555</v>
      </c>
      <c r="F2736" s="1" t="s">
        <v>4653</v>
      </c>
      <c r="G2736" s="39" t="s">
        <v>4608</v>
      </c>
      <c r="H2736" s="1">
        <v>1</v>
      </c>
      <c r="I2736" s="1">
        <v>3</v>
      </c>
      <c r="J2736" s="39" t="s">
        <v>4566</v>
      </c>
      <c r="K2736" s="1">
        <v>3</v>
      </c>
      <c r="L2736" s="1">
        <v>1</v>
      </c>
      <c r="S2736" s="1" t="s">
        <v>10456</v>
      </c>
      <c r="T2736" s="1">
        <v>1</v>
      </c>
      <c r="U2736" s="19"/>
      <c r="V2736" s="19"/>
      <c r="W2736" s="218">
        <v>1</v>
      </c>
      <c r="X2736" s="218">
        <v>1</v>
      </c>
      <c r="Y2736" s="218">
        <v>1</v>
      </c>
    </row>
    <row r="2737" spans="1:25" x14ac:dyDescent="0.3">
      <c r="A2737" s="1" t="s">
        <v>4654</v>
      </c>
      <c r="B2737" s="102">
        <v>46215</v>
      </c>
      <c r="C2737" s="6">
        <v>0.8125</v>
      </c>
      <c r="D2737" s="1" t="s">
        <v>12</v>
      </c>
      <c r="E2737" s="1" t="s">
        <v>4555</v>
      </c>
      <c r="F2737" s="1" t="s">
        <v>7933</v>
      </c>
      <c r="G2737" s="39" t="s">
        <v>4584</v>
      </c>
      <c r="H2737" s="1">
        <v>2</v>
      </c>
      <c r="I2737" s="1">
        <v>0</v>
      </c>
      <c r="J2737" s="39" t="s">
        <v>4608</v>
      </c>
      <c r="K2737" s="1">
        <v>0</v>
      </c>
      <c r="L2737" s="1">
        <v>2</v>
      </c>
      <c r="S2737" s="1" t="s">
        <v>10457</v>
      </c>
      <c r="T2737" s="1">
        <v>1</v>
      </c>
      <c r="U2737" s="19"/>
      <c r="V2737" s="19"/>
      <c r="W2737" s="218">
        <v>1</v>
      </c>
      <c r="X2737" s="218">
        <v>1</v>
      </c>
      <c r="Y2737" s="218">
        <v>1</v>
      </c>
    </row>
    <row r="2738" spans="1:25" x14ac:dyDescent="0.3">
      <c r="A2738" s="1" t="s">
        <v>4655</v>
      </c>
      <c r="B2738" s="102">
        <v>46228</v>
      </c>
      <c r="C2738" s="6">
        <v>0.77083333333333304</v>
      </c>
      <c r="D2738" s="1" t="s">
        <v>12</v>
      </c>
      <c r="E2738" s="1" t="s">
        <v>4555</v>
      </c>
      <c r="F2738" s="1" t="s">
        <v>4656</v>
      </c>
      <c r="G2738" s="39" t="s">
        <v>4608</v>
      </c>
      <c r="H2738" s="1">
        <v>1</v>
      </c>
      <c r="I2738" s="1">
        <v>1</v>
      </c>
      <c r="J2738" s="39" t="s">
        <v>4578</v>
      </c>
      <c r="K2738" s="1">
        <v>1</v>
      </c>
      <c r="L2738" s="1">
        <v>1</v>
      </c>
      <c r="S2738" s="1" t="s">
        <v>10458</v>
      </c>
      <c r="T2738" s="1">
        <v>1</v>
      </c>
      <c r="U2738" s="19"/>
      <c r="V2738" s="19"/>
      <c r="W2738" s="218">
        <v>1</v>
      </c>
      <c r="X2738" s="218">
        <v>1</v>
      </c>
      <c r="Y2738" s="218">
        <v>1</v>
      </c>
    </row>
    <row r="2739" spans="1:25" x14ac:dyDescent="0.3">
      <c r="A2739" s="1" t="s">
        <v>7934</v>
      </c>
      <c r="B2739" s="102">
        <v>46145</v>
      </c>
      <c r="C2739" s="6">
        <v>0.83333333333333304</v>
      </c>
      <c r="D2739" s="1" t="s">
        <v>12</v>
      </c>
      <c r="E2739" s="1" t="s">
        <v>4555</v>
      </c>
      <c r="F2739" s="1" t="s">
        <v>7935</v>
      </c>
      <c r="G2739" s="39" t="s">
        <v>4590</v>
      </c>
      <c r="H2739" s="1">
        <v>1</v>
      </c>
      <c r="I2739" s="1">
        <v>1</v>
      </c>
      <c r="J2739" s="39" t="s">
        <v>4569</v>
      </c>
      <c r="K2739" s="1">
        <v>1</v>
      </c>
      <c r="L2739" s="1">
        <v>1</v>
      </c>
      <c r="S2739" s="1" t="s">
        <v>7936</v>
      </c>
      <c r="T2739" s="1">
        <v>1</v>
      </c>
      <c r="U2739" s="19"/>
      <c r="V2739" s="19"/>
      <c r="W2739" s="218">
        <v>1</v>
      </c>
      <c r="X2739" s="218">
        <v>1</v>
      </c>
      <c r="Y2739" s="218">
        <v>1</v>
      </c>
    </row>
    <row r="2740" spans="1:25" x14ac:dyDescent="0.3">
      <c r="A2740" s="1" t="s">
        <v>7937</v>
      </c>
      <c r="B2740" s="102">
        <v>46151</v>
      </c>
      <c r="C2740" s="6">
        <v>0.75</v>
      </c>
      <c r="D2740" s="1" t="s">
        <v>12</v>
      </c>
      <c r="E2740" s="1" t="s">
        <v>4555</v>
      </c>
      <c r="F2740" s="1" t="s">
        <v>7938</v>
      </c>
      <c r="G2740" s="39" t="s">
        <v>4572</v>
      </c>
      <c r="H2740" s="1">
        <v>3</v>
      </c>
      <c r="I2740" s="1">
        <v>1</v>
      </c>
      <c r="J2740" s="39" t="s">
        <v>4584</v>
      </c>
      <c r="K2740" s="1">
        <v>1</v>
      </c>
      <c r="L2740" s="1">
        <v>3</v>
      </c>
      <c r="S2740" s="1" t="s">
        <v>7939</v>
      </c>
      <c r="T2740" s="1">
        <v>1</v>
      </c>
      <c r="U2740" s="19"/>
      <c r="V2740" s="19"/>
      <c r="W2740" s="218">
        <v>1</v>
      </c>
      <c r="X2740" s="218">
        <v>1</v>
      </c>
      <c r="Y2740" s="218">
        <v>1</v>
      </c>
    </row>
    <row r="2741" spans="1:25" x14ac:dyDescent="0.3">
      <c r="A2741" s="1" t="s">
        <v>7940</v>
      </c>
      <c r="B2741" s="102">
        <v>46152</v>
      </c>
      <c r="C2741" s="6">
        <v>0.83333333333333304</v>
      </c>
      <c r="D2741" s="1" t="s">
        <v>12</v>
      </c>
      <c r="E2741" s="1" t="s">
        <v>4555</v>
      </c>
      <c r="F2741" s="1" t="s">
        <v>7941</v>
      </c>
      <c r="G2741" s="39" t="s">
        <v>4569</v>
      </c>
      <c r="H2741" s="1">
        <v>3</v>
      </c>
      <c r="I2741" s="1">
        <v>0</v>
      </c>
      <c r="J2741" s="39" t="s">
        <v>4635</v>
      </c>
      <c r="K2741" s="1">
        <v>0</v>
      </c>
      <c r="L2741" s="1">
        <v>3</v>
      </c>
      <c r="S2741" s="1" t="s">
        <v>7942</v>
      </c>
      <c r="T2741" s="1">
        <v>1</v>
      </c>
      <c r="U2741" s="19"/>
      <c r="V2741" s="19"/>
      <c r="W2741" s="218">
        <v>1</v>
      </c>
      <c r="X2741" s="218">
        <v>1</v>
      </c>
      <c r="Y2741" s="218">
        <v>1</v>
      </c>
    </row>
    <row r="2742" spans="1:25" x14ac:dyDescent="0.3">
      <c r="A2742" s="1" t="s">
        <v>7943</v>
      </c>
      <c r="B2742" s="102">
        <v>46153</v>
      </c>
      <c r="C2742" s="6">
        <v>0.83333333333333304</v>
      </c>
      <c r="D2742" s="1" t="s">
        <v>12</v>
      </c>
      <c r="E2742" s="1" t="s">
        <v>4555</v>
      </c>
      <c r="F2742" s="1" t="s">
        <v>7944</v>
      </c>
      <c r="G2742" s="39" t="s">
        <v>4618</v>
      </c>
      <c r="H2742" s="1">
        <v>1</v>
      </c>
      <c r="I2742" s="1">
        <v>2</v>
      </c>
      <c r="J2742" s="39" t="s">
        <v>4594</v>
      </c>
      <c r="K2742" s="1">
        <v>2</v>
      </c>
      <c r="L2742" s="1">
        <v>1</v>
      </c>
      <c r="S2742" s="1" t="s">
        <v>7945</v>
      </c>
      <c r="T2742" s="1">
        <v>1</v>
      </c>
      <c r="U2742" s="19"/>
      <c r="V2742" s="19"/>
      <c r="W2742" s="218">
        <v>1</v>
      </c>
      <c r="X2742" s="218">
        <v>1</v>
      </c>
      <c r="Y2742" s="218">
        <v>1</v>
      </c>
    </row>
    <row r="2743" spans="1:25" x14ac:dyDescent="0.3">
      <c r="A2743" s="1" t="s">
        <v>7946</v>
      </c>
      <c r="B2743" s="102">
        <v>46159</v>
      </c>
      <c r="C2743" s="6">
        <v>0.75</v>
      </c>
      <c r="D2743" s="1" t="s">
        <v>12</v>
      </c>
      <c r="E2743" s="1" t="s">
        <v>4555</v>
      </c>
      <c r="F2743" s="1" t="s">
        <v>7947</v>
      </c>
      <c r="G2743" s="39" t="s">
        <v>4560</v>
      </c>
      <c r="H2743" s="1">
        <v>1</v>
      </c>
      <c r="I2743" s="1">
        <v>0</v>
      </c>
      <c r="J2743" s="39" t="s">
        <v>4569</v>
      </c>
      <c r="K2743" s="1">
        <v>0</v>
      </c>
      <c r="L2743" s="1">
        <v>1</v>
      </c>
      <c r="S2743" s="1" t="s">
        <v>7948</v>
      </c>
      <c r="T2743" s="1">
        <v>1</v>
      </c>
      <c r="U2743" s="19"/>
      <c r="V2743" s="19"/>
      <c r="W2743" s="218">
        <v>1</v>
      </c>
      <c r="X2743" s="218">
        <v>1</v>
      </c>
      <c r="Y2743" s="218">
        <v>1</v>
      </c>
    </row>
    <row r="2744" spans="1:25" x14ac:dyDescent="0.3">
      <c r="A2744" s="1" t="s">
        <v>7949</v>
      </c>
      <c r="B2744" s="102">
        <v>46160</v>
      </c>
      <c r="C2744" s="6">
        <v>0.83333333333333304</v>
      </c>
      <c r="D2744" s="1" t="s">
        <v>12</v>
      </c>
      <c r="E2744" s="1" t="s">
        <v>4555</v>
      </c>
      <c r="F2744" s="1" t="s">
        <v>7950</v>
      </c>
      <c r="G2744" s="39" t="s">
        <v>4584</v>
      </c>
      <c r="H2744" s="1">
        <v>0</v>
      </c>
      <c r="I2744" s="1">
        <v>1</v>
      </c>
      <c r="J2744" s="39" t="s">
        <v>4618</v>
      </c>
      <c r="K2744" s="1">
        <v>1</v>
      </c>
      <c r="L2744" s="1">
        <v>0</v>
      </c>
      <c r="S2744" s="1" t="s">
        <v>7951</v>
      </c>
      <c r="T2744" s="1">
        <v>1</v>
      </c>
      <c r="U2744" s="19"/>
      <c r="V2744" s="19"/>
      <c r="W2744" s="218">
        <v>1</v>
      </c>
      <c r="X2744" s="218">
        <v>1</v>
      </c>
      <c r="Y2744" s="218">
        <v>1</v>
      </c>
    </row>
    <row r="2745" spans="1:25" x14ac:dyDescent="0.3">
      <c r="A2745" s="1" t="s">
        <v>7952</v>
      </c>
      <c r="B2745" s="102">
        <v>46166</v>
      </c>
      <c r="C2745" s="6">
        <v>0.6875</v>
      </c>
      <c r="D2745" s="1" t="s">
        <v>12</v>
      </c>
      <c r="E2745" s="1" t="s">
        <v>4555</v>
      </c>
      <c r="F2745" s="1" t="s">
        <v>7953</v>
      </c>
      <c r="G2745" s="39" t="s">
        <v>4618</v>
      </c>
      <c r="H2745" s="1">
        <v>0</v>
      </c>
      <c r="I2745" s="1">
        <v>0</v>
      </c>
      <c r="J2745" s="39" t="s">
        <v>4578</v>
      </c>
      <c r="K2745" s="1">
        <v>0</v>
      </c>
      <c r="L2745" s="1">
        <v>0</v>
      </c>
      <c r="S2745" s="1" t="s">
        <v>7954</v>
      </c>
      <c r="T2745" s="1">
        <v>1</v>
      </c>
      <c r="U2745" s="19"/>
      <c r="V2745" s="19"/>
      <c r="W2745" s="218">
        <v>1</v>
      </c>
      <c r="X2745" s="218">
        <v>1</v>
      </c>
      <c r="Y2745" s="218">
        <v>1</v>
      </c>
    </row>
    <row r="2746" spans="1:25" x14ac:dyDescent="0.3">
      <c r="A2746" s="1" t="s">
        <v>7955</v>
      </c>
      <c r="B2746" s="102">
        <v>46167</v>
      </c>
      <c r="C2746" s="6">
        <v>0.83333333333333304</v>
      </c>
      <c r="D2746" s="1" t="s">
        <v>12</v>
      </c>
      <c r="E2746" s="1" t="s">
        <v>4555</v>
      </c>
      <c r="F2746" s="1" t="s">
        <v>7956</v>
      </c>
      <c r="G2746" s="39" t="s">
        <v>4599</v>
      </c>
      <c r="H2746" s="1">
        <v>1</v>
      </c>
      <c r="I2746" s="1">
        <v>0</v>
      </c>
      <c r="J2746" s="39" t="s">
        <v>4584</v>
      </c>
      <c r="K2746" s="1">
        <v>0</v>
      </c>
      <c r="L2746" s="1">
        <v>1</v>
      </c>
      <c r="S2746" s="1" t="s">
        <v>7957</v>
      </c>
      <c r="T2746" s="1">
        <v>1</v>
      </c>
      <c r="U2746" s="19"/>
      <c r="V2746" s="19"/>
      <c r="W2746" s="218">
        <v>1</v>
      </c>
      <c r="X2746" s="218">
        <v>1</v>
      </c>
      <c r="Y2746" s="218">
        <v>1</v>
      </c>
    </row>
    <row r="2747" spans="1:25" x14ac:dyDescent="0.3">
      <c r="A2747" s="1" t="s">
        <v>7958</v>
      </c>
      <c r="B2747" s="102">
        <v>46172</v>
      </c>
      <c r="C2747" s="6">
        <v>0.75</v>
      </c>
      <c r="D2747" s="1" t="s">
        <v>12</v>
      </c>
      <c r="E2747" s="1" t="s">
        <v>4555</v>
      </c>
      <c r="F2747" s="1" t="s">
        <v>7959</v>
      </c>
      <c r="G2747" s="39" t="s">
        <v>4584</v>
      </c>
      <c r="H2747" s="1">
        <v>2</v>
      </c>
      <c r="I2747" s="1">
        <v>1</v>
      </c>
      <c r="J2747" s="39" t="s">
        <v>4587</v>
      </c>
      <c r="K2747" s="1">
        <v>1</v>
      </c>
      <c r="L2747" s="1">
        <v>2</v>
      </c>
      <c r="S2747" s="1" t="s">
        <v>7960</v>
      </c>
      <c r="T2747" s="1">
        <v>1</v>
      </c>
      <c r="U2747" s="19"/>
      <c r="V2747" s="19"/>
      <c r="W2747" s="218">
        <v>1</v>
      </c>
      <c r="X2747" s="218">
        <v>1</v>
      </c>
      <c r="Y2747" s="218">
        <v>1</v>
      </c>
    </row>
    <row r="2748" spans="1:25" x14ac:dyDescent="0.3">
      <c r="A2748" s="1" t="s">
        <v>7961</v>
      </c>
      <c r="B2748" s="102">
        <v>46173</v>
      </c>
      <c r="C2748" s="6">
        <v>0.875</v>
      </c>
      <c r="D2748" s="1" t="s">
        <v>12</v>
      </c>
      <c r="E2748" s="1" t="s">
        <v>4555</v>
      </c>
      <c r="F2748" s="1" t="s">
        <v>7962</v>
      </c>
      <c r="G2748" s="39" t="s">
        <v>4618</v>
      </c>
      <c r="H2748" s="1">
        <v>2</v>
      </c>
      <c r="I2748" s="1">
        <v>1</v>
      </c>
      <c r="J2748" s="39" t="s">
        <v>4635</v>
      </c>
      <c r="K2748" s="1">
        <v>1</v>
      </c>
      <c r="L2748" s="1">
        <v>2</v>
      </c>
      <c r="S2748" s="1" t="s">
        <v>7963</v>
      </c>
      <c r="T2748" s="1">
        <v>1</v>
      </c>
      <c r="U2748" s="19"/>
      <c r="V2748" s="19"/>
      <c r="W2748" s="218">
        <v>1</v>
      </c>
      <c r="X2748" s="218">
        <v>1</v>
      </c>
      <c r="Y2748" s="218">
        <v>1</v>
      </c>
    </row>
    <row r="2749" spans="1:25" x14ac:dyDescent="0.3">
      <c r="A2749" s="1" t="s">
        <v>7964</v>
      </c>
      <c r="B2749" s="102">
        <v>46174</v>
      </c>
      <c r="C2749" s="6">
        <v>0.83333333333333304</v>
      </c>
      <c r="D2749" s="1" t="s">
        <v>12</v>
      </c>
      <c r="E2749" s="1" t="s">
        <v>4555</v>
      </c>
      <c r="F2749" s="1" t="s">
        <v>7965</v>
      </c>
      <c r="G2749" s="39" t="s">
        <v>4566</v>
      </c>
      <c r="H2749" s="1">
        <v>2</v>
      </c>
      <c r="I2749" s="1">
        <v>2</v>
      </c>
      <c r="J2749" s="39" t="s">
        <v>4569</v>
      </c>
      <c r="K2749" s="1">
        <v>2</v>
      </c>
      <c r="L2749" s="1">
        <v>2</v>
      </c>
      <c r="S2749" s="1" t="s">
        <v>7966</v>
      </c>
      <c r="T2749" s="1">
        <v>1</v>
      </c>
      <c r="U2749" s="19"/>
      <c r="V2749" s="19"/>
      <c r="W2749" s="218">
        <v>1</v>
      </c>
      <c r="X2749" s="218">
        <v>1</v>
      </c>
      <c r="Y2749" s="218">
        <v>1</v>
      </c>
    </row>
    <row r="2750" spans="1:25" x14ac:dyDescent="0.3">
      <c r="A2750" s="1" t="s">
        <v>7967</v>
      </c>
      <c r="B2750" s="102">
        <v>46187</v>
      </c>
      <c r="C2750" s="6">
        <v>0.45833333333333298</v>
      </c>
      <c r="D2750" s="1" t="s">
        <v>12</v>
      </c>
      <c r="E2750" s="1" t="s">
        <v>4555</v>
      </c>
      <c r="F2750" s="1" t="s">
        <v>7968</v>
      </c>
      <c r="G2750" s="39" t="s">
        <v>4569</v>
      </c>
      <c r="H2750" s="1">
        <v>0</v>
      </c>
      <c r="I2750" s="1">
        <v>1</v>
      </c>
      <c r="J2750" s="39" t="s">
        <v>4594</v>
      </c>
      <c r="K2750" s="1">
        <v>1</v>
      </c>
      <c r="L2750" s="1">
        <v>0</v>
      </c>
      <c r="S2750" s="1" t="s">
        <v>7969</v>
      </c>
      <c r="T2750" s="1">
        <v>1</v>
      </c>
      <c r="U2750" s="19"/>
      <c r="V2750" s="19"/>
      <c r="W2750" s="218">
        <v>1</v>
      </c>
      <c r="X2750" s="218">
        <v>1</v>
      </c>
      <c r="Y2750" s="218">
        <v>1</v>
      </c>
    </row>
    <row r="2751" spans="1:25" x14ac:dyDescent="0.3">
      <c r="A2751" s="1" t="s">
        <v>7970</v>
      </c>
      <c r="B2751" s="102">
        <v>46188</v>
      </c>
      <c r="C2751" s="6">
        <v>0.85416666666666696</v>
      </c>
      <c r="D2751" s="1" t="s">
        <v>12</v>
      </c>
      <c r="E2751" s="1" t="s">
        <v>4555</v>
      </c>
      <c r="F2751" s="1" t="s">
        <v>7971</v>
      </c>
      <c r="G2751" s="39" t="s">
        <v>4635</v>
      </c>
      <c r="H2751" s="1">
        <v>1</v>
      </c>
      <c r="I2751" s="1">
        <v>1</v>
      </c>
      <c r="J2751" s="39" t="s">
        <v>4584</v>
      </c>
      <c r="K2751" s="1">
        <v>1</v>
      </c>
      <c r="L2751" s="1">
        <v>1</v>
      </c>
      <c r="S2751" s="1" t="s">
        <v>7972</v>
      </c>
      <c r="T2751" s="1">
        <v>1</v>
      </c>
      <c r="U2751" s="19"/>
      <c r="V2751" s="19"/>
      <c r="W2751" s="218">
        <v>1</v>
      </c>
      <c r="X2751" s="218">
        <v>1</v>
      </c>
      <c r="Y2751" s="218">
        <v>1</v>
      </c>
    </row>
    <row r="2752" spans="1:25" x14ac:dyDescent="0.3">
      <c r="A2752" s="1" t="s">
        <v>7973</v>
      </c>
      <c r="B2752" s="102">
        <v>46193</v>
      </c>
      <c r="C2752" s="6">
        <v>0.70833333333333304</v>
      </c>
      <c r="D2752" s="1" t="s">
        <v>12</v>
      </c>
      <c r="E2752" s="1" t="s">
        <v>4555</v>
      </c>
      <c r="F2752" s="1" t="s">
        <v>7974</v>
      </c>
      <c r="G2752" s="39" t="s">
        <v>4584</v>
      </c>
      <c r="H2752" s="1">
        <v>2</v>
      </c>
      <c r="I2752" s="1">
        <v>0</v>
      </c>
      <c r="J2752" s="39" t="s">
        <v>4590</v>
      </c>
      <c r="K2752" s="1">
        <v>0</v>
      </c>
      <c r="L2752" s="1">
        <v>2</v>
      </c>
      <c r="S2752" s="1" t="s">
        <v>7975</v>
      </c>
      <c r="T2752" s="1">
        <v>1</v>
      </c>
      <c r="U2752" s="19"/>
      <c r="V2752" s="19"/>
      <c r="W2752" s="218">
        <v>1</v>
      </c>
      <c r="X2752" s="218">
        <v>1</v>
      </c>
      <c r="Y2752" s="218">
        <v>1</v>
      </c>
    </row>
    <row r="2753" spans="1:25" x14ac:dyDescent="0.3">
      <c r="A2753" s="1" t="s">
        <v>7976</v>
      </c>
      <c r="B2753" s="102">
        <v>46194</v>
      </c>
      <c r="C2753" s="6">
        <v>0.66666666666666696</v>
      </c>
      <c r="D2753" s="1" t="s">
        <v>12</v>
      </c>
      <c r="E2753" s="1" t="s">
        <v>4555</v>
      </c>
      <c r="F2753" s="1" t="s">
        <v>7977</v>
      </c>
      <c r="G2753" s="39" t="s">
        <v>4569</v>
      </c>
      <c r="H2753" s="1">
        <v>2</v>
      </c>
      <c r="I2753" s="1">
        <v>1</v>
      </c>
      <c r="J2753" s="39" t="s">
        <v>4613</v>
      </c>
      <c r="K2753" s="1">
        <v>1</v>
      </c>
      <c r="L2753" s="1">
        <v>2</v>
      </c>
      <c r="S2753" s="1" t="s">
        <v>7978</v>
      </c>
      <c r="T2753" s="1">
        <v>1</v>
      </c>
      <c r="U2753" s="19"/>
      <c r="V2753" s="19"/>
      <c r="W2753" s="218">
        <v>1</v>
      </c>
      <c r="X2753" s="218">
        <v>1</v>
      </c>
      <c r="Y2753" s="218">
        <v>1</v>
      </c>
    </row>
    <row r="2754" spans="1:25" x14ac:dyDescent="0.3">
      <c r="A2754" s="1" t="s">
        <v>7979</v>
      </c>
      <c r="B2754" s="102">
        <v>46194</v>
      </c>
      <c r="C2754" s="6">
        <v>0.85416666666666696</v>
      </c>
      <c r="D2754" s="1" t="s">
        <v>12</v>
      </c>
      <c r="E2754" s="1" t="s">
        <v>4555</v>
      </c>
      <c r="F2754" s="1" t="s">
        <v>7980</v>
      </c>
      <c r="G2754" s="39" t="s">
        <v>4560</v>
      </c>
      <c r="H2754" s="1">
        <v>2</v>
      </c>
      <c r="I2754" s="1">
        <v>0</v>
      </c>
      <c r="J2754" s="39" t="s">
        <v>4618</v>
      </c>
      <c r="K2754" s="1">
        <v>0</v>
      </c>
      <c r="L2754" s="1">
        <v>2</v>
      </c>
      <c r="S2754" s="1" t="s">
        <v>7981</v>
      </c>
      <c r="T2754" s="1">
        <v>1</v>
      </c>
      <c r="U2754" s="19"/>
      <c r="V2754" s="19"/>
      <c r="W2754" s="218">
        <v>1</v>
      </c>
      <c r="X2754" s="218">
        <v>1</v>
      </c>
      <c r="Y2754" s="218">
        <v>1</v>
      </c>
    </row>
    <row r="2755" spans="1:25" x14ac:dyDescent="0.3">
      <c r="A2755" s="1" t="s">
        <v>7982</v>
      </c>
      <c r="B2755" s="102">
        <v>46200</v>
      </c>
      <c r="C2755" s="6">
        <v>0.54166666666666696</v>
      </c>
      <c r="D2755" s="1" t="s">
        <v>12</v>
      </c>
      <c r="E2755" s="1" t="s">
        <v>4555</v>
      </c>
      <c r="F2755" s="1" t="s">
        <v>7983</v>
      </c>
      <c r="G2755" s="39" t="s">
        <v>4618</v>
      </c>
      <c r="H2755" s="1">
        <v>2</v>
      </c>
      <c r="I2755" s="1">
        <v>2</v>
      </c>
      <c r="J2755" s="39" t="s">
        <v>4587</v>
      </c>
      <c r="K2755" s="1">
        <v>2</v>
      </c>
      <c r="L2755" s="1">
        <v>2</v>
      </c>
      <c r="S2755" s="1" t="s">
        <v>7984</v>
      </c>
      <c r="T2755" s="1">
        <v>1</v>
      </c>
      <c r="U2755" s="19"/>
      <c r="V2755" s="19"/>
      <c r="W2755" s="218">
        <v>1</v>
      </c>
      <c r="X2755" s="218">
        <v>1</v>
      </c>
      <c r="Y2755" s="218">
        <v>1</v>
      </c>
    </row>
    <row r="2756" spans="1:25" x14ac:dyDescent="0.3">
      <c r="A2756" s="1" t="s">
        <v>7985</v>
      </c>
      <c r="B2756" s="102">
        <v>46203</v>
      </c>
      <c r="C2756" s="6">
        <v>0.85416666666666696</v>
      </c>
      <c r="D2756" s="1" t="s">
        <v>12</v>
      </c>
      <c r="E2756" s="1" t="s">
        <v>4555</v>
      </c>
      <c r="F2756" s="1" t="s">
        <v>7986</v>
      </c>
      <c r="G2756" s="39" t="s">
        <v>4584</v>
      </c>
      <c r="H2756" s="1">
        <v>2</v>
      </c>
      <c r="I2756" s="1">
        <v>0</v>
      </c>
      <c r="J2756" s="39" t="s">
        <v>4569</v>
      </c>
      <c r="K2756" s="1">
        <v>0</v>
      </c>
      <c r="L2756" s="1">
        <v>2</v>
      </c>
      <c r="S2756" s="1" t="s">
        <v>7987</v>
      </c>
      <c r="T2756" s="1">
        <v>1</v>
      </c>
      <c r="U2756" s="19"/>
      <c r="V2756" s="19"/>
      <c r="W2756" s="218">
        <v>1</v>
      </c>
      <c r="X2756" s="218">
        <v>1</v>
      </c>
      <c r="Y2756" s="218">
        <v>1</v>
      </c>
    </row>
    <row r="2757" spans="1:25" x14ac:dyDescent="0.3">
      <c r="A2757" s="1" t="s">
        <v>7988</v>
      </c>
      <c r="B2757" s="102">
        <v>46207</v>
      </c>
      <c r="C2757" s="6">
        <v>0.79166666666666696</v>
      </c>
      <c r="D2757" s="1" t="s">
        <v>12</v>
      </c>
      <c r="E2757" s="1" t="s">
        <v>4555</v>
      </c>
      <c r="F2757" s="1" t="s">
        <v>7989</v>
      </c>
      <c r="G2757" s="39" t="s">
        <v>4572</v>
      </c>
      <c r="H2757" s="1">
        <v>0</v>
      </c>
      <c r="I2757" s="1">
        <v>1</v>
      </c>
      <c r="J2757" s="39" t="s">
        <v>4618</v>
      </c>
      <c r="K2757" s="1">
        <v>1</v>
      </c>
      <c r="L2757" s="1">
        <v>0</v>
      </c>
      <c r="S2757" s="1" t="s">
        <v>7990</v>
      </c>
      <c r="T2757" s="1">
        <v>1</v>
      </c>
      <c r="U2757" s="19"/>
      <c r="V2757" s="19"/>
      <c r="W2757" s="218">
        <v>1</v>
      </c>
      <c r="X2757" s="218">
        <v>1</v>
      </c>
      <c r="Y2757" s="218">
        <v>1</v>
      </c>
    </row>
    <row r="2758" spans="1:25" x14ac:dyDescent="0.3">
      <c r="A2758" s="1" t="s">
        <v>7991</v>
      </c>
      <c r="B2758" s="102">
        <v>46209</v>
      </c>
      <c r="C2758" s="6">
        <v>0.79166666666666696</v>
      </c>
      <c r="D2758" s="1" t="s">
        <v>12</v>
      </c>
      <c r="E2758" s="1" t="s">
        <v>4555</v>
      </c>
      <c r="F2758" s="1" t="s">
        <v>7992</v>
      </c>
      <c r="G2758" s="39" t="s">
        <v>4569</v>
      </c>
      <c r="H2758" s="1">
        <v>3</v>
      </c>
      <c r="I2758" s="1">
        <v>1</v>
      </c>
      <c r="J2758" s="39" t="s">
        <v>4557</v>
      </c>
      <c r="K2758" s="1">
        <v>1</v>
      </c>
      <c r="L2758" s="1">
        <v>3</v>
      </c>
      <c r="S2758" s="1" t="s">
        <v>7993</v>
      </c>
      <c r="T2758" s="1">
        <v>1</v>
      </c>
      <c r="U2758" s="19"/>
      <c r="V2758" s="19"/>
      <c r="W2758" s="218">
        <v>1</v>
      </c>
      <c r="X2758" s="218">
        <v>1</v>
      </c>
      <c r="Y2758" s="218">
        <v>1</v>
      </c>
    </row>
    <row r="2759" spans="1:25" x14ac:dyDescent="0.3">
      <c r="A2759" s="1" t="s">
        <v>7994</v>
      </c>
      <c r="B2759" s="102">
        <v>46215</v>
      </c>
      <c r="C2759" s="6">
        <v>0.54166666666666696</v>
      </c>
      <c r="D2759" s="1" t="s">
        <v>12</v>
      </c>
      <c r="E2759" s="1" t="s">
        <v>4555</v>
      </c>
      <c r="F2759" s="1" t="s">
        <v>7995</v>
      </c>
      <c r="G2759" s="39" t="s">
        <v>4618</v>
      </c>
      <c r="H2759" s="1">
        <v>1</v>
      </c>
      <c r="I2759" s="1">
        <v>0</v>
      </c>
      <c r="J2759" s="39" t="s">
        <v>4575</v>
      </c>
      <c r="K2759" s="1">
        <v>0</v>
      </c>
      <c r="L2759" s="1">
        <v>1</v>
      </c>
      <c r="S2759" s="1" t="s">
        <v>7996</v>
      </c>
      <c r="T2759" s="1">
        <v>1</v>
      </c>
      <c r="U2759" s="19"/>
      <c r="V2759" s="19"/>
      <c r="W2759" s="218">
        <v>1</v>
      </c>
      <c r="X2759" s="218">
        <v>1</v>
      </c>
      <c r="Y2759" s="218">
        <v>1</v>
      </c>
    </row>
    <row r="2760" spans="1:25" x14ac:dyDescent="0.3">
      <c r="A2760" s="1" t="s">
        <v>7997</v>
      </c>
      <c r="B2760" s="102">
        <v>46216</v>
      </c>
      <c r="C2760" s="6">
        <v>0.77083333333333304</v>
      </c>
      <c r="D2760" s="1" t="s">
        <v>12</v>
      </c>
      <c r="E2760" s="1" t="s">
        <v>4555</v>
      </c>
      <c r="F2760" s="1" t="s">
        <v>7998</v>
      </c>
      <c r="G2760" s="39" t="s">
        <v>4578</v>
      </c>
      <c r="H2760" s="1">
        <v>1</v>
      </c>
      <c r="I2760" s="1">
        <v>0</v>
      </c>
      <c r="J2760" s="39" t="s">
        <v>4569</v>
      </c>
      <c r="K2760" s="1">
        <v>0</v>
      </c>
      <c r="L2760" s="1">
        <v>1</v>
      </c>
      <c r="S2760" s="1" t="s">
        <v>7999</v>
      </c>
      <c r="T2760" s="1">
        <v>1</v>
      </c>
      <c r="U2760" s="19"/>
      <c r="V2760" s="19"/>
      <c r="W2760" s="218">
        <v>1</v>
      </c>
      <c r="X2760" s="218">
        <v>1</v>
      </c>
      <c r="Y2760" s="218">
        <v>1</v>
      </c>
    </row>
    <row r="2761" spans="1:25" x14ac:dyDescent="0.3">
      <c r="A2761" s="1" t="s">
        <v>8000</v>
      </c>
      <c r="B2761" s="102">
        <v>46229</v>
      </c>
      <c r="C2761" s="6">
        <v>0.66666666666666696</v>
      </c>
      <c r="D2761" s="1" t="s">
        <v>12</v>
      </c>
      <c r="E2761" s="1" t="s">
        <v>4555</v>
      </c>
      <c r="F2761" s="1" t="s">
        <v>8001</v>
      </c>
      <c r="G2761" s="39" t="s">
        <v>4569</v>
      </c>
      <c r="H2761" s="1">
        <v>1</v>
      </c>
      <c r="I2761" s="1">
        <v>0</v>
      </c>
      <c r="J2761" s="39" t="s">
        <v>4599</v>
      </c>
      <c r="K2761" s="1">
        <v>0</v>
      </c>
      <c r="L2761" s="1">
        <v>1</v>
      </c>
      <c r="S2761" s="1" t="s">
        <v>8002</v>
      </c>
      <c r="T2761" s="1">
        <v>1</v>
      </c>
      <c r="U2761" s="19"/>
      <c r="V2761" s="19"/>
      <c r="W2761" s="218">
        <v>1</v>
      </c>
      <c r="X2761" s="218">
        <v>1</v>
      </c>
      <c r="Y2761" s="218">
        <v>1</v>
      </c>
    </row>
    <row r="2762" spans="1:25" x14ac:dyDescent="0.3">
      <c r="A2762" s="1" t="s">
        <v>8003</v>
      </c>
      <c r="B2762" s="102">
        <v>46229</v>
      </c>
      <c r="C2762" s="6">
        <v>0.77083333333333304</v>
      </c>
      <c r="D2762" s="1" t="s">
        <v>12</v>
      </c>
      <c r="E2762" s="1" t="s">
        <v>4555</v>
      </c>
      <c r="F2762" s="1" t="s">
        <v>8004</v>
      </c>
      <c r="G2762" s="39" t="s">
        <v>4581</v>
      </c>
      <c r="H2762" s="1">
        <v>1</v>
      </c>
      <c r="I2762" s="1">
        <v>2</v>
      </c>
      <c r="J2762" s="39" t="s">
        <v>4584</v>
      </c>
      <c r="K2762" s="1">
        <v>2</v>
      </c>
      <c r="L2762" s="1">
        <v>1</v>
      </c>
      <c r="S2762" s="1" t="s">
        <v>8005</v>
      </c>
      <c r="T2762" s="1">
        <v>1</v>
      </c>
      <c r="U2762" s="19"/>
      <c r="V2762" s="19"/>
      <c r="W2762" s="218">
        <v>1</v>
      </c>
      <c r="X2762" s="218">
        <v>1</v>
      </c>
      <c r="Y2762" s="218">
        <v>1</v>
      </c>
    </row>
    <row r="2763" spans="1:25" x14ac:dyDescent="0.3">
      <c r="A2763" s="1" t="s">
        <v>8006</v>
      </c>
      <c r="B2763" s="102">
        <v>46242</v>
      </c>
      <c r="C2763" s="6">
        <v>0.70833333333333304</v>
      </c>
      <c r="D2763" s="1" t="s">
        <v>12</v>
      </c>
      <c r="E2763" s="1" t="s">
        <v>4555</v>
      </c>
      <c r="F2763" s="1" t="s">
        <v>8007</v>
      </c>
      <c r="G2763" s="39" t="s">
        <v>4584</v>
      </c>
      <c r="H2763" s="1">
        <v>2</v>
      </c>
      <c r="I2763" s="1">
        <v>2</v>
      </c>
      <c r="J2763" s="39" t="s">
        <v>4594</v>
      </c>
      <c r="K2763" s="1">
        <v>2</v>
      </c>
      <c r="L2763" s="1">
        <v>2</v>
      </c>
      <c r="S2763" s="1" t="s">
        <v>8008</v>
      </c>
      <c r="T2763" s="1">
        <v>1</v>
      </c>
      <c r="U2763" s="19"/>
      <c r="V2763" s="19"/>
      <c r="W2763" s="218">
        <v>1</v>
      </c>
      <c r="X2763" s="218">
        <v>1</v>
      </c>
      <c r="Y2763" s="218">
        <v>1</v>
      </c>
    </row>
    <row r="2764" spans="1:25" x14ac:dyDescent="0.3">
      <c r="A2764" s="1" t="s">
        <v>8009</v>
      </c>
      <c r="B2764" s="102">
        <v>46242</v>
      </c>
      <c r="C2764" s="6">
        <v>0.89583333333333304</v>
      </c>
      <c r="D2764" s="1" t="s">
        <v>12</v>
      </c>
      <c r="E2764" s="1" t="s">
        <v>4555</v>
      </c>
      <c r="F2764" s="1" t="s">
        <v>8010</v>
      </c>
      <c r="G2764" s="39" t="s">
        <v>4618</v>
      </c>
      <c r="H2764" s="1">
        <v>2</v>
      </c>
      <c r="I2764" s="1">
        <v>0</v>
      </c>
      <c r="J2764" s="39" t="s">
        <v>4590</v>
      </c>
      <c r="K2764" s="1">
        <v>0</v>
      </c>
      <c r="L2764" s="1">
        <v>2</v>
      </c>
      <c r="S2764" s="1" t="s">
        <v>8011</v>
      </c>
      <c r="T2764" s="1">
        <v>1</v>
      </c>
      <c r="U2764" s="19"/>
      <c r="V2764" s="19"/>
      <c r="W2764" s="218">
        <v>1</v>
      </c>
      <c r="X2764" s="218">
        <v>1</v>
      </c>
      <c r="Y2764" s="218">
        <v>1</v>
      </c>
    </row>
    <row r="2765" spans="1:25" x14ac:dyDescent="0.3">
      <c r="A2765" s="1" t="s">
        <v>8012</v>
      </c>
      <c r="B2765" s="102">
        <v>46243</v>
      </c>
      <c r="C2765" s="6">
        <v>0.85416666666666696</v>
      </c>
      <c r="D2765" s="1" t="s">
        <v>12</v>
      </c>
      <c r="E2765" s="1" t="s">
        <v>4555</v>
      </c>
      <c r="F2765" s="1" t="s">
        <v>8013</v>
      </c>
      <c r="G2765" s="39" t="s">
        <v>4572</v>
      </c>
      <c r="H2765" s="1">
        <v>2</v>
      </c>
      <c r="I2765" s="1">
        <v>1</v>
      </c>
      <c r="J2765" s="39" t="s">
        <v>4569</v>
      </c>
      <c r="K2765" s="1">
        <v>1</v>
      </c>
      <c r="L2765" s="1">
        <v>2</v>
      </c>
      <c r="S2765" s="1" t="s">
        <v>8014</v>
      </c>
      <c r="T2765" s="1">
        <v>1</v>
      </c>
      <c r="U2765" s="19"/>
      <c r="V2765" s="19"/>
      <c r="W2765" s="218">
        <v>1</v>
      </c>
      <c r="X2765" s="218">
        <v>1</v>
      </c>
      <c r="Y2765" s="218">
        <v>1</v>
      </c>
    </row>
    <row r="2766" spans="1:25" x14ac:dyDescent="0.3">
      <c r="A2766" s="1" t="s">
        <v>8015</v>
      </c>
      <c r="B2766" s="102">
        <v>46244</v>
      </c>
      <c r="C2766" s="6">
        <v>0.91666666666666696</v>
      </c>
      <c r="D2766" s="1" t="s">
        <v>12</v>
      </c>
      <c r="E2766" s="1" t="s">
        <v>4555</v>
      </c>
      <c r="F2766" s="1" t="s">
        <v>8016</v>
      </c>
      <c r="G2766" s="39" t="s">
        <v>4556</v>
      </c>
      <c r="H2766" s="1">
        <v>2</v>
      </c>
      <c r="I2766" s="1">
        <v>1</v>
      </c>
      <c r="J2766" s="39" t="s">
        <v>4591</v>
      </c>
      <c r="K2766" s="1">
        <v>1</v>
      </c>
      <c r="L2766" s="1">
        <v>2</v>
      </c>
      <c r="S2766" s="1" t="s">
        <v>8017</v>
      </c>
      <c r="T2766" s="1">
        <v>1</v>
      </c>
      <c r="U2766" s="19"/>
      <c r="V2766" s="19"/>
      <c r="W2766" s="218">
        <v>1</v>
      </c>
      <c r="X2766" s="218">
        <v>1</v>
      </c>
      <c r="Y2766" s="218">
        <v>1</v>
      </c>
    </row>
    <row r="2767" spans="1:25" x14ac:dyDescent="0.3">
      <c r="A2767" s="1" t="s">
        <v>8018</v>
      </c>
      <c r="B2767" s="102">
        <v>46145</v>
      </c>
      <c r="C2767" s="6">
        <v>0.79166666666666696</v>
      </c>
      <c r="D2767" s="1" t="s">
        <v>12</v>
      </c>
      <c r="E2767" s="1" t="s">
        <v>4555</v>
      </c>
      <c r="F2767" s="1" t="s">
        <v>8019</v>
      </c>
      <c r="G2767" s="39" t="s">
        <v>4575</v>
      </c>
      <c r="H2767" s="1">
        <v>1</v>
      </c>
      <c r="I2767" s="1">
        <v>1</v>
      </c>
      <c r="J2767" s="39" t="s">
        <v>4581</v>
      </c>
      <c r="K2767" s="1">
        <v>1</v>
      </c>
      <c r="L2767" s="1">
        <v>1</v>
      </c>
      <c r="S2767" s="1" t="s">
        <v>8020</v>
      </c>
      <c r="T2767" s="1">
        <v>1</v>
      </c>
      <c r="U2767" s="19"/>
      <c r="V2767" s="19"/>
      <c r="W2767" s="218">
        <v>1</v>
      </c>
      <c r="X2767" s="218">
        <v>1</v>
      </c>
      <c r="Y2767" s="218">
        <v>1</v>
      </c>
    </row>
    <row r="2768" spans="1:25" x14ac:dyDescent="0.3">
      <c r="A2768" s="1" t="s">
        <v>8021</v>
      </c>
      <c r="B2768" s="102">
        <v>46152</v>
      </c>
      <c r="C2768" s="6">
        <v>0.70833333333333304</v>
      </c>
      <c r="D2768" s="1" t="s">
        <v>12</v>
      </c>
      <c r="E2768" s="1" t="s">
        <v>4555</v>
      </c>
      <c r="F2768" s="1" t="s">
        <v>8022</v>
      </c>
      <c r="G2768" s="39" t="s">
        <v>4566</v>
      </c>
      <c r="H2768" s="1">
        <v>0</v>
      </c>
      <c r="I2768" s="1">
        <v>0</v>
      </c>
      <c r="J2768" s="39" t="s">
        <v>4581</v>
      </c>
      <c r="K2768" s="1">
        <v>0</v>
      </c>
      <c r="L2768" s="1">
        <v>0</v>
      </c>
      <c r="S2768" s="1" t="s">
        <v>8023</v>
      </c>
      <c r="T2768" s="1">
        <v>1</v>
      </c>
      <c r="U2768" s="19"/>
      <c r="V2768" s="19"/>
      <c r="W2768" s="218">
        <v>1</v>
      </c>
      <c r="X2768" s="218">
        <v>1</v>
      </c>
      <c r="Y2768" s="218">
        <v>1</v>
      </c>
    </row>
    <row r="2769" spans="1:25" x14ac:dyDescent="0.3">
      <c r="A2769" s="1" t="s">
        <v>8024</v>
      </c>
      <c r="B2769" s="102">
        <v>46152</v>
      </c>
      <c r="C2769" s="6">
        <v>0.70833333333333304</v>
      </c>
      <c r="D2769" s="1" t="s">
        <v>12</v>
      </c>
      <c r="E2769" s="1" t="s">
        <v>4555</v>
      </c>
      <c r="F2769" s="1" t="s">
        <v>8025</v>
      </c>
      <c r="G2769" s="39" t="s">
        <v>4590</v>
      </c>
      <c r="H2769" s="1">
        <v>0</v>
      </c>
      <c r="I2769" s="1">
        <v>0</v>
      </c>
      <c r="J2769" s="39" t="s">
        <v>4560</v>
      </c>
      <c r="K2769" s="1">
        <v>0</v>
      </c>
      <c r="L2769" s="1">
        <v>0</v>
      </c>
      <c r="S2769" s="1" t="s">
        <v>8026</v>
      </c>
      <c r="T2769" s="1">
        <v>1</v>
      </c>
      <c r="U2769" s="19"/>
      <c r="V2769" s="19"/>
      <c r="W2769" s="218">
        <v>1</v>
      </c>
      <c r="X2769" s="218">
        <v>1</v>
      </c>
      <c r="Y2769" s="218">
        <v>1</v>
      </c>
    </row>
    <row r="2770" spans="1:25" x14ac:dyDescent="0.3">
      <c r="A2770" s="1" t="s">
        <v>8027</v>
      </c>
      <c r="B2770" s="102">
        <v>46158</v>
      </c>
      <c r="C2770" s="6">
        <v>0.70833333333333304</v>
      </c>
      <c r="D2770" s="1" t="s">
        <v>12</v>
      </c>
      <c r="E2770" s="1" t="s">
        <v>4555</v>
      </c>
      <c r="F2770" s="1" t="s">
        <v>8028</v>
      </c>
      <c r="G2770" s="39" t="s">
        <v>4594</v>
      </c>
      <c r="H2770" s="1">
        <v>2</v>
      </c>
      <c r="I2770" s="1">
        <v>0</v>
      </c>
      <c r="J2770" s="39" t="s">
        <v>4590</v>
      </c>
      <c r="K2770" s="1">
        <v>0</v>
      </c>
      <c r="L2770" s="1">
        <v>2</v>
      </c>
      <c r="S2770" s="1" t="s">
        <v>8029</v>
      </c>
      <c r="T2770" s="1">
        <v>1</v>
      </c>
      <c r="U2770" s="19"/>
      <c r="V2770" s="19"/>
      <c r="W2770" s="218">
        <v>1</v>
      </c>
      <c r="X2770" s="218">
        <v>1</v>
      </c>
      <c r="Y2770" s="218">
        <v>1</v>
      </c>
    </row>
    <row r="2771" spans="1:25" x14ac:dyDescent="0.3">
      <c r="A2771" s="1" t="s">
        <v>8030</v>
      </c>
      <c r="B2771" s="102">
        <v>46158</v>
      </c>
      <c r="C2771" s="6">
        <v>0.70833333333333304</v>
      </c>
      <c r="D2771" s="1" t="s">
        <v>12</v>
      </c>
      <c r="E2771" s="1" t="s">
        <v>4555</v>
      </c>
      <c r="F2771" s="1" t="s">
        <v>8031</v>
      </c>
      <c r="G2771" s="39" t="s">
        <v>4635</v>
      </c>
      <c r="H2771" s="1">
        <v>1</v>
      </c>
      <c r="I2771" s="1">
        <v>4</v>
      </c>
      <c r="J2771" s="39" t="s">
        <v>4587</v>
      </c>
      <c r="K2771" s="1">
        <v>4</v>
      </c>
      <c r="L2771" s="1">
        <v>1</v>
      </c>
      <c r="S2771" s="1" t="s">
        <v>8032</v>
      </c>
      <c r="T2771" s="1">
        <v>1</v>
      </c>
      <c r="U2771" s="19"/>
      <c r="V2771" s="19"/>
      <c r="W2771" s="218">
        <v>1</v>
      </c>
      <c r="X2771" s="218">
        <v>1</v>
      </c>
      <c r="Y2771" s="218">
        <v>1</v>
      </c>
    </row>
    <row r="2772" spans="1:25" x14ac:dyDescent="0.3">
      <c r="A2772" s="1" t="s">
        <v>8033</v>
      </c>
      <c r="B2772" s="102">
        <v>46165</v>
      </c>
      <c r="C2772" s="6">
        <v>0.8125</v>
      </c>
      <c r="D2772" s="1" t="s">
        <v>12</v>
      </c>
      <c r="E2772" s="1" t="s">
        <v>4555</v>
      </c>
      <c r="F2772" s="1" t="s">
        <v>8034</v>
      </c>
      <c r="G2772" s="39" t="s">
        <v>4572</v>
      </c>
      <c r="H2772" s="1">
        <v>0</v>
      </c>
      <c r="I2772" s="1">
        <v>0</v>
      </c>
      <c r="J2772" s="39" t="s">
        <v>4581</v>
      </c>
      <c r="K2772" s="1">
        <v>0</v>
      </c>
      <c r="L2772" s="1">
        <v>0</v>
      </c>
      <c r="S2772" s="1" t="s">
        <v>8035</v>
      </c>
      <c r="T2772" s="1">
        <v>1</v>
      </c>
      <c r="U2772" s="19"/>
      <c r="V2772" s="19"/>
      <c r="W2772" s="218">
        <v>1</v>
      </c>
      <c r="X2772" s="218">
        <v>1</v>
      </c>
      <c r="Y2772" s="218">
        <v>1</v>
      </c>
    </row>
    <row r="2773" spans="1:25" x14ac:dyDescent="0.3">
      <c r="A2773" s="1" t="s">
        <v>8036</v>
      </c>
      <c r="B2773" s="102">
        <v>46165</v>
      </c>
      <c r="C2773" s="6">
        <v>0.8125</v>
      </c>
      <c r="D2773" s="1" t="s">
        <v>12</v>
      </c>
      <c r="E2773" s="1" t="s">
        <v>4555</v>
      </c>
      <c r="F2773" s="1" t="s">
        <v>8037</v>
      </c>
      <c r="G2773" s="39" t="s">
        <v>4587</v>
      </c>
      <c r="H2773" s="1">
        <v>1</v>
      </c>
      <c r="I2773" s="1">
        <v>1</v>
      </c>
      <c r="J2773" s="39" t="s">
        <v>4594</v>
      </c>
      <c r="K2773" s="1">
        <v>1</v>
      </c>
      <c r="L2773" s="1">
        <v>1</v>
      </c>
      <c r="S2773" s="1" t="s">
        <v>8038</v>
      </c>
      <c r="T2773" s="1">
        <v>1</v>
      </c>
      <c r="U2773" s="19"/>
      <c r="V2773" s="19"/>
      <c r="W2773" s="218">
        <v>1</v>
      </c>
      <c r="X2773" s="218">
        <v>1</v>
      </c>
      <c r="Y2773" s="218">
        <v>1</v>
      </c>
    </row>
    <row r="2774" spans="1:25" x14ac:dyDescent="0.3">
      <c r="A2774" s="1" t="s">
        <v>8039</v>
      </c>
      <c r="B2774" s="102">
        <v>46166</v>
      </c>
      <c r="C2774" s="6">
        <v>0.6875</v>
      </c>
      <c r="D2774" s="1" t="s">
        <v>12</v>
      </c>
      <c r="E2774" s="1" t="s">
        <v>4555</v>
      </c>
      <c r="F2774" s="1" t="s">
        <v>8040</v>
      </c>
      <c r="G2774" s="39" t="s">
        <v>4575</v>
      </c>
      <c r="H2774" s="1">
        <v>1</v>
      </c>
      <c r="I2774" s="1">
        <v>2</v>
      </c>
      <c r="J2774" s="39" t="s">
        <v>4560</v>
      </c>
      <c r="K2774" s="1">
        <v>2</v>
      </c>
      <c r="L2774" s="1">
        <v>1</v>
      </c>
      <c r="S2774" s="1" t="s">
        <v>8041</v>
      </c>
      <c r="T2774" s="1">
        <v>1</v>
      </c>
      <c r="U2774" s="19"/>
      <c r="V2774" s="19"/>
      <c r="W2774" s="218">
        <v>1</v>
      </c>
      <c r="X2774" s="218">
        <v>1</v>
      </c>
      <c r="Y2774" s="218">
        <v>1</v>
      </c>
    </row>
    <row r="2775" spans="1:25" x14ac:dyDescent="0.3">
      <c r="A2775" s="1" t="s">
        <v>8042</v>
      </c>
      <c r="B2775" s="102">
        <v>46166</v>
      </c>
      <c r="C2775" s="6">
        <v>0.79166666666666696</v>
      </c>
      <c r="D2775" s="1" t="s">
        <v>12</v>
      </c>
      <c r="E2775" s="1" t="s">
        <v>4555</v>
      </c>
      <c r="F2775" s="1" t="s">
        <v>8043</v>
      </c>
      <c r="G2775" s="39" t="s">
        <v>4590</v>
      </c>
      <c r="H2775" s="1">
        <v>2</v>
      </c>
      <c r="I2775" s="1">
        <v>1</v>
      </c>
      <c r="J2775" s="39" t="s">
        <v>4635</v>
      </c>
      <c r="K2775" s="1">
        <v>1</v>
      </c>
      <c r="L2775" s="1">
        <v>2</v>
      </c>
      <c r="S2775" s="1" t="s">
        <v>8044</v>
      </c>
      <c r="T2775" s="1">
        <v>1</v>
      </c>
      <c r="U2775" s="19"/>
      <c r="V2775" s="19"/>
      <c r="W2775" s="218">
        <v>1</v>
      </c>
      <c r="X2775" s="218">
        <v>1</v>
      </c>
      <c r="Y2775" s="218">
        <v>1</v>
      </c>
    </row>
    <row r="2776" spans="1:25" x14ac:dyDescent="0.3">
      <c r="A2776" s="1" t="s">
        <v>8045</v>
      </c>
      <c r="B2776" s="102">
        <v>46172</v>
      </c>
      <c r="C2776" s="6">
        <v>0.8125</v>
      </c>
      <c r="D2776" s="1" t="s">
        <v>12</v>
      </c>
      <c r="E2776" s="1" t="s">
        <v>4555</v>
      </c>
      <c r="F2776" s="1" t="s">
        <v>8046</v>
      </c>
      <c r="G2776" s="39" t="s">
        <v>4581</v>
      </c>
      <c r="H2776" s="1">
        <v>2</v>
      </c>
      <c r="I2776" s="1">
        <v>1</v>
      </c>
      <c r="J2776" s="39" t="s">
        <v>4599</v>
      </c>
      <c r="K2776" s="1">
        <v>1</v>
      </c>
      <c r="L2776" s="1">
        <v>2</v>
      </c>
      <c r="S2776" s="1" t="s">
        <v>8047</v>
      </c>
      <c r="T2776" s="1">
        <v>1</v>
      </c>
      <c r="U2776" s="19"/>
      <c r="V2776" s="19"/>
      <c r="W2776" s="218">
        <v>1</v>
      </c>
      <c r="X2776" s="218">
        <v>1</v>
      </c>
      <c r="Y2776" s="218">
        <v>1</v>
      </c>
    </row>
    <row r="2777" spans="1:25" x14ac:dyDescent="0.3">
      <c r="A2777" s="1" t="s">
        <v>8048</v>
      </c>
      <c r="B2777" s="102">
        <v>46173</v>
      </c>
      <c r="C2777" s="6">
        <v>0.66666666666666696</v>
      </c>
      <c r="D2777" s="1" t="s">
        <v>12</v>
      </c>
      <c r="E2777" s="1" t="s">
        <v>4555</v>
      </c>
      <c r="F2777" s="1" t="s">
        <v>8049</v>
      </c>
      <c r="G2777" s="39" t="s">
        <v>4594</v>
      </c>
      <c r="H2777" s="1">
        <v>1</v>
      </c>
      <c r="I2777" s="1">
        <v>1</v>
      </c>
      <c r="J2777" s="39" t="s">
        <v>4560</v>
      </c>
      <c r="K2777" s="1">
        <v>1</v>
      </c>
      <c r="L2777" s="1">
        <v>1</v>
      </c>
      <c r="S2777" s="1" t="s">
        <v>8050</v>
      </c>
      <c r="T2777" s="1">
        <v>1</v>
      </c>
      <c r="U2777" s="19"/>
      <c r="V2777" s="19"/>
      <c r="W2777" s="218">
        <v>1</v>
      </c>
      <c r="X2777" s="218">
        <v>1</v>
      </c>
      <c r="Y2777" s="218">
        <v>1</v>
      </c>
    </row>
    <row r="2778" spans="1:25" x14ac:dyDescent="0.3">
      <c r="A2778" s="1" t="s">
        <v>8051</v>
      </c>
      <c r="B2778" s="102">
        <v>46188</v>
      </c>
      <c r="C2778" s="6">
        <v>0.85416666666666696</v>
      </c>
      <c r="D2778" s="1" t="s">
        <v>12</v>
      </c>
      <c r="E2778" s="1" t="s">
        <v>4555</v>
      </c>
      <c r="F2778" s="1" t="s">
        <v>8052</v>
      </c>
      <c r="G2778" s="39" t="s">
        <v>4560</v>
      </c>
      <c r="H2778" s="1">
        <v>1</v>
      </c>
      <c r="I2778" s="1">
        <v>0</v>
      </c>
      <c r="J2778" s="39" t="s">
        <v>4566</v>
      </c>
      <c r="K2778" s="1">
        <v>0</v>
      </c>
      <c r="L2778" s="1">
        <v>1</v>
      </c>
      <c r="S2778" s="1" t="s">
        <v>8053</v>
      </c>
      <c r="T2778" s="1">
        <v>1</v>
      </c>
      <c r="U2778" s="19"/>
      <c r="V2778" s="19"/>
      <c r="W2778" s="218">
        <v>1</v>
      </c>
      <c r="X2778" s="218">
        <v>1</v>
      </c>
      <c r="Y2778" s="218">
        <v>1</v>
      </c>
    </row>
    <row r="2779" spans="1:25" x14ac:dyDescent="0.3">
      <c r="A2779" s="1" t="s">
        <v>8054</v>
      </c>
      <c r="B2779" s="102">
        <v>46193</v>
      </c>
      <c r="C2779" s="6">
        <v>0.79166666666666696</v>
      </c>
      <c r="D2779" s="1" t="s">
        <v>12</v>
      </c>
      <c r="E2779" s="1" t="s">
        <v>4555</v>
      </c>
      <c r="F2779" s="1" t="s">
        <v>8055</v>
      </c>
      <c r="G2779" s="39" t="s">
        <v>4594</v>
      </c>
      <c r="H2779" s="1">
        <v>0</v>
      </c>
      <c r="I2779" s="1">
        <v>1</v>
      </c>
      <c r="J2779" s="39" t="s">
        <v>4635</v>
      </c>
      <c r="K2779" s="1">
        <v>1</v>
      </c>
      <c r="L2779" s="1">
        <v>0</v>
      </c>
      <c r="S2779" s="1" t="s">
        <v>8056</v>
      </c>
      <c r="T2779" s="1">
        <v>1</v>
      </c>
      <c r="U2779" s="19"/>
      <c r="V2779" s="19"/>
      <c r="W2779" s="218">
        <v>1</v>
      </c>
      <c r="X2779" s="218">
        <v>1</v>
      </c>
      <c r="Y2779" s="218">
        <v>1</v>
      </c>
    </row>
    <row r="2780" spans="1:25" x14ac:dyDescent="0.3">
      <c r="A2780" s="1" t="s">
        <v>8057</v>
      </c>
      <c r="B2780" s="102">
        <v>46194</v>
      </c>
      <c r="C2780" s="6">
        <v>0.45833333333333298</v>
      </c>
      <c r="D2780" s="1" t="s">
        <v>12</v>
      </c>
      <c r="E2780" s="1" t="s">
        <v>4555</v>
      </c>
      <c r="F2780" s="1" t="s">
        <v>8058</v>
      </c>
      <c r="G2780" s="39" t="s">
        <v>4581</v>
      </c>
      <c r="H2780" s="1">
        <v>1</v>
      </c>
      <c r="I2780" s="1">
        <v>1</v>
      </c>
      <c r="J2780" s="39" t="s">
        <v>4587</v>
      </c>
      <c r="K2780" s="1">
        <v>1</v>
      </c>
      <c r="L2780" s="1">
        <v>1</v>
      </c>
      <c r="S2780" s="1" t="s">
        <v>8059</v>
      </c>
      <c r="T2780" s="1">
        <v>1</v>
      </c>
      <c r="U2780" s="19"/>
      <c r="V2780" s="19"/>
      <c r="W2780" s="218">
        <v>1</v>
      </c>
      <c r="X2780" s="218">
        <v>1</v>
      </c>
      <c r="Y2780" s="218">
        <v>1</v>
      </c>
    </row>
    <row r="2781" spans="1:25" x14ac:dyDescent="0.3">
      <c r="A2781" s="1" t="s">
        <v>8060</v>
      </c>
      <c r="B2781" s="102">
        <v>46200</v>
      </c>
      <c r="C2781" s="6">
        <v>0.79166666666666696</v>
      </c>
      <c r="D2781" s="1" t="s">
        <v>12</v>
      </c>
      <c r="E2781" s="1" t="s">
        <v>4555</v>
      </c>
      <c r="F2781" s="1" t="s">
        <v>8061</v>
      </c>
      <c r="G2781" s="39" t="s">
        <v>4578</v>
      </c>
      <c r="H2781" s="1">
        <v>1</v>
      </c>
      <c r="I2781" s="1">
        <v>0</v>
      </c>
      <c r="J2781" s="39" t="s">
        <v>4560</v>
      </c>
      <c r="K2781" s="1">
        <v>0</v>
      </c>
      <c r="L2781" s="1">
        <v>1</v>
      </c>
      <c r="S2781" s="1" t="s">
        <v>8062</v>
      </c>
      <c r="T2781" s="1">
        <v>1</v>
      </c>
      <c r="U2781" s="19"/>
      <c r="V2781" s="19"/>
      <c r="W2781" s="218">
        <v>1</v>
      </c>
      <c r="X2781" s="218">
        <v>1</v>
      </c>
      <c r="Y2781" s="218">
        <v>1</v>
      </c>
    </row>
    <row r="2782" spans="1:25" x14ac:dyDescent="0.3">
      <c r="A2782" s="1" t="s">
        <v>8063</v>
      </c>
      <c r="B2782" s="102">
        <v>46207</v>
      </c>
      <c r="C2782" s="6">
        <v>0.8125</v>
      </c>
      <c r="D2782" s="1" t="s">
        <v>12</v>
      </c>
      <c r="E2782" s="1" t="s">
        <v>4555</v>
      </c>
      <c r="F2782" s="1" t="s">
        <v>8064</v>
      </c>
      <c r="G2782" s="39" t="s">
        <v>4594</v>
      </c>
      <c r="H2782" s="1">
        <v>1</v>
      </c>
      <c r="I2782" s="1">
        <v>0</v>
      </c>
      <c r="J2782" s="39" t="s">
        <v>4599</v>
      </c>
      <c r="K2782" s="1">
        <v>0</v>
      </c>
      <c r="L2782" s="1">
        <v>1</v>
      </c>
      <c r="S2782" s="1" t="s">
        <v>8065</v>
      </c>
      <c r="T2782" s="1">
        <v>1</v>
      </c>
      <c r="U2782" s="19"/>
      <c r="V2782" s="19"/>
      <c r="W2782" s="218">
        <v>1</v>
      </c>
      <c r="X2782" s="218">
        <v>1</v>
      </c>
      <c r="Y2782" s="218">
        <v>1</v>
      </c>
    </row>
    <row r="2783" spans="1:25" x14ac:dyDescent="0.3">
      <c r="A2783" s="1" t="s">
        <v>8066</v>
      </c>
      <c r="B2783" s="102">
        <v>46207</v>
      </c>
      <c r="C2783" s="6">
        <v>0.85416666666666696</v>
      </c>
      <c r="D2783" s="1" t="s">
        <v>12</v>
      </c>
      <c r="E2783" s="1" t="s">
        <v>4555</v>
      </c>
      <c r="F2783" s="1" t="s">
        <v>8067</v>
      </c>
      <c r="G2783" s="39" t="s">
        <v>4560</v>
      </c>
      <c r="H2783" s="1">
        <v>0</v>
      </c>
      <c r="I2783" s="1">
        <v>1</v>
      </c>
      <c r="J2783" s="39" t="s">
        <v>4581</v>
      </c>
      <c r="K2783" s="1">
        <v>1</v>
      </c>
      <c r="L2783" s="1">
        <v>0</v>
      </c>
      <c r="S2783" s="1" t="s">
        <v>8068</v>
      </c>
      <c r="T2783" s="1">
        <v>1</v>
      </c>
      <c r="U2783" s="19"/>
      <c r="V2783" s="19"/>
      <c r="W2783" s="218">
        <v>1</v>
      </c>
      <c r="X2783" s="218">
        <v>1</v>
      </c>
      <c r="Y2783" s="218">
        <v>1</v>
      </c>
    </row>
    <row r="2784" spans="1:25" x14ac:dyDescent="0.3">
      <c r="A2784" s="1" t="s">
        <v>8069</v>
      </c>
      <c r="B2784" s="102">
        <v>46214</v>
      </c>
      <c r="C2784" s="6">
        <v>0.45833333333333298</v>
      </c>
      <c r="D2784" s="1" t="s">
        <v>12</v>
      </c>
      <c r="E2784" s="1" t="s">
        <v>4555</v>
      </c>
      <c r="F2784" s="1" t="s">
        <v>8070</v>
      </c>
      <c r="G2784" s="39" t="s">
        <v>4581</v>
      </c>
      <c r="H2784" s="1">
        <v>0</v>
      </c>
      <c r="I2784" s="1">
        <v>0</v>
      </c>
      <c r="J2784" s="39" t="s">
        <v>4613</v>
      </c>
      <c r="K2784" s="1">
        <v>0</v>
      </c>
      <c r="L2784" s="1">
        <v>0</v>
      </c>
      <c r="S2784" s="1" t="s">
        <v>8071</v>
      </c>
      <c r="T2784" s="1">
        <v>1</v>
      </c>
      <c r="U2784" s="19"/>
      <c r="V2784" s="19"/>
      <c r="W2784" s="218">
        <v>1</v>
      </c>
      <c r="X2784" s="218">
        <v>1</v>
      </c>
      <c r="Y2784" s="218">
        <v>1</v>
      </c>
    </row>
    <row r="2785" spans="1:25" x14ac:dyDescent="0.3">
      <c r="A2785" s="1" t="s">
        <v>8072</v>
      </c>
      <c r="B2785" s="102">
        <v>46215</v>
      </c>
      <c r="C2785" s="6">
        <v>0.45833333333333298</v>
      </c>
      <c r="D2785" s="1" t="s">
        <v>12</v>
      </c>
      <c r="E2785" s="1" t="s">
        <v>4555</v>
      </c>
      <c r="F2785" s="1" t="s">
        <v>8073</v>
      </c>
      <c r="G2785" s="39" t="s">
        <v>4566</v>
      </c>
      <c r="H2785" s="1">
        <v>1</v>
      </c>
      <c r="I2785" s="1">
        <v>2</v>
      </c>
      <c r="J2785" s="39" t="s">
        <v>4594</v>
      </c>
      <c r="K2785" s="1">
        <v>2</v>
      </c>
      <c r="L2785" s="1">
        <v>1</v>
      </c>
      <c r="S2785" s="1" t="s">
        <v>8074</v>
      </c>
      <c r="T2785" s="1">
        <v>1</v>
      </c>
      <c r="U2785" s="19"/>
      <c r="V2785" s="19"/>
      <c r="W2785" s="218">
        <v>1</v>
      </c>
      <c r="X2785" s="218">
        <v>1</v>
      </c>
      <c r="Y2785" s="218">
        <v>1</v>
      </c>
    </row>
    <row r="2786" spans="1:25" x14ac:dyDescent="0.3">
      <c r="A2786" s="1" t="s">
        <v>8075</v>
      </c>
      <c r="B2786" s="102">
        <v>46215</v>
      </c>
      <c r="C2786" s="6">
        <v>0.66666666666666696</v>
      </c>
      <c r="D2786" s="1" t="s">
        <v>12</v>
      </c>
      <c r="E2786" s="1" t="s">
        <v>4555</v>
      </c>
      <c r="F2786" s="1" t="s">
        <v>8076</v>
      </c>
      <c r="G2786" s="39" t="s">
        <v>4599</v>
      </c>
      <c r="H2786" s="1">
        <v>1</v>
      </c>
      <c r="I2786" s="1">
        <v>3</v>
      </c>
      <c r="J2786" s="39" t="s">
        <v>4560</v>
      </c>
      <c r="K2786" s="1">
        <v>3</v>
      </c>
      <c r="L2786" s="1">
        <v>1</v>
      </c>
      <c r="S2786" s="1" t="s">
        <v>8077</v>
      </c>
      <c r="T2786" s="1">
        <v>1</v>
      </c>
      <c r="U2786" s="19"/>
      <c r="V2786" s="19"/>
      <c r="W2786" s="218">
        <v>1</v>
      </c>
      <c r="X2786" s="218">
        <v>1</v>
      </c>
      <c r="Y2786" s="218">
        <v>1</v>
      </c>
    </row>
    <row r="2787" spans="1:25" x14ac:dyDescent="0.3">
      <c r="A2787" s="1" t="s">
        <v>8078</v>
      </c>
      <c r="B2787" s="102">
        <v>46215</v>
      </c>
      <c r="C2787" s="6">
        <v>0.66666666666666696</v>
      </c>
      <c r="D2787" s="1" t="s">
        <v>12</v>
      </c>
      <c r="E2787" s="1" t="s">
        <v>4555</v>
      </c>
      <c r="F2787" s="1" t="s">
        <v>8079</v>
      </c>
      <c r="G2787" s="39" t="s">
        <v>4572</v>
      </c>
      <c r="H2787" s="1">
        <v>2</v>
      </c>
      <c r="I2787" s="1">
        <v>1</v>
      </c>
      <c r="J2787" s="39" t="s">
        <v>4635</v>
      </c>
      <c r="K2787" s="1">
        <v>1</v>
      </c>
      <c r="L2787" s="1">
        <v>2</v>
      </c>
      <c r="S2787" s="1" t="s">
        <v>8080</v>
      </c>
      <c r="T2787" s="1">
        <v>1</v>
      </c>
      <c r="U2787" s="19"/>
      <c r="V2787" s="19"/>
      <c r="W2787" s="218">
        <v>1</v>
      </c>
      <c r="X2787" s="218">
        <v>1</v>
      </c>
      <c r="Y2787" s="218">
        <v>1</v>
      </c>
    </row>
    <row r="2788" spans="1:25" x14ac:dyDescent="0.3">
      <c r="A2788" s="1" t="s">
        <v>8081</v>
      </c>
      <c r="B2788" s="102">
        <v>46228</v>
      </c>
      <c r="C2788" s="6">
        <v>0.70833333333333304</v>
      </c>
      <c r="D2788" s="1" t="s">
        <v>12</v>
      </c>
      <c r="E2788" s="1" t="s">
        <v>4555</v>
      </c>
      <c r="F2788" s="1" t="s">
        <v>8082</v>
      </c>
      <c r="G2788" s="39" t="s">
        <v>4560</v>
      </c>
      <c r="H2788" s="1">
        <v>0</v>
      </c>
      <c r="I2788" s="1">
        <v>0</v>
      </c>
      <c r="J2788" s="39" t="s">
        <v>4572</v>
      </c>
      <c r="K2788" s="1">
        <v>0</v>
      </c>
      <c r="L2788" s="1">
        <v>0</v>
      </c>
      <c r="S2788" s="1" t="s">
        <v>8083</v>
      </c>
      <c r="T2788" s="1">
        <v>1</v>
      </c>
      <c r="U2788" s="19"/>
      <c r="V2788" s="19"/>
      <c r="W2788" s="218">
        <v>1</v>
      </c>
      <c r="X2788" s="218">
        <v>1</v>
      </c>
      <c r="Y2788" s="218">
        <v>1</v>
      </c>
    </row>
    <row r="2789" spans="1:25" x14ac:dyDescent="0.3">
      <c r="A2789" s="1" t="s">
        <v>8084</v>
      </c>
      <c r="B2789" s="102">
        <v>46228</v>
      </c>
      <c r="C2789" s="6">
        <v>0.70833333333333304</v>
      </c>
      <c r="D2789" s="1" t="s">
        <v>12</v>
      </c>
      <c r="E2789" s="1" t="s">
        <v>4555</v>
      </c>
      <c r="F2789" s="1" t="s">
        <v>8085</v>
      </c>
      <c r="G2789" s="39" t="s">
        <v>4594</v>
      </c>
      <c r="H2789" s="1">
        <v>0</v>
      </c>
      <c r="I2789" s="1">
        <v>1</v>
      </c>
      <c r="J2789" s="39" t="s">
        <v>4557</v>
      </c>
      <c r="K2789" s="1">
        <v>1</v>
      </c>
      <c r="L2789" s="1">
        <v>0</v>
      </c>
      <c r="S2789" s="1" t="s">
        <v>8086</v>
      </c>
      <c r="T2789" s="1">
        <v>1</v>
      </c>
      <c r="U2789" s="19"/>
      <c r="V2789" s="19"/>
      <c r="W2789" s="218">
        <v>1</v>
      </c>
      <c r="X2789" s="218">
        <v>1</v>
      </c>
      <c r="Y2789" s="218">
        <v>1</v>
      </c>
    </row>
    <row r="2790" spans="1:25" x14ac:dyDescent="0.3">
      <c r="A2790" s="1" t="s">
        <v>8087</v>
      </c>
      <c r="B2790" s="102">
        <v>46229</v>
      </c>
      <c r="C2790" s="6">
        <v>0.66666666666666696</v>
      </c>
      <c r="D2790" s="1" t="s">
        <v>12</v>
      </c>
      <c r="E2790" s="1" t="s">
        <v>4555</v>
      </c>
      <c r="F2790" s="1" t="s">
        <v>8088</v>
      </c>
      <c r="G2790" s="39" t="s">
        <v>4635</v>
      </c>
      <c r="H2790" s="1">
        <v>1</v>
      </c>
      <c r="I2790" s="1">
        <v>0</v>
      </c>
      <c r="J2790" s="39" t="s">
        <v>4566</v>
      </c>
      <c r="K2790" s="1">
        <v>0</v>
      </c>
      <c r="L2790" s="1">
        <v>1</v>
      </c>
      <c r="S2790" s="1" t="s">
        <v>8089</v>
      </c>
      <c r="T2790" s="1">
        <v>1</v>
      </c>
      <c r="U2790" s="19"/>
      <c r="V2790" s="19"/>
      <c r="W2790" s="218">
        <v>1</v>
      </c>
      <c r="X2790" s="218">
        <v>1</v>
      </c>
      <c r="Y2790" s="218">
        <v>1</v>
      </c>
    </row>
    <row r="2791" spans="1:25" x14ac:dyDescent="0.3">
      <c r="A2791" s="1" t="s">
        <v>8090</v>
      </c>
      <c r="B2791" s="102">
        <v>46242</v>
      </c>
      <c r="C2791" s="6">
        <v>0.70833333333333304</v>
      </c>
      <c r="D2791" s="1" t="s">
        <v>12</v>
      </c>
      <c r="E2791" s="1" t="s">
        <v>4555</v>
      </c>
      <c r="F2791" s="1" t="s">
        <v>8091</v>
      </c>
      <c r="G2791" s="39" t="s">
        <v>4557</v>
      </c>
      <c r="H2791" s="1">
        <v>2</v>
      </c>
      <c r="I2791" s="1">
        <v>2</v>
      </c>
      <c r="J2791" s="39" t="s">
        <v>4560</v>
      </c>
      <c r="K2791" s="1">
        <v>2</v>
      </c>
      <c r="L2791" s="1">
        <v>2</v>
      </c>
      <c r="S2791" s="1" t="s">
        <v>8092</v>
      </c>
      <c r="T2791" s="1">
        <v>1</v>
      </c>
      <c r="U2791" s="19"/>
      <c r="V2791" s="19"/>
      <c r="W2791" s="218">
        <v>1</v>
      </c>
      <c r="X2791" s="218">
        <v>1</v>
      </c>
      <c r="Y2791" s="218">
        <v>1</v>
      </c>
    </row>
    <row r="2792" spans="1:25" x14ac:dyDescent="0.3">
      <c r="A2792" s="1" t="s">
        <v>8093</v>
      </c>
      <c r="B2792" s="102">
        <v>46243</v>
      </c>
      <c r="C2792" s="6">
        <v>0.66666666666666696</v>
      </c>
      <c r="D2792" s="1" t="s">
        <v>12</v>
      </c>
      <c r="E2792" s="1" t="s">
        <v>4555</v>
      </c>
      <c r="F2792" s="1" t="s">
        <v>8094</v>
      </c>
      <c r="G2792" s="39" t="s">
        <v>4635</v>
      </c>
      <c r="H2792" s="1">
        <v>4</v>
      </c>
      <c r="I2792" s="1">
        <v>1</v>
      </c>
      <c r="J2792" s="39" t="s">
        <v>4613</v>
      </c>
      <c r="K2792" s="1">
        <v>1</v>
      </c>
      <c r="L2792" s="1">
        <v>4</v>
      </c>
      <c r="S2792" s="1" t="s">
        <v>8095</v>
      </c>
      <c r="T2792" s="1">
        <v>1</v>
      </c>
      <c r="U2792" s="19"/>
      <c r="V2792" s="19"/>
      <c r="W2792" s="218">
        <v>1</v>
      </c>
      <c r="X2792" s="218">
        <v>1</v>
      </c>
      <c r="Y2792" s="218">
        <v>1</v>
      </c>
    </row>
    <row r="2793" spans="1:25" x14ac:dyDescent="0.3">
      <c r="A2793" s="1" t="s">
        <v>8096</v>
      </c>
      <c r="B2793" s="102">
        <v>46243</v>
      </c>
      <c r="C2793" s="6">
        <v>0.77083333333333304</v>
      </c>
      <c r="D2793" s="1" t="s">
        <v>12</v>
      </c>
      <c r="E2793" s="1" t="s">
        <v>4555</v>
      </c>
      <c r="F2793" s="1" t="s">
        <v>8097</v>
      </c>
      <c r="G2793" s="39" t="s">
        <v>4578</v>
      </c>
      <c r="H2793" s="1">
        <v>0</v>
      </c>
      <c r="I2793" s="1">
        <v>2</v>
      </c>
      <c r="J2793" s="39" t="s">
        <v>4581</v>
      </c>
      <c r="K2793" s="1">
        <v>2</v>
      </c>
      <c r="L2793" s="1">
        <v>0</v>
      </c>
      <c r="S2793" s="1" t="s">
        <v>8098</v>
      </c>
      <c r="T2793" s="1">
        <v>1</v>
      </c>
      <c r="U2793" s="19"/>
      <c r="V2793" s="19"/>
      <c r="W2793" s="218">
        <v>1</v>
      </c>
      <c r="X2793" s="218">
        <v>1</v>
      </c>
      <c r="Y2793" s="218">
        <v>1</v>
      </c>
    </row>
    <row r="2794" spans="1:25" x14ac:dyDescent="0.3">
      <c r="A2794" s="1" t="s">
        <v>8099</v>
      </c>
      <c r="B2794" s="5">
        <v>46146</v>
      </c>
      <c r="C2794" s="6">
        <v>0.875</v>
      </c>
      <c r="D2794" s="1" t="s">
        <v>12</v>
      </c>
      <c r="E2794" s="1" t="s">
        <v>4555</v>
      </c>
      <c r="F2794" s="1" t="s">
        <v>8100</v>
      </c>
      <c r="G2794" s="39" t="s">
        <v>4587</v>
      </c>
      <c r="H2794" s="1">
        <v>4</v>
      </c>
      <c r="I2794" s="1">
        <v>2</v>
      </c>
      <c r="J2794" s="39" t="s">
        <v>4578</v>
      </c>
      <c r="K2794" s="1">
        <v>2</v>
      </c>
      <c r="L2794" s="1">
        <v>4</v>
      </c>
      <c r="S2794" s="1" t="s">
        <v>8101</v>
      </c>
      <c r="T2794" s="1">
        <v>1</v>
      </c>
      <c r="U2794" s="19"/>
      <c r="V2794" s="19"/>
      <c r="W2794" s="218">
        <v>1</v>
      </c>
      <c r="X2794" s="218">
        <v>1</v>
      </c>
      <c r="Y2794" s="218">
        <v>1</v>
      </c>
    </row>
    <row r="2795" spans="1:25" x14ac:dyDescent="0.3">
      <c r="A2795" s="1" t="s">
        <v>8102</v>
      </c>
      <c r="B2795" s="5">
        <v>46147</v>
      </c>
      <c r="C2795" s="6">
        <v>0.83333333333333304</v>
      </c>
      <c r="D2795" s="1" t="s">
        <v>12</v>
      </c>
      <c r="E2795" s="1" t="s">
        <v>4555</v>
      </c>
      <c r="F2795" s="1" t="s">
        <v>8103</v>
      </c>
      <c r="G2795" s="39" t="s">
        <v>4635</v>
      </c>
      <c r="H2795" s="1">
        <v>2</v>
      </c>
      <c r="I2795" s="1">
        <v>0</v>
      </c>
      <c r="J2795" s="39" t="s">
        <v>4599</v>
      </c>
      <c r="K2795" s="1">
        <v>0</v>
      </c>
      <c r="L2795" s="1">
        <v>2</v>
      </c>
      <c r="S2795" s="1" t="s">
        <v>8104</v>
      </c>
      <c r="T2795" s="1">
        <v>1</v>
      </c>
      <c r="U2795" s="19"/>
      <c r="V2795" s="19"/>
      <c r="W2795" s="218">
        <v>1</v>
      </c>
      <c r="X2795" s="218">
        <v>1</v>
      </c>
      <c r="Y2795" s="218">
        <v>1</v>
      </c>
    </row>
    <row r="2796" spans="1:25" x14ac:dyDescent="0.3">
      <c r="A2796" s="1" t="s">
        <v>8105</v>
      </c>
      <c r="B2796" s="5">
        <v>46152</v>
      </c>
      <c r="C2796" s="6">
        <v>0.70833333333333304</v>
      </c>
      <c r="D2796" s="1" t="s">
        <v>12</v>
      </c>
      <c r="E2796" s="1" t="s">
        <v>4555</v>
      </c>
      <c r="F2796" s="1" t="s">
        <v>8106</v>
      </c>
      <c r="G2796" s="39" t="s">
        <v>4575</v>
      </c>
      <c r="H2796" s="1">
        <v>0</v>
      </c>
      <c r="I2796" s="1">
        <v>1</v>
      </c>
      <c r="J2796" s="39" t="s">
        <v>4557</v>
      </c>
      <c r="K2796" s="1">
        <v>1</v>
      </c>
      <c r="L2796" s="1">
        <v>0</v>
      </c>
      <c r="S2796" s="1" t="s">
        <v>8107</v>
      </c>
      <c r="T2796" s="1">
        <v>1</v>
      </c>
      <c r="U2796" s="19"/>
      <c r="V2796" s="19"/>
      <c r="W2796" s="218">
        <v>1</v>
      </c>
      <c r="X2796" s="218">
        <v>1</v>
      </c>
      <c r="Y2796" s="218">
        <v>1</v>
      </c>
    </row>
    <row r="2797" spans="1:25" x14ac:dyDescent="0.3">
      <c r="A2797" s="1" t="s">
        <v>8108</v>
      </c>
      <c r="B2797" s="5">
        <v>46158</v>
      </c>
      <c r="C2797" s="6">
        <v>0.8125</v>
      </c>
      <c r="D2797" s="1" t="s">
        <v>12</v>
      </c>
      <c r="E2797" s="1" t="s">
        <v>4555</v>
      </c>
      <c r="F2797" s="1" t="s">
        <v>8109</v>
      </c>
      <c r="G2797" s="39" t="s">
        <v>4613</v>
      </c>
      <c r="H2797" s="1">
        <v>3</v>
      </c>
      <c r="I2797" s="1">
        <v>2</v>
      </c>
      <c r="J2797" s="39" t="s">
        <v>4575</v>
      </c>
      <c r="K2797" s="1">
        <v>2</v>
      </c>
      <c r="L2797" s="1">
        <v>3</v>
      </c>
      <c r="S2797" s="1" t="s">
        <v>8110</v>
      </c>
      <c r="T2797" s="1">
        <v>1</v>
      </c>
      <c r="U2797" s="19"/>
      <c r="V2797" s="19"/>
      <c r="W2797" s="218">
        <v>1</v>
      </c>
      <c r="X2797" s="218">
        <v>1</v>
      </c>
      <c r="Y2797" s="218">
        <v>1</v>
      </c>
    </row>
    <row r="2798" spans="1:25" x14ac:dyDescent="0.3">
      <c r="A2798" s="1" t="s">
        <v>8111</v>
      </c>
      <c r="B2798" s="5">
        <v>46188</v>
      </c>
      <c r="C2798" s="6">
        <v>0.8125</v>
      </c>
      <c r="D2798" s="1" t="s">
        <v>12</v>
      </c>
      <c r="E2798" s="1" t="s">
        <v>4555</v>
      </c>
      <c r="F2798" s="1" t="s">
        <v>8112</v>
      </c>
      <c r="G2798" s="39" t="s">
        <v>4587</v>
      </c>
      <c r="H2798" s="1">
        <v>0</v>
      </c>
      <c r="I2798" s="1">
        <v>0</v>
      </c>
      <c r="J2798" s="39" t="s">
        <v>4572</v>
      </c>
      <c r="K2798" s="1">
        <v>0</v>
      </c>
      <c r="L2798" s="1">
        <v>0</v>
      </c>
      <c r="S2798" s="1" t="s">
        <v>8113</v>
      </c>
      <c r="T2798" s="1">
        <v>1</v>
      </c>
      <c r="U2798" s="19"/>
      <c r="V2798" s="19"/>
      <c r="W2798" s="218">
        <v>1</v>
      </c>
      <c r="X2798" s="218">
        <v>1</v>
      </c>
      <c r="Y2798" s="218">
        <v>1</v>
      </c>
    </row>
    <row r="2799" spans="1:25" x14ac:dyDescent="0.3">
      <c r="A2799" s="1" t="s">
        <v>8114</v>
      </c>
      <c r="B2799" s="5">
        <v>46187</v>
      </c>
      <c r="C2799" s="6">
        <v>0.6875</v>
      </c>
      <c r="D2799" s="1" t="s">
        <v>12</v>
      </c>
      <c r="E2799" s="1" t="s">
        <v>4555</v>
      </c>
      <c r="F2799" s="1" t="s">
        <v>8115</v>
      </c>
      <c r="G2799" s="39" t="s">
        <v>4578</v>
      </c>
      <c r="H2799" s="1">
        <v>2</v>
      </c>
      <c r="I2799" s="1">
        <v>2</v>
      </c>
      <c r="J2799" s="39" t="s">
        <v>4599</v>
      </c>
      <c r="K2799" s="1">
        <v>2</v>
      </c>
      <c r="L2799" s="1">
        <v>2</v>
      </c>
      <c r="S2799" s="1" t="s">
        <v>8116</v>
      </c>
      <c r="T2799" s="1">
        <v>1</v>
      </c>
      <c r="U2799" s="19"/>
      <c r="V2799" s="19"/>
      <c r="W2799" s="218">
        <v>1</v>
      </c>
      <c r="X2799" s="218">
        <v>1</v>
      </c>
      <c r="Y2799" s="218">
        <v>1</v>
      </c>
    </row>
    <row r="2800" spans="1:25" x14ac:dyDescent="0.3">
      <c r="A2800" s="1" t="s">
        <v>8117</v>
      </c>
      <c r="B2800" s="5">
        <v>46193</v>
      </c>
      <c r="C2800" s="6">
        <v>0.95833333333333304</v>
      </c>
      <c r="D2800" s="1" t="s">
        <v>12</v>
      </c>
      <c r="E2800" s="1" t="s">
        <v>4555</v>
      </c>
      <c r="F2800" s="1" t="s">
        <v>4630</v>
      </c>
      <c r="G2800" s="39" t="s">
        <v>4572</v>
      </c>
      <c r="H2800" s="1">
        <v>0</v>
      </c>
      <c r="I2800" s="1">
        <v>1</v>
      </c>
      <c r="J2800" s="39" t="s">
        <v>4563</v>
      </c>
      <c r="K2800" s="1">
        <v>1</v>
      </c>
      <c r="L2800" s="1">
        <v>0</v>
      </c>
      <c r="S2800" s="1" t="s">
        <v>8118</v>
      </c>
      <c r="T2800" s="1">
        <v>1</v>
      </c>
      <c r="U2800" s="19"/>
      <c r="V2800" s="19"/>
      <c r="W2800" s="218">
        <v>1</v>
      </c>
      <c r="X2800" s="218">
        <v>1</v>
      </c>
      <c r="Y2800" s="218">
        <v>1</v>
      </c>
    </row>
    <row r="2801" spans="1:25" x14ac:dyDescent="0.3">
      <c r="A2801" s="1" t="s">
        <v>8119</v>
      </c>
      <c r="B2801" s="5">
        <v>46194</v>
      </c>
      <c r="C2801" s="6">
        <v>0.72916666666666696</v>
      </c>
      <c r="D2801" s="1" t="s">
        <v>12</v>
      </c>
      <c r="E2801" s="1" t="s">
        <v>4555</v>
      </c>
      <c r="F2801" s="1" t="s">
        <v>8120</v>
      </c>
      <c r="G2801" s="39" t="s">
        <v>4566</v>
      </c>
      <c r="H2801" s="1">
        <v>1</v>
      </c>
      <c r="I2801" s="1">
        <v>1</v>
      </c>
      <c r="J2801" s="39" t="s">
        <v>4575</v>
      </c>
      <c r="K2801" s="1">
        <v>1</v>
      </c>
      <c r="L2801" s="1">
        <v>1</v>
      </c>
      <c r="S2801" s="1" t="s">
        <v>8121</v>
      </c>
      <c r="T2801" s="1">
        <v>1</v>
      </c>
      <c r="U2801" s="19"/>
      <c r="V2801" s="19"/>
      <c r="W2801" s="218">
        <v>1</v>
      </c>
      <c r="X2801" s="218">
        <v>1</v>
      </c>
      <c r="Y2801" s="218">
        <v>1</v>
      </c>
    </row>
    <row r="2802" spans="1:25" x14ac:dyDescent="0.3">
      <c r="A2802" s="1" t="s">
        <v>8122</v>
      </c>
      <c r="B2802" s="5">
        <v>46193</v>
      </c>
      <c r="C2802" s="6">
        <v>0.9375</v>
      </c>
      <c r="D2802" s="1" t="s">
        <v>12</v>
      </c>
      <c r="E2802" s="1" t="s">
        <v>4555</v>
      </c>
      <c r="F2802" s="1" t="s">
        <v>8123</v>
      </c>
      <c r="G2802" s="39" t="s">
        <v>4599</v>
      </c>
      <c r="H2802" s="1">
        <v>0</v>
      </c>
      <c r="I2802" s="1">
        <v>0</v>
      </c>
      <c r="J2802" s="39" t="s">
        <v>4557</v>
      </c>
      <c r="K2802" s="1">
        <v>0</v>
      </c>
      <c r="L2802" s="1">
        <v>0</v>
      </c>
      <c r="S2802" s="1" t="s">
        <v>8124</v>
      </c>
      <c r="T2802" s="1">
        <v>1</v>
      </c>
      <c r="U2802" s="19"/>
      <c r="V2802" s="19"/>
      <c r="W2802" s="218">
        <v>1</v>
      </c>
      <c r="X2802" s="218">
        <v>1</v>
      </c>
      <c r="Y2802" s="218">
        <v>1</v>
      </c>
    </row>
    <row r="2803" spans="1:25" x14ac:dyDescent="0.3">
      <c r="A2803" s="1" t="s">
        <v>8125</v>
      </c>
      <c r="B2803" s="5">
        <v>46203</v>
      </c>
      <c r="C2803" s="6">
        <v>0.85416666666666696</v>
      </c>
      <c r="D2803" s="1" t="s">
        <v>12</v>
      </c>
      <c r="E2803" s="1" t="s">
        <v>4555</v>
      </c>
      <c r="F2803" s="1" t="s">
        <v>8126</v>
      </c>
      <c r="G2803" s="39" t="s">
        <v>4590</v>
      </c>
      <c r="H2803" s="1">
        <v>3</v>
      </c>
      <c r="I2803" s="1">
        <v>0</v>
      </c>
      <c r="J2803" s="39" t="s">
        <v>4575</v>
      </c>
      <c r="K2803" s="1">
        <v>0</v>
      </c>
      <c r="L2803" s="1">
        <v>3</v>
      </c>
      <c r="S2803" s="1" t="s">
        <v>8127</v>
      </c>
      <c r="T2803" s="1">
        <v>1</v>
      </c>
      <c r="U2803" s="19"/>
      <c r="V2803" s="19"/>
      <c r="W2803" s="218">
        <v>1</v>
      </c>
      <c r="X2803" s="218">
        <v>1</v>
      </c>
      <c r="Y2803" s="218">
        <v>1</v>
      </c>
    </row>
    <row r="2804" spans="1:25" x14ac:dyDescent="0.3">
      <c r="A2804" s="1" t="s">
        <v>8128</v>
      </c>
      <c r="B2804" s="5">
        <v>46201</v>
      </c>
      <c r="C2804" s="6">
        <v>0.85416666666666696</v>
      </c>
      <c r="D2804" s="1" t="s">
        <v>12</v>
      </c>
      <c r="E2804" s="1" t="s">
        <v>4555</v>
      </c>
      <c r="F2804" s="1" t="s">
        <v>8129</v>
      </c>
      <c r="G2804" s="39" t="s">
        <v>4599</v>
      </c>
      <c r="H2804" s="1">
        <v>0</v>
      </c>
      <c r="I2804" s="1">
        <v>0</v>
      </c>
      <c r="J2804" s="39" t="s">
        <v>4572</v>
      </c>
      <c r="K2804" s="1">
        <v>0</v>
      </c>
      <c r="L2804" s="1">
        <v>0</v>
      </c>
      <c r="S2804" s="1" t="s">
        <v>8130</v>
      </c>
      <c r="T2804" s="1">
        <v>1</v>
      </c>
      <c r="U2804" s="19"/>
      <c r="V2804" s="19"/>
      <c r="W2804" s="218">
        <v>1</v>
      </c>
      <c r="X2804" s="218">
        <v>1</v>
      </c>
      <c r="Y2804" s="218">
        <v>1</v>
      </c>
    </row>
    <row r="2805" spans="1:25" x14ac:dyDescent="0.3">
      <c r="A2805" s="1" t="s">
        <v>8131</v>
      </c>
      <c r="B2805" s="5">
        <v>46209</v>
      </c>
      <c r="C2805" s="6">
        <v>0.95833333333333304</v>
      </c>
      <c r="D2805" s="1" t="s">
        <v>12</v>
      </c>
      <c r="E2805" s="1" t="s">
        <v>4555</v>
      </c>
      <c r="F2805" s="1" t="s">
        <v>8132</v>
      </c>
      <c r="G2805" s="39" t="s">
        <v>4575</v>
      </c>
      <c r="H2805" s="1">
        <v>0</v>
      </c>
      <c r="I2805" s="1">
        <v>2</v>
      </c>
      <c r="J2805" s="39" t="s">
        <v>4578</v>
      </c>
      <c r="K2805" s="1">
        <v>2</v>
      </c>
      <c r="L2805" s="1">
        <v>0</v>
      </c>
      <c r="S2805" s="1" t="s">
        <v>8133</v>
      </c>
      <c r="T2805" s="1">
        <v>1</v>
      </c>
      <c r="U2805" s="19"/>
      <c r="V2805" s="19"/>
      <c r="W2805" s="218">
        <v>1</v>
      </c>
      <c r="X2805" s="218">
        <v>1</v>
      </c>
      <c r="Y2805" s="218">
        <v>1</v>
      </c>
    </row>
    <row r="2806" spans="1:25" x14ac:dyDescent="0.3">
      <c r="A2806" s="1" t="s">
        <v>8134</v>
      </c>
      <c r="B2806" s="5">
        <v>46207</v>
      </c>
      <c r="C2806" s="6">
        <v>0.83333333333333304</v>
      </c>
      <c r="D2806" s="1" t="s">
        <v>12</v>
      </c>
      <c r="E2806" s="1" t="s">
        <v>4555</v>
      </c>
      <c r="F2806" s="1" t="s">
        <v>8135</v>
      </c>
      <c r="G2806" s="39" t="s">
        <v>4587</v>
      </c>
      <c r="H2806" s="1">
        <v>4</v>
      </c>
      <c r="I2806" s="1">
        <v>0</v>
      </c>
      <c r="J2806" s="39" t="s">
        <v>4590</v>
      </c>
      <c r="K2806" s="1">
        <v>0</v>
      </c>
      <c r="L2806" s="1">
        <v>4</v>
      </c>
      <c r="S2806" s="1" t="s">
        <v>8136</v>
      </c>
      <c r="T2806" s="1">
        <v>1</v>
      </c>
      <c r="U2806" s="19"/>
      <c r="V2806" s="19"/>
      <c r="W2806" s="218">
        <v>1</v>
      </c>
      <c r="X2806" s="218">
        <v>1</v>
      </c>
      <c r="Y2806" s="218">
        <v>1</v>
      </c>
    </row>
    <row r="2807" spans="1:25" x14ac:dyDescent="0.3">
      <c r="A2807" s="1" t="s">
        <v>8137</v>
      </c>
      <c r="B2807" s="5">
        <v>46230</v>
      </c>
      <c r="C2807" s="6">
        <v>0.91666666666666696</v>
      </c>
      <c r="D2807" s="1" t="s">
        <v>12</v>
      </c>
      <c r="E2807" s="1" t="s">
        <v>4555</v>
      </c>
      <c r="F2807" s="1" t="s">
        <v>8138</v>
      </c>
      <c r="G2807" s="39" t="s">
        <v>4613</v>
      </c>
      <c r="H2807" s="1">
        <v>1</v>
      </c>
      <c r="I2807" s="1">
        <v>1</v>
      </c>
      <c r="J2807" s="39" t="s">
        <v>4587</v>
      </c>
      <c r="K2807" s="1">
        <v>1</v>
      </c>
      <c r="L2807" s="1">
        <v>1</v>
      </c>
      <c r="S2807" s="1" t="s">
        <v>8139</v>
      </c>
      <c r="T2807" s="1">
        <v>1</v>
      </c>
      <c r="U2807" s="19"/>
      <c r="V2807" s="19"/>
      <c r="W2807" s="218">
        <v>1</v>
      </c>
      <c r="X2807" s="218">
        <v>1</v>
      </c>
      <c r="Y2807" s="218">
        <v>1</v>
      </c>
    </row>
    <row r="2808" spans="1:25" x14ac:dyDescent="0.3">
      <c r="A2808" s="1" t="s">
        <v>8140</v>
      </c>
      <c r="B2808" s="5">
        <v>46244</v>
      </c>
      <c r="C2808" s="6">
        <v>0.91666666666666696</v>
      </c>
      <c r="D2808" s="1" t="s">
        <v>12</v>
      </c>
      <c r="E2808" s="1" t="s">
        <v>4555</v>
      </c>
      <c r="F2808" s="1" t="s">
        <v>8141</v>
      </c>
      <c r="G2808" s="39" t="s">
        <v>4563</v>
      </c>
      <c r="H2808" s="1">
        <v>2</v>
      </c>
      <c r="I2808" s="1">
        <v>1</v>
      </c>
      <c r="J2808" s="39" t="s">
        <v>4608</v>
      </c>
      <c r="K2808" s="1">
        <v>1</v>
      </c>
      <c r="L2808" s="1">
        <v>2</v>
      </c>
      <c r="S2808" s="1" t="s">
        <v>8142</v>
      </c>
      <c r="T2808" s="1">
        <v>1</v>
      </c>
      <c r="U2808" s="19"/>
      <c r="V2808" s="19"/>
      <c r="W2808" s="218">
        <v>1</v>
      </c>
      <c r="X2808" s="218">
        <v>1</v>
      </c>
      <c r="Y2808" s="218">
        <v>1</v>
      </c>
    </row>
    <row r="2809" spans="1:25" x14ac:dyDescent="0.3">
      <c r="A2809" s="1" t="s">
        <v>8143</v>
      </c>
      <c r="B2809" s="5">
        <v>46243</v>
      </c>
      <c r="C2809" s="6">
        <v>0.75</v>
      </c>
      <c r="D2809" s="1" t="s">
        <v>12</v>
      </c>
      <c r="E2809" s="1" t="s">
        <v>4555</v>
      </c>
      <c r="F2809" s="1" t="s">
        <v>8144</v>
      </c>
      <c r="G2809" s="39" t="s">
        <v>4587</v>
      </c>
      <c r="H2809" s="1">
        <v>0</v>
      </c>
      <c r="I2809" s="1">
        <v>3</v>
      </c>
      <c r="J2809" s="39" t="s">
        <v>4575</v>
      </c>
      <c r="K2809" s="1">
        <v>3</v>
      </c>
      <c r="L2809" s="1">
        <v>0</v>
      </c>
      <c r="S2809" s="1" t="s">
        <v>8145</v>
      </c>
      <c r="T2809" s="1">
        <v>1</v>
      </c>
      <c r="U2809" s="19"/>
      <c r="V2809" s="19"/>
      <c r="W2809" s="218">
        <v>1</v>
      </c>
      <c r="X2809" s="218">
        <v>1</v>
      </c>
      <c r="Y2809" s="218">
        <v>1</v>
      </c>
    </row>
    <row r="2810" spans="1:25" x14ac:dyDescent="0.3">
      <c r="A2810" s="1" t="s">
        <v>8146</v>
      </c>
      <c r="B2810" s="5">
        <v>46242</v>
      </c>
      <c r="C2810" s="6">
        <v>0.89583333333333304</v>
      </c>
      <c r="D2810" s="1" t="s">
        <v>12</v>
      </c>
      <c r="E2810" s="1" t="s">
        <v>4555</v>
      </c>
      <c r="F2810" s="1" t="s">
        <v>8147</v>
      </c>
      <c r="G2810" s="39" t="s">
        <v>4599</v>
      </c>
      <c r="H2810" s="1">
        <v>2</v>
      </c>
      <c r="I2810" s="1">
        <v>0</v>
      </c>
      <c r="J2810" s="39" t="s">
        <v>4566</v>
      </c>
      <c r="K2810" s="1">
        <v>0</v>
      </c>
      <c r="L2810" s="1">
        <v>2</v>
      </c>
      <c r="S2810" s="1" t="s">
        <v>8148</v>
      </c>
      <c r="T2810" s="1">
        <v>1</v>
      </c>
      <c r="U2810" s="19"/>
      <c r="V2810" s="19"/>
      <c r="W2810" s="218">
        <v>1</v>
      </c>
      <c r="X2810" s="218">
        <v>1</v>
      </c>
      <c r="Y2810" s="218">
        <v>1</v>
      </c>
    </row>
    <row r="2811" spans="1:25" x14ac:dyDescent="0.3">
      <c r="A2811" s="1" t="s">
        <v>8149</v>
      </c>
      <c r="B2811" s="5">
        <v>46147</v>
      </c>
      <c r="C2811" s="6">
        <v>0.83333333333333304</v>
      </c>
      <c r="D2811" s="1" t="s">
        <v>12</v>
      </c>
      <c r="E2811" s="1" t="s">
        <v>4555</v>
      </c>
      <c r="F2811" s="1" t="s">
        <v>8150</v>
      </c>
      <c r="G2811" s="39" t="s">
        <v>4613</v>
      </c>
      <c r="H2811" s="1">
        <v>0</v>
      </c>
      <c r="I2811" s="1">
        <v>2</v>
      </c>
      <c r="J2811" s="39" t="s">
        <v>4572</v>
      </c>
      <c r="K2811" s="1">
        <v>2</v>
      </c>
      <c r="L2811" s="1">
        <v>0</v>
      </c>
      <c r="S2811" s="1" t="s">
        <v>8151</v>
      </c>
      <c r="T2811" s="1">
        <v>1</v>
      </c>
      <c r="U2811" s="19"/>
      <c r="V2811" s="19"/>
      <c r="W2811" s="218">
        <v>1</v>
      </c>
      <c r="X2811" s="218">
        <v>0</v>
      </c>
      <c r="Y2811" s="218">
        <v>1</v>
      </c>
    </row>
    <row r="2812" spans="1:25" x14ac:dyDescent="0.3">
      <c r="A2812" s="1" t="s">
        <v>8152</v>
      </c>
      <c r="B2812" s="5">
        <v>46151</v>
      </c>
      <c r="C2812" s="6">
        <v>0.75</v>
      </c>
      <c r="D2812" s="1" t="s">
        <v>12</v>
      </c>
      <c r="E2812" s="1" t="s">
        <v>4555</v>
      </c>
      <c r="F2812" s="1" t="s">
        <v>8153</v>
      </c>
      <c r="G2812" s="39" t="s">
        <v>4578</v>
      </c>
      <c r="H2812" s="1">
        <v>0</v>
      </c>
      <c r="I2812" s="1">
        <v>0</v>
      </c>
      <c r="J2812" s="39" t="s">
        <v>4613</v>
      </c>
      <c r="K2812" s="1">
        <v>0</v>
      </c>
      <c r="L2812" s="1">
        <v>0</v>
      </c>
      <c r="S2812" s="1" t="s">
        <v>8154</v>
      </c>
      <c r="T2812" s="1">
        <v>1</v>
      </c>
      <c r="U2812" s="19"/>
      <c r="V2812" s="19"/>
      <c r="W2812" s="218">
        <v>1</v>
      </c>
      <c r="X2812" s="218">
        <v>1</v>
      </c>
      <c r="Y2812" s="218">
        <v>1</v>
      </c>
    </row>
    <row r="2813" spans="1:25" x14ac:dyDescent="0.3">
      <c r="A2813" s="1" t="s">
        <v>8155</v>
      </c>
      <c r="B2813" s="5">
        <v>46187</v>
      </c>
      <c r="C2813" s="6">
        <v>0.8125</v>
      </c>
      <c r="D2813" s="1" t="s">
        <v>12</v>
      </c>
      <c r="E2813" s="1" t="s">
        <v>4555</v>
      </c>
      <c r="F2813" s="1" t="s">
        <v>8156</v>
      </c>
      <c r="G2813" s="39" t="s">
        <v>4613</v>
      </c>
      <c r="H2813" s="1">
        <v>1</v>
      </c>
      <c r="I2813" s="1">
        <v>2</v>
      </c>
      <c r="J2813" s="39" t="s">
        <v>4557</v>
      </c>
      <c r="K2813" s="1">
        <v>2</v>
      </c>
      <c r="L2813" s="1">
        <v>1</v>
      </c>
      <c r="S2813" s="1" t="s">
        <v>8157</v>
      </c>
      <c r="T2813" s="1">
        <v>1</v>
      </c>
      <c r="U2813" s="19"/>
      <c r="V2813" s="19"/>
      <c r="W2813" s="218">
        <v>1</v>
      </c>
      <c r="X2813" s="218">
        <v>1</v>
      </c>
      <c r="Y2813" s="218">
        <v>1</v>
      </c>
    </row>
    <row r="2814" spans="1:25" x14ac:dyDescent="0.3">
      <c r="A2814" s="1" t="s">
        <v>8158</v>
      </c>
      <c r="B2814" s="5">
        <v>46200</v>
      </c>
      <c r="C2814" s="6">
        <v>0.66666666666666696</v>
      </c>
      <c r="D2814" s="1" t="s">
        <v>12</v>
      </c>
      <c r="E2814" s="1" t="s">
        <v>4555</v>
      </c>
      <c r="F2814" s="1" t="s">
        <v>8159</v>
      </c>
      <c r="G2814" s="39" t="s">
        <v>4613</v>
      </c>
      <c r="H2814" s="1">
        <v>2</v>
      </c>
      <c r="I2814" s="1">
        <v>1</v>
      </c>
      <c r="J2814" s="39" t="s">
        <v>4566</v>
      </c>
      <c r="K2814" s="1">
        <v>1</v>
      </c>
      <c r="L2814" s="1">
        <v>2</v>
      </c>
      <c r="S2814" s="1" t="s">
        <v>8160</v>
      </c>
      <c r="T2814" s="1">
        <v>1</v>
      </c>
      <c r="U2814" s="19"/>
      <c r="V2814" s="19"/>
      <c r="W2814" s="218">
        <v>1</v>
      </c>
      <c r="X2814" s="218">
        <v>1</v>
      </c>
      <c r="Y2814" s="218">
        <v>1</v>
      </c>
    </row>
    <row r="2815" spans="1:25" x14ac:dyDescent="0.3">
      <c r="A2815" s="1" t="s">
        <v>8161</v>
      </c>
      <c r="B2815" s="5">
        <v>46146</v>
      </c>
      <c r="C2815" s="6">
        <v>0.875</v>
      </c>
      <c r="D2815" s="1" t="s">
        <v>12</v>
      </c>
      <c r="E2815" s="1" t="s">
        <v>4555</v>
      </c>
      <c r="F2815" s="1" t="s">
        <v>8162</v>
      </c>
      <c r="G2815" s="39" t="s">
        <v>4557</v>
      </c>
      <c r="H2815" s="1">
        <v>0</v>
      </c>
      <c r="I2815" s="1">
        <v>3</v>
      </c>
      <c r="J2815" s="39" t="s">
        <v>4566</v>
      </c>
      <c r="K2815" s="1">
        <v>3</v>
      </c>
      <c r="L2815" s="1">
        <v>0</v>
      </c>
      <c r="S2815" s="1" t="s">
        <v>8163</v>
      </c>
      <c r="T2815" s="1">
        <v>1</v>
      </c>
      <c r="U2815" s="19"/>
      <c r="V2815" s="19"/>
      <c r="W2815" s="218">
        <v>1</v>
      </c>
      <c r="X2815" s="218">
        <v>1</v>
      </c>
      <c r="Y2815" s="218">
        <v>1</v>
      </c>
    </row>
    <row r="2816" spans="1:25" x14ac:dyDescent="0.3">
      <c r="A2816" s="1" t="s">
        <v>8164</v>
      </c>
      <c r="B2816" s="5">
        <v>46158</v>
      </c>
      <c r="C2816" s="6">
        <v>0.8125</v>
      </c>
      <c r="D2816" s="1" t="s">
        <v>12</v>
      </c>
      <c r="E2816" s="1" t="s">
        <v>4555</v>
      </c>
      <c r="F2816" s="1" t="s">
        <v>8165</v>
      </c>
      <c r="G2816" s="39" t="s">
        <v>4557</v>
      </c>
      <c r="H2816" s="1">
        <v>0</v>
      </c>
      <c r="I2816" s="1">
        <v>1</v>
      </c>
      <c r="J2816" s="39" t="s">
        <v>4578</v>
      </c>
      <c r="K2816" s="1">
        <v>1</v>
      </c>
      <c r="L2816" s="1">
        <v>0</v>
      </c>
      <c r="S2816" s="1" t="s">
        <v>8166</v>
      </c>
      <c r="T2816" s="1">
        <v>1</v>
      </c>
      <c r="U2816" s="19"/>
      <c r="V2816" s="19"/>
      <c r="W2816" s="218">
        <v>1</v>
      </c>
      <c r="X2816" s="218">
        <v>1</v>
      </c>
      <c r="Y2816" s="218">
        <v>1</v>
      </c>
    </row>
    <row r="2817" spans="1:25" x14ac:dyDescent="0.3">
      <c r="A2817" s="1" t="s">
        <v>8167</v>
      </c>
      <c r="B2817" s="5">
        <v>46216</v>
      </c>
      <c r="C2817" s="6">
        <v>0.85416666666666696</v>
      </c>
      <c r="D2817" s="1" t="s">
        <v>12</v>
      </c>
      <c r="E2817" s="1" t="s">
        <v>4555</v>
      </c>
      <c r="F2817" s="1" t="s">
        <v>8168</v>
      </c>
      <c r="G2817" s="39" t="s">
        <v>4557</v>
      </c>
      <c r="H2817" s="1">
        <v>0</v>
      </c>
      <c r="I2817" s="1">
        <v>0</v>
      </c>
      <c r="J2817" s="39" t="s">
        <v>4590</v>
      </c>
      <c r="K2817" s="1">
        <v>0</v>
      </c>
      <c r="L2817" s="1">
        <v>0</v>
      </c>
      <c r="S2817" s="1" t="s">
        <v>8169</v>
      </c>
      <c r="T2817" s="1">
        <v>1</v>
      </c>
      <c r="U2817" s="19"/>
      <c r="V2817" s="19"/>
      <c r="W2817" s="218">
        <v>1</v>
      </c>
      <c r="X2817" s="218">
        <v>1</v>
      </c>
      <c r="Y2817" s="218">
        <v>1</v>
      </c>
    </row>
    <row r="2818" spans="1:25" x14ac:dyDescent="0.3">
      <c r="A2818" s="1" t="s">
        <v>8170</v>
      </c>
      <c r="B2818" s="5">
        <v>46172</v>
      </c>
      <c r="C2818" s="6">
        <v>0.70833333333333304</v>
      </c>
      <c r="D2818" s="1" t="s">
        <v>12</v>
      </c>
      <c r="E2818" s="1" t="s">
        <v>4555</v>
      </c>
      <c r="F2818" s="1" t="s">
        <v>8171</v>
      </c>
      <c r="G2818" s="39" t="s">
        <v>4578</v>
      </c>
      <c r="H2818" s="1">
        <v>0</v>
      </c>
      <c r="I2818" s="1">
        <v>1</v>
      </c>
      <c r="J2818" s="39" t="s">
        <v>4590</v>
      </c>
      <c r="K2818" s="1">
        <v>1</v>
      </c>
      <c r="L2818" s="1">
        <v>0</v>
      </c>
      <c r="S2818" s="1" t="s">
        <v>8172</v>
      </c>
      <c r="T2818" s="1">
        <v>1</v>
      </c>
      <c r="U2818" s="19"/>
      <c r="V2818" s="19"/>
      <c r="W2818" s="218">
        <v>1</v>
      </c>
      <c r="X2818" s="218">
        <v>1</v>
      </c>
      <c r="Y2818" s="218">
        <v>1</v>
      </c>
    </row>
    <row r="2819" spans="1:25" x14ac:dyDescent="0.3">
      <c r="A2819" s="1" t="s">
        <v>8268</v>
      </c>
      <c r="B2819" s="5">
        <v>46224</v>
      </c>
      <c r="C2819" s="6">
        <v>0.27083333333333298</v>
      </c>
      <c r="D2819" s="1" t="s">
        <v>7</v>
      </c>
      <c r="E2819" s="1" t="s">
        <v>8255</v>
      </c>
      <c r="F2819" s="1" t="s">
        <v>8256</v>
      </c>
      <c r="G2819" s="39" t="s">
        <v>895</v>
      </c>
      <c r="H2819" s="1">
        <v>1</v>
      </c>
      <c r="I2819" s="1">
        <v>1</v>
      </c>
      <c r="J2819" s="39" t="s">
        <v>8257</v>
      </c>
      <c r="K2819" s="1">
        <v>1</v>
      </c>
      <c r="L2819" s="1">
        <v>1</v>
      </c>
      <c r="M2819" s="1" t="s">
        <v>8254</v>
      </c>
      <c r="S2819" s="1" t="s">
        <v>10459</v>
      </c>
      <c r="T2819" s="1">
        <v>1</v>
      </c>
      <c r="U2819" s="19"/>
      <c r="V2819" s="19"/>
      <c r="W2819" s="218">
        <v>0</v>
      </c>
      <c r="X2819" s="218">
        <v>0</v>
      </c>
      <c r="Y2819" s="218">
        <v>0</v>
      </c>
    </row>
    <row r="2820" spans="1:25" x14ac:dyDescent="0.3">
      <c r="A2820" s="1" t="s">
        <v>8270</v>
      </c>
      <c r="B2820" s="5">
        <v>46186</v>
      </c>
      <c r="C2820" s="6">
        <v>8.3333333333333301E-2</v>
      </c>
      <c r="D2820" s="1" t="s">
        <v>7</v>
      </c>
      <c r="E2820" s="1" t="s">
        <v>8259</v>
      </c>
      <c r="F2820" s="1" t="s">
        <v>8260</v>
      </c>
      <c r="G2820" s="39" t="s">
        <v>8261</v>
      </c>
      <c r="H2820" s="1">
        <v>0</v>
      </c>
      <c r="I2820" s="1">
        <v>3</v>
      </c>
      <c r="J2820" s="39" t="s">
        <v>895</v>
      </c>
      <c r="K2820" s="1">
        <v>3</v>
      </c>
      <c r="L2820" s="1">
        <v>0</v>
      </c>
      <c r="M2820" s="1" t="s">
        <v>8254</v>
      </c>
      <c r="S2820" s="1" t="s">
        <v>10460</v>
      </c>
      <c r="T2820" s="1">
        <v>1</v>
      </c>
      <c r="U2820" s="19"/>
      <c r="V2820" s="19"/>
      <c r="W2820" s="218">
        <v>0</v>
      </c>
      <c r="X2820" s="218">
        <v>0</v>
      </c>
      <c r="Y2820" s="218">
        <v>0</v>
      </c>
    </row>
    <row r="2821" spans="1:25" x14ac:dyDescent="0.3">
      <c r="A2821" s="1" t="s">
        <v>8342</v>
      </c>
      <c r="B2821" s="102">
        <v>46242</v>
      </c>
      <c r="C2821" s="6">
        <v>0.91666666666666696</v>
      </c>
      <c r="D2821" s="1" t="s">
        <v>7</v>
      </c>
      <c r="E2821" s="1" t="s">
        <v>2229</v>
      </c>
      <c r="F2821" s="1" t="s">
        <v>8343</v>
      </c>
      <c r="G2821" s="39" t="s">
        <v>2183</v>
      </c>
      <c r="H2821" s="15">
        <v>1</v>
      </c>
      <c r="I2821" s="15">
        <v>2</v>
      </c>
      <c r="J2821" s="216" t="s">
        <v>2179</v>
      </c>
      <c r="K2821" s="15">
        <v>2</v>
      </c>
      <c r="L2821" s="15">
        <v>1</v>
      </c>
      <c r="S2821" s="1" t="s">
        <v>10461</v>
      </c>
      <c r="T2821" s="1">
        <v>1</v>
      </c>
      <c r="U2821" s="19"/>
      <c r="V2821" s="19"/>
      <c r="W2821" s="218">
        <v>1</v>
      </c>
      <c r="X2821" s="218">
        <v>1</v>
      </c>
      <c r="Y2821" s="218">
        <v>1</v>
      </c>
    </row>
    <row r="2822" spans="1:25" x14ac:dyDescent="0.3">
      <c r="A2822" s="1" t="s">
        <v>8269</v>
      </c>
      <c r="B2822" s="5">
        <v>46215</v>
      </c>
      <c r="C2822" s="6">
        <v>0.16666666666666699</v>
      </c>
      <c r="D2822" s="1" t="s">
        <v>7</v>
      </c>
      <c r="E2822" s="1" t="s">
        <v>8</v>
      </c>
      <c r="F2822" s="1" t="s">
        <v>8258</v>
      </c>
      <c r="G2822" s="39" t="s">
        <v>895</v>
      </c>
      <c r="H2822" s="1">
        <v>1</v>
      </c>
      <c r="I2822" s="1">
        <v>0</v>
      </c>
      <c r="J2822" s="39" t="s">
        <v>1124</v>
      </c>
      <c r="K2822" s="1">
        <v>0</v>
      </c>
      <c r="L2822" s="1">
        <v>1</v>
      </c>
      <c r="M2822" s="1" t="s">
        <v>8254</v>
      </c>
      <c r="S2822" s="1" t="s">
        <v>10462</v>
      </c>
      <c r="T2822" s="1">
        <v>1</v>
      </c>
      <c r="U2822" s="19"/>
      <c r="V2822" s="19"/>
      <c r="W2822" s="218">
        <v>1</v>
      </c>
      <c r="X2822" s="218">
        <v>1</v>
      </c>
      <c r="Y2822" s="218">
        <v>1</v>
      </c>
    </row>
    <row r="2823" spans="1:25" x14ac:dyDescent="0.3">
      <c r="A2823" s="1" t="s">
        <v>8267</v>
      </c>
      <c r="B2823" s="5">
        <v>46242</v>
      </c>
      <c r="C2823" s="6">
        <v>0.20833333333333301</v>
      </c>
      <c r="D2823" s="1" t="s">
        <v>7</v>
      </c>
      <c r="E2823" s="1" t="s">
        <v>8</v>
      </c>
      <c r="F2823" s="1" t="s">
        <v>8253</v>
      </c>
      <c r="G2823" s="39" t="s">
        <v>257</v>
      </c>
      <c r="H2823" s="1">
        <v>1</v>
      </c>
      <c r="I2823" s="1">
        <v>2</v>
      </c>
      <c r="J2823" s="39" t="s">
        <v>261</v>
      </c>
      <c r="K2823" s="1">
        <v>2</v>
      </c>
      <c r="L2823" s="1">
        <v>1</v>
      </c>
      <c r="M2823" s="1" t="s">
        <v>8254</v>
      </c>
      <c r="S2823" s="1" t="s">
        <v>10463</v>
      </c>
      <c r="T2823" s="1">
        <v>1</v>
      </c>
      <c r="U2823" s="19"/>
      <c r="V2823" s="19"/>
      <c r="W2823" s="218">
        <v>1</v>
      </c>
      <c r="X2823" s="218">
        <v>1</v>
      </c>
      <c r="Y2823" s="218">
        <v>1</v>
      </c>
    </row>
    <row r="2824" spans="1:25" x14ac:dyDescent="0.3">
      <c r="A2824" s="1" t="s">
        <v>8344</v>
      </c>
      <c r="B2824" s="102">
        <v>46242</v>
      </c>
      <c r="C2824" s="6">
        <v>0.41666666666666702</v>
      </c>
      <c r="D2824" s="1" t="s">
        <v>7</v>
      </c>
      <c r="E2824" s="1" t="s">
        <v>8</v>
      </c>
      <c r="F2824" s="1" t="s">
        <v>8345</v>
      </c>
      <c r="G2824" s="39" t="s">
        <v>1121</v>
      </c>
      <c r="H2824" s="15">
        <v>2</v>
      </c>
      <c r="I2824" s="15">
        <v>0</v>
      </c>
      <c r="J2824" s="216" t="s">
        <v>1139</v>
      </c>
      <c r="K2824" s="15">
        <v>0</v>
      </c>
      <c r="L2824" s="15">
        <v>2</v>
      </c>
      <c r="S2824" s="1" t="s">
        <v>10464</v>
      </c>
      <c r="T2824" s="1">
        <v>1</v>
      </c>
      <c r="U2824" s="19"/>
      <c r="V2824" s="19"/>
      <c r="W2824" s="218">
        <v>1</v>
      </c>
      <c r="X2824" s="218">
        <v>1</v>
      </c>
      <c r="Y2824" s="218">
        <v>1</v>
      </c>
    </row>
    <row r="2825" spans="1:25" x14ac:dyDescent="0.3">
      <c r="A2825" s="1" t="s">
        <v>8346</v>
      </c>
      <c r="B2825" s="102">
        <v>46242</v>
      </c>
      <c r="C2825" s="6">
        <v>0.41666666666666702</v>
      </c>
      <c r="D2825" s="1" t="s">
        <v>7</v>
      </c>
      <c r="E2825" s="1" t="s">
        <v>8</v>
      </c>
      <c r="F2825" s="1" t="s">
        <v>8347</v>
      </c>
      <c r="G2825" s="39" t="s">
        <v>1124</v>
      </c>
      <c r="H2825" s="15">
        <v>0</v>
      </c>
      <c r="I2825" s="15">
        <v>0</v>
      </c>
      <c r="J2825" s="216" t="s">
        <v>1128</v>
      </c>
      <c r="K2825" s="15">
        <v>0</v>
      </c>
      <c r="L2825" s="15">
        <v>0</v>
      </c>
      <c r="S2825" s="1" t="s">
        <v>10465</v>
      </c>
      <c r="T2825" s="1">
        <v>1</v>
      </c>
      <c r="U2825" s="19"/>
      <c r="V2825" s="19"/>
      <c r="W2825" s="218">
        <v>1</v>
      </c>
      <c r="X2825" s="218">
        <v>1</v>
      </c>
      <c r="Y2825" s="218">
        <v>1</v>
      </c>
    </row>
    <row r="2826" spans="1:25" x14ac:dyDescent="0.3">
      <c r="A2826" s="1" t="s">
        <v>8348</v>
      </c>
      <c r="B2826" s="102">
        <v>46242</v>
      </c>
      <c r="C2826" s="6">
        <v>0.41666666666666702</v>
      </c>
      <c r="D2826" s="1" t="s">
        <v>7</v>
      </c>
      <c r="E2826" s="1" t="s">
        <v>8</v>
      </c>
      <c r="F2826" s="1" t="s">
        <v>8349</v>
      </c>
      <c r="G2826" s="39" t="s">
        <v>1117</v>
      </c>
      <c r="H2826" s="15">
        <v>2</v>
      </c>
      <c r="I2826" s="15">
        <v>2</v>
      </c>
      <c r="J2826" s="216" t="s">
        <v>202</v>
      </c>
      <c r="K2826" s="15">
        <v>2</v>
      </c>
      <c r="L2826" s="15">
        <v>2</v>
      </c>
      <c r="S2826" s="1" t="s">
        <v>10466</v>
      </c>
      <c r="T2826" s="1">
        <v>1</v>
      </c>
      <c r="U2826" s="19"/>
      <c r="V2826" s="19"/>
      <c r="W2826" s="218">
        <v>1</v>
      </c>
      <c r="X2826" s="218">
        <v>1</v>
      </c>
      <c r="Y2826" s="218">
        <v>1</v>
      </c>
    </row>
    <row r="2827" spans="1:25" x14ac:dyDescent="0.3">
      <c r="A2827" s="1" t="s">
        <v>8350</v>
      </c>
      <c r="B2827" s="102">
        <v>46242</v>
      </c>
      <c r="C2827" s="6">
        <v>0.41666666666666702</v>
      </c>
      <c r="D2827" s="1" t="s">
        <v>7</v>
      </c>
      <c r="E2827" s="1" t="s">
        <v>8</v>
      </c>
      <c r="F2827" s="1" t="s">
        <v>8351</v>
      </c>
      <c r="G2827" s="39" t="s">
        <v>256</v>
      </c>
      <c r="H2827" s="15">
        <v>2</v>
      </c>
      <c r="I2827" s="15">
        <v>1</v>
      </c>
      <c r="J2827" s="216" t="s">
        <v>1147</v>
      </c>
      <c r="K2827" s="15">
        <v>1</v>
      </c>
      <c r="L2827" s="15">
        <v>2</v>
      </c>
      <c r="S2827" s="1" t="s">
        <v>10467</v>
      </c>
      <c r="T2827" s="1">
        <v>1</v>
      </c>
      <c r="U2827" s="19"/>
      <c r="V2827" s="19"/>
      <c r="W2827" s="218">
        <v>1</v>
      </c>
      <c r="X2827" s="218">
        <v>1</v>
      </c>
      <c r="Y2827" s="218">
        <v>1</v>
      </c>
    </row>
    <row r="2828" spans="1:25" x14ac:dyDescent="0.3">
      <c r="A2828" s="1" t="s">
        <v>8352</v>
      </c>
      <c r="B2828" s="102">
        <v>46241</v>
      </c>
      <c r="C2828" s="6">
        <v>0.125</v>
      </c>
      <c r="D2828" s="1" t="s">
        <v>7</v>
      </c>
      <c r="E2828" s="1" t="s">
        <v>969</v>
      </c>
      <c r="F2828" s="1" t="s">
        <v>8353</v>
      </c>
      <c r="G2828" s="39" t="s">
        <v>1285</v>
      </c>
      <c r="H2828" s="15">
        <v>1</v>
      </c>
      <c r="I2828" s="15">
        <v>0</v>
      </c>
      <c r="J2828" s="216" t="s">
        <v>1296</v>
      </c>
      <c r="K2828" s="15">
        <v>0</v>
      </c>
      <c r="L2828" s="15">
        <v>1</v>
      </c>
      <c r="S2828" s="1" t="s">
        <v>10468</v>
      </c>
      <c r="T2828" s="1">
        <v>1</v>
      </c>
      <c r="U2828" s="19"/>
      <c r="V2828" s="19"/>
      <c r="W2828" s="218">
        <v>1</v>
      </c>
      <c r="X2828" s="218">
        <v>1</v>
      </c>
      <c r="Y2828" s="218">
        <v>1</v>
      </c>
    </row>
    <row r="2829" spans="1:25" x14ac:dyDescent="0.3">
      <c r="A2829" s="1" t="s">
        <v>8354</v>
      </c>
      <c r="B2829" s="102">
        <v>46241</v>
      </c>
      <c r="C2829" s="6">
        <v>0.125</v>
      </c>
      <c r="D2829" s="1" t="s">
        <v>7</v>
      </c>
      <c r="E2829" s="1" t="s">
        <v>969</v>
      </c>
      <c r="F2829" s="1" t="s">
        <v>8355</v>
      </c>
      <c r="G2829" s="39" t="s">
        <v>1302</v>
      </c>
      <c r="H2829" s="15">
        <v>2</v>
      </c>
      <c r="I2829" s="15">
        <v>0</v>
      </c>
      <c r="J2829" s="216" t="s">
        <v>1292</v>
      </c>
      <c r="K2829" s="15">
        <v>0</v>
      </c>
      <c r="L2829" s="15">
        <v>2</v>
      </c>
      <c r="S2829" s="1" t="s">
        <v>10469</v>
      </c>
      <c r="T2829" s="1">
        <v>1</v>
      </c>
      <c r="U2829" s="19"/>
      <c r="V2829" s="19"/>
      <c r="W2829" s="218">
        <v>1</v>
      </c>
      <c r="X2829" s="218">
        <v>1</v>
      </c>
      <c r="Y2829" s="218">
        <v>1</v>
      </c>
    </row>
    <row r="2830" spans="1:25" x14ac:dyDescent="0.3">
      <c r="A2830" s="1" t="s">
        <v>8358</v>
      </c>
      <c r="B2830" s="102">
        <v>46241</v>
      </c>
      <c r="C2830" s="6">
        <v>0.91666666666666696</v>
      </c>
      <c r="D2830" s="1" t="s">
        <v>7</v>
      </c>
      <c r="E2830" s="1" t="s">
        <v>969</v>
      </c>
      <c r="F2830" s="1" t="s">
        <v>8359</v>
      </c>
      <c r="G2830" s="39" t="s">
        <v>1281</v>
      </c>
      <c r="H2830" s="15">
        <v>1</v>
      </c>
      <c r="I2830" s="15">
        <v>1</v>
      </c>
      <c r="J2830" s="216" t="s">
        <v>1305</v>
      </c>
      <c r="K2830" s="15">
        <v>1</v>
      </c>
      <c r="L2830" s="15">
        <v>1</v>
      </c>
      <c r="S2830" s="1" t="s">
        <v>10470</v>
      </c>
      <c r="T2830" s="1">
        <v>1</v>
      </c>
      <c r="U2830" s="19"/>
      <c r="V2830" s="19"/>
      <c r="W2830" s="218">
        <v>1</v>
      </c>
      <c r="X2830" s="218">
        <v>1</v>
      </c>
      <c r="Y2830" s="218">
        <v>1</v>
      </c>
    </row>
    <row r="2831" spans="1:25" x14ac:dyDescent="0.3">
      <c r="A2831" s="1" t="s">
        <v>8356</v>
      </c>
      <c r="B2831" s="102">
        <v>46241</v>
      </c>
      <c r="C2831" s="6">
        <v>0.9375</v>
      </c>
      <c r="D2831" s="1" t="s">
        <v>7</v>
      </c>
      <c r="E2831" s="1" t="s">
        <v>969</v>
      </c>
      <c r="F2831" s="1" t="s">
        <v>8357</v>
      </c>
      <c r="G2831" s="39" t="s">
        <v>1299</v>
      </c>
      <c r="H2831" s="15">
        <v>5</v>
      </c>
      <c r="I2831" s="15">
        <v>2</v>
      </c>
      <c r="J2831" s="216" t="s">
        <v>1282</v>
      </c>
      <c r="K2831" s="15">
        <v>2</v>
      </c>
      <c r="L2831" s="15">
        <v>5</v>
      </c>
      <c r="S2831" s="1" t="s">
        <v>10471</v>
      </c>
      <c r="T2831" s="1">
        <v>1</v>
      </c>
      <c r="U2831" s="19"/>
      <c r="V2831" s="19"/>
      <c r="W2831" s="218">
        <v>1</v>
      </c>
      <c r="X2831" s="218">
        <v>1</v>
      </c>
      <c r="Y2831" s="218">
        <v>1</v>
      </c>
    </row>
    <row r="2832" spans="1:25" x14ac:dyDescent="0.3">
      <c r="A2832" s="1" t="s">
        <v>8360</v>
      </c>
      <c r="B2832" s="102">
        <v>46245</v>
      </c>
      <c r="C2832" s="6">
        <v>0.14583333333333301</v>
      </c>
      <c r="D2832" s="1" t="s">
        <v>7</v>
      </c>
      <c r="E2832" s="1" t="s">
        <v>969</v>
      </c>
      <c r="F2832" s="1" t="s">
        <v>8361</v>
      </c>
      <c r="G2832" s="39" t="s">
        <v>1305</v>
      </c>
      <c r="H2832" s="15">
        <v>0</v>
      </c>
      <c r="I2832" s="15">
        <v>0</v>
      </c>
      <c r="J2832" s="216" t="s">
        <v>975</v>
      </c>
      <c r="K2832" s="15">
        <v>0</v>
      </c>
      <c r="L2832" s="15">
        <v>0</v>
      </c>
      <c r="S2832" s="1" t="s">
        <v>10472</v>
      </c>
      <c r="T2832" s="1">
        <v>1</v>
      </c>
      <c r="U2832" s="19"/>
      <c r="V2832" s="19"/>
      <c r="W2832" s="218">
        <v>1</v>
      </c>
      <c r="X2832" s="218">
        <v>1</v>
      </c>
      <c r="Y2832" s="218">
        <v>1</v>
      </c>
    </row>
    <row r="2833" spans="1:25" x14ac:dyDescent="0.3">
      <c r="A2833" s="1" t="s">
        <v>8408</v>
      </c>
      <c r="B2833" s="102">
        <v>46150</v>
      </c>
      <c r="C2833" s="6">
        <v>0</v>
      </c>
      <c r="D2833" s="1" t="s">
        <v>7</v>
      </c>
      <c r="E2833" s="1" t="s">
        <v>1380</v>
      </c>
      <c r="F2833" s="1" t="s">
        <v>8409</v>
      </c>
      <c r="G2833" s="39" t="s">
        <v>1388</v>
      </c>
      <c r="H2833" s="15">
        <v>1</v>
      </c>
      <c r="I2833" s="15">
        <v>1</v>
      </c>
      <c r="J2833" s="216" t="s">
        <v>1386</v>
      </c>
      <c r="K2833" s="15">
        <v>1</v>
      </c>
      <c r="L2833" s="15">
        <v>1</v>
      </c>
      <c r="S2833" s="1" t="s">
        <v>10473</v>
      </c>
      <c r="T2833" s="1">
        <v>1</v>
      </c>
      <c r="U2833" s="19"/>
      <c r="V2833" s="19"/>
      <c r="W2833" s="218">
        <v>1</v>
      </c>
      <c r="X2833" s="218">
        <v>1</v>
      </c>
      <c r="Y2833" s="218">
        <v>1</v>
      </c>
    </row>
    <row r="2834" spans="1:25" x14ac:dyDescent="0.3">
      <c r="A2834" s="1" t="s">
        <v>8410</v>
      </c>
      <c r="B2834" s="102">
        <v>46151</v>
      </c>
      <c r="C2834" s="6">
        <v>0</v>
      </c>
      <c r="D2834" s="1" t="s">
        <v>7</v>
      </c>
      <c r="E2834" s="1" t="s">
        <v>1380</v>
      </c>
      <c r="F2834" s="1" t="s">
        <v>8411</v>
      </c>
      <c r="G2834" s="39" t="s">
        <v>1397</v>
      </c>
      <c r="H2834" s="15">
        <v>3</v>
      </c>
      <c r="I2834" s="15">
        <v>1</v>
      </c>
      <c r="J2834" s="216" t="s">
        <v>200</v>
      </c>
      <c r="K2834" s="15">
        <v>1</v>
      </c>
      <c r="L2834" s="15">
        <v>3</v>
      </c>
      <c r="S2834" s="1" t="s">
        <v>10474</v>
      </c>
      <c r="T2834" s="1">
        <v>1</v>
      </c>
      <c r="U2834" s="19"/>
      <c r="V2834" s="19"/>
      <c r="W2834" s="218">
        <v>1</v>
      </c>
      <c r="X2834" s="218">
        <v>1</v>
      </c>
      <c r="Y2834" s="218">
        <v>1</v>
      </c>
    </row>
    <row r="2835" spans="1:25" x14ac:dyDescent="0.3">
      <c r="A2835" s="1" t="s">
        <v>8412</v>
      </c>
      <c r="B2835" s="102">
        <v>46151</v>
      </c>
      <c r="C2835" s="6">
        <v>0</v>
      </c>
      <c r="D2835" s="1" t="s">
        <v>7</v>
      </c>
      <c r="E2835" s="1" t="s">
        <v>1380</v>
      </c>
      <c r="F2835" s="1" t="s">
        <v>8413</v>
      </c>
      <c r="G2835" s="39" t="s">
        <v>1383</v>
      </c>
      <c r="H2835" s="15">
        <v>5</v>
      </c>
      <c r="I2835" s="15">
        <v>0</v>
      </c>
      <c r="J2835" s="216" t="s">
        <v>1381</v>
      </c>
      <c r="K2835" s="15">
        <v>0</v>
      </c>
      <c r="L2835" s="15">
        <v>5</v>
      </c>
      <c r="S2835" s="1" t="s">
        <v>10475</v>
      </c>
      <c r="T2835" s="1">
        <v>1</v>
      </c>
      <c r="U2835" s="19"/>
      <c r="V2835" s="19"/>
      <c r="W2835" s="218">
        <v>1</v>
      </c>
      <c r="X2835" s="218">
        <v>1</v>
      </c>
      <c r="Y2835" s="218">
        <v>1</v>
      </c>
    </row>
    <row r="2836" spans="1:25" x14ac:dyDescent="0.3">
      <c r="A2836" s="1" t="s">
        <v>8414</v>
      </c>
      <c r="B2836" s="102">
        <v>46151</v>
      </c>
      <c r="C2836" s="6">
        <v>0</v>
      </c>
      <c r="D2836" s="1" t="s">
        <v>7</v>
      </c>
      <c r="E2836" s="1" t="s">
        <v>1380</v>
      </c>
      <c r="F2836" s="1" t="s">
        <v>8415</v>
      </c>
      <c r="G2836" s="39" t="s">
        <v>1402</v>
      </c>
      <c r="H2836" s="15">
        <v>3</v>
      </c>
      <c r="I2836" s="15">
        <v>4</v>
      </c>
      <c r="J2836" s="216" t="s">
        <v>1392</v>
      </c>
      <c r="K2836" s="15">
        <v>4</v>
      </c>
      <c r="L2836" s="15">
        <v>3</v>
      </c>
      <c r="S2836" s="1" t="s">
        <v>10476</v>
      </c>
      <c r="T2836" s="1">
        <v>1</v>
      </c>
      <c r="U2836" s="19"/>
      <c r="V2836" s="19"/>
      <c r="W2836" s="218">
        <v>1</v>
      </c>
      <c r="X2836" s="218">
        <v>1</v>
      </c>
      <c r="Y2836" s="218">
        <v>1</v>
      </c>
    </row>
    <row r="2837" spans="1:25" x14ac:dyDescent="0.3">
      <c r="A2837" s="1" t="s">
        <v>8416</v>
      </c>
      <c r="B2837" s="102">
        <v>46158</v>
      </c>
      <c r="C2837" s="6">
        <v>0</v>
      </c>
      <c r="D2837" s="1" t="s">
        <v>7</v>
      </c>
      <c r="E2837" s="1" t="s">
        <v>1380</v>
      </c>
      <c r="F2837" s="1" t="s">
        <v>8417</v>
      </c>
      <c r="G2837" s="39" t="s">
        <v>1394</v>
      </c>
      <c r="H2837" s="15">
        <v>1</v>
      </c>
      <c r="I2837" s="15">
        <v>0</v>
      </c>
      <c r="J2837" s="216" t="s">
        <v>1383</v>
      </c>
      <c r="K2837" s="15">
        <v>0</v>
      </c>
      <c r="L2837" s="15">
        <v>1</v>
      </c>
      <c r="S2837" s="1" t="s">
        <v>10477</v>
      </c>
      <c r="T2837" s="1">
        <v>1</v>
      </c>
      <c r="U2837" s="19"/>
      <c r="V2837" s="19"/>
      <c r="W2837" s="218">
        <v>1</v>
      </c>
      <c r="X2837" s="218">
        <v>1</v>
      </c>
      <c r="Y2837" s="218">
        <v>1</v>
      </c>
    </row>
    <row r="2838" spans="1:25" x14ac:dyDescent="0.3">
      <c r="A2838" s="1" t="s">
        <v>8418</v>
      </c>
      <c r="B2838" s="102">
        <v>46158</v>
      </c>
      <c r="C2838" s="6">
        <v>0</v>
      </c>
      <c r="D2838" s="1" t="s">
        <v>7</v>
      </c>
      <c r="E2838" s="1" t="s">
        <v>1380</v>
      </c>
      <c r="F2838" s="1" t="s">
        <v>8419</v>
      </c>
      <c r="G2838" s="39" t="s">
        <v>1378</v>
      </c>
      <c r="H2838" s="15">
        <v>1</v>
      </c>
      <c r="I2838" s="15">
        <v>2</v>
      </c>
      <c r="J2838" s="216" t="s">
        <v>1388</v>
      </c>
      <c r="K2838" s="15">
        <v>2</v>
      </c>
      <c r="L2838" s="15">
        <v>1</v>
      </c>
      <c r="S2838" s="1" t="s">
        <v>10478</v>
      </c>
      <c r="T2838" s="1">
        <v>1</v>
      </c>
      <c r="U2838" s="19"/>
      <c r="V2838" s="19"/>
      <c r="W2838" s="218">
        <v>1</v>
      </c>
      <c r="X2838" s="218">
        <v>1</v>
      </c>
      <c r="Y2838" s="218">
        <v>1</v>
      </c>
    </row>
    <row r="2839" spans="1:25" x14ac:dyDescent="0.3">
      <c r="A2839" s="1" t="s">
        <v>8420</v>
      </c>
      <c r="B2839" s="102">
        <v>46158</v>
      </c>
      <c r="C2839" s="6">
        <v>0</v>
      </c>
      <c r="D2839" s="1" t="s">
        <v>7</v>
      </c>
      <c r="E2839" s="1" t="s">
        <v>1380</v>
      </c>
      <c r="F2839" s="1" t="s">
        <v>8421</v>
      </c>
      <c r="G2839" s="39" t="s">
        <v>1392</v>
      </c>
      <c r="H2839" s="15">
        <v>2</v>
      </c>
      <c r="I2839" s="15">
        <v>3</v>
      </c>
      <c r="J2839" s="216" t="s">
        <v>1381</v>
      </c>
      <c r="K2839" s="15">
        <v>3</v>
      </c>
      <c r="L2839" s="15">
        <v>2</v>
      </c>
      <c r="S2839" s="1" t="s">
        <v>10479</v>
      </c>
      <c r="T2839" s="1">
        <v>1</v>
      </c>
      <c r="U2839" s="19"/>
      <c r="V2839" s="19"/>
      <c r="W2839" s="218">
        <v>1</v>
      </c>
      <c r="X2839" s="218">
        <v>1</v>
      </c>
      <c r="Y2839" s="218">
        <v>1</v>
      </c>
    </row>
    <row r="2840" spans="1:25" x14ac:dyDescent="0.3">
      <c r="A2840" s="1" t="s">
        <v>8422</v>
      </c>
      <c r="B2840" s="102">
        <v>46158</v>
      </c>
      <c r="C2840" s="6">
        <v>0</v>
      </c>
      <c r="D2840" s="1" t="s">
        <v>7</v>
      </c>
      <c r="E2840" s="1" t="s">
        <v>1380</v>
      </c>
      <c r="F2840" s="1" t="s">
        <v>8423</v>
      </c>
      <c r="G2840" s="39" t="s">
        <v>200</v>
      </c>
      <c r="H2840" s="15">
        <v>2</v>
      </c>
      <c r="I2840" s="15">
        <v>1</v>
      </c>
      <c r="J2840" s="216" t="s">
        <v>1402</v>
      </c>
      <c r="K2840" s="15">
        <v>1</v>
      </c>
      <c r="L2840" s="15">
        <v>2</v>
      </c>
      <c r="S2840" s="1" t="s">
        <v>10480</v>
      </c>
      <c r="T2840" s="1">
        <v>1</v>
      </c>
      <c r="U2840" s="19"/>
      <c r="V2840" s="19"/>
      <c r="W2840" s="218">
        <v>1</v>
      </c>
      <c r="X2840" s="218">
        <v>1</v>
      </c>
      <c r="Y2840" s="218">
        <v>1</v>
      </c>
    </row>
    <row r="2841" spans="1:25" x14ac:dyDescent="0.3">
      <c r="A2841" s="1" t="s">
        <v>8424</v>
      </c>
      <c r="B2841" s="102">
        <v>46158</v>
      </c>
      <c r="C2841" s="6">
        <v>0</v>
      </c>
      <c r="D2841" s="1" t="s">
        <v>7</v>
      </c>
      <c r="E2841" s="1" t="s">
        <v>1380</v>
      </c>
      <c r="F2841" s="1" t="s">
        <v>8425</v>
      </c>
      <c r="G2841" s="39" t="s">
        <v>1397</v>
      </c>
      <c r="H2841" s="15">
        <v>1</v>
      </c>
      <c r="I2841" s="15">
        <v>0</v>
      </c>
      <c r="J2841" s="216" t="s">
        <v>1377</v>
      </c>
      <c r="K2841" s="15">
        <v>0</v>
      </c>
      <c r="L2841" s="15">
        <v>1</v>
      </c>
      <c r="S2841" s="1" t="s">
        <v>10481</v>
      </c>
      <c r="T2841" s="1">
        <v>1</v>
      </c>
      <c r="U2841" s="19"/>
      <c r="V2841" s="19"/>
      <c r="W2841" s="218">
        <v>1</v>
      </c>
      <c r="X2841" s="218">
        <v>1</v>
      </c>
      <c r="Y2841" s="218">
        <v>1</v>
      </c>
    </row>
    <row r="2842" spans="1:25" x14ac:dyDescent="0.3">
      <c r="A2842" s="1" t="s">
        <v>8426</v>
      </c>
      <c r="B2842" s="102">
        <v>46158</v>
      </c>
      <c r="C2842" s="6">
        <v>0</v>
      </c>
      <c r="D2842" s="1" t="s">
        <v>7</v>
      </c>
      <c r="E2842" s="1" t="s">
        <v>1380</v>
      </c>
      <c r="F2842" s="1" t="s">
        <v>8427</v>
      </c>
      <c r="G2842" s="39" t="s">
        <v>1386</v>
      </c>
      <c r="H2842" s="15">
        <v>2</v>
      </c>
      <c r="I2842" s="15">
        <v>2</v>
      </c>
      <c r="J2842" s="216" t="s">
        <v>1390</v>
      </c>
      <c r="K2842" s="15">
        <v>2</v>
      </c>
      <c r="L2842" s="15">
        <v>2</v>
      </c>
      <c r="S2842" s="1" t="s">
        <v>10482</v>
      </c>
      <c r="T2842" s="1">
        <v>1</v>
      </c>
      <c r="U2842" s="19"/>
      <c r="V2842" s="19"/>
      <c r="W2842" s="218">
        <v>1</v>
      </c>
      <c r="X2842" s="218">
        <v>1</v>
      </c>
      <c r="Y2842" s="218">
        <v>1</v>
      </c>
    </row>
    <row r="2843" spans="1:25" x14ac:dyDescent="0.3">
      <c r="A2843" s="1" t="s">
        <v>8428</v>
      </c>
      <c r="B2843" s="102">
        <v>46164</v>
      </c>
      <c r="C2843" s="6">
        <v>0</v>
      </c>
      <c r="D2843" s="1" t="s">
        <v>7</v>
      </c>
      <c r="E2843" s="1" t="s">
        <v>1380</v>
      </c>
      <c r="F2843" s="1" t="s">
        <v>8429</v>
      </c>
      <c r="G2843" s="39" t="s">
        <v>1394</v>
      </c>
      <c r="H2843" s="15">
        <v>1</v>
      </c>
      <c r="I2843" s="15">
        <v>1</v>
      </c>
      <c r="J2843" s="216" t="s">
        <v>1388</v>
      </c>
      <c r="K2843" s="15">
        <v>1</v>
      </c>
      <c r="L2843" s="15">
        <v>1</v>
      </c>
      <c r="S2843" s="1" t="s">
        <v>10483</v>
      </c>
      <c r="T2843" s="1">
        <v>1</v>
      </c>
      <c r="U2843" s="19"/>
      <c r="V2843" s="19"/>
      <c r="W2843" s="218">
        <v>1</v>
      </c>
      <c r="X2843" s="218">
        <v>1</v>
      </c>
      <c r="Y2843" s="218">
        <v>1</v>
      </c>
    </row>
    <row r="2844" spans="1:25" x14ac:dyDescent="0.3">
      <c r="A2844" s="1" t="s">
        <v>8430</v>
      </c>
      <c r="B2844" s="102">
        <v>46165</v>
      </c>
      <c r="C2844" s="6">
        <v>0</v>
      </c>
      <c r="D2844" s="1" t="s">
        <v>7</v>
      </c>
      <c r="E2844" s="1" t="s">
        <v>1380</v>
      </c>
      <c r="F2844" s="1" t="s">
        <v>8431</v>
      </c>
      <c r="G2844" s="39" t="s">
        <v>1392</v>
      </c>
      <c r="H2844" s="15">
        <v>2</v>
      </c>
      <c r="I2844" s="15">
        <v>2</v>
      </c>
      <c r="J2844" s="216" t="s">
        <v>1383</v>
      </c>
      <c r="K2844" s="15">
        <v>2</v>
      </c>
      <c r="L2844" s="15">
        <v>2</v>
      </c>
      <c r="S2844" s="1" t="s">
        <v>10484</v>
      </c>
      <c r="T2844" s="1">
        <v>1</v>
      </c>
      <c r="U2844" s="19"/>
      <c r="V2844" s="19"/>
      <c r="W2844" s="218">
        <v>1</v>
      </c>
      <c r="X2844" s="218">
        <v>1</v>
      </c>
      <c r="Y2844" s="218">
        <v>1</v>
      </c>
    </row>
    <row r="2845" spans="1:25" x14ac:dyDescent="0.3">
      <c r="A2845" s="1" t="s">
        <v>8432</v>
      </c>
      <c r="B2845" s="102">
        <v>46165</v>
      </c>
      <c r="C2845" s="6">
        <v>0</v>
      </c>
      <c r="D2845" s="1" t="s">
        <v>7</v>
      </c>
      <c r="E2845" s="1" t="s">
        <v>1380</v>
      </c>
      <c r="F2845" s="1" t="s">
        <v>8433</v>
      </c>
      <c r="G2845" s="39" t="s">
        <v>1378</v>
      </c>
      <c r="H2845" s="15">
        <v>1</v>
      </c>
      <c r="I2845" s="15">
        <v>4</v>
      </c>
      <c r="J2845" s="216" t="s">
        <v>1390</v>
      </c>
      <c r="K2845" s="15">
        <v>4</v>
      </c>
      <c r="L2845" s="15">
        <v>1</v>
      </c>
      <c r="S2845" s="1" t="s">
        <v>10485</v>
      </c>
      <c r="T2845" s="1">
        <v>1</v>
      </c>
      <c r="U2845" s="19"/>
      <c r="V2845" s="19"/>
      <c r="W2845" s="218">
        <v>1</v>
      </c>
      <c r="X2845" s="218">
        <v>1</v>
      </c>
      <c r="Y2845" s="218">
        <v>1</v>
      </c>
    </row>
    <row r="2846" spans="1:25" x14ac:dyDescent="0.3">
      <c r="A2846" s="1" t="s">
        <v>8434</v>
      </c>
      <c r="B2846" s="102">
        <v>46165</v>
      </c>
      <c r="C2846" s="6">
        <v>0</v>
      </c>
      <c r="D2846" s="1" t="s">
        <v>7</v>
      </c>
      <c r="E2846" s="1" t="s">
        <v>1380</v>
      </c>
      <c r="F2846" s="1" t="s">
        <v>8435</v>
      </c>
      <c r="G2846" s="39" t="s">
        <v>1381</v>
      </c>
      <c r="H2846" s="15">
        <v>0</v>
      </c>
      <c r="I2846" s="15">
        <v>0</v>
      </c>
      <c r="J2846" s="216" t="s">
        <v>200</v>
      </c>
      <c r="K2846" s="15">
        <v>0</v>
      </c>
      <c r="L2846" s="15">
        <v>0</v>
      </c>
      <c r="S2846" s="1" t="s">
        <v>10486</v>
      </c>
      <c r="T2846" s="1">
        <v>1</v>
      </c>
      <c r="U2846" s="19"/>
      <c r="V2846" s="19"/>
      <c r="W2846" s="218">
        <v>1</v>
      </c>
      <c r="X2846" s="218">
        <v>1</v>
      </c>
      <c r="Y2846" s="218">
        <v>1</v>
      </c>
    </row>
    <row r="2847" spans="1:25" x14ac:dyDescent="0.3">
      <c r="A2847" s="1" t="s">
        <v>8436</v>
      </c>
      <c r="B2847" s="102">
        <v>46165</v>
      </c>
      <c r="C2847" s="6">
        <v>0</v>
      </c>
      <c r="D2847" s="1" t="s">
        <v>7</v>
      </c>
      <c r="E2847" s="1" t="s">
        <v>1380</v>
      </c>
      <c r="F2847" s="1" t="s">
        <v>8437</v>
      </c>
      <c r="G2847" s="39" t="s">
        <v>1386</v>
      </c>
      <c r="H2847" s="15">
        <v>4</v>
      </c>
      <c r="I2847" s="15">
        <v>3</v>
      </c>
      <c r="J2847" s="216" t="s">
        <v>1397</v>
      </c>
      <c r="K2847" s="15">
        <v>3</v>
      </c>
      <c r="L2847" s="15">
        <v>4</v>
      </c>
      <c r="S2847" s="1" t="s">
        <v>10487</v>
      </c>
      <c r="T2847" s="1">
        <v>1</v>
      </c>
      <c r="U2847" s="19"/>
      <c r="V2847" s="19"/>
      <c r="W2847" s="218">
        <v>1</v>
      </c>
      <c r="X2847" s="218">
        <v>1</v>
      </c>
      <c r="Y2847" s="218">
        <v>1</v>
      </c>
    </row>
    <row r="2848" spans="1:25" x14ac:dyDescent="0.3">
      <c r="A2848" s="1" t="s">
        <v>8438</v>
      </c>
      <c r="B2848" s="102">
        <v>46165</v>
      </c>
      <c r="C2848" s="6">
        <v>0</v>
      </c>
      <c r="D2848" s="1" t="s">
        <v>7</v>
      </c>
      <c r="E2848" s="1" t="s">
        <v>1380</v>
      </c>
      <c r="F2848" s="1" t="s">
        <v>8439</v>
      </c>
      <c r="G2848" s="39" t="s">
        <v>1402</v>
      </c>
      <c r="H2848" s="15">
        <v>1</v>
      </c>
      <c r="I2848" s="15">
        <v>2</v>
      </c>
      <c r="J2848" s="216" t="s">
        <v>1377</v>
      </c>
      <c r="K2848" s="15">
        <v>2</v>
      </c>
      <c r="L2848" s="15">
        <v>1</v>
      </c>
      <c r="S2848" s="1" t="s">
        <v>10488</v>
      </c>
      <c r="T2848" s="1">
        <v>1</v>
      </c>
      <c r="U2848" s="19"/>
      <c r="V2848" s="19"/>
      <c r="W2848" s="218">
        <v>1</v>
      </c>
      <c r="X2848" s="218">
        <v>1</v>
      </c>
      <c r="Y2848" s="218">
        <v>1</v>
      </c>
    </row>
    <row r="2849" spans="1:25" x14ac:dyDescent="0.3">
      <c r="A2849" s="1" t="s">
        <v>8440</v>
      </c>
      <c r="B2849" s="102">
        <v>46171</v>
      </c>
      <c r="C2849" s="6">
        <v>0</v>
      </c>
      <c r="D2849" s="1" t="s">
        <v>7</v>
      </c>
      <c r="E2849" s="1" t="s">
        <v>1380</v>
      </c>
      <c r="F2849" s="1" t="s">
        <v>8441</v>
      </c>
      <c r="G2849" s="39" t="s">
        <v>1390</v>
      </c>
      <c r="H2849" s="15">
        <v>3</v>
      </c>
      <c r="I2849" s="15">
        <v>1</v>
      </c>
      <c r="J2849" s="216" t="s">
        <v>1392</v>
      </c>
      <c r="K2849" s="15">
        <v>1</v>
      </c>
      <c r="L2849" s="15">
        <v>3</v>
      </c>
      <c r="S2849" s="1" t="s">
        <v>10489</v>
      </c>
      <c r="T2849" s="1">
        <v>1</v>
      </c>
      <c r="U2849" s="19"/>
      <c r="V2849" s="19"/>
      <c r="W2849" s="218">
        <v>1</v>
      </c>
      <c r="X2849" s="218">
        <v>1</v>
      </c>
      <c r="Y2849" s="218">
        <v>1</v>
      </c>
    </row>
    <row r="2850" spans="1:25" x14ac:dyDescent="0.3">
      <c r="A2850" s="1" t="s">
        <v>8442</v>
      </c>
      <c r="B2850" s="102">
        <v>46172</v>
      </c>
      <c r="C2850" s="6">
        <v>0</v>
      </c>
      <c r="D2850" s="1" t="s">
        <v>7</v>
      </c>
      <c r="E2850" s="1" t="s">
        <v>1380</v>
      </c>
      <c r="F2850" s="1" t="s">
        <v>8443</v>
      </c>
      <c r="G2850" s="39" t="s">
        <v>1386</v>
      </c>
      <c r="H2850" s="15">
        <v>2</v>
      </c>
      <c r="I2850" s="15">
        <v>2</v>
      </c>
      <c r="J2850" s="216" t="s">
        <v>1394</v>
      </c>
      <c r="K2850" s="15">
        <v>2</v>
      </c>
      <c r="L2850" s="15">
        <v>2</v>
      </c>
      <c r="S2850" s="1" t="s">
        <v>10490</v>
      </c>
      <c r="T2850" s="1">
        <v>1</v>
      </c>
      <c r="U2850" s="19"/>
      <c r="V2850" s="19"/>
      <c r="W2850" s="218">
        <v>1</v>
      </c>
      <c r="X2850" s="218">
        <v>1</v>
      </c>
      <c r="Y2850" s="218">
        <v>1</v>
      </c>
    </row>
    <row r="2851" spans="1:25" x14ac:dyDescent="0.3">
      <c r="A2851" s="1" t="s">
        <v>8444</v>
      </c>
      <c r="B2851" s="102">
        <v>46172</v>
      </c>
      <c r="C2851" s="6">
        <v>0</v>
      </c>
      <c r="D2851" s="1" t="s">
        <v>7</v>
      </c>
      <c r="E2851" s="1" t="s">
        <v>1380</v>
      </c>
      <c r="F2851" s="1" t="s">
        <v>8445</v>
      </c>
      <c r="G2851" s="39" t="s">
        <v>1402</v>
      </c>
      <c r="H2851" s="15">
        <v>3</v>
      </c>
      <c r="I2851" s="15">
        <v>1</v>
      </c>
      <c r="J2851" s="216" t="s">
        <v>1381</v>
      </c>
      <c r="K2851" s="15">
        <v>1</v>
      </c>
      <c r="L2851" s="15">
        <v>3</v>
      </c>
      <c r="S2851" s="1" t="s">
        <v>10491</v>
      </c>
      <c r="T2851" s="1">
        <v>1</v>
      </c>
      <c r="U2851" s="19"/>
      <c r="V2851" s="19"/>
      <c r="W2851" s="218">
        <v>1</v>
      </c>
      <c r="X2851" s="218">
        <v>1</v>
      </c>
      <c r="Y2851" s="218">
        <v>1</v>
      </c>
    </row>
    <row r="2852" spans="1:25" x14ac:dyDescent="0.3">
      <c r="A2852" s="1" t="s">
        <v>8446</v>
      </c>
      <c r="B2852" s="102">
        <v>46172</v>
      </c>
      <c r="C2852" s="6">
        <v>0</v>
      </c>
      <c r="D2852" s="1" t="s">
        <v>7</v>
      </c>
      <c r="E2852" s="1" t="s">
        <v>1380</v>
      </c>
      <c r="F2852" s="1" t="s">
        <v>8447</v>
      </c>
      <c r="G2852" s="39" t="s">
        <v>1378</v>
      </c>
      <c r="H2852" s="15">
        <v>1</v>
      </c>
      <c r="I2852" s="15">
        <v>2</v>
      </c>
      <c r="J2852" s="216" t="s">
        <v>1377</v>
      </c>
      <c r="K2852" s="15">
        <v>2</v>
      </c>
      <c r="L2852" s="15">
        <v>1</v>
      </c>
      <c r="S2852" s="1" t="s">
        <v>10492</v>
      </c>
      <c r="T2852" s="1">
        <v>1</v>
      </c>
      <c r="U2852" s="19"/>
      <c r="V2852" s="19"/>
      <c r="W2852" s="218">
        <v>1</v>
      </c>
      <c r="X2852" s="218">
        <v>1</v>
      </c>
      <c r="Y2852" s="218">
        <v>1</v>
      </c>
    </row>
    <row r="2853" spans="1:25" x14ac:dyDescent="0.3">
      <c r="A2853" s="1" t="s">
        <v>8448</v>
      </c>
      <c r="B2853" s="102">
        <v>46172</v>
      </c>
      <c r="C2853" s="6">
        <v>0</v>
      </c>
      <c r="D2853" s="1" t="s">
        <v>7</v>
      </c>
      <c r="E2853" s="1" t="s">
        <v>1380</v>
      </c>
      <c r="F2853" s="1" t="s">
        <v>8449</v>
      </c>
      <c r="G2853" s="39" t="s">
        <v>1383</v>
      </c>
      <c r="H2853" s="15">
        <v>3</v>
      </c>
      <c r="I2853" s="15">
        <v>2</v>
      </c>
      <c r="J2853" s="216" t="s">
        <v>1397</v>
      </c>
      <c r="K2853" s="15">
        <v>2</v>
      </c>
      <c r="L2853" s="15">
        <v>3</v>
      </c>
      <c r="S2853" s="1" t="s">
        <v>10493</v>
      </c>
      <c r="T2853" s="1">
        <v>1</v>
      </c>
      <c r="U2853" s="19"/>
      <c r="V2853" s="19"/>
      <c r="W2853" s="218">
        <v>1</v>
      </c>
      <c r="X2853" s="218">
        <v>1</v>
      </c>
      <c r="Y2853" s="218">
        <v>1</v>
      </c>
    </row>
    <row r="2854" spans="1:25" x14ac:dyDescent="0.3">
      <c r="A2854" s="1" t="s">
        <v>8450</v>
      </c>
      <c r="B2854" s="102">
        <v>46172</v>
      </c>
      <c r="C2854" s="6">
        <v>0</v>
      </c>
      <c r="D2854" s="1" t="s">
        <v>7</v>
      </c>
      <c r="E2854" s="1" t="s">
        <v>1380</v>
      </c>
      <c r="F2854" s="1" t="s">
        <v>8451</v>
      </c>
      <c r="G2854" s="39" t="s">
        <v>200</v>
      </c>
      <c r="H2854" s="15">
        <v>3</v>
      </c>
      <c r="I2854" s="15">
        <v>4</v>
      </c>
      <c r="J2854" s="216" t="s">
        <v>1388</v>
      </c>
      <c r="K2854" s="15">
        <v>4</v>
      </c>
      <c r="L2854" s="15">
        <v>3</v>
      </c>
      <c r="S2854" s="1" t="s">
        <v>10494</v>
      </c>
      <c r="T2854" s="1">
        <v>1</v>
      </c>
      <c r="U2854" s="19"/>
      <c r="V2854" s="19"/>
      <c r="W2854" s="218">
        <v>1</v>
      </c>
      <c r="X2854" s="218">
        <v>1</v>
      </c>
      <c r="Y2854" s="218">
        <v>1</v>
      </c>
    </row>
    <row r="2855" spans="1:25" x14ac:dyDescent="0.3">
      <c r="A2855" s="1" t="s">
        <v>8452</v>
      </c>
      <c r="B2855" s="102">
        <v>46178</v>
      </c>
      <c r="C2855" s="6">
        <v>0</v>
      </c>
      <c r="D2855" s="1" t="s">
        <v>7</v>
      </c>
      <c r="E2855" s="1" t="s">
        <v>1380</v>
      </c>
      <c r="F2855" s="1" t="s">
        <v>8453</v>
      </c>
      <c r="G2855" s="39" t="s">
        <v>1388</v>
      </c>
      <c r="H2855" s="15">
        <v>3</v>
      </c>
      <c r="I2855" s="15">
        <v>3</v>
      </c>
      <c r="J2855" s="216" t="s">
        <v>1402</v>
      </c>
      <c r="K2855" s="15">
        <v>3</v>
      </c>
      <c r="L2855" s="15">
        <v>3</v>
      </c>
      <c r="S2855" s="1" t="s">
        <v>10495</v>
      </c>
      <c r="T2855" s="1">
        <v>1</v>
      </c>
      <c r="U2855" s="19"/>
      <c r="V2855" s="19"/>
      <c r="W2855" s="218">
        <v>1</v>
      </c>
      <c r="X2855" s="218">
        <v>1</v>
      </c>
      <c r="Y2855" s="218">
        <v>1</v>
      </c>
    </row>
    <row r="2856" spans="1:25" x14ac:dyDescent="0.3">
      <c r="A2856" s="1" t="s">
        <v>8454</v>
      </c>
      <c r="B2856" s="102">
        <v>46179</v>
      </c>
      <c r="C2856" s="6">
        <v>0</v>
      </c>
      <c r="D2856" s="1" t="s">
        <v>7</v>
      </c>
      <c r="E2856" s="1" t="s">
        <v>1380</v>
      </c>
      <c r="F2856" s="1" t="s">
        <v>8455</v>
      </c>
      <c r="G2856" s="39" t="s">
        <v>1394</v>
      </c>
      <c r="H2856" s="15">
        <v>2</v>
      </c>
      <c r="I2856" s="15">
        <v>1</v>
      </c>
      <c r="J2856" s="216" t="s">
        <v>200</v>
      </c>
      <c r="K2856" s="15">
        <v>1</v>
      </c>
      <c r="L2856" s="15">
        <v>2</v>
      </c>
      <c r="S2856" s="1" t="s">
        <v>10496</v>
      </c>
      <c r="T2856" s="1">
        <v>1</v>
      </c>
      <c r="U2856" s="19"/>
      <c r="V2856" s="19"/>
      <c r="W2856" s="218">
        <v>1</v>
      </c>
      <c r="X2856" s="218">
        <v>1</v>
      </c>
      <c r="Y2856" s="218">
        <v>1</v>
      </c>
    </row>
    <row r="2857" spans="1:25" x14ac:dyDescent="0.3">
      <c r="A2857" s="1" t="s">
        <v>8456</v>
      </c>
      <c r="B2857" s="102">
        <v>46179</v>
      </c>
      <c r="C2857" s="6">
        <v>0</v>
      </c>
      <c r="D2857" s="1" t="s">
        <v>7</v>
      </c>
      <c r="E2857" s="1" t="s">
        <v>1380</v>
      </c>
      <c r="F2857" s="1" t="s">
        <v>8457</v>
      </c>
      <c r="G2857" s="39" t="s">
        <v>1383</v>
      </c>
      <c r="H2857" s="15">
        <v>2</v>
      </c>
      <c r="I2857" s="15">
        <v>1</v>
      </c>
      <c r="J2857" s="216" t="s">
        <v>1386</v>
      </c>
      <c r="K2857" s="15">
        <v>1</v>
      </c>
      <c r="L2857" s="15">
        <v>2</v>
      </c>
      <c r="S2857" s="1" t="s">
        <v>10497</v>
      </c>
      <c r="T2857" s="1">
        <v>1</v>
      </c>
      <c r="U2857" s="19"/>
      <c r="V2857" s="19"/>
      <c r="W2857" s="218">
        <v>1</v>
      </c>
      <c r="X2857" s="218">
        <v>1</v>
      </c>
      <c r="Y2857" s="218">
        <v>1</v>
      </c>
    </row>
    <row r="2858" spans="1:25" x14ac:dyDescent="0.3">
      <c r="A2858" s="1" t="s">
        <v>8458</v>
      </c>
      <c r="B2858" s="102">
        <v>46179</v>
      </c>
      <c r="C2858" s="6">
        <v>0</v>
      </c>
      <c r="D2858" s="1" t="s">
        <v>7</v>
      </c>
      <c r="E2858" s="1" t="s">
        <v>1380</v>
      </c>
      <c r="F2858" s="1" t="s">
        <v>8459</v>
      </c>
      <c r="G2858" s="39" t="s">
        <v>1397</v>
      </c>
      <c r="H2858" s="15">
        <v>1</v>
      </c>
      <c r="I2858" s="15">
        <v>2</v>
      </c>
      <c r="J2858" s="216" t="s">
        <v>1390</v>
      </c>
      <c r="K2858" s="15">
        <v>2</v>
      </c>
      <c r="L2858" s="15">
        <v>1</v>
      </c>
      <c r="S2858" s="1" t="s">
        <v>10498</v>
      </c>
      <c r="T2858" s="1">
        <v>1</v>
      </c>
      <c r="U2858" s="19"/>
      <c r="V2858" s="19"/>
      <c r="W2858" s="218">
        <v>1</v>
      </c>
      <c r="X2858" s="218">
        <v>1</v>
      </c>
      <c r="Y2858" s="218">
        <v>1</v>
      </c>
    </row>
    <row r="2859" spans="1:25" x14ac:dyDescent="0.3">
      <c r="A2859" s="1" t="s">
        <v>8460</v>
      </c>
      <c r="B2859" s="102">
        <v>46186</v>
      </c>
      <c r="C2859" s="6">
        <v>0</v>
      </c>
      <c r="D2859" s="1" t="s">
        <v>7</v>
      </c>
      <c r="E2859" s="1" t="s">
        <v>1380</v>
      </c>
      <c r="F2859" s="1" t="s">
        <v>8461</v>
      </c>
      <c r="G2859" s="39" t="s">
        <v>1397</v>
      </c>
      <c r="H2859" s="15">
        <v>2</v>
      </c>
      <c r="I2859" s="15">
        <v>4</v>
      </c>
      <c r="J2859" s="216" t="s">
        <v>1388</v>
      </c>
      <c r="K2859" s="15">
        <v>4</v>
      </c>
      <c r="L2859" s="15">
        <v>2</v>
      </c>
      <c r="S2859" s="1" t="s">
        <v>10499</v>
      </c>
      <c r="T2859" s="1">
        <v>1</v>
      </c>
      <c r="U2859" s="19"/>
      <c r="V2859" s="19"/>
      <c r="W2859" s="218">
        <v>1</v>
      </c>
      <c r="X2859" s="218">
        <v>1</v>
      </c>
      <c r="Y2859" s="218">
        <v>1</v>
      </c>
    </row>
    <row r="2860" spans="1:25" x14ac:dyDescent="0.3">
      <c r="A2860" s="1" t="s">
        <v>8462</v>
      </c>
      <c r="B2860" s="102">
        <v>46186</v>
      </c>
      <c r="C2860" s="6">
        <v>0</v>
      </c>
      <c r="D2860" s="1" t="s">
        <v>7</v>
      </c>
      <c r="E2860" s="1" t="s">
        <v>1380</v>
      </c>
      <c r="F2860" s="1" t="s">
        <v>8463</v>
      </c>
      <c r="G2860" s="39" t="s">
        <v>1383</v>
      </c>
      <c r="H2860" s="15">
        <v>0</v>
      </c>
      <c r="I2860" s="15">
        <v>5</v>
      </c>
      <c r="J2860" s="216" t="s">
        <v>1377</v>
      </c>
      <c r="K2860" s="15">
        <v>5</v>
      </c>
      <c r="L2860" s="15">
        <v>0</v>
      </c>
      <c r="S2860" s="1" t="s">
        <v>10500</v>
      </c>
      <c r="T2860" s="1">
        <v>1</v>
      </c>
      <c r="U2860" s="19"/>
      <c r="V2860" s="19"/>
      <c r="W2860" s="218">
        <v>1</v>
      </c>
      <c r="X2860" s="218">
        <v>1</v>
      </c>
      <c r="Y2860" s="218">
        <v>1</v>
      </c>
    </row>
    <row r="2861" spans="1:25" x14ac:dyDescent="0.3">
      <c r="A2861" s="1" t="s">
        <v>8464</v>
      </c>
      <c r="B2861" s="102">
        <v>46186</v>
      </c>
      <c r="C2861" s="6">
        <v>0</v>
      </c>
      <c r="D2861" s="1" t="s">
        <v>7</v>
      </c>
      <c r="E2861" s="1" t="s">
        <v>1380</v>
      </c>
      <c r="F2861" s="1" t="s">
        <v>8465</v>
      </c>
      <c r="G2861" s="39" t="s">
        <v>1386</v>
      </c>
      <c r="H2861" s="15">
        <v>5</v>
      </c>
      <c r="I2861" s="15">
        <v>2</v>
      </c>
      <c r="J2861" s="216" t="s">
        <v>1381</v>
      </c>
      <c r="K2861" s="15">
        <v>2</v>
      </c>
      <c r="L2861" s="15">
        <v>5</v>
      </c>
      <c r="S2861" s="1" t="s">
        <v>10501</v>
      </c>
      <c r="T2861" s="1">
        <v>1</v>
      </c>
      <c r="U2861" s="19"/>
      <c r="V2861" s="19"/>
      <c r="W2861" s="218">
        <v>1</v>
      </c>
      <c r="X2861" s="218">
        <v>1</v>
      </c>
      <c r="Y2861" s="218">
        <v>1</v>
      </c>
    </row>
    <row r="2862" spans="1:25" ht="14.4" x14ac:dyDescent="0.3">
      <c r="A2862" s="1" t="s">
        <v>8466</v>
      </c>
      <c r="B2862" s="102">
        <v>46186</v>
      </c>
      <c r="C2862" s="6">
        <v>0</v>
      </c>
      <c r="D2862" s="1" t="s">
        <v>7</v>
      </c>
      <c r="E2862" s="1" t="s">
        <v>1380</v>
      </c>
      <c r="F2862" s="1" t="s">
        <v>8467</v>
      </c>
      <c r="G2862" s="39" t="s">
        <v>1392</v>
      </c>
      <c r="H2862" s="15">
        <v>1</v>
      </c>
      <c r="I2862" s="15">
        <v>0</v>
      </c>
      <c r="J2862" s="216" t="s">
        <v>200</v>
      </c>
      <c r="K2862" s="15">
        <v>0</v>
      </c>
      <c r="L2862" s="15">
        <v>1</v>
      </c>
      <c r="S2862" s="1" t="s">
        <v>10502</v>
      </c>
      <c r="T2862">
        <v>1</v>
      </c>
      <c r="U2862" s="19"/>
      <c r="V2862" s="19"/>
      <c r="W2862" s="218">
        <v>1</v>
      </c>
      <c r="X2862" s="218">
        <v>1</v>
      </c>
      <c r="Y2862" s="218">
        <v>1</v>
      </c>
    </row>
    <row r="2863" spans="1:25" x14ac:dyDescent="0.3">
      <c r="A2863" s="1" t="s">
        <v>8468</v>
      </c>
      <c r="B2863" s="102">
        <v>46193</v>
      </c>
      <c r="C2863" s="6">
        <v>0</v>
      </c>
      <c r="D2863" s="1" t="s">
        <v>7</v>
      </c>
      <c r="E2863" s="1" t="s">
        <v>1380</v>
      </c>
      <c r="F2863" s="1" t="s">
        <v>8469</v>
      </c>
      <c r="G2863" s="39" t="s">
        <v>200</v>
      </c>
      <c r="H2863" s="15">
        <v>4</v>
      </c>
      <c r="I2863" s="15">
        <v>4</v>
      </c>
      <c r="J2863" s="216" t="s">
        <v>1377</v>
      </c>
      <c r="K2863" s="15">
        <v>4</v>
      </c>
      <c r="L2863" s="15">
        <v>4</v>
      </c>
      <c r="S2863" s="1" t="s">
        <v>10503</v>
      </c>
      <c r="T2863" s="1">
        <v>1</v>
      </c>
      <c r="U2863" s="19"/>
      <c r="V2863" s="19"/>
      <c r="W2863" s="218">
        <v>1</v>
      </c>
      <c r="X2863" s="218">
        <v>1</v>
      </c>
      <c r="Y2863" s="218">
        <v>1</v>
      </c>
    </row>
    <row r="2864" spans="1:25" x14ac:dyDescent="0.3">
      <c r="A2864" s="1" t="s">
        <v>8470</v>
      </c>
      <c r="B2864" s="102">
        <v>46193</v>
      </c>
      <c r="C2864" s="6">
        <v>0</v>
      </c>
      <c r="D2864" s="1" t="s">
        <v>7</v>
      </c>
      <c r="E2864" s="1" t="s">
        <v>1380</v>
      </c>
      <c r="F2864" s="1" t="s">
        <v>8471</v>
      </c>
      <c r="G2864" s="39" t="s">
        <v>1397</v>
      </c>
      <c r="H2864" s="15">
        <v>1</v>
      </c>
      <c r="I2864" s="15">
        <v>2</v>
      </c>
      <c r="J2864" s="216" t="s">
        <v>1394</v>
      </c>
      <c r="K2864" s="15">
        <v>2</v>
      </c>
      <c r="L2864" s="15">
        <v>1</v>
      </c>
      <c r="S2864" s="1" t="s">
        <v>10504</v>
      </c>
      <c r="T2864" s="1">
        <v>1</v>
      </c>
      <c r="U2864" s="19"/>
      <c r="V2864" s="19"/>
      <c r="W2864" s="218">
        <v>1</v>
      </c>
      <c r="X2864" s="218">
        <v>1</v>
      </c>
      <c r="Y2864" s="218">
        <v>1</v>
      </c>
    </row>
    <row r="2865" spans="1:25" x14ac:dyDescent="0.3">
      <c r="A2865" s="1" t="s">
        <v>8472</v>
      </c>
      <c r="B2865" s="102">
        <v>46193</v>
      </c>
      <c r="C2865" s="6">
        <v>0</v>
      </c>
      <c r="D2865" s="1" t="s">
        <v>7</v>
      </c>
      <c r="E2865" s="1" t="s">
        <v>1380</v>
      </c>
      <c r="F2865" s="1" t="s">
        <v>8473</v>
      </c>
      <c r="G2865" s="39" t="s">
        <v>1378</v>
      </c>
      <c r="H2865" s="15">
        <v>0</v>
      </c>
      <c r="I2865" s="15">
        <v>3</v>
      </c>
      <c r="J2865" s="216" t="s">
        <v>1383</v>
      </c>
      <c r="K2865" s="15">
        <v>3</v>
      </c>
      <c r="L2865" s="15">
        <v>0</v>
      </c>
      <c r="S2865" s="1" t="s">
        <v>10505</v>
      </c>
      <c r="T2865" s="1">
        <v>1</v>
      </c>
      <c r="U2865" s="19"/>
      <c r="V2865" s="19"/>
      <c r="W2865" s="218">
        <v>1</v>
      </c>
      <c r="X2865" s="218">
        <v>1</v>
      </c>
      <c r="Y2865" s="218">
        <v>1</v>
      </c>
    </row>
    <row r="2866" spans="1:25" x14ac:dyDescent="0.3">
      <c r="A2866" s="1" t="s">
        <v>8474</v>
      </c>
      <c r="B2866" s="102">
        <v>46193</v>
      </c>
      <c r="C2866" s="6">
        <v>0</v>
      </c>
      <c r="D2866" s="1" t="s">
        <v>7</v>
      </c>
      <c r="E2866" s="1" t="s">
        <v>1380</v>
      </c>
      <c r="F2866" s="1" t="s">
        <v>8475</v>
      </c>
      <c r="G2866" s="39" t="s">
        <v>1381</v>
      </c>
      <c r="H2866" s="15">
        <v>1</v>
      </c>
      <c r="I2866" s="15">
        <v>1</v>
      </c>
      <c r="J2866" s="216" t="s">
        <v>1388</v>
      </c>
      <c r="K2866" s="15">
        <v>1</v>
      </c>
      <c r="L2866" s="15">
        <v>1</v>
      </c>
      <c r="S2866" s="1" t="s">
        <v>10506</v>
      </c>
      <c r="T2866" s="1">
        <v>1</v>
      </c>
      <c r="U2866" s="19"/>
      <c r="V2866" s="19"/>
      <c r="W2866" s="218">
        <v>1</v>
      </c>
      <c r="X2866" s="218">
        <v>1</v>
      </c>
      <c r="Y2866" s="218">
        <v>1</v>
      </c>
    </row>
    <row r="2867" spans="1:25" x14ac:dyDescent="0.3">
      <c r="A2867" s="1" t="s">
        <v>8476</v>
      </c>
      <c r="B2867" s="102">
        <v>46193</v>
      </c>
      <c r="C2867" s="6">
        <v>0</v>
      </c>
      <c r="D2867" s="1" t="s">
        <v>7</v>
      </c>
      <c r="E2867" s="1" t="s">
        <v>1380</v>
      </c>
      <c r="F2867" s="1" t="s">
        <v>8477</v>
      </c>
      <c r="G2867" s="39" t="s">
        <v>1386</v>
      </c>
      <c r="H2867" s="15">
        <v>1</v>
      </c>
      <c r="I2867" s="15">
        <v>0</v>
      </c>
      <c r="J2867" s="216" t="s">
        <v>1392</v>
      </c>
      <c r="K2867" s="15">
        <v>0</v>
      </c>
      <c r="L2867" s="15">
        <v>1</v>
      </c>
      <c r="S2867" s="1" t="s">
        <v>10507</v>
      </c>
      <c r="T2867" s="1">
        <v>1</v>
      </c>
      <c r="U2867" s="19"/>
      <c r="V2867" s="19"/>
      <c r="W2867" s="218">
        <v>1</v>
      </c>
      <c r="X2867" s="218">
        <v>1</v>
      </c>
      <c r="Y2867" s="218">
        <v>1</v>
      </c>
    </row>
    <row r="2868" spans="1:25" x14ac:dyDescent="0.3">
      <c r="A2868" s="1" t="s">
        <v>8478</v>
      </c>
      <c r="B2868" s="102">
        <v>46193</v>
      </c>
      <c r="C2868" s="6">
        <v>0</v>
      </c>
      <c r="D2868" s="1" t="s">
        <v>7</v>
      </c>
      <c r="E2868" s="1" t="s">
        <v>1380</v>
      </c>
      <c r="F2868" s="1" t="s">
        <v>8479</v>
      </c>
      <c r="G2868" s="39" t="s">
        <v>1390</v>
      </c>
      <c r="H2868" s="15">
        <v>0</v>
      </c>
      <c r="I2868" s="15">
        <v>3</v>
      </c>
      <c r="J2868" s="216" t="s">
        <v>1402</v>
      </c>
      <c r="K2868" s="15">
        <v>3</v>
      </c>
      <c r="L2868" s="15">
        <v>0</v>
      </c>
      <c r="S2868" s="1" t="s">
        <v>10508</v>
      </c>
      <c r="T2868" s="1">
        <v>1</v>
      </c>
      <c r="U2868" s="19"/>
      <c r="V2868" s="19"/>
      <c r="W2868" s="218">
        <v>1</v>
      </c>
      <c r="X2868" s="218">
        <v>1</v>
      </c>
      <c r="Y2868" s="218">
        <v>1</v>
      </c>
    </row>
    <row r="2869" spans="1:25" x14ac:dyDescent="0.3">
      <c r="A2869" s="1" t="s">
        <v>8480</v>
      </c>
      <c r="B2869" s="102">
        <v>46200</v>
      </c>
      <c r="C2869" s="6">
        <v>0</v>
      </c>
      <c r="D2869" s="1" t="s">
        <v>7</v>
      </c>
      <c r="E2869" s="1" t="s">
        <v>1380</v>
      </c>
      <c r="F2869" s="1" t="s">
        <v>8481</v>
      </c>
      <c r="G2869" s="39" t="s">
        <v>1397</v>
      </c>
      <c r="H2869" s="15">
        <v>1</v>
      </c>
      <c r="I2869" s="15">
        <v>1</v>
      </c>
      <c r="J2869" s="216" t="s">
        <v>1402</v>
      </c>
      <c r="K2869" s="15">
        <v>1</v>
      </c>
      <c r="L2869" s="15">
        <v>1</v>
      </c>
      <c r="S2869" s="1" t="s">
        <v>10509</v>
      </c>
      <c r="T2869" s="1">
        <v>1</v>
      </c>
      <c r="U2869" s="19"/>
      <c r="V2869" s="19"/>
      <c r="W2869" s="218">
        <v>1</v>
      </c>
      <c r="X2869" s="218">
        <v>1</v>
      </c>
      <c r="Y2869" s="218">
        <v>1</v>
      </c>
    </row>
    <row r="2870" spans="1:25" x14ac:dyDescent="0.3">
      <c r="A2870" s="1" t="s">
        <v>8482</v>
      </c>
      <c r="B2870" s="102">
        <v>46200</v>
      </c>
      <c r="C2870" s="6">
        <v>0</v>
      </c>
      <c r="D2870" s="1" t="s">
        <v>7</v>
      </c>
      <c r="E2870" s="1" t="s">
        <v>1380</v>
      </c>
      <c r="F2870" s="1" t="s">
        <v>8483</v>
      </c>
      <c r="G2870" s="39" t="s">
        <v>1386</v>
      </c>
      <c r="H2870" s="15">
        <v>3</v>
      </c>
      <c r="I2870" s="15">
        <v>0</v>
      </c>
      <c r="J2870" s="216" t="s">
        <v>200</v>
      </c>
      <c r="K2870" s="15">
        <v>0</v>
      </c>
      <c r="L2870" s="15">
        <v>3</v>
      </c>
      <c r="S2870" s="1" t="s">
        <v>10510</v>
      </c>
      <c r="T2870" s="1">
        <v>1</v>
      </c>
      <c r="U2870" s="19"/>
      <c r="V2870" s="19"/>
      <c r="W2870" s="218">
        <v>1</v>
      </c>
      <c r="X2870" s="218">
        <v>1</v>
      </c>
      <c r="Y2870" s="218">
        <v>1</v>
      </c>
    </row>
    <row r="2871" spans="1:25" x14ac:dyDescent="0.3">
      <c r="A2871" s="1" t="s">
        <v>8484</v>
      </c>
      <c r="B2871" s="102">
        <v>46200</v>
      </c>
      <c r="C2871" s="6">
        <v>0</v>
      </c>
      <c r="D2871" s="1" t="s">
        <v>7</v>
      </c>
      <c r="E2871" s="1" t="s">
        <v>1380</v>
      </c>
      <c r="F2871" s="1" t="s">
        <v>8485</v>
      </c>
      <c r="G2871" s="39" t="s">
        <v>1390</v>
      </c>
      <c r="H2871" s="15">
        <v>5</v>
      </c>
      <c r="I2871" s="15">
        <v>4</v>
      </c>
      <c r="J2871" s="216" t="s">
        <v>1381</v>
      </c>
      <c r="K2871" s="15">
        <v>4</v>
      </c>
      <c r="L2871" s="15">
        <v>5</v>
      </c>
      <c r="S2871" s="1" t="s">
        <v>10511</v>
      </c>
      <c r="T2871" s="1">
        <v>1</v>
      </c>
      <c r="U2871" s="19"/>
      <c r="V2871" s="19"/>
      <c r="W2871" s="218">
        <v>1</v>
      </c>
      <c r="X2871" s="218">
        <v>1</v>
      </c>
      <c r="Y2871" s="218">
        <v>1</v>
      </c>
    </row>
    <row r="2872" spans="1:25" x14ac:dyDescent="0.3">
      <c r="A2872" s="1" t="s">
        <v>8486</v>
      </c>
      <c r="B2872" s="102">
        <v>46200</v>
      </c>
      <c r="C2872" s="6">
        <v>0</v>
      </c>
      <c r="D2872" s="1" t="s">
        <v>7</v>
      </c>
      <c r="E2872" s="1" t="s">
        <v>1380</v>
      </c>
      <c r="F2872" s="1" t="s">
        <v>8487</v>
      </c>
      <c r="G2872" s="39" t="s">
        <v>1383</v>
      </c>
      <c r="H2872" s="15">
        <v>1</v>
      </c>
      <c r="I2872" s="15">
        <v>4</v>
      </c>
      <c r="J2872" s="216" t="s">
        <v>1388</v>
      </c>
      <c r="K2872" s="15">
        <v>4</v>
      </c>
      <c r="L2872" s="15">
        <v>1</v>
      </c>
      <c r="S2872" s="1" t="s">
        <v>10512</v>
      </c>
      <c r="T2872" s="1">
        <v>1</v>
      </c>
      <c r="U2872" s="19"/>
      <c r="V2872" s="19"/>
      <c r="W2872" s="218">
        <v>1</v>
      </c>
      <c r="X2872" s="218">
        <v>1</v>
      </c>
      <c r="Y2872" s="218">
        <v>1</v>
      </c>
    </row>
    <row r="2873" spans="1:25" x14ac:dyDescent="0.3">
      <c r="A2873" s="1" t="s">
        <v>8488</v>
      </c>
      <c r="B2873" s="102">
        <v>46207</v>
      </c>
      <c r="C2873" s="6">
        <v>0</v>
      </c>
      <c r="D2873" s="1" t="s">
        <v>7</v>
      </c>
      <c r="E2873" s="1" t="s">
        <v>1380</v>
      </c>
      <c r="F2873" s="1" t="s">
        <v>8489</v>
      </c>
      <c r="G2873" s="39" t="s">
        <v>1392</v>
      </c>
      <c r="H2873" s="15">
        <v>2</v>
      </c>
      <c r="I2873" s="15">
        <v>2</v>
      </c>
      <c r="J2873" s="216" t="s">
        <v>1388</v>
      </c>
      <c r="K2873" s="15">
        <v>2</v>
      </c>
      <c r="L2873" s="15">
        <v>2</v>
      </c>
      <c r="S2873" s="1" t="s">
        <v>10513</v>
      </c>
      <c r="T2873" s="1">
        <v>1</v>
      </c>
      <c r="U2873" s="19"/>
      <c r="V2873" s="19"/>
      <c r="W2873" s="218">
        <v>1</v>
      </c>
      <c r="X2873" s="218">
        <v>1</v>
      </c>
      <c r="Y2873" s="218">
        <v>1</v>
      </c>
    </row>
    <row r="2874" spans="1:25" x14ac:dyDescent="0.3">
      <c r="A2874" s="1" t="s">
        <v>8490</v>
      </c>
      <c r="B2874" s="102">
        <v>46207</v>
      </c>
      <c r="C2874" s="6">
        <v>0</v>
      </c>
      <c r="D2874" s="1" t="s">
        <v>7</v>
      </c>
      <c r="E2874" s="1" t="s">
        <v>1380</v>
      </c>
      <c r="F2874" s="1" t="s">
        <v>8491</v>
      </c>
      <c r="G2874" s="39" t="s">
        <v>1386</v>
      </c>
      <c r="H2874" s="15">
        <v>1</v>
      </c>
      <c r="I2874" s="15">
        <v>1</v>
      </c>
      <c r="J2874" s="216" t="s">
        <v>1377</v>
      </c>
      <c r="K2874" s="15">
        <v>1</v>
      </c>
      <c r="L2874" s="15">
        <v>1</v>
      </c>
      <c r="S2874" s="1" t="s">
        <v>10514</v>
      </c>
      <c r="T2874" s="1">
        <v>1</v>
      </c>
      <c r="U2874" s="19"/>
      <c r="V2874" s="19"/>
      <c r="W2874" s="218">
        <v>1</v>
      </c>
      <c r="X2874" s="218">
        <v>1</v>
      </c>
      <c r="Y2874" s="218">
        <v>1</v>
      </c>
    </row>
    <row r="2875" spans="1:25" x14ac:dyDescent="0.3">
      <c r="A2875" s="1" t="s">
        <v>8492</v>
      </c>
      <c r="B2875" s="102">
        <v>46207</v>
      </c>
      <c r="C2875" s="6">
        <v>0</v>
      </c>
      <c r="D2875" s="1" t="s">
        <v>7</v>
      </c>
      <c r="E2875" s="1" t="s">
        <v>1380</v>
      </c>
      <c r="F2875" s="1" t="s">
        <v>8493</v>
      </c>
      <c r="G2875" s="39" t="s">
        <v>1402</v>
      </c>
      <c r="H2875" s="15">
        <v>0</v>
      </c>
      <c r="I2875" s="15">
        <v>1</v>
      </c>
      <c r="J2875" s="216" t="s">
        <v>1394</v>
      </c>
      <c r="K2875" s="15">
        <v>1</v>
      </c>
      <c r="L2875" s="15">
        <v>0</v>
      </c>
      <c r="S2875" s="1" t="s">
        <v>10515</v>
      </c>
      <c r="T2875" s="1">
        <v>1</v>
      </c>
      <c r="U2875" s="19"/>
      <c r="V2875" s="19"/>
      <c r="W2875" s="218">
        <v>1</v>
      </c>
      <c r="X2875" s="218">
        <v>1</v>
      </c>
      <c r="Y2875" s="218">
        <v>1</v>
      </c>
    </row>
    <row r="2876" spans="1:25" x14ac:dyDescent="0.3">
      <c r="A2876" s="1" t="s">
        <v>8494</v>
      </c>
      <c r="B2876" s="102">
        <v>46207</v>
      </c>
      <c r="C2876" s="6">
        <v>0</v>
      </c>
      <c r="D2876" s="1" t="s">
        <v>7</v>
      </c>
      <c r="E2876" s="1" t="s">
        <v>1380</v>
      </c>
      <c r="F2876" s="1" t="s">
        <v>8495</v>
      </c>
      <c r="G2876" s="39" t="s">
        <v>1383</v>
      </c>
      <c r="H2876" s="15">
        <v>1</v>
      </c>
      <c r="I2876" s="15">
        <v>6</v>
      </c>
      <c r="J2876" s="216" t="s">
        <v>1390</v>
      </c>
      <c r="K2876" s="15">
        <v>6</v>
      </c>
      <c r="L2876" s="15">
        <v>1</v>
      </c>
      <c r="S2876" s="1" t="s">
        <v>10516</v>
      </c>
      <c r="T2876" s="1">
        <v>1</v>
      </c>
      <c r="U2876" s="19"/>
      <c r="V2876" s="19"/>
      <c r="W2876" s="218">
        <v>1</v>
      </c>
      <c r="X2876" s="218">
        <v>1</v>
      </c>
      <c r="Y2876" s="218">
        <v>1</v>
      </c>
    </row>
    <row r="2877" spans="1:25" x14ac:dyDescent="0.3">
      <c r="A2877" s="1" t="s">
        <v>8496</v>
      </c>
      <c r="B2877" s="102">
        <v>46207</v>
      </c>
      <c r="C2877" s="6">
        <v>0</v>
      </c>
      <c r="D2877" s="1" t="s">
        <v>7</v>
      </c>
      <c r="E2877" s="1" t="s">
        <v>1380</v>
      </c>
      <c r="F2877" s="1" t="s">
        <v>8497</v>
      </c>
      <c r="G2877" s="39" t="s">
        <v>1397</v>
      </c>
      <c r="H2877" s="15">
        <v>1</v>
      </c>
      <c r="I2877" s="15">
        <v>3</v>
      </c>
      <c r="J2877" s="216" t="s">
        <v>1381</v>
      </c>
      <c r="K2877" s="15">
        <v>3</v>
      </c>
      <c r="L2877" s="15">
        <v>1</v>
      </c>
      <c r="S2877" s="1" t="s">
        <v>10517</v>
      </c>
      <c r="T2877" s="1">
        <v>1</v>
      </c>
      <c r="U2877" s="19"/>
      <c r="V2877" s="19"/>
      <c r="W2877" s="218">
        <v>1</v>
      </c>
      <c r="X2877" s="218">
        <v>1</v>
      </c>
      <c r="Y2877" s="218">
        <v>1</v>
      </c>
    </row>
    <row r="2878" spans="1:25" x14ac:dyDescent="0.3">
      <c r="A2878" s="1" t="s">
        <v>8498</v>
      </c>
      <c r="B2878" s="102">
        <v>46214</v>
      </c>
      <c r="C2878" s="6">
        <v>0</v>
      </c>
      <c r="D2878" s="1" t="s">
        <v>7</v>
      </c>
      <c r="E2878" s="1" t="s">
        <v>1380</v>
      </c>
      <c r="F2878" s="1" t="s">
        <v>8499</v>
      </c>
      <c r="G2878" s="39" t="s">
        <v>1390</v>
      </c>
      <c r="H2878" s="15">
        <v>1</v>
      </c>
      <c r="I2878" s="15">
        <v>2</v>
      </c>
      <c r="J2878" s="216" t="s">
        <v>1394</v>
      </c>
      <c r="K2878" s="15">
        <v>2</v>
      </c>
      <c r="L2878" s="15">
        <v>1</v>
      </c>
      <c r="S2878" s="1" t="s">
        <v>10518</v>
      </c>
      <c r="T2878" s="1">
        <v>1</v>
      </c>
      <c r="U2878" s="19"/>
      <c r="V2878" s="19"/>
      <c r="W2878" s="218">
        <v>1</v>
      </c>
      <c r="X2878" s="218">
        <v>1</v>
      </c>
      <c r="Y2878" s="218">
        <v>1</v>
      </c>
    </row>
    <row r="2879" spans="1:25" x14ac:dyDescent="0.3">
      <c r="A2879" s="1" t="s">
        <v>8500</v>
      </c>
      <c r="B2879" s="102">
        <v>46214</v>
      </c>
      <c r="C2879" s="6">
        <v>0</v>
      </c>
      <c r="D2879" s="1" t="s">
        <v>7</v>
      </c>
      <c r="E2879" s="1" t="s">
        <v>1380</v>
      </c>
      <c r="F2879" s="1" t="s">
        <v>8501</v>
      </c>
      <c r="G2879" s="39" t="s">
        <v>1378</v>
      </c>
      <c r="H2879" s="15">
        <v>0</v>
      </c>
      <c r="I2879" s="15">
        <v>2</v>
      </c>
      <c r="J2879" s="216" t="s">
        <v>1386</v>
      </c>
      <c r="K2879" s="15">
        <v>2</v>
      </c>
      <c r="L2879" s="15">
        <v>0</v>
      </c>
      <c r="S2879" s="1" t="s">
        <v>10519</v>
      </c>
      <c r="T2879" s="1">
        <v>1</v>
      </c>
      <c r="U2879" s="19"/>
      <c r="V2879" s="19"/>
      <c r="W2879" s="218">
        <v>1</v>
      </c>
      <c r="X2879" s="218">
        <v>1</v>
      </c>
      <c r="Y2879" s="218">
        <v>1</v>
      </c>
    </row>
    <row r="2880" spans="1:25" x14ac:dyDescent="0.3">
      <c r="A2880" s="1" t="s">
        <v>8502</v>
      </c>
      <c r="B2880" s="102">
        <v>46220</v>
      </c>
      <c r="C2880" s="6">
        <v>0</v>
      </c>
      <c r="D2880" s="1" t="s">
        <v>7</v>
      </c>
      <c r="E2880" s="1" t="s">
        <v>1380</v>
      </c>
      <c r="F2880" s="1" t="s">
        <v>8503</v>
      </c>
      <c r="G2880" s="39" t="s">
        <v>1388</v>
      </c>
      <c r="H2880" s="15">
        <v>3</v>
      </c>
      <c r="I2880" s="15">
        <v>3</v>
      </c>
      <c r="J2880" s="216" t="s">
        <v>200</v>
      </c>
      <c r="K2880" s="15">
        <v>3</v>
      </c>
      <c r="L2880" s="15">
        <v>3</v>
      </c>
      <c r="S2880" s="1" t="s">
        <v>10520</v>
      </c>
      <c r="T2880" s="1">
        <v>1</v>
      </c>
      <c r="U2880" s="19"/>
      <c r="V2880" s="19"/>
      <c r="W2880" s="218">
        <v>1</v>
      </c>
      <c r="X2880" s="218">
        <v>1</v>
      </c>
      <c r="Y2880" s="218">
        <v>1</v>
      </c>
    </row>
    <row r="2881" spans="1:25" x14ac:dyDescent="0.3">
      <c r="A2881" s="1" t="s">
        <v>8504</v>
      </c>
      <c r="B2881" s="102">
        <v>46221</v>
      </c>
      <c r="C2881" s="6">
        <v>0</v>
      </c>
      <c r="D2881" s="1" t="s">
        <v>7</v>
      </c>
      <c r="E2881" s="1" t="s">
        <v>1380</v>
      </c>
      <c r="F2881" s="1" t="s">
        <v>8505</v>
      </c>
      <c r="G2881" s="39" t="s">
        <v>1394</v>
      </c>
      <c r="H2881" s="15">
        <v>0</v>
      </c>
      <c r="I2881" s="15">
        <v>3</v>
      </c>
      <c r="J2881" s="216" t="s">
        <v>1386</v>
      </c>
      <c r="K2881" s="15">
        <v>3</v>
      </c>
      <c r="L2881" s="15">
        <v>0</v>
      </c>
      <c r="S2881" s="1" t="s">
        <v>10521</v>
      </c>
      <c r="T2881" s="1">
        <v>1</v>
      </c>
      <c r="U2881" s="19"/>
      <c r="V2881" s="19"/>
      <c r="W2881" s="218">
        <v>1</v>
      </c>
      <c r="X2881" s="218">
        <v>1</v>
      </c>
      <c r="Y2881" s="218">
        <v>1</v>
      </c>
    </row>
    <row r="2882" spans="1:25" x14ac:dyDescent="0.3">
      <c r="A2882" s="1" t="s">
        <v>8506</v>
      </c>
      <c r="B2882" s="102">
        <v>46221</v>
      </c>
      <c r="C2882" s="6">
        <v>0</v>
      </c>
      <c r="D2882" s="1" t="s">
        <v>7</v>
      </c>
      <c r="E2882" s="1" t="s">
        <v>1380</v>
      </c>
      <c r="F2882" s="1" t="s">
        <v>8507</v>
      </c>
      <c r="G2882" s="39" t="s">
        <v>1381</v>
      </c>
      <c r="H2882" s="15">
        <v>2</v>
      </c>
      <c r="I2882" s="15">
        <v>0</v>
      </c>
      <c r="J2882" s="216" t="s">
        <v>1402</v>
      </c>
      <c r="K2882" s="15">
        <v>0</v>
      </c>
      <c r="L2882" s="15">
        <v>2</v>
      </c>
      <c r="S2882" s="1" t="s">
        <v>10522</v>
      </c>
      <c r="T2882" s="1">
        <v>1</v>
      </c>
      <c r="U2882" s="19"/>
      <c r="V2882" s="19"/>
      <c r="W2882" s="218">
        <v>1</v>
      </c>
      <c r="X2882" s="218">
        <v>1</v>
      </c>
      <c r="Y2882" s="218">
        <v>1</v>
      </c>
    </row>
    <row r="2883" spans="1:25" x14ac:dyDescent="0.3">
      <c r="A2883" s="1" t="s">
        <v>8508</v>
      </c>
      <c r="B2883" s="102">
        <v>46221</v>
      </c>
      <c r="C2883" s="6">
        <v>0</v>
      </c>
      <c r="D2883" s="1" t="s">
        <v>7</v>
      </c>
      <c r="E2883" s="1" t="s">
        <v>1380</v>
      </c>
      <c r="F2883" s="1" t="s">
        <v>8509</v>
      </c>
      <c r="G2883" s="39" t="s">
        <v>1397</v>
      </c>
      <c r="H2883" s="15">
        <v>2</v>
      </c>
      <c r="I2883" s="15">
        <v>2</v>
      </c>
      <c r="J2883" s="216" t="s">
        <v>1383</v>
      </c>
      <c r="K2883" s="15">
        <v>2</v>
      </c>
      <c r="L2883" s="15">
        <v>2</v>
      </c>
      <c r="S2883" s="1" t="s">
        <v>10523</v>
      </c>
      <c r="T2883" s="1">
        <v>1</v>
      </c>
      <c r="U2883" s="19"/>
      <c r="V2883" s="19"/>
      <c r="W2883" s="218">
        <v>1</v>
      </c>
      <c r="X2883" s="218">
        <v>1</v>
      </c>
      <c r="Y2883" s="218">
        <v>1</v>
      </c>
    </row>
    <row r="2884" spans="1:25" x14ac:dyDescent="0.3">
      <c r="A2884" s="1" t="s">
        <v>8510</v>
      </c>
      <c r="B2884" s="102">
        <v>46221</v>
      </c>
      <c r="C2884" s="6">
        <v>0</v>
      </c>
      <c r="D2884" s="1" t="s">
        <v>7</v>
      </c>
      <c r="E2884" s="1" t="s">
        <v>1380</v>
      </c>
      <c r="F2884" s="1" t="s">
        <v>8511</v>
      </c>
      <c r="G2884" s="39" t="s">
        <v>1392</v>
      </c>
      <c r="H2884" s="15">
        <v>0</v>
      </c>
      <c r="I2884" s="15">
        <v>3</v>
      </c>
      <c r="J2884" s="216" t="s">
        <v>1390</v>
      </c>
      <c r="K2884" s="15">
        <v>3</v>
      </c>
      <c r="L2884" s="15">
        <v>0</v>
      </c>
      <c r="S2884" s="1" t="s">
        <v>10524</v>
      </c>
      <c r="T2884" s="1">
        <v>1</v>
      </c>
      <c r="U2884" s="19"/>
      <c r="V2884" s="19"/>
      <c r="W2884" s="218">
        <v>1</v>
      </c>
      <c r="X2884" s="218">
        <v>1</v>
      </c>
      <c r="Y2884" s="218">
        <v>1</v>
      </c>
    </row>
    <row r="2885" spans="1:25" x14ac:dyDescent="0.3">
      <c r="A2885" s="1" t="s">
        <v>8512</v>
      </c>
      <c r="B2885" s="102">
        <v>46228</v>
      </c>
      <c r="C2885" s="6">
        <v>0</v>
      </c>
      <c r="D2885" s="1" t="s">
        <v>7</v>
      </c>
      <c r="E2885" s="1" t="s">
        <v>1380</v>
      </c>
      <c r="F2885" s="1" t="s">
        <v>8513</v>
      </c>
      <c r="G2885" s="39" t="s">
        <v>1388</v>
      </c>
      <c r="H2885" s="15">
        <v>0</v>
      </c>
      <c r="I2885" s="15">
        <v>2</v>
      </c>
      <c r="J2885" s="216" t="s">
        <v>1377</v>
      </c>
      <c r="K2885" s="15">
        <v>2</v>
      </c>
      <c r="L2885" s="15">
        <v>0</v>
      </c>
      <c r="S2885" s="1" t="s">
        <v>10525</v>
      </c>
      <c r="T2885" s="1">
        <v>1</v>
      </c>
      <c r="U2885" s="19"/>
      <c r="V2885" s="19"/>
      <c r="W2885" s="218">
        <v>1</v>
      </c>
      <c r="X2885" s="218">
        <v>1</v>
      </c>
      <c r="Y2885" s="218">
        <v>1</v>
      </c>
    </row>
    <row r="2886" spans="1:25" x14ac:dyDescent="0.3">
      <c r="A2886" s="1" t="s">
        <v>8514</v>
      </c>
      <c r="B2886" s="102">
        <v>46228</v>
      </c>
      <c r="C2886" s="6">
        <v>0</v>
      </c>
      <c r="D2886" s="1" t="s">
        <v>7</v>
      </c>
      <c r="E2886" s="1" t="s">
        <v>1380</v>
      </c>
      <c r="F2886" s="1" t="s">
        <v>8515</v>
      </c>
      <c r="G2886" s="39" t="s">
        <v>1394</v>
      </c>
      <c r="H2886" s="15">
        <v>0</v>
      </c>
      <c r="I2886" s="15">
        <v>0</v>
      </c>
      <c r="J2886" s="216" t="s">
        <v>1381</v>
      </c>
      <c r="K2886" s="15">
        <v>0</v>
      </c>
      <c r="L2886" s="15">
        <v>0</v>
      </c>
      <c r="S2886" s="1" t="s">
        <v>10526</v>
      </c>
      <c r="T2886" s="1">
        <v>1</v>
      </c>
      <c r="U2886" s="19"/>
      <c r="V2886" s="19"/>
      <c r="W2886" s="218">
        <v>1</v>
      </c>
      <c r="X2886" s="218">
        <v>1</v>
      </c>
      <c r="Y2886" s="218">
        <v>1</v>
      </c>
    </row>
    <row r="2887" spans="1:25" x14ac:dyDescent="0.3">
      <c r="A2887" s="1" t="s">
        <v>8516</v>
      </c>
      <c r="B2887" s="102">
        <v>46228</v>
      </c>
      <c r="C2887" s="6">
        <v>0</v>
      </c>
      <c r="D2887" s="1" t="s">
        <v>7</v>
      </c>
      <c r="E2887" s="1" t="s">
        <v>1380</v>
      </c>
      <c r="F2887" s="1" t="s">
        <v>8517</v>
      </c>
      <c r="G2887" s="39" t="s">
        <v>200</v>
      </c>
      <c r="H2887" s="15">
        <v>1</v>
      </c>
      <c r="I2887" s="15">
        <v>2</v>
      </c>
      <c r="J2887" s="216" t="s">
        <v>1390</v>
      </c>
      <c r="K2887" s="15">
        <v>2</v>
      </c>
      <c r="L2887" s="15">
        <v>1</v>
      </c>
      <c r="S2887" s="1" t="s">
        <v>10527</v>
      </c>
      <c r="T2887" s="1">
        <v>1</v>
      </c>
      <c r="U2887" s="19"/>
      <c r="V2887" s="19"/>
      <c r="W2887" s="218">
        <v>1</v>
      </c>
      <c r="X2887" s="218">
        <v>1</v>
      </c>
      <c r="Y2887" s="218">
        <v>1</v>
      </c>
    </row>
    <row r="2888" spans="1:25" x14ac:dyDescent="0.3">
      <c r="A2888" s="1" t="s">
        <v>8518</v>
      </c>
      <c r="B2888" s="102">
        <v>46228</v>
      </c>
      <c r="C2888" s="6">
        <v>0</v>
      </c>
      <c r="D2888" s="1" t="s">
        <v>7</v>
      </c>
      <c r="E2888" s="1" t="s">
        <v>1380</v>
      </c>
      <c r="F2888" s="1" t="s">
        <v>8519</v>
      </c>
      <c r="G2888" s="39" t="s">
        <v>1397</v>
      </c>
      <c r="H2888" s="15">
        <v>4</v>
      </c>
      <c r="I2888" s="15">
        <v>0</v>
      </c>
      <c r="J2888" s="216" t="s">
        <v>1392</v>
      </c>
      <c r="K2888" s="15">
        <v>0</v>
      </c>
      <c r="L2888" s="15">
        <v>4</v>
      </c>
      <c r="S2888" s="1" t="s">
        <v>10528</v>
      </c>
      <c r="T2888" s="1">
        <v>1</v>
      </c>
      <c r="U2888" s="19"/>
      <c r="V2888" s="19"/>
      <c r="W2888" s="218">
        <v>1</v>
      </c>
      <c r="X2888" s="218">
        <v>1</v>
      </c>
      <c r="Y2888" s="218">
        <v>1</v>
      </c>
    </row>
    <row r="2889" spans="1:25" x14ac:dyDescent="0.3">
      <c r="A2889" s="1" t="s">
        <v>8520</v>
      </c>
      <c r="B2889" s="102">
        <v>46228</v>
      </c>
      <c r="C2889" s="6">
        <v>0</v>
      </c>
      <c r="D2889" s="1" t="s">
        <v>7</v>
      </c>
      <c r="E2889" s="1" t="s">
        <v>1380</v>
      </c>
      <c r="F2889" s="1" t="s">
        <v>8521</v>
      </c>
      <c r="G2889" s="39" t="s">
        <v>1402</v>
      </c>
      <c r="H2889" s="15">
        <v>1</v>
      </c>
      <c r="I2889" s="15">
        <v>1</v>
      </c>
      <c r="J2889" s="216" t="s">
        <v>1383</v>
      </c>
      <c r="K2889" s="15">
        <v>1</v>
      </c>
      <c r="L2889" s="15">
        <v>1</v>
      </c>
      <c r="S2889" s="1" t="s">
        <v>10529</v>
      </c>
      <c r="T2889" s="1">
        <v>1</v>
      </c>
      <c r="U2889" s="19"/>
      <c r="V2889" s="19"/>
      <c r="W2889" s="218">
        <v>1</v>
      </c>
      <c r="X2889" s="218">
        <v>1</v>
      </c>
      <c r="Y2889" s="218">
        <v>1</v>
      </c>
    </row>
    <row r="2890" spans="1:25" x14ac:dyDescent="0.3">
      <c r="A2890" s="1" t="s">
        <v>8362</v>
      </c>
      <c r="B2890" s="102">
        <v>46235</v>
      </c>
      <c r="C2890" s="6">
        <v>0</v>
      </c>
      <c r="D2890" s="1" t="s">
        <v>7</v>
      </c>
      <c r="E2890" s="1" t="s">
        <v>1380</v>
      </c>
      <c r="F2890" s="1" t="s">
        <v>8363</v>
      </c>
      <c r="G2890" s="39" t="s">
        <v>1381</v>
      </c>
      <c r="H2890" s="15">
        <v>3</v>
      </c>
      <c r="I2890" s="15">
        <v>3</v>
      </c>
      <c r="J2890" s="216" t="s">
        <v>1383</v>
      </c>
      <c r="K2890" s="15">
        <v>3</v>
      </c>
      <c r="L2890" s="15">
        <v>3</v>
      </c>
      <c r="S2890" s="1" t="s">
        <v>10530</v>
      </c>
      <c r="T2890" s="1">
        <v>1</v>
      </c>
      <c r="U2890" s="19"/>
      <c r="V2890" s="19"/>
      <c r="W2890" s="218">
        <v>1</v>
      </c>
      <c r="X2890" s="218">
        <v>1</v>
      </c>
      <c r="Y2890" s="218">
        <v>1</v>
      </c>
    </row>
    <row r="2891" spans="1:25" x14ac:dyDescent="0.3">
      <c r="A2891" s="1" t="s">
        <v>8364</v>
      </c>
      <c r="B2891" s="102">
        <v>46235</v>
      </c>
      <c r="C2891" s="6">
        <v>0</v>
      </c>
      <c r="D2891" s="1" t="s">
        <v>7</v>
      </c>
      <c r="E2891" s="1" t="s">
        <v>1380</v>
      </c>
      <c r="F2891" s="1" t="s">
        <v>8365</v>
      </c>
      <c r="G2891" s="39" t="s">
        <v>1392</v>
      </c>
      <c r="H2891" s="15">
        <v>1</v>
      </c>
      <c r="I2891" s="15">
        <v>2</v>
      </c>
      <c r="J2891" s="216" t="s">
        <v>1402</v>
      </c>
      <c r="K2891" s="15">
        <v>2</v>
      </c>
      <c r="L2891" s="15">
        <v>1</v>
      </c>
      <c r="S2891" s="1" t="s">
        <v>10531</v>
      </c>
      <c r="T2891" s="1">
        <v>1</v>
      </c>
      <c r="U2891" s="19"/>
      <c r="V2891" s="19"/>
      <c r="W2891" s="218">
        <v>1</v>
      </c>
      <c r="X2891" s="218">
        <v>1</v>
      </c>
      <c r="Y2891" s="218">
        <v>1</v>
      </c>
    </row>
    <row r="2892" spans="1:25" x14ac:dyDescent="0.3">
      <c r="A2892" s="1" t="s">
        <v>8366</v>
      </c>
      <c r="B2892" s="102">
        <v>46235</v>
      </c>
      <c r="C2892" s="6">
        <v>0</v>
      </c>
      <c r="D2892" s="1" t="s">
        <v>7</v>
      </c>
      <c r="E2892" s="1" t="s">
        <v>1380</v>
      </c>
      <c r="F2892" s="1" t="s">
        <v>8367</v>
      </c>
      <c r="G2892" s="39" t="s">
        <v>1386</v>
      </c>
      <c r="H2892" s="15">
        <v>2</v>
      </c>
      <c r="I2892" s="15">
        <v>2</v>
      </c>
      <c r="J2892" s="216" t="s">
        <v>1388</v>
      </c>
      <c r="K2892" s="15">
        <v>2</v>
      </c>
      <c r="L2892" s="15">
        <v>2</v>
      </c>
      <c r="S2892" s="1" t="s">
        <v>10532</v>
      </c>
      <c r="T2892" s="1">
        <v>1</v>
      </c>
      <c r="U2892" s="19"/>
      <c r="V2892" s="19"/>
      <c r="W2892" s="218">
        <v>1</v>
      </c>
      <c r="X2892" s="218">
        <v>1</v>
      </c>
      <c r="Y2892" s="218">
        <v>1</v>
      </c>
    </row>
    <row r="2893" spans="1:25" x14ac:dyDescent="0.3">
      <c r="A2893" s="1" t="s">
        <v>8368</v>
      </c>
      <c r="B2893" s="102">
        <v>46235</v>
      </c>
      <c r="C2893" s="6">
        <v>0</v>
      </c>
      <c r="D2893" s="1" t="s">
        <v>7</v>
      </c>
      <c r="E2893" s="1" t="s">
        <v>1380</v>
      </c>
      <c r="F2893" s="1" t="s">
        <v>8369</v>
      </c>
      <c r="G2893" s="39" t="s">
        <v>1390</v>
      </c>
      <c r="H2893" s="15">
        <v>1</v>
      </c>
      <c r="I2893" s="15">
        <v>1</v>
      </c>
      <c r="J2893" s="216" t="s">
        <v>1377</v>
      </c>
      <c r="K2893" s="15">
        <v>1</v>
      </c>
      <c r="L2893" s="15">
        <v>1</v>
      </c>
      <c r="S2893" s="1" t="s">
        <v>10533</v>
      </c>
      <c r="T2893" s="1">
        <v>1</v>
      </c>
      <c r="U2893" s="19"/>
      <c r="V2893" s="19"/>
      <c r="W2893" s="218">
        <v>1</v>
      </c>
      <c r="X2893" s="218">
        <v>1</v>
      </c>
      <c r="Y2893" s="218">
        <v>1</v>
      </c>
    </row>
    <row r="2894" spans="1:25" x14ac:dyDescent="0.3">
      <c r="A2894" s="1" t="s">
        <v>8370</v>
      </c>
      <c r="B2894" s="102">
        <v>46235</v>
      </c>
      <c r="C2894" s="6">
        <v>0</v>
      </c>
      <c r="D2894" s="1" t="s">
        <v>7</v>
      </c>
      <c r="E2894" s="1" t="s">
        <v>1380</v>
      </c>
      <c r="F2894" s="1" t="s">
        <v>8371</v>
      </c>
      <c r="G2894" s="39" t="s">
        <v>1378</v>
      </c>
      <c r="H2894" s="15">
        <v>1</v>
      </c>
      <c r="I2894" s="15">
        <v>0</v>
      </c>
      <c r="J2894" s="216" t="s">
        <v>1394</v>
      </c>
      <c r="K2894" s="15">
        <v>0</v>
      </c>
      <c r="L2894" s="15">
        <v>1</v>
      </c>
      <c r="S2894" s="1" t="s">
        <v>10534</v>
      </c>
      <c r="T2894" s="1">
        <v>1</v>
      </c>
      <c r="U2894" s="19"/>
      <c r="V2894" s="19"/>
      <c r="W2894" s="218">
        <v>1</v>
      </c>
      <c r="X2894" s="218">
        <v>1</v>
      </c>
      <c r="Y2894" s="218">
        <v>1</v>
      </c>
    </row>
    <row r="2895" spans="1:25" ht="14.4" x14ac:dyDescent="0.3">
      <c r="A2895" s="1" t="s">
        <v>8372</v>
      </c>
      <c r="B2895" s="102">
        <v>46241</v>
      </c>
      <c r="C2895" s="6">
        <v>0.95833333333333304</v>
      </c>
      <c r="D2895" s="1" t="s">
        <v>7</v>
      </c>
      <c r="E2895" s="1" t="s">
        <v>1380</v>
      </c>
      <c r="F2895" s="1" t="s">
        <v>8373</v>
      </c>
      <c r="G2895" s="39" t="s">
        <v>1377</v>
      </c>
      <c r="H2895" s="15">
        <v>7</v>
      </c>
      <c r="I2895" s="15">
        <v>1</v>
      </c>
      <c r="J2895" s="216" t="s">
        <v>1378</v>
      </c>
      <c r="K2895" s="15">
        <v>1</v>
      </c>
      <c r="L2895" s="15">
        <v>7</v>
      </c>
      <c r="S2895" s="1" t="s">
        <v>10535</v>
      </c>
      <c r="T2895">
        <v>1</v>
      </c>
      <c r="U2895" s="19"/>
      <c r="V2895" s="19"/>
      <c r="W2895" s="218">
        <v>1</v>
      </c>
      <c r="X2895" s="218">
        <v>1</v>
      </c>
      <c r="Y2895" s="218">
        <v>1</v>
      </c>
    </row>
    <row r="2896" spans="1:25" x14ac:dyDescent="0.3">
      <c r="A2896" s="1" t="s">
        <v>8322</v>
      </c>
      <c r="B2896" s="102">
        <v>46247</v>
      </c>
      <c r="C2896" s="6">
        <v>0.375</v>
      </c>
      <c r="D2896" s="1" t="s">
        <v>18</v>
      </c>
      <c r="E2896" s="1" t="s">
        <v>22</v>
      </c>
      <c r="F2896" s="1" t="s">
        <v>8323</v>
      </c>
      <c r="G2896" s="39" t="s">
        <v>288</v>
      </c>
      <c r="H2896" s="15">
        <v>2</v>
      </c>
      <c r="I2896" s="15">
        <v>1</v>
      </c>
      <c r="J2896" s="216" t="s">
        <v>298</v>
      </c>
      <c r="K2896" s="15">
        <v>1</v>
      </c>
      <c r="L2896" s="15">
        <v>2</v>
      </c>
      <c r="S2896" s="1" t="s">
        <v>10536</v>
      </c>
      <c r="T2896" s="1">
        <v>1</v>
      </c>
      <c r="U2896" s="19"/>
      <c r="V2896" s="19"/>
      <c r="W2896" s="218">
        <v>1</v>
      </c>
      <c r="X2896" s="218">
        <v>1</v>
      </c>
      <c r="Y2896" s="218">
        <v>1</v>
      </c>
    </row>
    <row r="2897" spans="1:25" x14ac:dyDescent="0.3">
      <c r="A2897" s="1" t="s">
        <v>8378</v>
      </c>
      <c r="B2897" s="102">
        <v>46171</v>
      </c>
      <c r="C2897" s="6">
        <v>0.35416666666666702</v>
      </c>
      <c r="D2897" s="1" t="s">
        <v>18</v>
      </c>
      <c r="E2897" s="1" t="s">
        <v>430</v>
      </c>
      <c r="F2897" s="1" t="s">
        <v>8379</v>
      </c>
      <c r="G2897" s="39" t="s">
        <v>451</v>
      </c>
      <c r="H2897" s="15">
        <v>2</v>
      </c>
      <c r="I2897" s="15">
        <v>2</v>
      </c>
      <c r="J2897" s="216" t="s">
        <v>448</v>
      </c>
      <c r="K2897" s="15">
        <v>2</v>
      </c>
      <c r="L2897" s="15">
        <v>2</v>
      </c>
      <c r="S2897" s="1" t="s">
        <v>10537</v>
      </c>
      <c r="T2897" s="1">
        <v>1</v>
      </c>
      <c r="U2897" s="19"/>
      <c r="V2897" s="19"/>
      <c r="W2897" s="218">
        <v>1</v>
      </c>
      <c r="X2897" s="218">
        <v>1</v>
      </c>
      <c r="Y2897" s="218">
        <v>1</v>
      </c>
    </row>
    <row r="2898" spans="1:25" x14ac:dyDescent="0.3">
      <c r="A2898" s="1" t="s">
        <v>8380</v>
      </c>
      <c r="B2898" s="102">
        <v>46171</v>
      </c>
      <c r="C2898" s="6">
        <v>0.35416666666666702</v>
      </c>
      <c r="D2898" s="1" t="s">
        <v>18</v>
      </c>
      <c r="E2898" s="1" t="s">
        <v>430</v>
      </c>
      <c r="F2898" s="1" t="s">
        <v>8381</v>
      </c>
      <c r="G2898" s="39" t="s">
        <v>455</v>
      </c>
      <c r="H2898" s="15">
        <v>1</v>
      </c>
      <c r="I2898" s="15">
        <v>1</v>
      </c>
      <c r="J2898" s="216" t="s">
        <v>436</v>
      </c>
      <c r="K2898" s="15">
        <v>1</v>
      </c>
      <c r="L2898" s="15">
        <v>1</v>
      </c>
      <c r="S2898" s="1" t="s">
        <v>10538</v>
      </c>
      <c r="T2898" s="1">
        <v>1</v>
      </c>
      <c r="U2898" s="19"/>
      <c r="V2898" s="19"/>
      <c r="W2898" s="218">
        <v>1</v>
      </c>
      <c r="X2898" s="218">
        <v>1</v>
      </c>
      <c r="Y2898" s="218">
        <v>1</v>
      </c>
    </row>
    <row r="2899" spans="1:25" x14ac:dyDescent="0.3">
      <c r="A2899" s="1" t="s">
        <v>8382</v>
      </c>
      <c r="B2899" s="102">
        <v>46177</v>
      </c>
      <c r="C2899" s="6">
        <v>0.35416666666666702</v>
      </c>
      <c r="D2899" s="1" t="s">
        <v>18</v>
      </c>
      <c r="E2899" s="1" t="s">
        <v>430</v>
      </c>
      <c r="F2899" s="1" t="s">
        <v>8383</v>
      </c>
      <c r="G2899" s="39" t="s">
        <v>1457</v>
      </c>
      <c r="H2899" s="15">
        <v>2</v>
      </c>
      <c r="I2899" s="15">
        <v>0</v>
      </c>
      <c r="J2899" s="216" t="s">
        <v>436</v>
      </c>
      <c r="K2899" s="15">
        <v>0</v>
      </c>
      <c r="L2899" s="15">
        <v>2</v>
      </c>
      <c r="S2899" s="1" t="s">
        <v>10539</v>
      </c>
      <c r="T2899" s="1">
        <v>1</v>
      </c>
      <c r="U2899" s="19"/>
      <c r="V2899" s="19"/>
      <c r="W2899" s="218">
        <v>1</v>
      </c>
      <c r="X2899" s="218">
        <v>1</v>
      </c>
      <c r="Y2899" s="218">
        <v>1</v>
      </c>
    </row>
    <row r="2900" spans="1:25" x14ac:dyDescent="0.3">
      <c r="A2900" s="1" t="s">
        <v>8384</v>
      </c>
      <c r="B2900" s="102">
        <v>46179</v>
      </c>
      <c r="C2900" s="6">
        <v>0.29166666666666702</v>
      </c>
      <c r="D2900" s="1" t="s">
        <v>18</v>
      </c>
      <c r="E2900" s="1" t="s">
        <v>430</v>
      </c>
      <c r="F2900" s="1" t="s">
        <v>8385</v>
      </c>
      <c r="G2900" s="39" t="s">
        <v>442</v>
      </c>
      <c r="H2900" s="15">
        <v>1</v>
      </c>
      <c r="I2900" s="15">
        <v>3</v>
      </c>
      <c r="J2900" s="216" t="s">
        <v>451</v>
      </c>
      <c r="K2900" s="15">
        <v>3</v>
      </c>
      <c r="L2900" s="15">
        <v>1</v>
      </c>
      <c r="S2900" s="1" t="s">
        <v>10540</v>
      </c>
      <c r="T2900" s="1">
        <v>1</v>
      </c>
      <c r="U2900" s="19"/>
      <c r="V2900" s="19"/>
      <c r="W2900" s="218">
        <v>1</v>
      </c>
      <c r="X2900" s="218">
        <v>1</v>
      </c>
      <c r="Y2900" s="218">
        <v>1</v>
      </c>
    </row>
    <row r="2901" spans="1:25" x14ac:dyDescent="0.3">
      <c r="A2901" s="1" t="s">
        <v>8386</v>
      </c>
      <c r="B2901" s="102">
        <v>46185</v>
      </c>
      <c r="C2901" s="6">
        <v>0.35416666666666702</v>
      </c>
      <c r="D2901" s="1" t="s">
        <v>18</v>
      </c>
      <c r="E2901" s="1" t="s">
        <v>430</v>
      </c>
      <c r="F2901" s="1" t="s">
        <v>8387</v>
      </c>
      <c r="G2901" s="39" t="s">
        <v>455</v>
      </c>
      <c r="H2901" s="15">
        <v>2</v>
      </c>
      <c r="I2901" s="15">
        <v>2</v>
      </c>
      <c r="J2901" s="216" t="s">
        <v>442</v>
      </c>
      <c r="K2901" s="15">
        <v>2</v>
      </c>
      <c r="L2901" s="15">
        <v>2</v>
      </c>
      <c r="S2901" s="1" t="s">
        <v>10541</v>
      </c>
      <c r="T2901" s="1">
        <v>1</v>
      </c>
      <c r="U2901" s="19"/>
      <c r="V2901" s="19"/>
      <c r="W2901" s="218">
        <v>1</v>
      </c>
      <c r="X2901" s="218">
        <v>1</v>
      </c>
      <c r="Y2901" s="218">
        <v>1</v>
      </c>
    </row>
    <row r="2902" spans="1:25" x14ac:dyDescent="0.3">
      <c r="A2902" s="1" t="s">
        <v>8388</v>
      </c>
      <c r="B2902" s="102">
        <v>46200</v>
      </c>
      <c r="C2902" s="6">
        <v>0.29166666666666702</v>
      </c>
      <c r="D2902" s="1" t="s">
        <v>18</v>
      </c>
      <c r="E2902" s="1" t="s">
        <v>430</v>
      </c>
      <c r="F2902" s="1" t="s">
        <v>8389</v>
      </c>
      <c r="G2902" s="39" t="s">
        <v>442</v>
      </c>
      <c r="H2902" s="15">
        <v>3</v>
      </c>
      <c r="I2902" s="15">
        <v>0</v>
      </c>
      <c r="J2902" s="216" t="s">
        <v>445</v>
      </c>
      <c r="K2902" s="15">
        <v>0</v>
      </c>
      <c r="L2902" s="15">
        <v>3</v>
      </c>
      <c r="S2902" s="1" t="s">
        <v>10542</v>
      </c>
      <c r="T2902" s="1">
        <v>1</v>
      </c>
      <c r="U2902" s="19"/>
      <c r="V2902" s="19"/>
      <c r="W2902" s="218">
        <v>1</v>
      </c>
      <c r="X2902" s="218">
        <v>1</v>
      </c>
      <c r="Y2902" s="218">
        <v>1</v>
      </c>
    </row>
    <row r="2903" spans="1:25" x14ac:dyDescent="0.3">
      <c r="A2903" s="1" t="s">
        <v>8390</v>
      </c>
      <c r="B2903" s="102">
        <v>46206</v>
      </c>
      <c r="C2903" s="6">
        <v>0.35416666666666702</v>
      </c>
      <c r="D2903" s="1" t="s">
        <v>18</v>
      </c>
      <c r="E2903" s="1" t="s">
        <v>430</v>
      </c>
      <c r="F2903" s="1" t="s">
        <v>8391</v>
      </c>
      <c r="G2903" s="39" t="s">
        <v>455</v>
      </c>
      <c r="H2903" s="15">
        <v>2</v>
      </c>
      <c r="I2903" s="15">
        <v>0</v>
      </c>
      <c r="J2903" s="216" t="s">
        <v>445</v>
      </c>
      <c r="K2903" s="15">
        <v>0</v>
      </c>
      <c r="L2903" s="15">
        <v>2</v>
      </c>
      <c r="S2903" s="1" t="s">
        <v>10543</v>
      </c>
      <c r="T2903" s="1">
        <v>1</v>
      </c>
      <c r="U2903" s="19"/>
      <c r="V2903" s="19"/>
      <c r="W2903" s="218">
        <v>1</v>
      </c>
      <c r="X2903" s="218">
        <v>1</v>
      </c>
      <c r="Y2903" s="218">
        <v>1</v>
      </c>
    </row>
    <row r="2904" spans="1:25" x14ac:dyDescent="0.3">
      <c r="A2904" s="1" t="s">
        <v>8392</v>
      </c>
      <c r="B2904" s="102">
        <v>46214</v>
      </c>
      <c r="C2904" s="6">
        <v>0.29166666666666702</v>
      </c>
      <c r="D2904" s="1" t="s">
        <v>18</v>
      </c>
      <c r="E2904" s="1" t="s">
        <v>430</v>
      </c>
      <c r="F2904" s="1" t="s">
        <v>8393</v>
      </c>
      <c r="G2904" s="39" t="s">
        <v>451</v>
      </c>
      <c r="H2904" s="15">
        <v>2</v>
      </c>
      <c r="I2904" s="15">
        <v>0</v>
      </c>
      <c r="J2904" s="216" t="s">
        <v>436</v>
      </c>
      <c r="K2904" s="15">
        <v>0</v>
      </c>
      <c r="L2904" s="15">
        <v>2</v>
      </c>
      <c r="S2904" s="1" t="s">
        <v>10544</v>
      </c>
      <c r="T2904" s="1">
        <v>1</v>
      </c>
      <c r="U2904" s="19"/>
      <c r="V2904" s="19"/>
      <c r="W2904" s="218">
        <v>1</v>
      </c>
      <c r="X2904" s="218">
        <v>1</v>
      </c>
      <c r="Y2904" s="218">
        <v>1</v>
      </c>
    </row>
    <row r="2905" spans="1:25" x14ac:dyDescent="0.3">
      <c r="A2905" s="1" t="s">
        <v>8394</v>
      </c>
      <c r="B2905" s="102">
        <v>46214</v>
      </c>
      <c r="C2905" s="6">
        <v>0.29166666666666702</v>
      </c>
      <c r="D2905" s="1" t="s">
        <v>18</v>
      </c>
      <c r="E2905" s="1" t="s">
        <v>430</v>
      </c>
      <c r="F2905" s="1" t="s">
        <v>8395</v>
      </c>
      <c r="G2905" s="39" t="s">
        <v>445</v>
      </c>
      <c r="H2905" s="15">
        <v>1</v>
      </c>
      <c r="I2905" s="15">
        <v>3</v>
      </c>
      <c r="J2905" s="216" t="s">
        <v>448</v>
      </c>
      <c r="K2905" s="15">
        <v>3</v>
      </c>
      <c r="L2905" s="15">
        <v>1</v>
      </c>
      <c r="S2905" s="1" t="s">
        <v>10545</v>
      </c>
      <c r="T2905" s="1">
        <v>1</v>
      </c>
      <c r="U2905" s="19"/>
      <c r="V2905" s="19"/>
      <c r="W2905" s="218">
        <v>1</v>
      </c>
      <c r="X2905" s="218">
        <v>1</v>
      </c>
      <c r="Y2905" s="218">
        <v>1</v>
      </c>
    </row>
    <row r="2906" spans="1:25" x14ac:dyDescent="0.3">
      <c r="A2906" s="1" t="s">
        <v>8396</v>
      </c>
      <c r="B2906" s="102">
        <v>46221</v>
      </c>
      <c r="C2906" s="6">
        <v>0.29166666666666702</v>
      </c>
      <c r="D2906" s="1" t="s">
        <v>18</v>
      </c>
      <c r="E2906" s="1" t="s">
        <v>430</v>
      </c>
      <c r="F2906" s="1" t="s">
        <v>8397</v>
      </c>
      <c r="G2906" s="39" t="s">
        <v>448</v>
      </c>
      <c r="H2906" s="15">
        <v>1</v>
      </c>
      <c r="I2906" s="15">
        <v>1</v>
      </c>
      <c r="J2906" s="216" t="s">
        <v>436</v>
      </c>
      <c r="K2906" s="15">
        <v>1</v>
      </c>
      <c r="L2906" s="15">
        <v>1</v>
      </c>
      <c r="S2906" s="1" t="s">
        <v>10546</v>
      </c>
      <c r="T2906" s="1">
        <v>1</v>
      </c>
      <c r="U2906" s="19"/>
      <c r="V2906" s="19"/>
      <c r="W2906" s="218">
        <v>1</v>
      </c>
      <c r="X2906" s="218">
        <v>1</v>
      </c>
      <c r="Y2906" s="218">
        <v>1</v>
      </c>
    </row>
    <row r="2907" spans="1:25" x14ac:dyDescent="0.3">
      <c r="A2907" s="1" t="s">
        <v>8398</v>
      </c>
      <c r="B2907" s="102">
        <v>46221</v>
      </c>
      <c r="C2907" s="6">
        <v>0.29166666666666702</v>
      </c>
      <c r="D2907" s="1" t="s">
        <v>18</v>
      </c>
      <c r="E2907" s="1" t="s">
        <v>430</v>
      </c>
      <c r="F2907" s="1" t="s">
        <v>8399</v>
      </c>
      <c r="G2907" s="39" t="s">
        <v>451</v>
      </c>
      <c r="H2907" s="15">
        <v>2</v>
      </c>
      <c r="I2907" s="15">
        <v>1</v>
      </c>
      <c r="J2907" s="216" t="s">
        <v>445</v>
      </c>
      <c r="K2907" s="15">
        <v>1</v>
      </c>
      <c r="L2907" s="15">
        <v>2</v>
      </c>
      <c r="S2907" s="1" t="s">
        <v>10547</v>
      </c>
      <c r="T2907" s="1">
        <v>1</v>
      </c>
      <c r="U2907" s="19"/>
      <c r="V2907" s="19"/>
      <c r="W2907" s="218">
        <v>1</v>
      </c>
      <c r="X2907" s="218">
        <v>1</v>
      </c>
      <c r="Y2907" s="218">
        <v>1</v>
      </c>
    </row>
    <row r="2908" spans="1:25" x14ac:dyDescent="0.3">
      <c r="A2908" s="1" t="s">
        <v>8400</v>
      </c>
      <c r="B2908" s="102">
        <v>46227</v>
      </c>
      <c r="C2908" s="6">
        <v>0.35416666666666702</v>
      </c>
      <c r="D2908" s="1" t="s">
        <v>18</v>
      </c>
      <c r="E2908" s="1" t="s">
        <v>430</v>
      </c>
      <c r="F2908" s="1" t="s">
        <v>8401</v>
      </c>
      <c r="G2908" s="39" t="s">
        <v>442</v>
      </c>
      <c r="H2908" s="15">
        <v>5</v>
      </c>
      <c r="I2908" s="15">
        <v>3</v>
      </c>
      <c r="J2908" s="216" t="s">
        <v>448</v>
      </c>
      <c r="K2908" s="15">
        <v>3</v>
      </c>
      <c r="L2908" s="15">
        <v>5</v>
      </c>
      <c r="S2908" s="1" t="s">
        <v>10548</v>
      </c>
      <c r="T2908" s="1">
        <v>1</v>
      </c>
      <c r="U2908" s="19"/>
      <c r="V2908" s="19"/>
      <c r="W2908" s="218">
        <v>1</v>
      </c>
      <c r="X2908" s="218">
        <v>1</v>
      </c>
      <c r="Y2908" s="218">
        <v>1</v>
      </c>
    </row>
    <row r="2909" spans="1:25" x14ac:dyDescent="0.3">
      <c r="A2909" s="1" t="s">
        <v>8402</v>
      </c>
      <c r="B2909" s="102">
        <v>46234</v>
      </c>
      <c r="C2909" s="6">
        <v>0.35416666666666702</v>
      </c>
      <c r="D2909" s="1" t="s">
        <v>18</v>
      </c>
      <c r="E2909" s="1" t="s">
        <v>430</v>
      </c>
      <c r="F2909" s="1" t="s">
        <v>8403</v>
      </c>
      <c r="G2909" s="39" t="s">
        <v>1457</v>
      </c>
      <c r="H2909" s="15">
        <v>0</v>
      </c>
      <c r="I2909" s="15">
        <v>1</v>
      </c>
      <c r="J2909" s="216" t="s">
        <v>442</v>
      </c>
      <c r="K2909" s="15">
        <v>1</v>
      </c>
      <c r="L2909" s="15">
        <v>0</v>
      </c>
      <c r="S2909" s="1" t="s">
        <v>10549</v>
      </c>
      <c r="T2909" s="1">
        <v>1</v>
      </c>
      <c r="U2909" s="19"/>
      <c r="V2909" s="19"/>
      <c r="W2909" s="218">
        <v>1</v>
      </c>
      <c r="X2909" s="218">
        <v>1</v>
      </c>
      <c r="Y2909" s="218">
        <v>1</v>
      </c>
    </row>
    <row r="2910" spans="1:25" x14ac:dyDescent="0.3">
      <c r="A2910" s="1" t="s">
        <v>8404</v>
      </c>
      <c r="B2910" s="102">
        <v>46234</v>
      </c>
      <c r="C2910" s="6">
        <v>0.35416666666666702</v>
      </c>
      <c r="D2910" s="1" t="s">
        <v>18</v>
      </c>
      <c r="E2910" s="1" t="s">
        <v>430</v>
      </c>
      <c r="F2910" s="1" t="s">
        <v>8405</v>
      </c>
      <c r="G2910" s="39" t="s">
        <v>455</v>
      </c>
      <c r="H2910" s="15">
        <v>2</v>
      </c>
      <c r="I2910" s="15">
        <v>1</v>
      </c>
      <c r="J2910" s="216" t="s">
        <v>448</v>
      </c>
      <c r="K2910" s="15">
        <v>1</v>
      </c>
      <c r="L2910" s="15">
        <v>2</v>
      </c>
      <c r="S2910" s="1" t="s">
        <v>10550</v>
      </c>
      <c r="T2910" s="1">
        <v>1</v>
      </c>
      <c r="U2910" s="19"/>
      <c r="V2910" s="19"/>
      <c r="W2910" s="218">
        <v>1</v>
      </c>
      <c r="X2910" s="218">
        <v>1</v>
      </c>
      <c r="Y2910" s="218">
        <v>1</v>
      </c>
    </row>
    <row r="2911" spans="1:25" ht="14.4" x14ac:dyDescent="0.3">
      <c r="A2911" s="1" t="s">
        <v>8406</v>
      </c>
      <c r="B2911" s="102">
        <v>46235</v>
      </c>
      <c r="C2911" s="6">
        <v>0.29166666666666702</v>
      </c>
      <c r="D2911" s="1" t="s">
        <v>18</v>
      </c>
      <c r="E2911" s="1" t="s">
        <v>430</v>
      </c>
      <c r="F2911" s="1" t="s">
        <v>8407</v>
      </c>
      <c r="G2911" s="39" t="s">
        <v>445</v>
      </c>
      <c r="H2911" s="15">
        <v>0</v>
      </c>
      <c r="I2911" s="15">
        <v>1</v>
      </c>
      <c r="J2911" s="216" t="s">
        <v>436</v>
      </c>
      <c r="K2911" s="15">
        <v>1</v>
      </c>
      <c r="L2911" s="15">
        <v>0</v>
      </c>
      <c r="S2911" s="1" t="s">
        <v>10551</v>
      </c>
      <c r="T2911">
        <v>1</v>
      </c>
      <c r="U2911" s="19"/>
      <c r="V2911" s="19"/>
      <c r="W2911" s="218">
        <v>1</v>
      </c>
      <c r="X2911" s="218">
        <v>1</v>
      </c>
      <c r="Y2911" s="218">
        <v>1</v>
      </c>
    </row>
    <row r="2912" spans="1:25" x14ac:dyDescent="0.3">
      <c r="A2912" s="1" t="s">
        <v>8330</v>
      </c>
      <c r="B2912" s="102">
        <v>46242</v>
      </c>
      <c r="C2912" s="6">
        <v>0.25</v>
      </c>
      <c r="D2912" s="1" t="s">
        <v>18</v>
      </c>
      <c r="E2912" s="1" t="s">
        <v>430</v>
      </c>
      <c r="F2912" s="1" t="s">
        <v>8331</v>
      </c>
      <c r="G2912" s="39" t="s">
        <v>432</v>
      </c>
      <c r="H2912" s="15">
        <v>7</v>
      </c>
      <c r="I2912" s="15">
        <v>0</v>
      </c>
      <c r="J2912" s="216" t="s">
        <v>445</v>
      </c>
      <c r="K2912" s="15">
        <v>0</v>
      </c>
      <c r="L2912" s="15">
        <v>7</v>
      </c>
      <c r="S2912" s="1" t="s">
        <v>10552</v>
      </c>
      <c r="T2912" s="1">
        <v>1</v>
      </c>
      <c r="U2912" s="19"/>
      <c r="V2912" s="19"/>
      <c r="W2912" s="218">
        <v>1</v>
      </c>
      <c r="X2912" s="218">
        <v>1</v>
      </c>
      <c r="Y2912" s="218">
        <v>1</v>
      </c>
    </row>
    <row r="2913" spans="1:25" x14ac:dyDescent="0.3">
      <c r="A2913" s="1" t="s">
        <v>8332</v>
      </c>
      <c r="B2913" s="102">
        <v>46242</v>
      </c>
      <c r="C2913" s="6">
        <v>0.25</v>
      </c>
      <c r="D2913" s="1" t="s">
        <v>18</v>
      </c>
      <c r="E2913" s="1" t="s">
        <v>430</v>
      </c>
      <c r="F2913" s="1" t="s">
        <v>8333</v>
      </c>
      <c r="G2913" s="39" t="s">
        <v>439</v>
      </c>
      <c r="H2913" s="15">
        <v>1</v>
      </c>
      <c r="I2913" s="15">
        <v>2</v>
      </c>
      <c r="J2913" s="216" t="s">
        <v>1457</v>
      </c>
      <c r="K2913" s="15">
        <v>2</v>
      </c>
      <c r="L2913" s="15">
        <v>1</v>
      </c>
      <c r="S2913" s="1" t="s">
        <v>10553</v>
      </c>
      <c r="T2913" s="1">
        <v>1</v>
      </c>
      <c r="U2913" s="19"/>
      <c r="V2913" s="19"/>
      <c r="W2913" s="218">
        <v>1</v>
      </c>
      <c r="X2913" s="218">
        <v>1</v>
      </c>
      <c r="Y2913" s="218">
        <v>1</v>
      </c>
    </row>
    <row r="2914" spans="1:25" x14ac:dyDescent="0.3">
      <c r="A2914" s="1" t="s">
        <v>8324</v>
      </c>
      <c r="B2914" s="102">
        <v>46242</v>
      </c>
      <c r="C2914" s="6">
        <v>0.29166666666666702</v>
      </c>
      <c r="D2914" s="1" t="s">
        <v>18</v>
      </c>
      <c r="E2914" s="1" t="s">
        <v>430</v>
      </c>
      <c r="F2914" s="1" t="s">
        <v>8325</v>
      </c>
      <c r="G2914" s="39" t="s">
        <v>448</v>
      </c>
      <c r="H2914" s="15">
        <v>1</v>
      </c>
      <c r="I2914" s="15">
        <v>5</v>
      </c>
      <c r="J2914" s="216" t="s">
        <v>451</v>
      </c>
      <c r="K2914" s="15">
        <v>5</v>
      </c>
      <c r="L2914" s="15">
        <v>1</v>
      </c>
      <c r="S2914" s="1" t="s">
        <v>10554</v>
      </c>
      <c r="T2914" s="1">
        <v>1</v>
      </c>
      <c r="U2914" s="19"/>
      <c r="V2914" s="19"/>
      <c r="W2914" s="218">
        <v>1</v>
      </c>
      <c r="X2914" s="218">
        <v>1</v>
      </c>
      <c r="Y2914" s="218">
        <v>1</v>
      </c>
    </row>
    <row r="2915" spans="1:25" x14ac:dyDescent="0.3">
      <c r="A2915" s="1" t="s">
        <v>8326</v>
      </c>
      <c r="B2915" s="102">
        <v>46242</v>
      </c>
      <c r="C2915" s="6">
        <v>0.29166666666666702</v>
      </c>
      <c r="D2915" s="1" t="s">
        <v>18</v>
      </c>
      <c r="E2915" s="1" t="s">
        <v>430</v>
      </c>
      <c r="F2915" s="1" t="s">
        <v>8327</v>
      </c>
      <c r="G2915" s="39" t="s">
        <v>442</v>
      </c>
      <c r="H2915" s="15">
        <v>3</v>
      </c>
      <c r="I2915" s="15">
        <v>1</v>
      </c>
      <c r="J2915" s="216" t="s">
        <v>433</v>
      </c>
      <c r="K2915" s="15">
        <v>1</v>
      </c>
      <c r="L2915" s="15">
        <v>3</v>
      </c>
      <c r="S2915" s="1" t="s">
        <v>10555</v>
      </c>
      <c r="T2915" s="1">
        <v>1</v>
      </c>
      <c r="U2915" s="19"/>
      <c r="V2915" s="19"/>
      <c r="W2915" s="218">
        <v>1</v>
      </c>
      <c r="X2915" s="218">
        <v>1</v>
      </c>
      <c r="Y2915" s="218">
        <v>1</v>
      </c>
    </row>
    <row r="2916" spans="1:25" x14ac:dyDescent="0.3">
      <c r="A2916" s="1" t="s">
        <v>8328</v>
      </c>
      <c r="B2916" s="102">
        <v>46242</v>
      </c>
      <c r="C2916" s="6">
        <v>0.29166666666666702</v>
      </c>
      <c r="D2916" s="1" t="s">
        <v>18</v>
      </c>
      <c r="E2916" s="1" t="s">
        <v>430</v>
      </c>
      <c r="F2916" s="1" t="s">
        <v>8329</v>
      </c>
      <c r="G2916" s="39" t="s">
        <v>436</v>
      </c>
      <c r="H2916" s="15">
        <v>2</v>
      </c>
      <c r="I2916" s="15">
        <v>0</v>
      </c>
      <c r="J2916" s="216" t="s">
        <v>455</v>
      </c>
      <c r="K2916" s="15">
        <v>0</v>
      </c>
      <c r="L2916" s="15">
        <v>2</v>
      </c>
      <c r="S2916" s="1" t="s">
        <v>10556</v>
      </c>
      <c r="T2916" s="1">
        <v>1</v>
      </c>
      <c r="U2916" s="19"/>
      <c r="V2916" s="19"/>
      <c r="W2916" s="218">
        <v>1</v>
      </c>
      <c r="X2916" s="218">
        <v>1</v>
      </c>
      <c r="Y2916" s="218">
        <v>1</v>
      </c>
    </row>
    <row r="2917" spans="1:25" x14ac:dyDescent="0.3">
      <c r="A2917" s="1" t="s">
        <v>8336</v>
      </c>
      <c r="B2917" s="102">
        <v>46242</v>
      </c>
      <c r="C2917" s="6">
        <v>0.29166666666666702</v>
      </c>
      <c r="D2917" s="1" t="s">
        <v>18</v>
      </c>
      <c r="E2917" s="1" t="s">
        <v>23</v>
      </c>
      <c r="F2917" s="1" t="s">
        <v>8337</v>
      </c>
      <c r="G2917" s="39" t="s">
        <v>579</v>
      </c>
      <c r="H2917" s="15">
        <v>2</v>
      </c>
      <c r="I2917" s="15">
        <v>1</v>
      </c>
      <c r="J2917" s="216" t="s">
        <v>210</v>
      </c>
      <c r="K2917" s="15">
        <v>1</v>
      </c>
      <c r="L2917" s="15">
        <v>2</v>
      </c>
      <c r="S2917" s="1" t="s">
        <v>10557</v>
      </c>
      <c r="T2917" s="1">
        <v>1</v>
      </c>
      <c r="U2917" s="19"/>
      <c r="V2917" s="19"/>
      <c r="W2917" s="218">
        <v>1</v>
      </c>
      <c r="X2917" s="218">
        <v>1</v>
      </c>
      <c r="Y2917" s="218">
        <v>1</v>
      </c>
    </row>
    <row r="2918" spans="1:25" x14ac:dyDescent="0.3">
      <c r="A2918" s="1" t="s">
        <v>8334</v>
      </c>
      <c r="B2918" s="102">
        <v>46242</v>
      </c>
      <c r="C2918" s="6">
        <v>0.35416666666666702</v>
      </c>
      <c r="D2918" s="1" t="s">
        <v>18</v>
      </c>
      <c r="E2918" s="1" t="s">
        <v>23</v>
      </c>
      <c r="F2918" s="1" t="s">
        <v>8335</v>
      </c>
      <c r="G2918" s="39" t="s">
        <v>571</v>
      </c>
      <c r="H2918" s="15">
        <v>3</v>
      </c>
      <c r="I2918" s="15">
        <v>2</v>
      </c>
      <c r="J2918" s="216" t="s">
        <v>568</v>
      </c>
      <c r="K2918" s="15">
        <v>2</v>
      </c>
      <c r="L2918" s="15">
        <v>3</v>
      </c>
      <c r="S2918" s="1" t="s">
        <v>10558</v>
      </c>
      <c r="T2918" s="1">
        <v>1</v>
      </c>
      <c r="U2918" s="19"/>
      <c r="V2918" s="19"/>
      <c r="W2918" s="218">
        <v>1</v>
      </c>
      <c r="X2918" s="218">
        <v>1</v>
      </c>
      <c r="Y2918" s="218">
        <v>1</v>
      </c>
    </row>
    <row r="2919" spans="1:25" ht="14.4" x14ac:dyDescent="0.3">
      <c r="A2919" s="1" t="s">
        <v>8338</v>
      </c>
      <c r="B2919" s="102">
        <v>46243</v>
      </c>
      <c r="C2919" s="6">
        <v>0.33333333333333298</v>
      </c>
      <c r="D2919" s="1" t="s">
        <v>18</v>
      </c>
      <c r="E2919" s="1" t="s">
        <v>23</v>
      </c>
      <c r="F2919" s="1" t="s">
        <v>8339</v>
      </c>
      <c r="G2919" s="39" t="s">
        <v>211</v>
      </c>
      <c r="H2919" s="15">
        <v>2</v>
      </c>
      <c r="I2919" s="15">
        <v>2</v>
      </c>
      <c r="J2919" s="216" t="s">
        <v>582</v>
      </c>
      <c r="K2919" s="15">
        <v>2</v>
      </c>
      <c r="L2919" s="15">
        <v>2</v>
      </c>
      <c r="S2919" s="1" t="s">
        <v>10559</v>
      </c>
      <c r="T2919">
        <v>1</v>
      </c>
      <c r="U2919" s="19"/>
      <c r="V2919" s="19"/>
      <c r="W2919" s="218">
        <v>1</v>
      </c>
      <c r="X2919" s="218">
        <v>1</v>
      </c>
      <c r="Y2919" s="218">
        <v>1</v>
      </c>
    </row>
    <row r="2920" spans="1:25" x14ac:dyDescent="0.3">
      <c r="A2920" s="1" t="s">
        <v>8299</v>
      </c>
      <c r="B2920" s="102">
        <v>46242</v>
      </c>
      <c r="C2920" s="6">
        <v>0.375</v>
      </c>
      <c r="D2920" s="1" t="s">
        <v>18</v>
      </c>
      <c r="E2920" s="1" t="s">
        <v>19</v>
      </c>
      <c r="F2920" s="1" t="s">
        <v>8300</v>
      </c>
      <c r="G2920" s="39" t="s">
        <v>1540</v>
      </c>
      <c r="H2920" s="15">
        <v>1</v>
      </c>
      <c r="I2920" s="15">
        <v>3</v>
      </c>
      <c r="J2920" s="216" t="s">
        <v>392</v>
      </c>
      <c r="K2920" s="15">
        <v>3</v>
      </c>
      <c r="L2920" s="15">
        <v>1</v>
      </c>
      <c r="S2920" s="1" t="s">
        <v>10560</v>
      </c>
      <c r="T2920" s="1">
        <v>1</v>
      </c>
      <c r="U2920" s="19"/>
      <c r="V2920" s="19"/>
      <c r="W2920" s="218">
        <v>1</v>
      </c>
      <c r="X2920" s="218">
        <v>1</v>
      </c>
      <c r="Y2920" s="218">
        <v>1</v>
      </c>
    </row>
    <row r="2921" spans="1:25" x14ac:dyDescent="0.3">
      <c r="A2921" s="1" t="s">
        <v>8307</v>
      </c>
      <c r="B2921" s="102">
        <v>46243</v>
      </c>
      <c r="C2921" s="6">
        <v>0.20833333333333301</v>
      </c>
      <c r="D2921" s="1" t="s">
        <v>18</v>
      </c>
      <c r="E2921" s="1" t="s">
        <v>19</v>
      </c>
      <c r="F2921" s="1" t="s">
        <v>8308</v>
      </c>
      <c r="G2921" s="39" t="s">
        <v>2670</v>
      </c>
      <c r="H2921" s="15">
        <v>1</v>
      </c>
      <c r="I2921" s="15">
        <v>1</v>
      </c>
      <c r="J2921" s="216" t="s">
        <v>2673</v>
      </c>
      <c r="K2921" s="15">
        <v>1</v>
      </c>
      <c r="L2921" s="15">
        <v>1</v>
      </c>
      <c r="S2921" s="1" t="s">
        <v>10561</v>
      </c>
      <c r="T2921" s="1">
        <v>1</v>
      </c>
      <c r="U2921" s="19"/>
      <c r="V2921" s="19"/>
      <c r="W2921" s="218">
        <v>1</v>
      </c>
      <c r="X2921" s="218">
        <v>1</v>
      </c>
      <c r="Y2921" s="218">
        <v>1</v>
      </c>
    </row>
    <row r="2922" spans="1:25" x14ac:dyDescent="0.3">
      <c r="A2922" s="1" t="s">
        <v>8305</v>
      </c>
      <c r="B2922" s="102">
        <v>46243</v>
      </c>
      <c r="C2922" s="6">
        <v>0.29166666666666702</v>
      </c>
      <c r="D2922" s="1" t="s">
        <v>18</v>
      </c>
      <c r="E2922" s="1" t="s">
        <v>19</v>
      </c>
      <c r="F2922" s="1" t="s">
        <v>8306</v>
      </c>
      <c r="G2922" s="39" t="s">
        <v>2674</v>
      </c>
      <c r="H2922" s="15">
        <v>0</v>
      </c>
      <c r="I2922" s="15">
        <v>0</v>
      </c>
      <c r="J2922" s="216" t="s">
        <v>2675</v>
      </c>
      <c r="K2922" s="15">
        <v>0</v>
      </c>
      <c r="L2922" s="15">
        <v>0</v>
      </c>
      <c r="S2922" s="1" t="s">
        <v>10562</v>
      </c>
      <c r="T2922" s="1">
        <v>1</v>
      </c>
      <c r="U2922" s="19"/>
      <c r="V2922" s="19"/>
      <c r="W2922" s="218">
        <v>1</v>
      </c>
      <c r="X2922" s="218">
        <v>1</v>
      </c>
      <c r="Y2922" s="218">
        <v>1</v>
      </c>
    </row>
    <row r="2923" spans="1:25" x14ac:dyDescent="0.3">
      <c r="A2923" s="1" t="s">
        <v>8303</v>
      </c>
      <c r="B2923" s="102">
        <v>46243</v>
      </c>
      <c r="C2923" s="6">
        <v>0.33333333333333298</v>
      </c>
      <c r="D2923" s="1" t="s">
        <v>18</v>
      </c>
      <c r="E2923" s="1" t="s">
        <v>19</v>
      </c>
      <c r="F2923" s="1" t="s">
        <v>8304</v>
      </c>
      <c r="G2923" s="39" t="s">
        <v>2672</v>
      </c>
      <c r="H2923" s="15">
        <v>2</v>
      </c>
      <c r="I2923" s="15">
        <v>0</v>
      </c>
      <c r="J2923" s="216" t="s">
        <v>2676</v>
      </c>
      <c r="K2923" s="15">
        <v>0</v>
      </c>
      <c r="L2923" s="15">
        <v>2</v>
      </c>
      <c r="S2923" s="1" t="s">
        <v>10563</v>
      </c>
      <c r="T2923" s="1">
        <v>1</v>
      </c>
      <c r="U2923" s="19"/>
      <c r="V2923" s="19"/>
      <c r="W2923" s="218">
        <v>1</v>
      </c>
      <c r="X2923" s="218">
        <v>1</v>
      </c>
      <c r="Y2923" s="218">
        <v>1</v>
      </c>
    </row>
    <row r="2924" spans="1:25" x14ac:dyDescent="0.3">
      <c r="A2924" s="1" t="s">
        <v>8301</v>
      </c>
      <c r="B2924" s="102">
        <v>46243</v>
      </c>
      <c r="C2924" s="6">
        <v>0.375</v>
      </c>
      <c r="D2924" s="1" t="s">
        <v>18</v>
      </c>
      <c r="E2924" s="1" t="s">
        <v>19</v>
      </c>
      <c r="F2924" s="1" t="s">
        <v>8302</v>
      </c>
      <c r="G2924" s="39" t="s">
        <v>2701</v>
      </c>
      <c r="H2924" s="15">
        <v>0</v>
      </c>
      <c r="I2924" s="15">
        <v>1</v>
      </c>
      <c r="J2924" s="216" t="s">
        <v>989</v>
      </c>
      <c r="K2924" s="15">
        <v>1</v>
      </c>
      <c r="L2924" s="15">
        <v>0</v>
      </c>
      <c r="S2924" s="1" t="s">
        <v>10564</v>
      </c>
      <c r="T2924" s="1">
        <v>1</v>
      </c>
      <c r="U2924" s="19"/>
      <c r="V2924" s="19"/>
      <c r="W2924" s="218">
        <v>1</v>
      </c>
      <c r="X2924" s="218">
        <v>1</v>
      </c>
      <c r="Y2924" s="218">
        <v>1</v>
      </c>
    </row>
    <row r="2925" spans="1:25" x14ac:dyDescent="0.3">
      <c r="A2925" s="1" t="s">
        <v>8312</v>
      </c>
      <c r="B2925" s="102">
        <v>46243</v>
      </c>
      <c r="C2925" s="6">
        <v>0.25</v>
      </c>
      <c r="D2925" s="1" t="s">
        <v>18</v>
      </c>
      <c r="E2925" s="1" t="s">
        <v>21</v>
      </c>
      <c r="F2925" s="1" t="s">
        <v>8313</v>
      </c>
      <c r="G2925" s="39" t="s">
        <v>760</v>
      </c>
      <c r="H2925" s="15">
        <v>1</v>
      </c>
      <c r="I2925" s="15">
        <v>2</v>
      </c>
      <c r="J2925" s="216" t="s">
        <v>752</v>
      </c>
      <c r="K2925" s="15">
        <v>2</v>
      </c>
      <c r="L2925" s="15">
        <v>1</v>
      </c>
      <c r="S2925" s="1" t="s">
        <v>10565</v>
      </c>
      <c r="T2925" s="1">
        <v>1</v>
      </c>
      <c r="U2925" s="19"/>
      <c r="V2925" s="19"/>
      <c r="W2925" s="218">
        <v>1</v>
      </c>
      <c r="X2925" s="218">
        <v>1</v>
      </c>
      <c r="Y2925" s="218">
        <v>1</v>
      </c>
    </row>
    <row r="2926" spans="1:25" x14ac:dyDescent="0.3">
      <c r="A2926" s="1" t="s">
        <v>8310</v>
      </c>
      <c r="B2926" s="102">
        <v>46243</v>
      </c>
      <c r="C2926" s="6">
        <v>0.35416666666666702</v>
      </c>
      <c r="D2926" s="1" t="s">
        <v>18</v>
      </c>
      <c r="E2926" s="1" t="s">
        <v>21</v>
      </c>
      <c r="F2926" s="1" t="s">
        <v>8311</v>
      </c>
      <c r="G2926" s="39" t="s">
        <v>766</v>
      </c>
      <c r="H2926" s="15">
        <v>1</v>
      </c>
      <c r="I2926" s="15">
        <v>1</v>
      </c>
      <c r="J2926" s="216" t="s">
        <v>772</v>
      </c>
      <c r="K2926" s="15">
        <v>1</v>
      </c>
      <c r="L2926" s="15">
        <v>1</v>
      </c>
      <c r="S2926" s="1" t="s">
        <v>10566</v>
      </c>
      <c r="T2926" s="1">
        <v>1</v>
      </c>
      <c r="U2926" s="19"/>
      <c r="V2926" s="19"/>
      <c r="W2926" s="218">
        <v>1</v>
      </c>
      <c r="X2926" s="218">
        <v>1</v>
      </c>
      <c r="Y2926" s="218">
        <v>1</v>
      </c>
    </row>
    <row r="2927" spans="1:25" x14ac:dyDescent="0.3">
      <c r="A2927" s="1" t="s">
        <v>8314</v>
      </c>
      <c r="B2927" s="102">
        <v>46245</v>
      </c>
      <c r="C2927" s="6">
        <v>0.35416666666666702</v>
      </c>
      <c r="D2927" s="1" t="s">
        <v>18</v>
      </c>
      <c r="E2927" s="1" t="s">
        <v>21</v>
      </c>
      <c r="F2927" s="1" t="s">
        <v>8315</v>
      </c>
      <c r="G2927" s="39" t="s">
        <v>769</v>
      </c>
      <c r="H2927" s="15">
        <v>0</v>
      </c>
      <c r="I2927" s="15">
        <v>0</v>
      </c>
      <c r="J2927" s="216" t="s">
        <v>749</v>
      </c>
      <c r="K2927" s="15">
        <v>0</v>
      </c>
      <c r="L2927" s="15">
        <v>0</v>
      </c>
      <c r="S2927" s="1" t="s">
        <v>10567</v>
      </c>
      <c r="T2927" s="1">
        <v>1</v>
      </c>
      <c r="U2927" s="19"/>
      <c r="V2927" s="19"/>
      <c r="W2927" s="218">
        <v>1</v>
      </c>
      <c r="X2927" s="218">
        <v>1</v>
      </c>
      <c r="Y2927" s="218">
        <v>1</v>
      </c>
    </row>
    <row r="2928" spans="1:25" x14ac:dyDescent="0.3">
      <c r="A2928" s="1" t="s">
        <v>8316</v>
      </c>
      <c r="B2928" s="102">
        <v>46245</v>
      </c>
      <c r="C2928" s="6">
        <v>0.35416666666666702</v>
      </c>
      <c r="D2928" s="1" t="s">
        <v>18</v>
      </c>
      <c r="E2928" s="1" t="s">
        <v>21</v>
      </c>
      <c r="F2928" s="1" t="s">
        <v>8317</v>
      </c>
      <c r="G2928" s="39" t="s">
        <v>757</v>
      </c>
      <c r="H2928" s="15">
        <v>1</v>
      </c>
      <c r="I2928" s="15">
        <v>0</v>
      </c>
      <c r="J2928" s="216" t="s">
        <v>746</v>
      </c>
      <c r="K2928" s="15">
        <v>0</v>
      </c>
      <c r="L2928" s="15">
        <v>1</v>
      </c>
      <c r="S2928" s="1" t="s">
        <v>10568</v>
      </c>
      <c r="T2928" s="1">
        <v>1</v>
      </c>
      <c r="U2928" s="19"/>
      <c r="V2928" s="19"/>
      <c r="W2928" s="218">
        <v>1</v>
      </c>
      <c r="X2928" s="218">
        <v>1</v>
      </c>
      <c r="Y2928" s="218">
        <v>1</v>
      </c>
    </row>
    <row r="2929" spans="1:25" x14ac:dyDescent="0.3">
      <c r="A2929" s="1" t="s">
        <v>8318</v>
      </c>
      <c r="B2929" s="102">
        <v>46245</v>
      </c>
      <c r="C2929" s="6">
        <v>0.35416666666666702</v>
      </c>
      <c r="D2929" s="1" t="s">
        <v>18</v>
      </c>
      <c r="E2929" s="1" t="s">
        <v>21</v>
      </c>
      <c r="F2929" s="1" t="s">
        <v>8319</v>
      </c>
      <c r="G2929" s="39" t="s">
        <v>2926</v>
      </c>
      <c r="H2929" s="15">
        <v>2</v>
      </c>
      <c r="I2929" s="15">
        <v>1</v>
      </c>
      <c r="J2929" s="216" t="s">
        <v>163</v>
      </c>
      <c r="K2929" s="15">
        <v>1</v>
      </c>
      <c r="L2929" s="15">
        <v>2</v>
      </c>
      <c r="S2929" s="1" t="s">
        <v>10569</v>
      </c>
      <c r="T2929" s="1">
        <v>1</v>
      </c>
      <c r="U2929" s="19"/>
      <c r="V2929" s="19"/>
      <c r="W2929" s="218">
        <v>1</v>
      </c>
      <c r="X2929" s="218">
        <v>1</v>
      </c>
      <c r="Y2929" s="218">
        <v>1</v>
      </c>
    </row>
    <row r="2930" spans="1:25" x14ac:dyDescent="0.3">
      <c r="A2930" s="1" t="s">
        <v>8320</v>
      </c>
      <c r="B2930" s="102">
        <v>46245</v>
      </c>
      <c r="C2930" s="6">
        <v>0.35416666666666702</v>
      </c>
      <c r="D2930" s="1" t="s">
        <v>18</v>
      </c>
      <c r="E2930" s="1" t="s">
        <v>21</v>
      </c>
      <c r="F2930" s="1" t="s">
        <v>8321</v>
      </c>
      <c r="G2930" s="39" t="s">
        <v>763</v>
      </c>
      <c r="H2930" s="15">
        <v>1</v>
      </c>
      <c r="I2930" s="15">
        <v>1</v>
      </c>
      <c r="J2930" s="216" t="s">
        <v>745</v>
      </c>
      <c r="K2930" s="15">
        <v>1</v>
      </c>
      <c r="L2930" s="15">
        <v>1</v>
      </c>
      <c r="S2930" s="1" t="s">
        <v>10570</v>
      </c>
      <c r="T2930" s="1">
        <v>1</v>
      </c>
      <c r="U2930" s="19"/>
      <c r="V2930" s="19"/>
      <c r="W2930" s="218">
        <v>1</v>
      </c>
      <c r="X2930" s="218">
        <v>1</v>
      </c>
      <c r="Y2930" s="218">
        <v>1</v>
      </c>
    </row>
    <row r="2931" spans="1:25" x14ac:dyDescent="0.3">
      <c r="A2931" s="1" t="s">
        <v>8309</v>
      </c>
      <c r="B2931" s="102">
        <v>46243</v>
      </c>
      <c r="C2931" s="6">
        <v>0.20833333333333301</v>
      </c>
      <c r="D2931" s="1" t="s">
        <v>18</v>
      </c>
      <c r="E2931" s="1" t="s">
        <v>20</v>
      </c>
      <c r="F2931" s="1" t="s">
        <v>2833</v>
      </c>
      <c r="G2931" s="39" t="s">
        <v>318</v>
      </c>
      <c r="H2931" s="15">
        <v>0</v>
      </c>
      <c r="I2931" s="15">
        <v>1</v>
      </c>
      <c r="J2931" s="216" t="s">
        <v>309</v>
      </c>
      <c r="K2931" s="15">
        <v>1</v>
      </c>
      <c r="L2931" s="15">
        <v>0</v>
      </c>
      <c r="S2931" s="1" t="s">
        <v>10571</v>
      </c>
      <c r="T2931" s="1">
        <v>1</v>
      </c>
      <c r="U2931" s="19"/>
      <c r="V2931" s="19"/>
      <c r="W2931" s="218">
        <v>1</v>
      </c>
      <c r="X2931" s="218">
        <v>1</v>
      </c>
      <c r="Y2931" s="218">
        <v>1</v>
      </c>
    </row>
    <row r="2932" spans="1:25" x14ac:dyDescent="0.3">
      <c r="A2932" s="1" t="s">
        <v>8374</v>
      </c>
      <c r="B2932" s="102">
        <v>46244</v>
      </c>
      <c r="C2932" s="6">
        <v>0.80208333333333304</v>
      </c>
      <c r="D2932" s="1" t="s">
        <v>24</v>
      </c>
      <c r="E2932" s="1" t="s">
        <v>4288</v>
      </c>
      <c r="F2932" s="1" t="s">
        <v>8375</v>
      </c>
      <c r="G2932" s="39" t="s">
        <v>4398</v>
      </c>
      <c r="H2932" s="15">
        <v>2</v>
      </c>
      <c r="I2932" s="15">
        <v>5</v>
      </c>
      <c r="J2932" s="216" t="s">
        <v>4399</v>
      </c>
      <c r="K2932" s="15">
        <v>5</v>
      </c>
      <c r="L2932" s="15">
        <v>2</v>
      </c>
      <c r="S2932" s="1" t="s">
        <v>10572</v>
      </c>
      <c r="T2932" s="1">
        <v>1</v>
      </c>
      <c r="U2932" s="19"/>
      <c r="V2932" s="19"/>
      <c r="W2932" s="218">
        <v>1</v>
      </c>
      <c r="X2932" s="218">
        <v>1</v>
      </c>
      <c r="Y2932" s="218">
        <v>1</v>
      </c>
    </row>
    <row r="2933" spans="1:25" x14ac:dyDescent="0.3">
      <c r="A2933" s="1" t="s">
        <v>8376</v>
      </c>
      <c r="B2933" s="102">
        <v>46247</v>
      </c>
      <c r="C2933" s="6">
        <v>0.45833333333333298</v>
      </c>
      <c r="D2933" s="1" t="s">
        <v>24</v>
      </c>
      <c r="E2933" s="1" t="s">
        <v>4289</v>
      </c>
      <c r="F2933" s="1" t="s">
        <v>8377</v>
      </c>
      <c r="G2933" s="39" t="s">
        <v>96</v>
      </c>
      <c r="H2933" s="15">
        <v>0</v>
      </c>
      <c r="I2933" s="15">
        <v>2</v>
      </c>
      <c r="J2933" s="216" t="s">
        <v>718</v>
      </c>
      <c r="K2933" s="15">
        <v>2</v>
      </c>
      <c r="L2933" s="15">
        <v>0</v>
      </c>
      <c r="S2933" s="1" t="s">
        <v>10573</v>
      </c>
      <c r="T2933" s="1">
        <v>1</v>
      </c>
      <c r="U2933" s="19"/>
      <c r="V2933" s="19"/>
      <c r="W2933" s="218">
        <v>1</v>
      </c>
      <c r="X2933" s="218">
        <v>1</v>
      </c>
      <c r="Y2933" s="218">
        <v>1</v>
      </c>
    </row>
    <row r="2934" spans="1:25" ht="14.4" x14ac:dyDescent="0.3">
      <c r="A2934" s="1" t="s">
        <v>8294</v>
      </c>
      <c r="B2934" s="102">
        <v>46245</v>
      </c>
      <c r="C2934" s="6">
        <v>0.79166666666666696</v>
      </c>
      <c r="D2934" s="1" t="s">
        <v>30</v>
      </c>
      <c r="E2934" s="1" t="s">
        <v>32</v>
      </c>
      <c r="F2934" s="1" t="s">
        <v>8295</v>
      </c>
      <c r="G2934" s="39" t="s">
        <v>5002</v>
      </c>
      <c r="H2934" s="15">
        <v>1</v>
      </c>
      <c r="I2934" s="15">
        <v>2</v>
      </c>
      <c r="J2934" s="216" t="s">
        <v>5026</v>
      </c>
      <c r="K2934" s="15">
        <v>2</v>
      </c>
      <c r="L2934" s="15">
        <v>1</v>
      </c>
      <c r="S2934" s="1" t="s">
        <v>10574</v>
      </c>
      <c r="T2934">
        <v>1</v>
      </c>
      <c r="U2934" s="19"/>
      <c r="V2934" s="19"/>
      <c r="W2934" s="218">
        <v>1</v>
      </c>
      <c r="X2934" s="218">
        <v>1</v>
      </c>
      <c r="Y2934" s="218">
        <v>1</v>
      </c>
    </row>
    <row r="2935" spans="1:25" x14ac:dyDescent="0.3">
      <c r="A2935" s="1" t="s">
        <v>8526</v>
      </c>
      <c r="B2935" s="102">
        <v>46157</v>
      </c>
      <c r="C2935" s="6">
        <v>0</v>
      </c>
      <c r="D2935" s="1" t="s">
        <v>7</v>
      </c>
      <c r="E2935" s="1" t="s">
        <v>969</v>
      </c>
      <c r="F2935" s="1" t="s">
        <v>8527</v>
      </c>
      <c r="G2935" s="39" t="s">
        <v>1282</v>
      </c>
      <c r="H2935" s="15">
        <v>0</v>
      </c>
      <c r="I2935" s="15">
        <v>2</v>
      </c>
      <c r="J2935" s="216" t="s">
        <v>1299</v>
      </c>
      <c r="K2935" s="15">
        <v>2</v>
      </c>
      <c r="L2935" s="15">
        <v>0</v>
      </c>
      <c r="S2935" s="1" t="s">
        <v>10575</v>
      </c>
      <c r="T2935" s="1">
        <v>1</v>
      </c>
      <c r="U2935" s="19"/>
      <c r="V2935" s="19"/>
      <c r="W2935" s="218">
        <v>1</v>
      </c>
      <c r="X2935" s="218">
        <v>1</v>
      </c>
      <c r="Y2935" s="218">
        <v>1</v>
      </c>
    </row>
    <row r="2936" spans="1:25" x14ac:dyDescent="0.3">
      <c r="A2936" s="1" t="s">
        <v>8528</v>
      </c>
      <c r="B2936" s="102">
        <v>46157</v>
      </c>
      <c r="C2936" s="6">
        <v>0</v>
      </c>
      <c r="D2936" s="1" t="s">
        <v>7</v>
      </c>
      <c r="E2936" s="1" t="s">
        <v>969</v>
      </c>
      <c r="F2936" s="1" t="s">
        <v>8529</v>
      </c>
      <c r="G2936" s="39" t="s">
        <v>1296</v>
      </c>
      <c r="H2936" s="15">
        <v>0</v>
      </c>
      <c r="I2936" s="15">
        <v>0</v>
      </c>
      <c r="J2936" s="216" t="s">
        <v>1285</v>
      </c>
      <c r="K2936" s="15">
        <v>0</v>
      </c>
      <c r="L2936" s="15">
        <v>0</v>
      </c>
      <c r="S2936" s="1" t="s">
        <v>10576</v>
      </c>
      <c r="T2936" s="1">
        <v>1</v>
      </c>
      <c r="U2936" s="19"/>
      <c r="V2936" s="19"/>
      <c r="W2936" s="218">
        <v>1</v>
      </c>
      <c r="X2936" s="218">
        <v>1</v>
      </c>
      <c r="Y2936" s="218">
        <v>1</v>
      </c>
    </row>
    <row r="2937" spans="1:25" x14ac:dyDescent="0.3">
      <c r="A2937" s="1" t="s">
        <v>8530</v>
      </c>
      <c r="B2937" s="102">
        <v>46157</v>
      </c>
      <c r="C2937" s="6">
        <v>0</v>
      </c>
      <c r="D2937" s="1" t="s">
        <v>7</v>
      </c>
      <c r="E2937" s="1" t="s">
        <v>969</v>
      </c>
      <c r="F2937" s="1" t="s">
        <v>8531</v>
      </c>
      <c r="G2937" s="39" t="s">
        <v>1305</v>
      </c>
      <c r="H2937" s="15">
        <v>0</v>
      </c>
      <c r="I2937" s="15">
        <v>2</v>
      </c>
      <c r="J2937" s="216" t="s">
        <v>1281</v>
      </c>
      <c r="K2937" s="15">
        <v>2</v>
      </c>
      <c r="L2937" s="15">
        <v>0</v>
      </c>
      <c r="S2937" s="1" t="s">
        <v>10577</v>
      </c>
      <c r="T2937" s="1">
        <v>1</v>
      </c>
      <c r="U2937" s="19"/>
      <c r="V2937" s="19"/>
      <c r="W2937" s="218">
        <v>0</v>
      </c>
      <c r="X2937" s="218">
        <v>0</v>
      </c>
      <c r="Y2937" s="218">
        <v>0</v>
      </c>
    </row>
    <row r="2938" spans="1:25" x14ac:dyDescent="0.3">
      <c r="A2938" s="1" t="s">
        <v>8532</v>
      </c>
      <c r="B2938" s="102">
        <v>46157</v>
      </c>
      <c r="C2938" s="6">
        <v>0</v>
      </c>
      <c r="D2938" s="1" t="s">
        <v>7</v>
      </c>
      <c r="E2938" s="1" t="s">
        <v>969</v>
      </c>
      <c r="F2938" s="1" t="s">
        <v>8533</v>
      </c>
      <c r="G2938" s="39" t="s">
        <v>967</v>
      </c>
      <c r="H2938" s="15">
        <v>1</v>
      </c>
      <c r="I2938" s="15">
        <v>2</v>
      </c>
      <c r="J2938" s="216" t="s">
        <v>968</v>
      </c>
      <c r="K2938" s="15">
        <v>2</v>
      </c>
      <c r="L2938" s="15">
        <v>1</v>
      </c>
      <c r="S2938" s="1" t="s">
        <v>10578</v>
      </c>
      <c r="T2938" s="1">
        <v>1</v>
      </c>
      <c r="U2938" s="19"/>
      <c r="V2938" s="19"/>
      <c r="W2938" s="218">
        <v>1</v>
      </c>
      <c r="X2938" s="218">
        <v>1</v>
      </c>
      <c r="Y2938" s="218">
        <v>1</v>
      </c>
    </row>
    <row r="2939" spans="1:25" x14ac:dyDescent="0.3">
      <c r="A2939" s="1" t="s">
        <v>8534</v>
      </c>
      <c r="B2939" s="102">
        <v>46158</v>
      </c>
      <c r="C2939" s="6">
        <v>0</v>
      </c>
      <c r="D2939" s="1" t="s">
        <v>7</v>
      </c>
      <c r="E2939" s="1" t="s">
        <v>969</v>
      </c>
      <c r="F2939" s="1" t="s">
        <v>8535</v>
      </c>
      <c r="G2939" s="39" t="s">
        <v>1292</v>
      </c>
      <c r="H2939" s="15">
        <v>3</v>
      </c>
      <c r="I2939" s="15">
        <v>1</v>
      </c>
      <c r="J2939" s="216" t="s">
        <v>1302</v>
      </c>
      <c r="K2939" s="15">
        <v>1</v>
      </c>
      <c r="L2939" s="15">
        <v>3</v>
      </c>
      <c r="S2939" s="1" t="s">
        <v>10579</v>
      </c>
      <c r="T2939" s="1">
        <v>1</v>
      </c>
      <c r="U2939" s="19"/>
      <c r="V2939" s="19"/>
      <c r="W2939" s="218">
        <v>1</v>
      </c>
      <c r="X2939" s="218">
        <v>0</v>
      </c>
      <c r="Y2939" s="218">
        <v>1</v>
      </c>
    </row>
    <row r="2940" spans="1:25" x14ac:dyDescent="0.3">
      <c r="A2940" s="1" t="s">
        <v>8536</v>
      </c>
      <c r="B2940" s="102">
        <v>46158</v>
      </c>
      <c r="C2940" s="6">
        <v>0</v>
      </c>
      <c r="D2940" s="1" t="s">
        <v>7</v>
      </c>
      <c r="E2940" s="1" t="s">
        <v>969</v>
      </c>
      <c r="F2940" s="1" t="s">
        <v>8537</v>
      </c>
      <c r="G2940" s="39" t="s">
        <v>976</v>
      </c>
      <c r="H2940" s="15">
        <v>0</v>
      </c>
      <c r="I2940" s="15">
        <v>0</v>
      </c>
      <c r="J2940" s="216" t="s">
        <v>975</v>
      </c>
      <c r="K2940" s="15">
        <v>0</v>
      </c>
      <c r="L2940" s="15">
        <v>0</v>
      </c>
      <c r="S2940" s="1" t="s">
        <v>10580</v>
      </c>
      <c r="T2940" s="1">
        <v>1</v>
      </c>
      <c r="U2940" s="19"/>
      <c r="V2940" s="19"/>
      <c r="W2940" s="218">
        <v>0</v>
      </c>
      <c r="X2940" s="218">
        <v>1</v>
      </c>
      <c r="Y2940" s="218">
        <v>1</v>
      </c>
    </row>
    <row r="2941" spans="1:25" x14ac:dyDescent="0.3">
      <c r="A2941" s="1" t="s">
        <v>8538</v>
      </c>
      <c r="B2941" s="102">
        <v>46164</v>
      </c>
      <c r="C2941" s="6">
        <v>0</v>
      </c>
      <c r="D2941" s="1" t="s">
        <v>7</v>
      </c>
      <c r="E2941" s="1" t="s">
        <v>969</v>
      </c>
      <c r="F2941" s="1" t="s">
        <v>8539</v>
      </c>
      <c r="G2941" s="39" t="s">
        <v>975</v>
      </c>
      <c r="H2941" s="15">
        <v>4</v>
      </c>
      <c r="I2941" s="15">
        <v>0</v>
      </c>
      <c r="J2941" s="216" t="s">
        <v>1282</v>
      </c>
      <c r="K2941" s="15">
        <v>0</v>
      </c>
      <c r="L2941" s="15">
        <v>4</v>
      </c>
      <c r="S2941" s="1" t="s">
        <v>10581</v>
      </c>
      <c r="T2941" s="1">
        <v>1</v>
      </c>
      <c r="U2941" s="19"/>
      <c r="V2941" s="19"/>
      <c r="W2941" s="218">
        <v>1</v>
      </c>
      <c r="X2941" s="218">
        <v>1</v>
      </c>
      <c r="Y2941" s="218">
        <v>1</v>
      </c>
    </row>
    <row r="2942" spans="1:25" x14ac:dyDescent="0.3">
      <c r="A2942" s="1" t="s">
        <v>8540</v>
      </c>
      <c r="B2942" s="102">
        <v>46164</v>
      </c>
      <c r="C2942" s="6">
        <v>0</v>
      </c>
      <c r="D2942" s="1" t="s">
        <v>7</v>
      </c>
      <c r="E2942" s="1" t="s">
        <v>969</v>
      </c>
      <c r="F2942" s="1" t="s">
        <v>8541</v>
      </c>
      <c r="G2942" s="39" t="s">
        <v>1299</v>
      </c>
      <c r="H2942" s="15">
        <v>3</v>
      </c>
      <c r="I2942" s="15">
        <v>0</v>
      </c>
      <c r="J2942" s="216" t="s">
        <v>968</v>
      </c>
      <c r="K2942" s="15">
        <v>0</v>
      </c>
      <c r="L2942" s="15">
        <v>3</v>
      </c>
      <c r="S2942" s="1" t="s">
        <v>10582</v>
      </c>
      <c r="T2942" s="1">
        <v>1</v>
      </c>
      <c r="U2942" s="19"/>
      <c r="V2942" s="19"/>
      <c r="W2942" s="218">
        <v>1</v>
      </c>
      <c r="X2942" s="218">
        <v>1</v>
      </c>
      <c r="Y2942" s="218">
        <v>1</v>
      </c>
    </row>
    <row r="2943" spans="1:25" x14ac:dyDescent="0.3">
      <c r="A2943" s="1" t="s">
        <v>8542</v>
      </c>
      <c r="B2943" s="102">
        <v>46164</v>
      </c>
      <c r="C2943" s="6">
        <v>0</v>
      </c>
      <c r="D2943" s="1" t="s">
        <v>7</v>
      </c>
      <c r="E2943" s="1" t="s">
        <v>969</v>
      </c>
      <c r="F2943" s="1" t="s">
        <v>1313</v>
      </c>
      <c r="G2943" s="39" t="s">
        <v>1302</v>
      </c>
      <c r="H2943" s="15">
        <v>2</v>
      </c>
      <c r="I2943" s="15">
        <v>0</v>
      </c>
      <c r="J2943" s="216" t="s">
        <v>1305</v>
      </c>
      <c r="K2943" s="15">
        <v>0</v>
      </c>
      <c r="L2943" s="15">
        <v>2</v>
      </c>
      <c r="S2943" s="1" t="s">
        <v>10583</v>
      </c>
      <c r="T2943" s="1">
        <v>1</v>
      </c>
      <c r="U2943" s="19"/>
      <c r="V2943" s="19"/>
      <c r="W2943" s="218">
        <v>1</v>
      </c>
      <c r="X2943" s="218">
        <v>1</v>
      </c>
      <c r="Y2943" s="218">
        <v>1</v>
      </c>
    </row>
    <row r="2944" spans="1:25" x14ac:dyDescent="0.3">
      <c r="A2944" s="1" t="s">
        <v>8543</v>
      </c>
      <c r="B2944" s="102">
        <v>46164</v>
      </c>
      <c r="C2944" s="6">
        <v>0</v>
      </c>
      <c r="D2944" s="1" t="s">
        <v>7</v>
      </c>
      <c r="E2944" s="1" t="s">
        <v>969</v>
      </c>
      <c r="F2944" s="1" t="s">
        <v>8544</v>
      </c>
      <c r="G2944" s="39" t="s">
        <v>1296</v>
      </c>
      <c r="H2944" s="15">
        <v>1</v>
      </c>
      <c r="I2944" s="15">
        <v>4</v>
      </c>
      <c r="J2944" s="216" t="s">
        <v>967</v>
      </c>
      <c r="K2944" s="15">
        <v>4</v>
      </c>
      <c r="L2944" s="15">
        <v>1</v>
      </c>
      <c r="S2944" s="1" t="s">
        <v>10584</v>
      </c>
      <c r="T2944" s="1">
        <v>1</v>
      </c>
      <c r="U2944" s="19"/>
      <c r="V2944" s="19"/>
      <c r="W2944" s="218">
        <v>1</v>
      </c>
      <c r="X2944" s="218">
        <v>1</v>
      </c>
      <c r="Y2944" s="218">
        <v>1</v>
      </c>
    </row>
    <row r="2945" spans="1:25" x14ac:dyDescent="0.3">
      <c r="A2945" s="1" t="s">
        <v>8545</v>
      </c>
      <c r="B2945" s="102">
        <v>46164</v>
      </c>
      <c r="C2945" s="6">
        <v>0</v>
      </c>
      <c r="D2945" s="1" t="s">
        <v>7</v>
      </c>
      <c r="E2945" s="1" t="s">
        <v>969</v>
      </c>
      <c r="F2945" s="1" t="s">
        <v>8546</v>
      </c>
      <c r="G2945" s="39" t="s">
        <v>1285</v>
      </c>
      <c r="H2945" s="15">
        <v>2</v>
      </c>
      <c r="I2945" s="15">
        <v>2</v>
      </c>
      <c r="J2945" s="216" t="s">
        <v>1292</v>
      </c>
      <c r="K2945" s="15">
        <v>2</v>
      </c>
      <c r="L2945" s="15">
        <v>2</v>
      </c>
      <c r="S2945" s="1" t="s">
        <v>10585</v>
      </c>
      <c r="T2945" s="1">
        <v>1</v>
      </c>
      <c r="U2945" s="19"/>
      <c r="V2945" s="19"/>
      <c r="W2945" s="218">
        <v>1</v>
      </c>
      <c r="X2945" s="218">
        <v>1</v>
      </c>
      <c r="Y2945" s="218">
        <v>1</v>
      </c>
    </row>
    <row r="2946" spans="1:25" x14ac:dyDescent="0.3">
      <c r="A2946" s="1" t="s">
        <v>8547</v>
      </c>
      <c r="B2946" s="102">
        <v>46164</v>
      </c>
      <c r="C2946" s="6">
        <v>0</v>
      </c>
      <c r="D2946" s="1" t="s">
        <v>7</v>
      </c>
      <c r="E2946" s="1" t="s">
        <v>969</v>
      </c>
      <c r="F2946" s="1" t="s">
        <v>8523</v>
      </c>
      <c r="G2946" s="39" t="s">
        <v>1281</v>
      </c>
      <c r="H2946" s="15">
        <v>2</v>
      </c>
      <c r="I2946" s="15">
        <v>3</v>
      </c>
      <c r="J2946" s="216" t="s">
        <v>976</v>
      </c>
      <c r="K2946" s="15">
        <v>3</v>
      </c>
      <c r="L2946" s="15">
        <v>2</v>
      </c>
      <c r="S2946" s="1" t="s">
        <v>10586</v>
      </c>
      <c r="T2946" s="1">
        <v>1</v>
      </c>
      <c r="U2946" s="19"/>
      <c r="V2946" s="19"/>
      <c r="W2946" s="218">
        <v>1</v>
      </c>
      <c r="X2946" s="218">
        <v>1</v>
      </c>
      <c r="Y2946" s="218">
        <v>1</v>
      </c>
    </row>
    <row r="2947" spans="1:25" x14ac:dyDescent="0.3">
      <c r="A2947" s="1" t="s">
        <v>8548</v>
      </c>
      <c r="B2947" s="102">
        <v>46171</v>
      </c>
      <c r="C2947" s="6">
        <v>0</v>
      </c>
      <c r="D2947" s="1" t="s">
        <v>7</v>
      </c>
      <c r="E2947" s="1" t="s">
        <v>969</v>
      </c>
      <c r="F2947" s="1" t="s">
        <v>8549</v>
      </c>
      <c r="G2947" s="39" t="s">
        <v>968</v>
      </c>
      <c r="H2947" s="15">
        <v>4</v>
      </c>
      <c r="I2947" s="15">
        <v>1</v>
      </c>
      <c r="J2947" s="216" t="s">
        <v>975</v>
      </c>
      <c r="K2947" s="15">
        <v>1</v>
      </c>
      <c r="L2947" s="15">
        <v>4</v>
      </c>
      <c r="S2947" s="1" t="s">
        <v>10587</v>
      </c>
      <c r="T2947" s="1">
        <v>1</v>
      </c>
      <c r="U2947" s="19"/>
      <c r="V2947" s="19"/>
      <c r="W2947" s="218">
        <v>1</v>
      </c>
      <c r="X2947" s="218">
        <v>1</v>
      </c>
      <c r="Y2947" s="218">
        <v>1</v>
      </c>
    </row>
    <row r="2948" spans="1:25" x14ac:dyDescent="0.3">
      <c r="A2948" s="1" t="s">
        <v>8550</v>
      </c>
      <c r="B2948" s="102">
        <v>46172</v>
      </c>
      <c r="C2948" s="6">
        <v>0</v>
      </c>
      <c r="D2948" s="1" t="s">
        <v>7</v>
      </c>
      <c r="E2948" s="1" t="s">
        <v>969</v>
      </c>
      <c r="F2948" s="1" t="s">
        <v>8551</v>
      </c>
      <c r="G2948" s="39" t="s">
        <v>1282</v>
      </c>
      <c r="H2948" s="15">
        <v>1</v>
      </c>
      <c r="I2948" s="15">
        <v>5</v>
      </c>
      <c r="J2948" s="216" t="s">
        <v>1281</v>
      </c>
      <c r="K2948" s="15">
        <v>5</v>
      </c>
      <c r="L2948" s="15">
        <v>1</v>
      </c>
      <c r="S2948" s="1" t="s">
        <v>10588</v>
      </c>
      <c r="T2948" s="1">
        <v>1</v>
      </c>
      <c r="U2948" s="19"/>
      <c r="V2948" s="19"/>
      <c r="W2948" s="218">
        <v>1</v>
      </c>
      <c r="X2948" s="218">
        <v>1</v>
      </c>
      <c r="Y2948" s="218">
        <v>1</v>
      </c>
    </row>
    <row r="2949" spans="1:25" x14ac:dyDescent="0.3">
      <c r="A2949" s="1" t="s">
        <v>8552</v>
      </c>
      <c r="B2949" s="102">
        <v>46172</v>
      </c>
      <c r="C2949" s="6">
        <v>0</v>
      </c>
      <c r="D2949" s="1" t="s">
        <v>7</v>
      </c>
      <c r="E2949" s="1" t="s">
        <v>969</v>
      </c>
      <c r="F2949" s="1" t="s">
        <v>8553</v>
      </c>
      <c r="G2949" s="39" t="s">
        <v>1299</v>
      </c>
      <c r="H2949" s="15">
        <v>0</v>
      </c>
      <c r="I2949" s="15">
        <v>0</v>
      </c>
      <c r="J2949" s="216" t="s">
        <v>1296</v>
      </c>
      <c r="K2949" s="15">
        <v>0</v>
      </c>
      <c r="L2949" s="15">
        <v>0</v>
      </c>
      <c r="S2949" s="1" t="s">
        <v>10589</v>
      </c>
      <c r="T2949" s="1">
        <v>1</v>
      </c>
      <c r="U2949" s="19"/>
      <c r="V2949" s="19"/>
      <c r="W2949" s="218">
        <v>1</v>
      </c>
      <c r="X2949" s="218">
        <v>1</v>
      </c>
      <c r="Y2949" s="218">
        <v>1</v>
      </c>
    </row>
    <row r="2950" spans="1:25" x14ac:dyDescent="0.3">
      <c r="A2950" s="1" t="s">
        <v>8554</v>
      </c>
      <c r="B2950" s="102">
        <v>46172</v>
      </c>
      <c r="C2950" s="6">
        <v>0</v>
      </c>
      <c r="D2950" s="1" t="s">
        <v>7</v>
      </c>
      <c r="E2950" s="1" t="s">
        <v>969</v>
      </c>
      <c r="F2950" s="1" t="s">
        <v>8555</v>
      </c>
      <c r="G2950" s="39" t="s">
        <v>1305</v>
      </c>
      <c r="H2950" s="15">
        <v>2</v>
      </c>
      <c r="I2950" s="15">
        <v>1</v>
      </c>
      <c r="J2950" s="216" t="s">
        <v>1292</v>
      </c>
      <c r="K2950" s="15">
        <v>1</v>
      </c>
      <c r="L2950" s="15">
        <v>2</v>
      </c>
      <c r="S2950" s="1" t="s">
        <v>10590</v>
      </c>
      <c r="T2950" s="1">
        <v>1</v>
      </c>
      <c r="U2950" s="19"/>
      <c r="V2950" s="19"/>
      <c r="W2950" s="218">
        <v>1</v>
      </c>
      <c r="X2950" s="218">
        <v>1</v>
      </c>
      <c r="Y2950" s="218">
        <v>1</v>
      </c>
    </row>
    <row r="2951" spans="1:25" x14ac:dyDescent="0.3">
      <c r="A2951" s="1" t="s">
        <v>8556</v>
      </c>
      <c r="B2951" s="102">
        <v>46172</v>
      </c>
      <c r="C2951" s="6">
        <v>0</v>
      </c>
      <c r="D2951" s="1" t="s">
        <v>7</v>
      </c>
      <c r="E2951" s="1" t="s">
        <v>969</v>
      </c>
      <c r="F2951" s="1" t="s">
        <v>8557</v>
      </c>
      <c r="G2951" s="39" t="s">
        <v>976</v>
      </c>
      <c r="H2951" s="15">
        <v>4</v>
      </c>
      <c r="I2951" s="15">
        <v>0</v>
      </c>
      <c r="J2951" s="216" t="s">
        <v>1302</v>
      </c>
      <c r="K2951" s="15">
        <v>0</v>
      </c>
      <c r="L2951" s="15">
        <v>4</v>
      </c>
      <c r="S2951" s="1" t="s">
        <v>10591</v>
      </c>
      <c r="T2951" s="1">
        <v>1</v>
      </c>
      <c r="U2951" s="19"/>
      <c r="V2951" s="19"/>
      <c r="W2951" s="218">
        <v>1</v>
      </c>
      <c r="X2951" s="218">
        <v>1</v>
      </c>
      <c r="Y2951" s="218">
        <v>1</v>
      </c>
    </row>
    <row r="2952" spans="1:25" x14ac:dyDescent="0.3">
      <c r="A2952" s="1" t="s">
        <v>8558</v>
      </c>
      <c r="B2952" s="102">
        <v>46173</v>
      </c>
      <c r="C2952" s="6">
        <v>0</v>
      </c>
      <c r="D2952" s="1" t="s">
        <v>7</v>
      </c>
      <c r="E2952" s="1" t="s">
        <v>969</v>
      </c>
      <c r="F2952" s="1" t="s">
        <v>8559</v>
      </c>
      <c r="G2952" s="39" t="s">
        <v>967</v>
      </c>
      <c r="H2952" s="15">
        <v>1</v>
      </c>
      <c r="I2952" s="15">
        <v>2</v>
      </c>
      <c r="J2952" s="216" t="s">
        <v>1285</v>
      </c>
      <c r="K2952" s="15">
        <v>2</v>
      </c>
      <c r="L2952" s="15">
        <v>1</v>
      </c>
      <c r="S2952" s="1" t="s">
        <v>10592</v>
      </c>
      <c r="T2952" s="1">
        <v>1</v>
      </c>
      <c r="U2952" s="19"/>
      <c r="V2952" s="19"/>
      <c r="W2952" s="218">
        <v>1</v>
      </c>
      <c r="X2952" s="218">
        <v>1</v>
      </c>
      <c r="Y2952" s="218">
        <v>1</v>
      </c>
    </row>
    <row r="2953" spans="1:25" x14ac:dyDescent="0.3">
      <c r="A2953" s="1" t="s">
        <v>8560</v>
      </c>
      <c r="B2953" s="102">
        <v>46178</v>
      </c>
      <c r="C2953" s="6">
        <v>0</v>
      </c>
      <c r="D2953" s="1" t="s">
        <v>7</v>
      </c>
      <c r="E2953" s="1" t="s">
        <v>969</v>
      </c>
      <c r="F2953" s="1" t="s">
        <v>8561</v>
      </c>
      <c r="G2953" s="39" t="s">
        <v>968</v>
      </c>
      <c r="H2953" s="15">
        <v>1</v>
      </c>
      <c r="I2953" s="15">
        <v>0</v>
      </c>
      <c r="J2953" s="216" t="s">
        <v>1281</v>
      </c>
      <c r="K2953" s="15">
        <v>0</v>
      </c>
      <c r="L2953" s="15">
        <v>1</v>
      </c>
      <c r="S2953" s="1" t="s">
        <v>10593</v>
      </c>
      <c r="T2953" s="1">
        <v>1</v>
      </c>
      <c r="U2953" s="19"/>
      <c r="V2953" s="19"/>
      <c r="W2953" s="218">
        <v>1</v>
      </c>
      <c r="X2953" s="218">
        <v>1</v>
      </c>
      <c r="Y2953" s="218">
        <v>1</v>
      </c>
    </row>
    <row r="2954" spans="1:25" x14ac:dyDescent="0.3">
      <c r="A2954" s="1" t="s">
        <v>8562</v>
      </c>
      <c r="B2954" s="102">
        <v>46179</v>
      </c>
      <c r="C2954" s="6">
        <v>0</v>
      </c>
      <c r="D2954" s="1" t="s">
        <v>7</v>
      </c>
      <c r="E2954" s="1" t="s">
        <v>969</v>
      </c>
      <c r="F2954" s="1" t="s">
        <v>8563</v>
      </c>
      <c r="G2954" s="39" t="s">
        <v>1296</v>
      </c>
      <c r="H2954" s="15">
        <v>2</v>
      </c>
      <c r="I2954" s="15">
        <v>2</v>
      </c>
      <c r="J2954" s="216" t="s">
        <v>975</v>
      </c>
      <c r="K2954" s="15">
        <v>2</v>
      </c>
      <c r="L2954" s="15">
        <v>2</v>
      </c>
      <c r="S2954" s="1" t="s">
        <v>10594</v>
      </c>
      <c r="T2954" s="1">
        <v>1</v>
      </c>
      <c r="U2954" s="19"/>
      <c r="V2954" s="19"/>
      <c r="W2954" s="218">
        <v>1</v>
      </c>
      <c r="X2954" s="218">
        <v>1</v>
      </c>
      <c r="Y2954" s="218">
        <v>1</v>
      </c>
    </row>
    <row r="2955" spans="1:25" x14ac:dyDescent="0.3">
      <c r="A2955" s="1" t="s">
        <v>8564</v>
      </c>
      <c r="B2955" s="102">
        <v>46179</v>
      </c>
      <c r="C2955" s="6">
        <v>0</v>
      </c>
      <c r="D2955" s="1" t="s">
        <v>7</v>
      </c>
      <c r="E2955" s="1" t="s">
        <v>969</v>
      </c>
      <c r="F2955" s="1" t="s">
        <v>8565</v>
      </c>
      <c r="G2955" s="39" t="s">
        <v>1302</v>
      </c>
      <c r="H2955" s="15">
        <v>3</v>
      </c>
      <c r="I2955" s="15">
        <v>0</v>
      </c>
      <c r="J2955" s="216" t="s">
        <v>1282</v>
      </c>
      <c r="K2955" s="15">
        <v>0</v>
      </c>
      <c r="L2955" s="15">
        <v>3</v>
      </c>
      <c r="S2955" s="1" t="s">
        <v>10595</v>
      </c>
      <c r="T2955" s="1">
        <v>1</v>
      </c>
      <c r="U2955" s="19"/>
      <c r="V2955" s="19"/>
      <c r="W2955" s="218">
        <v>1</v>
      </c>
      <c r="X2955" s="218">
        <v>1</v>
      </c>
      <c r="Y2955" s="218">
        <v>1</v>
      </c>
    </row>
    <row r="2956" spans="1:25" x14ac:dyDescent="0.3">
      <c r="A2956" s="1" t="s">
        <v>8566</v>
      </c>
      <c r="B2956" s="102">
        <v>46179</v>
      </c>
      <c r="C2956" s="6">
        <v>0</v>
      </c>
      <c r="D2956" s="1" t="s">
        <v>7</v>
      </c>
      <c r="E2956" s="1" t="s">
        <v>969</v>
      </c>
      <c r="F2956" s="1" t="s">
        <v>8567</v>
      </c>
      <c r="G2956" s="39" t="s">
        <v>1292</v>
      </c>
      <c r="H2956" s="15">
        <v>1</v>
      </c>
      <c r="I2956" s="15">
        <v>2</v>
      </c>
      <c r="J2956" s="216" t="s">
        <v>976</v>
      </c>
      <c r="K2956" s="15">
        <v>2</v>
      </c>
      <c r="L2956" s="15">
        <v>1</v>
      </c>
      <c r="S2956" s="1" t="s">
        <v>10596</v>
      </c>
      <c r="T2956" s="1">
        <v>1</v>
      </c>
      <c r="U2956" s="19"/>
      <c r="V2956" s="19"/>
      <c r="W2956" s="218">
        <v>1</v>
      </c>
      <c r="X2956" s="218">
        <v>1</v>
      </c>
      <c r="Y2956" s="218">
        <v>1</v>
      </c>
    </row>
    <row r="2957" spans="1:25" x14ac:dyDescent="0.3">
      <c r="A2957" s="1" t="s">
        <v>8568</v>
      </c>
      <c r="B2957" s="102">
        <v>46180</v>
      </c>
      <c r="C2957" s="6">
        <v>0</v>
      </c>
      <c r="D2957" s="1" t="s">
        <v>7</v>
      </c>
      <c r="E2957" s="1" t="s">
        <v>969</v>
      </c>
      <c r="F2957" s="1" t="s">
        <v>8569</v>
      </c>
      <c r="G2957" s="39" t="s">
        <v>967</v>
      </c>
      <c r="H2957" s="15">
        <v>3</v>
      </c>
      <c r="I2957" s="15">
        <v>1</v>
      </c>
      <c r="J2957" s="216" t="s">
        <v>1299</v>
      </c>
      <c r="K2957" s="15">
        <v>1</v>
      </c>
      <c r="L2957" s="15">
        <v>3</v>
      </c>
      <c r="S2957" s="1" t="s">
        <v>10597</v>
      </c>
      <c r="T2957" s="1">
        <v>1</v>
      </c>
      <c r="U2957" s="19"/>
      <c r="V2957" s="19"/>
      <c r="W2957" s="218">
        <v>1</v>
      </c>
      <c r="X2957" s="218">
        <v>1</v>
      </c>
      <c r="Y2957" s="218">
        <v>1</v>
      </c>
    </row>
    <row r="2958" spans="1:25" x14ac:dyDescent="0.3">
      <c r="A2958" s="1" t="s">
        <v>8570</v>
      </c>
      <c r="B2958" s="102">
        <v>46185</v>
      </c>
      <c r="C2958" s="6">
        <v>0</v>
      </c>
      <c r="D2958" s="1" t="s">
        <v>7</v>
      </c>
      <c r="E2958" s="1" t="s">
        <v>969</v>
      </c>
      <c r="F2958" s="1" t="s">
        <v>8571</v>
      </c>
      <c r="G2958" s="39" t="s">
        <v>1302</v>
      </c>
      <c r="H2958" s="15">
        <v>1</v>
      </c>
      <c r="I2958" s="15">
        <v>2</v>
      </c>
      <c r="J2958" s="216" t="s">
        <v>968</v>
      </c>
      <c r="K2958" s="15">
        <v>2</v>
      </c>
      <c r="L2958" s="15">
        <v>1</v>
      </c>
      <c r="S2958" s="1" t="s">
        <v>10598</v>
      </c>
      <c r="T2958" s="1">
        <v>1</v>
      </c>
      <c r="U2958" s="19"/>
      <c r="V2958" s="19"/>
      <c r="W2958" s="218">
        <v>1</v>
      </c>
      <c r="X2958" s="218">
        <v>1</v>
      </c>
      <c r="Y2958" s="218">
        <v>1</v>
      </c>
    </row>
    <row r="2959" spans="1:25" x14ac:dyDescent="0.3">
      <c r="A2959" s="1" t="s">
        <v>8572</v>
      </c>
      <c r="B2959" s="102">
        <v>46185</v>
      </c>
      <c r="C2959" s="6">
        <v>0</v>
      </c>
      <c r="D2959" s="1" t="s">
        <v>7</v>
      </c>
      <c r="E2959" s="1" t="s">
        <v>969</v>
      </c>
      <c r="F2959" s="1" t="s">
        <v>8573</v>
      </c>
      <c r="G2959" s="39" t="s">
        <v>975</v>
      </c>
      <c r="H2959" s="15">
        <v>3</v>
      </c>
      <c r="I2959" s="15">
        <v>2</v>
      </c>
      <c r="J2959" s="216" t="s">
        <v>967</v>
      </c>
      <c r="K2959" s="15">
        <v>2</v>
      </c>
      <c r="L2959" s="15">
        <v>3</v>
      </c>
      <c r="S2959" s="1" t="s">
        <v>10599</v>
      </c>
      <c r="T2959" s="1">
        <v>1</v>
      </c>
      <c r="U2959" s="19"/>
      <c r="V2959" s="19"/>
      <c r="W2959" s="218">
        <v>1</v>
      </c>
      <c r="X2959" s="218">
        <v>1</v>
      </c>
      <c r="Y2959" s="218">
        <v>1</v>
      </c>
    </row>
    <row r="2960" spans="1:25" x14ac:dyDescent="0.3">
      <c r="A2960" s="1" t="s">
        <v>8574</v>
      </c>
      <c r="B2960" s="102">
        <v>46186</v>
      </c>
      <c r="C2960" s="6">
        <v>0</v>
      </c>
      <c r="D2960" s="1" t="s">
        <v>7</v>
      </c>
      <c r="E2960" s="1" t="s">
        <v>969</v>
      </c>
      <c r="F2960" s="1" t="s">
        <v>8575</v>
      </c>
      <c r="G2960" s="39" t="s">
        <v>1282</v>
      </c>
      <c r="H2960" s="15">
        <v>1</v>
      </c>
      <c r="I2960" s="15">
        <v>5</v>
      </c>
      <c r="J2960" s="216" t="s">
        <v>1292</v>
      </c>
      <c r="K2960" s="15">
        <v>5</v>
      </c>
      <c r="L2960" s="15">
        <v>1</v>
      </c>
      <c r="S2960" s="1" t="s">
        <v>10600</v>
      </c>
      <c r="T2960" s="1">
        <v>1</v>
      </c>
      <c r="U2960" s="19"/>
      <c r="V2960" s="19"/>
      <c r="W2960" s="218">
        <v>1</v>
      </c>
      <c r="X2960" s="218">
        <v>1</v>
      </c>
      <c r="Y2960" s="218">
        <v>1</v>
      </c>
    </row>
    <row r="2961" spans="1:25" x14ac:dyDescent="0.3">
      <c r="A2961" s="1" t="s">
        <v>8576</v>
      </c>
      <c r="B2961" s="102">
        <v>46186</v>
      </c>
      <c r="C2961" s="6">
        <v>0</v>
      </c>
      <c r="D2961" s="1" t="s">
        <v>7</v>
      </c>
      <c r="E2961" s="1" t="s">
        <v>969</v>
      </c>
      <c r="F2961" s="1" t="s">
        <v>8577</v>
      </c>
      <c r="G2961" s="39" t="s">
        <v>1299</v>
      </c>
      <c r="H2961" s="15">
        <v>0</v>
      </c>
      <c r="I2961" s="15">
        <v>0</v>
      </c>
      <c r="J2961" s="216" t="s">
        <v>1285</v>
      </c>
      <c r="K2961" s="15">
        <v>0</v>
      </c>
      <c r="L2961" s="15">
        <v>0</v>
      </c>
      <c r="S2961" s="1" t="s">
        <v>10601</v>
      </c>
      <c r="T2961" s="1">
        <v>1</v>
      </c>
      <c r="U2961" s="19"/>
      <c r="V2961" s="19"/>
      <c r="W2961" s="218">
        <v>1</v>
      </c>
      <c r="X2961" s="218">
        <v>1</v>
      </c>
      <c r="Y2961" s="218">
        <v>1</v>
      </c>
    </row>
    <row r="2962" spans="1:25" x14ac:dyDescent="0.3">
      <c r="A2962" s="1" t="s">
        <v>8578</v>
      </c>
      <c r="B2962" s="102">
        <v>46193</v>
      </c>
      <c r="C2962" s="6">
        <v>0</v>
      </c>
      <c r="D2962" s="1" t="s">
        <v>7</v>
      </c>
      <c r="E2962" s="1" t="s">
        <v>969</v>
      </c>
      <c r="F2962" s="1" t="s">
        <v>8579</v>
      </c>
      <c r="G2962" s="39" t="s">
        <v>1299</v>
      </c>
      <c r="H2962" s="15">
        <v>1</v>
      </c>
      <c r="I2962" s="15">
        <v>1</v>
      </c>
      <c r="J2962" s="216" t="s">
        <v>975</v>
      </c>
      <c r="K2962" s="15">
        <v>1</v>
      </c>
      <c r="L2962" s="15">
        <v>1</v>
      </c>
      <c r="S2962" s="1" t="s">
        <v>10602</v>
      </c>
      <c r="T2962" s="1">
        <v>1</v>
      </c>
      <c r="U2962" s="19"/>
      <c r="V2962" s="19"/>
      <c r="W2962" s="218">
        <v>1</v>
      </c>
      <c r="X2962" s="218">
        <v>1</v>
      </c>
      <c r="Y2962" s="218">
        <v>1</v>
      </c>
    </row>
    <row r="2963" spans="1:25" x14ac:dyDescent="0.3">
      <c r="A2963" s="1" t="s">
        <v>8580</v>
      </c>
      <c r="B2963" s="102">
        <v>46193</v>
      </c>
      <c r="C2963" s="6">
        <v>0</v>
      </c>
      <c r="D2963" s="1" t="s">
        <v>7</v>
      </c>
      <c r="E2963" s="1" t="s">
        <v>969</v>
      </c>
      <c r="F2963" s="1" t="s">
        <v>8581</v>
      </c>
      <c r="G2963" s="39" t="s">
        <v>967</v>
      </c>
      <c r="H2963" s="15">
        <v>5</v>
      </c>
      <c r="I2963" s="15">
        <v>5</v>
      </c>
      <c r="J2963" s="216" t="s">
        <v>1281</v>
      </c>
      <c r="K2963" s="15">
        <v>5</v>
      </c>
      <c r="L2963" s="15">
        <v>5</v>
      </c>
      <c r="S2963" s="1" t="s">
        <v>10603</v>
      </c>
      <c r="T2963" s="1">
        <v>1</v>
      </c>
      <c r="U2963" s="19"/>
      <c r="V2963" s="19"/>
      <c r="W2963" s="218">
        <v>1</v>
      </c>
      <c r="X2963" s="218">
        <v>1</v>
      </c>
      <c r="Y2963" s="218">
        <v>1</v>
      </c>
    </row>
    <row r="2964" spans="1:25" ht="14.4" x14ac:dyDescent="0.3">
      <c r="A2964" s="1" t="s">
        <v>8582</v>
      </c>
      <c r="B2964" s="102">
        <v>46193</v>
      </c>
      <c r="C2964" s="6">
        <v>0</v>
      </c>
      <c r="D2964" s="1" t="s">
        <v>7</v>
      </c>
      <c r="E2964" s="1" t="s">
        <v>969</v>
      </c>
      <c r="F2964" s="1" t="s">
        <v>8583</v>
      </c>
      <c r="G2964" s="39" t="s">
        <v>1296</v>
      </c>
      <c r="H2964" s="15">
        <v>4</v>
      </c>
      <c r="I2964" s="15">
        <v>1</v>
      </c>
      <c r="J2964" s="216" t="s">
        <v>1302</v>
      </c>
      <c r="K2964" s="15">
        <v>1</v>
      </c>
      <c r="L2964" s="15">
        <v>4</v>
      </c>
      <c r="S2964" s="1" t="s">
        <v>10604</v>
      </c>
      <c r="T2964">
        <v>1</v>
      </c>
      <c r="U2964" s="19"/>
      <c r="V2964" s="19"/>
      <c r="W2964" s="218">
        <v>1</v>
      </c>
      <c r="X2964" s="218">
        <v>1</v>
      </c>
      <c r="Y2964" s="218">
        <v>1</v>
      </c>
    </row>
    <row r="2965" spans="1:25" x14ac:dyDescent="0.3">
      <c r="A2965" s="1" t="s">
        <v>8584</v>
      </c>
      <c r="B2965" s="102">
        <v>46193</v>
      </c>
      <c r="C2965" s="6">
        <v>0</v>
      </c>
      <c r="D2965" s="1" t="s">
        <v>7</v>
      </c>
      <c r="E2965" s="1" t="s">
        <v>969</v>
      </c>
      <c r="F2965" s="1" t="s">
        <v>8585</v>
      </c>
      <c r="G2965" s="39" t="s">
        <v>1305</v>
      </c>
      <c r="H2965" s="15">
        <v>6</v>
      </c>
      <c r="I2965" s="15">
        <v>0</v>
      </c>
      <c r="J2965" s="216" t="s">
        <v>1282</v>
      </c>
      <c r="K2965" s="15">
        <v>0</v>
      </c>
      <c r="L2965" s="15">
        <v>6</v>
      </c>
      <c r="S2965" s="1" t="s">
        <v>10605</v>
      </c>
      <c r="T2965" s="1">
        <v>1</v>
      </c>
      <c r="U2965" s="19"/>
      <c r="V2965" s="19"/>
      <c r="W2965" s="218">
        <v>1</v>
      </c>
      <c r="X2965" s="218">
        <v>1</v>
      </c>
      <c r="Y2965" s="218">
        <v>1</v>
      </c>
    </row>
    <row r="2966" spans="1:25" x14ac:dyDescent="0.3">
      <c r="A2966" s="1" t="s">
        <v>8586</v>
      </c>
      <c r="B2966" s="102">
        <v>46193</v>
      </c>
      <c r="C2966" s="6">
        <v>0</v>
      </c>
      <c r="D2966" s="1" t="s">
        <v>7</v>
      </c>
      <c r="E2966" s="1" t="s">
        <v>969</v>
      </c>
      <c r="F2966" s="1" t="s">
        <v>8587</v>
      </c>
      <c r="G2966" s="39" t="s">
        <v>1292</v>
      </c>
      <c r="H2966" s="15">
        <v>2</v>
      </c>
      <c r="I2966" s="15">
        <v>0</v>
      </c>
      <c r="J2966" s="216" t="s">
        <v>968</v>
      </c>
      <c r="K2966" s="15">
        <v>0</v>
      </c>
      <c r="L2966" s="15">
        <v>2</v>
      </c>
      <c r="S2966" s="1" t="s">
        <v>10606</v>
      </c>
      <c r="T2966" s="1">
        <v>1</v>
      </c>
      <c r="U2966" s="19"/>
      <c r="V2966" s="19"/>
      <c r="W2966" s="218">
        <v>1</v>
      </c>
      <c r="X2966" s="218">
        <v>1</v>
      </c>
      <c r="Y2966" s="218">
        <v>1</v>
      </c>
    </row>
    <row r="2967" spans="1:25" x14ac:dyDescent="0.3">
      <c r="A2967" s="1" t="s">
        <v>8588</v>
      </c>
      <c r="B2967" s="102">
        <v>46193</v>
      </c>
      <c r="C2967" s="6">
        <v>0</v>
      </c>
      <c r="D2967" s="1" t="s">
        <v>7</v>
      </c>
      <c r="E2967" s="1" t="s">
        <v>969</v>
      </c>
      <c r="F2967" s="1" t="s">
        <v>8589</v>
      </c>
      <c r="G2967" s="39" t="s">
        <v>1285</v>
      </c>
      <c r="H2967" s="15">
        <v>3</v>
      </c>
      <c r="I2967" s="15">
        <v>0</v>
      </c>
      <c r="J2967" s="216" t="s">
        <v>976</v>
      </c>
      <c r="K2967" s="15">
        <v>0</v>
      </c>
      <c r="L2967" s="15">
        <v>3</v>
      </c>
      <c r="S2967" s="1" t="s">
        <v>10607</v>
      </c>
      <c r="T2967" s="1">
        <v>1</v>
      </c>
      <c r="U2967" s="19"/>
      <c r="V2967" s="19"/>
      <c r="W2967" s="218">
        <v>1</v>
      </c>
      <c r="X2967" s="218">
        <v>1</v>
      </c>
      <c r="Y2967" s="218">
        <v>1</v>
      </c>
    </row>
    <row r="2968" spans="1:25" x14ac:dyDescent="0.3">
      <c r="A2968" s="1" t="s">
        <v>8590</v>
      </c>
      <c r="B2968" s="102">
        <v>46199</v>
      </c>
      <c r="C2968" s="6">
        <v>0</v>
      </c>
      <c r="D2968" s="1" t="s">
        <v>7</v>
      </c>
      <c r="E2968" s="1" t="s">
        <v>969</v>
      </c>
      <c r="F2968" s="1" t="s">
        <v>8591</v>
      </c>
      <c r="G2968" s="39" t="s">
        <v>975</v>
      </c>
      <c r="H2968" s="15">
        <v>0</v>
      </c>
      <c r="I2968" s="15">
        <v>1</v>
      </c>
      <c r="J2968" s="216" t="s">
        <v>1285</v>
      </c>
      <c r="K2968" s="15">
        <v>1</v>
      </c>
      <c r="L2968" s="15">
        <v>0</v>
      </c>
      <c r="S2968" s="1" t="s">
        <v>10608</v>
      </c>
      <c r="T2968" s="1">
        <v>1</v>
      </c>
      <c r="U2968" s="19"/>
      <c r="V2968" s="19"/>
      <c r="W2968" s="218">
        <v>1</v>
      </c>
      <c r="X2968" s="218">
        <v>1</v>
      </c>
      <c r="Y2968" s="218">
        <v>1</v>
      </c>
    </row>
    <row r="2969" spans="1:25" x14ac:dyDescent="0.3">
      <c r="A2969" s="1" t="s">
        <v>8592</v>
      </c>
      <c r="B2969" s="102">
        <v>46200</v>
      </c>
      <c r="C2969" s="6">
        <v>0</v>
      </c>
      <c r="D2969" s="1" t="s">
        <v>7</v>
      </c>
      <c r="E2969" s="1" t="s">
        <v>969</v>
      </c>
      <c r="F2969" s="1" t="s">
        <v>8593</v>
      </c>
      <c r="G2969" s="39" t="s">
        <v>1296</v>
      </c>
      <c r="H2969" s="15">
        <v>0</v>
      </c>
      <c r="I2969" s="15">
        <v>1</v>
      </c>
      <c r="J2969" s="216" t="s">
        <v>1292</v>
      </c>
      <c r="K2969" s="15">
        <v>1</v>
      </c>
      <c r="L2969" s="15">
        <v>0</v>
      </c>
      <c r="S2969" s="1" t="s">
        <v>10609</v>
      </c>
      <c r="T2969" s="1">
        <v>1</v>
      </c>
      <c r="U2969" s="19"/>
      <c r="V2969" s="19"/>
      <c r="W2969" s="218">
        <v>1</v>
      </c>
      <c r="X2969" s="218">
        <v>1</v>
      </c>
      <c r="Y2969" s="218">
        <v>1</v>
      </c>
    </row>
    <row r="2970" spans="1:25" x14ac:dyDescent="0.3">
      <c r="A2970" s="1" t="s">
        <v>8594</v>
      </c>
      <c r="B2970" s="102">
        <v>46200</v>
      </c>
      <c r="C2970" s="6">
        <v>0</v>
      </c>
      <c r="D2970" s="1" t="s">
        <v>7</v>
      </c>
      <c r="E2970" s="1" t="s">
        <v>969</v>
      </c>
      <c r="F2970" s="1" t="s">
        <v>8595</v>
      </c>
      <c r="G2970" s="39" t="s">
        <v>1282</v>
      </c>
      <c r="H2970" s="15">
        <v>0</v>
      </c>
      <c r="I2970" s="15">
        <v>9</v>
      </c>
      <c r="J2970" s="216" t="s">
        <v>976</v>
      </c>
      <c r="K2970" s="15">
        <v>9</v>
      </c>
      <c r="L2970" s="15">
        <v>0</v>
      </c>
      <c r="S2970" s="1" t="s">
        <v>10610</v>
      </c>
      <c r="T2970" s="1">
        <v>1</v>
      </c>
      <c r="U2970" s="19"/>
      <c r="V2970" s="19"/>
      <c r="W2970" s="218">
        <v>1</v>
      </c>
      <c r="X2970" s="218">
        <v>1</v>
      </c>
      <c r="Y2970" s="218">
        <v>1</v>
      </c>
    </row>
    <row r="2971" spans="1:25" x14ac:dyDescent="0.3">
      <c r="A2971" s="1" t="s">
        <v>8596</v>
      </c>
      <c r="B2971" s="102">
        <v>46200</v>
      </c>
      <c r="C2971" s="6">
        <v>0</v>
      </c>
      <c r="D2971" s="1" t="s">
        <v>7</v>
      </c>
      <c r="E2971" s="1" t="s">
        <v>969</v>
      </c>
      <c r="F2971" s="1" t="s">
        <v>8597</v>
      </c>
      <c r="G2971" s="39" t="s">
        <v>1302</v>
      </c>
      <c r="H2971" s="15">
        <v>0</v>
      </c>
      <c r="I2971" s="15">
        <v>0</v>
      </c>
      <c r="J2971" s="216" t="s">
        <v>967</v>
      </c>
      <c r="K2971" s="15">
        <v>0</v>
      </c>
      <c r="L2971" s="15">
        <v>0</v>
      </c>
      <c r="S2971" s="1" t="s">
        <v>10611</v>
      </c>
      <c r="T2971" s="1">
        <v>1</v>
      </c>
      <c r="U2971" s="19"/>
      <c r="V2971" s="19"/>
      <c r="W2971" s="218">
        <v>1</v>
      </c>
      <c r="X2971" s="218">
        <v>1</v>
      </c>
      <c r="Y2971" s="218">
        <v>1</v>
      </c>
    </row>
    <row r="2972" spans="1:25" x14ac:dyDescent="0.3">
      <c r="A2972" s="1" t="s">
        <v>8598</v>
      </c>
      <c r="B2972" s="102">
        <v>46206</v>
      </c>
      <c r="C2972" s="6">
        <v>0</v>
      </c>
      <c r="D2972" s="1" t="s">
        <v>7</v>
      </c>
      <c r="E2972" s="1" t="s">
        <v>969</v>
      </c>
      <c r="F2972" s="1" t="s">
        <v>8599</v>
      </c>
      <c r="G2972" s="39" t="s">
        <v>975</v>
      </c>
      <c r="H2972" s="15">
        <v>1</v>
      </c>
      <c r="I2972" s="15">
        <v>4</v>
      </c>
      <c r="J2972" s="216" t="s">
        <v>1281</v>
      </c>
      <c r="K2972" s="15">
        <v>4</v>
      </c>
      <c r="L2972" s="15">
        <v>1</v>
      </c>
      <c r="S2972" s="1" t="s">
        <v>10612</v>
      </c>
      <c r="T2972" s="1">
        <v>1</v>
      </c>
      <c r="U2972" s="19"/>
      <c r="V2972" s="19"/>
      <c r="W2972" s="218">
        <v>1</v>
      </c>
      <c r="X2972" s="218">
        <v>1</v>
      </c>
      <c r="Y2972" s="218">
        <v>1</v>
      </c>
    </row>
    <row r="2973" spans="1:25" x14ac:dyDescent="0.3">
      <c r="A2973" s="1" t="s">
        <v>8600</v>
      </c>
      <c r="B2973" s="102">
        <v>46207</v>
      </c>
      <c r="C2973" s="6">
        <v>0</v>
      </c>
      <c r="D2973" s="1" t="s">
        <v>7</v>
      </c>
      <c r="E2973" s="1" t="s">
        <v>969</v>
      </c>
      <c r="F2973" s="1" t="s">
        <v>8601</v>
      </c>
      <c r="G2973" s="39" t="s">
        <v>1285</v>
      </c>
      <c r="H2973" s="15">
        <v>2</v>
      </c>
      <c r="I2973" s="15">
        <v>0</v>
      </c>
      <c r="J2973" s="216" t="s">
        <v>1282</v>
      </c>
      <c r="K2973" s="15">
        <v>0</v>
      </c>
      <c r="L2973" s="15">
        <v>2</v>
      </c>
      <c r="S2973" s="1" t="s">
        <v>10613</v>
      </c>
      <c r="T2973" s="1">
        <v>1</v>
      </c>
      <c r="U2973" s="19"/>
      <c r="V2973" s="19"/>
      <c r="W2973" s="218">
        <v>1</v>
      </c>
      <c r="X2973" s="218">
        <v>1</v>
      </c>
      <c r="Y2973" s="218">
        <v>1</v>
      </c>
    </row>
    <row r="2974" spans="1:25" x14ac:dyDescent="0.3">
      <c r="A2974" s="1" t="s">
        <v>8602</v>
      </c>
      <c r="B2974" s="102">
        <v>46207</v>
      </c>
      <c r="C2974" s="6">
        <v>0</v>
      </c>
      <c r="D2974" s="1" t="s">
        <v>7</v>
      </c>
      <c r="E2974" s="1" t="s">
        <v>969</v>
      </c>
      <c r="F2974" s="1" t="s">
        <v>8603</v>
      </c>
      <c r="G2974" s="39" t="s">
        <v>1299</v>
      </c>
      <c r="H2974" s="15">
        <v>0</v>
      </c>
      <c r="I2974" s="15">
        <v>0</v>
      </c>
      <c r="J2974" s="216" t="s">
        <v>1302</v>
      </c>
      <c r="K2974" s="15">
        <v>0</v>
      </c>
      <c r="L2974" s="15">
        <v>0</v>
      </c>
      <c r="S2974" s="1" t="s">
        <v>10614</v>
      </c>
      <c r="T2974" s="1">
        <v>1</v>
      </c>
      <c r="U2974" s="19"/>
      <c r="V2974" s="19"/>
      <c r="W2974" s="218">
        <v>1</v>
      </c>
      <c r="X2974" s="218">
        <v>1</v>
      </c>
      <c r="Y2974" s="218">
        <v>1</v>
      </c>
    </row>
    <row r="2975" spans="1:25" x14ac:dyDescent="0.3">
      <c r="A2975" s="1" t="s">
        <v>8604</v>
      </c>
      <c r="B2975" s="102">
        <v>46207</v>
      </c>
      <c r="C2975" s="6">
        <v>0</v>
      </c>
      <c r="D2975" s="1" t="s">
        <v>7</v>
      </c>
      <c r="E2975" s="1" t="s">
        <v>969</v>
      </c>
      <c r="F2975" s="1" t="s">
        <v>8605</v>
      </c>
      <c r="G2975" s="39" t="s">
        <v>1305</v>
      </c>
      <c r="H2975" s="15">
        <v>1</v>
      </c>
      <c r="I2975" s="15">
        <v>0</v>
      </c>
      <c r="J2975" s="216" t="s">
        <v>1296</v>
      </c>
      <c r="K2975" s="15">
        <v>0</v>
      </c>
      <c r="L2975" s="15">
        <v>1</v>
      </c>
      <c r="S2975" s="1" t="s">
        <v>10615</v>
      </c>
      <c r="T2975" s="1">
        <v>1</v>
      </c>
      <c r="U2975" s="19"/>
      <c r="V2975" s="19"/>
      <c r="W2975" s="218">
        <v>1</v>
      </c>
      <c r="X2975" s="218">
        <v>1</v>
      </c>
      <c r="Y2975" s="218">
        <v>1</v>
      </c>
    </row>
    <row r="2976" spans="1:25" x14ac:dyDescent="0.3">
      <c r="A2976" s="1" t="s">
        <v>8606</v>
      </c>
      <c r="B2976" s="102">
        <v>46207</v>
      </c>
      <c r="C2976" s="6">
        <v>0</v>
      </c>
      <c r="D2976" s="1" t="s">
        <v>7</v>
      </c>
      <c r="E2976" s="1" t="s">
        <v>969</v>
      </c>
      <c r="F2976" s="1" t="s">
        <v>8607</v>
      </c>
      <c r="G2976" s="39" t="s">
        <v>1292</v>
      </c>
      <c r="H2976" s="15">
        <v>1</v>
      </c>
      <c r="I2976" s="15">
        <v>0</v>
      </c>
      <c r="J2976" s="216" t="s">
        <v>967</v>
      </c>
      <c r="K2976" s="15">
        <v>0</v>
      </c>
      <c r="L2976" s="15">
        <v>1</v>
      </c>
      <c r="S2976" s="1" t="s">
        <v>10616</v>
      </c>
      <c r="T2976" s="1">
        <v>1</v>
      </c>
      <c r="U2976" s="19"/>
      <c r="V2976" s="19"/>
      <c r="W2976" s="218">
        <v>1</v>
      </c>
      <c r="X2976" s="218">
        <v>1</v>
      </c>
      <c r="Y2976" s="218">
        <v>1</v>
      </c>
    </row>
    <row r="2977" spans="1:25" x14ac:dyDescent="0.3">
      <c r="A2977" s="1" t="s">
        <v>8608</v>
      </c>
      <c r="B2977" s="102">
        <v>46207</v>
      </c>
      <c r="C2977" s="6">
        <v>0</v>
      </c>
      <c r="D2977" s="1" t="s">
        <v>7</v>
      </c>
      <c r="E2977" s="1" t="s">
        <v>969</v>
      </c>
      <c r="F2977" s="1" t="s">
        <v>8609</v>
      </c>
      <c r="G2977" s="39" t="s">
        <v>976</v>
      </c>
      <c r="H2977" s="15">
        <v>3</v>
      </c>
      <c r="I2977" s="15">
        <v>1</v>
      </c>
      <c r="J2977" s="216" t="s">
        <v>968</v>
      </c>
      <c r="K2977" s="15">
        <v>1</v>
      </c>
      <c r="L2977" s="15">
        <v>3</v>
      </c>
      <c r="S2977" s="1" t="s">
        <v>10617</v>
      </c>
      <c r="T2977" s="1">
        <v>1</v>
      </c>
      <c r="U2977" s="19"/>
      <c r="V2977" s="19"/>
      <c r="W2977" s="218">
        <v>1</v>
      </c>
      <c r="X2977" s="218">
        <v>1</v>
      </c>
      <c r="Y2977" s="218">
        <v>1</v>
      </c>
    </row>
    <row r="2978" spans="1:25" x14ac:dyDescent="0.3">
      <c r="A2978" s="1" t="s">
        <v>8610</v>
      </c>
      <c r="B2978" s="102">
        <v>46220</v>
      </c>
      <c r="C2978" s="6">
        <v>0</v>
      </c>
      <c r="D2978" s="1" t="s">
        <v>7</v>
      </c>
      <c r="E2978" s="1" t="s">
        <v>969</v>
      </c>
      <c r="F2978" s="1" t="s">
        <v>8611</v>
      </c>
      <c r="G2978" s="39" t="s">
        <v>1302</v>
      </c>
      <c r="H2978" s="15">
        <v>1</v>
      </c>
      <c r="I2978" s="15">
        <v>0</v>
      </c>
      <c r="J2978" s="216" t="s">
        <v>975</v>
      </c>
      <c r="K2978" s="15">
        <v>0</v>
      </c>
      <c r="L2978" s="15">
        <v>1</v>
      </c>
      <c r="S2978" s="1" t="s">
        <v>10618</v>
      </c>
      <c r="T2978" s="1">
        <v>1</v>
      </c>
      <c r="U2978" s="19"/>
      <c r="V2978" s="19"/>
      <c r="W2978" s="218">
        <v>1</v>
      </c>
      <c r="X2978" s="218">
        <v>1</v>
      </c>
      <c r="Y2978" s="218">
        <v>1</v>
      </c>
    </row>
    <row r="2979" spans="1:25" x14ac:dyDescent="0.3">
      <c r="A2979" s="1" t="s">
        <v>8612</v>
      </c>
      <c r="B2979" s="102">
        <v>46220</v>
      </c>
      <c r="C2979" s="6">
        <v>0</v>
      </c>
      <c r="D2979" s="1" t="s">
        <v>7</v>
      </c>
      <c r="E2979" s="1" t="s">
        <v>969</v>
      </c>
      <c r="F2979" s="1" t="s">
        <v>8613</v>
      </c>
      <c r="G2979" s="39" t="s">
        <v>968</v>
      </c>
      <c r="H2979" s="15">
        <v>11</v>
      </c>
      <c r="I2979" s="15">
        <v>0</v>
      </c>
      <c r="J2979" s="216" t="s">
        <v>1282</v>
      </c>
      <c r="K2979" s="15">
        <v>0</v>
      </c>
      <c r="L2979" s="15">
        <v>11</v>
      </c>
      <c r="S2979" s="1" t="s">
        <v>10619</v>
      </c>
      <c r="T2979" s="1">
        <v>1</v>
      </c>
      <c r="U2979" s="19"/>
      <c r="V2979" s="19"/>
      <c r="W2979" s="218">
        <v>1</v>
      </c>
      <c r="X2979" s="218">
        <v>1</v>
      </c>
      <c r="Y2979" s="218">
        <v>1</v>
      </c>
    </row>
    <row r="2980" spans="1:25" x14ac:dyDescent="0.3">
      <c r="A2980" s="1" t="s">
        <v>8614</v>
      </c>
      <c r="B2980" s="102">
        <v>46221</v>
      </c>
      <c r="C2980" s="6">
        <v>0</v>
      </c>
      <c r="D2980" s="1" t="s">
        <v>7</v>
      </c>
      <c r="E2980" s="1" t="s">
        <v>969</v>
      </c>
      <c r="F2980" s="1" t="s">
        <v>8615</v>
      </c>
      <c r="G2980" s="39" t="s">
        <v>1285</v>
      </c>
      <c r="H2980" s="15">
        <v>2</v>
      </c>
      <c r="I2980" s="15">
        <v>2</v>
      </c>
      <c r="J2980" s="216" t="s">
        <v>1281</v>
      </c>
      <c r="K2980" s="15">
        <v>2</v>
      </c>
      <c r="L2980" s="15">
        <v>2</v>
      </c>
      <c r="S2980" s="1" t="s">
        <v>10620</v>
      </c>
      <c r="T2980" s="1">
        <v>1</v>
      </c>
      <c r="U2980" s="19"/>
      <c r="V2980" s="19"/>
      <c r="W2980" s="218">
        <v>1</v>
      </c>
      <c r="X2980" s="218">
        <v>1</v>
      </c>
      <c r="Y2980" s="218">
        <v>1</v>
      </c>
    </row>
    <row r="2981" spans="1:25" x14ac:dyDescent="0.3">
      <c r="A2981" s="1" t="s">
        <v>8616</v>
      </c>
      <c r="B2981" s="102">
        <v>46221</v>
      </c>
      <c r="C2981" s="6">
        <v>0</v>
      </c>
      <c r="D2981" s="1" t="s">
        <v>7</v>
      </c>
      <c r="E2981" s="1" t="s">
        <v>969</v>
      </c>
      <c r="F2981" s="1" t="s">
        <v>8617</v>
      </c>
      <c r="G2981" s="39" t="s">
        <v>1296</v>
      </c>
      <c r="H2981" s="15">
        <v>1</v>
      </c>
      <c r="I2981" s="15">
        <v>0</v>
      </c>
      <c r="J2981" s="216" t="s">
        <v>976</v>
      </c>
      <c r="K2981" s="15">
        <v>0</v>
      </c>
      <c r="L2981" s="15">
        <v>1</v>
      </c>
      <c r="S2981" s="1" t="s">
        <v>10621</v>
      </c>
      <c r="T2981" s="1">
        <v>1</v>
      </c>
      <c r="U2981" s="19"/>
      <c r="V2981" s="19"/>
      <c r="W2981" s="218">
        <v>1</v>
      </c>
      <c r="X2981" s="218">
        <v>1</v>
      </c>
      <c r="Y2981" s="218">
        <v>1</v>
      </c>
    </row>
    <row r="2982" spans="1:25" x14ac:dyDescent="0.3">
      <c r="A2982" s="1" t="s">
        <v>8618</v>
      </c>
      <c r="B2982" s="102">
        <v>46222</v>
      </c>
      <c r="C2982" s="6">
        <v>0</v>
      </c>
      <c r="D2982" s="1" t="s">
        <v>7</v>
      </c>
      <c r="E2982" s="1" t="s">
        <v>969</v>
      </c>
      <c r="F2982" s="1" t="s">
        <v>8619</v>
      </c>
      <c r="G2982" s="39" t="s">
        <v>1292</v>
      </c>
      <c r="H2982" s="15">
        <v>0</v>
      </c>
      <c r="I2982" s="15">
        <v>2</v>
      </c>
      <c r="J2982" s="216" t="s">
        <v>1299</v>
      </c>
      <c r="K2982" s="15">
        <v>2</v>
      </c>
      <c r="L2982" s="15">
        <v>0</v>
      </c>
      <c r="S2982" s="1" t="s">
        <v>10622</v>
      </c>
      <c r="T2982" s="1">
        <v>1</v>
      </c>
      <c r="U2982" s="19"/>
      <c r="V2982" s="19"/>
      <c r="W2982" s="218">
        <v>1</v>
      </c>
      <c r="X2982" s="218">
        <v>1</v>
      </c>
      <c r="Y2982" s="218">
        <v>1</v>
      </c>
    </row>
    <row r="2983" spans="1:25" x14ac:dyDescent="0.3">
      <c r="A2983" s="1" t="s">
        <v>8620</v>
      </c>
      <c r="B2983" s="102">
        <v>46228</v>
      </c>
      <c r="C2983" s="6">
        <v>0</v>
      </c>
      <c r="D2983" s="1" t="s">
        <v>7</v>
      </c>
      <c r="E2983" s="1" t="s">
        <v>969</v>
      </c>
      <c r="F2983" s="1" t="s">
        <v>8621</v>
      </c>
      <c r="G2983" s="39" t="s">
        <v>1285</v>
      </c>
      <c r="H2983" s="15">
        <v>1</v>
      </c>
      <c r="I2983" s="15">
        <v>0</v>
      </c>
      <c r="J2983" s="216" t="s">
        <v>968</v>
      </c>
      <c r="K2983" s="15">
        <v>0</v>
      </c>
      <c r="L2983" s="15">
        <v>1</v>
      </c>
      <c r="S2983" s="1" t="s">
        <v>10623</v>
      </c>
      <c r="T2983" s="1">
        <v>1</v>
      </c>
      <c r="U2983" s="19"/>
      <c r="V2983" s="19"/>
      <c r="W2983" s="218">
        <v>1</v>
      </c>
      <c r="X2983" s="218">
        <v>1</v>
      </c>
      <c r="Y2983" s="218">
        <v>1</v>
      </c>
    </row>
    <row r="2984" spans="1:25" x14ac:dyDescent="0.3">
      <c r="A2984" s="1" t="s">
        <v>8622</v>
      </c>
      <c r="B2984" s="102">
        <v>46228</v>
      </c>
      <c r="C2984" s="6">
        <v>0</v>
      </c>
      <c r="D2984" s="1" t="s">
        <v>7</v>
      </c>
      <c r="E2984" s="1" t="s">
        <v>969</v>
      </c>
      <c r="F2984" s="1" t="s">
        <v>8623</v>
      </c>
      <c r="G2984" s="39" t="s">
        <v>1282</v>
      </c>
      <c r="H2984" s="15">
        <v>2</v>
      </c>
      <c r="I2984" s="15">
        <v>4</v>
      </c>
      <c r="J2984" s="216" t="s">
        <v>1296</v>
      </c>
      <c r="K2984" s="15">
        <v>4</v>
      </c>
      <c r="L2984" s="15">
        <v>2</v>
      </c>
      <c r="S2984" s="1" t="s">
        <v>10624</v>
      </c>
      <c r="T2984" s="1">
        <v>1</v>
      </c>
      <c r="U2984" s="19"/>
      <c r="V2984" s="19"/>
      <c r="W2984" s="218">
        <v>1</v>
      </c>
      <c r="X2984" s="218">
        <v>1</v>
      </c>
      <c r="Y2984" s="218">
        <v>1</v>
      </c>
    </row>
    <row r="2985" spans="1:25" x14ac:dyDescent="0.3">
      <c r="A2985" s="1" t="s">
        <v>8624</v>
      </c>
      <c r="B2985" s="102">
        <v>46228</v>
      </c>
      <c r="C2985" s="6">
        <v>0</v>
      </c>
      <c r="D2985" s="1" t="s">
        <v>7</v>
      </c>
      <c r="E2985" s="1" t="s">
        <v>969</v>
      </c>
      <c r="F2985" s="1" t="s">
        <v>8625</v>
      </c>
      <c r="G2985" s="39" t="s">
        <v>975</v>
      </c>
      <c r="H2985" s="15">
        <v>1</v>
      </c>
      <c r="I2985" s="15">
        <v>0</v>
      </c>
      <c r="J2985" s="216" t="s">
        <v>1292</v>
      </c>
      <c r="K2985" s="15">
        <v>0</v>
      </c>
      <c r="L2985" s="15">
        <v>1</v>
      </c>
      <c r="S2985" s="1" t="s">
        <v>10625</v>
      </c>
      <c r="T2985" s="1">
        <v>1</v>
      </c>
      <c r="U2985" s="19"/>
      <c r="V2985" s="19"/>
      <c r="W2985" s="218">
        <v>1</v>
      </c>
      <c r="X2985" s="218">
        <v>1</v>
      </c>
      <c r="Y2985" s="218">
        <v>1</v>
      </c>
    </row>
    <row r="2986" spans="1:25" x14ac:dyDescent="0.3">
      <c r="A2986" s="1" t="s">
        <v>8626</v>
      </c>
      <c r="B2986" s="102">
        <v>46228</v>
      </c>
      <c r="C2986" s="6">
        <v>0</v>
      </c>
      <c r="D2986" s="1" t="s">
        <v>7</v>
      </c>
      <c r="E2986" s="1" t="s">
        <v>969</v>
      </c>
      <c r="F2986" s="1" t="s">
        <v>8627</v>
      </c>
      <c r="G2986" s="39" t="s">
        <v>976</v>
      </c>
      <c r="H2986" s="15">
        <v>1</v>
      </c>
      <c r="I2986" s="15">
        <v>3</v>
      </c>
      <c r="J2986" s="216" t="s">
        <v>967</v>
      </c>
      <c r="K2986" s="15">
        <v>3</v>
      </c>
      <c r="L2986" s="15">
        <v>1</v>
      </c>
      <c r="S2986" s="1" t="s">
        <v>10626</v>
      </c>
      <c r="T2986" s="1">
        <v>1</v>
      </c>
      <c r="U2986" s="19"/>
      <c r="V2986" s="19"/>
      <c r="W2986" s="218">
        <v>1</v>
      </c>
      <c r="X2986" s="218">
        <v>1</v>
      </c>
      <c r="Y2986" s="218">
        <v>1</v>
      </c>
    </row>
    <row r="2987" spans="1:25" x14ac:dyDescent="0.3">
      <c r="A2987" s="1" t="s">
        <v>8628</v>
      </c>
      <c r="B2987" s="102">
        <v>46234</v>
      </c>
      <c r="C2987" s="6">
        <v>0</v>
      </c>
      <c r="D2987" s="1" t="s">
        <v>7</v>
      </c>
      <c r="E2987" s="1" t="s">
        <v>969</v>
      </c>
      <c r="F2987" s="1" t="s">
        <v>8629</v>
      </c>
      <c r="G2987" s="39" t="s">
        <v>1302</v>
      </c>
      <c r="H2987" s="15">
        <v>0</v>
      </c>
      <c r="I2987" s="15">
        <v>4</v>
      </c>
      <c r="J2987" s="216" t="s">
        <v>1285</v>
      </c>
      <c r="K2987" s="15">
        <v>4</v>
      </c>
      <c r="L2987" s="15">
        <v>0</v>
      </c>
      <c r="S2987" s="1" t="s">
        <v>10627</v>
      </c>
      <c r="T2987" s="1">
        <v>1</v>
      </c>
      <c r="U2987" s="19"/>
      <c r="V2987" s="19"/>
      <c r="W2987" s="218">
        <v>1</v>
      </c>
      <c r="X2987" s="218">
        <v>1</v>
      </c>
      <c r="Y2987" s="218">
        <v>1</v>
      </c>
    </row>
    <row r="2988" spans="1:25" x14ac:dyDescent="0.3">
      <c r="A2988" s="1" t="s">
        <v>8630</v>
      </c>
      <c r="B2988" s="102">
        <v>46235</v>
      </c>
      <c r="C2988" s="6">
        <v>0</v>
      </c>
      <c r="D2988" s="1" t="s">
        <v>7</v>
      </c>
      <c r="E2988" s="1" t="s">
        <v>969</v>
      </c>
      <c r="F2988" s="1" t="s">
        <v>8631</v>
      </c>
      <c r="G2988" s="39" t="s">
        <v>1296</v>
      </c>
      <c r="H2988" s="15">
        <v>0</v>
      </c>
      <c r="I2988" s="15">
        <v>1</v>
      </c>
      <c r="J2988" s="216" t="s">
        <v>968</v>
      </c>
      <c r="K2988" s="15">
        <v>1</v>
      </c>
      <c r="L2988" s="15">
        <v>0</v>
      </c>
      <c r="S2988" s="1" t="s">
        <v>10628</v>
      </c>
      <c r="T2988" s="1">
        <v>1</v>
      </c>
      <c r="U2988" s="19"/>
      <c r="V2988" s="19"/>
      <c r="W2988" s="218">
        <v>1</v>
      </c>
      <c r="X2988" s="218">
        <v>1</v>
      </c>
      <c r="Y2988" s="218">
        <v>1</v>
      </c>
    </row>
    <row r="2989" spans="1:25" x14ac:dyDescent="0.3">
      <c r="A2989" s="1" t="s">
        <v>8632</v>
      </c>
      <c r="B2989" s="102">
        <v>46235</v>
      </c>
      <c r="C2989" s="6">
        <v>0</v>
      </c>
      <c r="D2989" s="1" t="s">
        <v>7</v>
      </c>
      <c r="E2989" s="1" t="s">
        <v>969</v>
      </c>
      <c r="F2989" s="1" t="s">
        <v>8633</v>
      </c>
      <c r="G2989" s="39" t="s">
        <v>967</v>
      </c>
      <c r="H2989" s="15">
        <v>2</v>
      </c>
      <c r="I2989" s="15">
        <v>1</v>
      </c>
      <c r="J2989" s="216" t="s">
        <v>1282</v>
      </c>
      <c r="K2989" s="15">
        <v>1</v>
      </c>
      <c r="L2989" s="15">
        <v>2</v>
      </c>
      <c r="S2989" s="1" t="s">
        <v>10629</v>
      </c>
      <c r="T2989" s="1">
        <v>1</v>
      </c>
      <c r="U2989" s="19"/>
      <c r="V2989" s="19"/>
      <c r="W2989" s="218">
        <v>1</v>
      </c>
      <c r="X2989" s="218">
        <v>1</v>
      </c>
      <c r="Y2989" s="218">
        <v>1</v>
      </c>
    </row>
    <row r="2990" spans="1:25" x14ac:dyDescent="0.3">
      <c r="A2990" s="1" t="s">
        <v>8634</v>
      </c>
      <c r="B2990" s="102">
        <v>46235</v>
      </c>
      <c r="C2990" s="6">
        <v>0</v>
      </c>
      <c r="D2990" s="1" t="s">
        <v>7</v>
      </c>
      <c r="E2990" s="1" t="s">
        <v>969</v>
      </c>
      <c r="F2990" s="1" t="s">
        <v>8635</v>
      </c>
      <c r="G2990" s="39" t="s">
        <v>1292</v>
      </c>
      <c r="H2990" s="15">
        <v>4</v>
      </c>
      <c r="I2990" s="15">
        <v>3</v>
      </c>
      <c r="J2990" s="216" t="s">
        <v>1281</v>
      </c>
      <c r="K2990" s="15">
        <v>3</v>
      </c>
      <c r="L2990" s="15">
        <v>4</v>
      </c>
      <c r="S2990" s="1" t="s">
        <v>10630</v>
      </c>
      <c r="T2990" s="1">
        <v>1</v>
      </c>
      <c r="U2990" s="19"/>
      <c r="V2990" s="19"/>
      <c r="W2990" s="218">
        <v>1</v>
      </c>
      <c r="X2990" s="218">
        <v>1</v>
      </c>
      <c r="Y2990" s="218">
        <v>1</v>
      </c>
    </row>
    <row r="2991" spans="1:25" ht="14.4" x14ac:dyDescent="0.3">
      <c r="A2991" s="1" t="s">
        <v>8636</v>
      </c>
      <c r="B2991" s="102">
        <v>46235</v>
      </c>
      <c r="C2991" s="6">
        <v>0</v>
      </c>
      <c r="D2991" s="1" t="s">
        <v>7</v>
      </c>
      <c r="E2991" s="1" t="s">
        <v>969</v>
      </c>
      <c r="F2991" s="1" t="s">
        <v>8637</v>
      </c>
      <c r="G2991" s="39" t="s">
        <v>976</v>
      </c>
      <c r="H2991" s="15">
        <v>1</v>
      </c>
      <c r="I2991" s="15">
        <v>1</v>
      </c>
      <c r="J2991" s="216" t="s">
        <v>1299</v>
      </c>
      <c r="K2991" s="15">
        <v>1</v>
      </c>
      <c r="L2991" s="15">
        <v>1</v>
      </c>
      <c r="S2991" s="1" t="s">
        <v>10631</v>
      </c>
      <c r="T2991">
        <v>1</v>
      </c>
      <c r="U2991" s="19"/>
      <c r="V2991" s="19"/>
      <c r="W2991" s="218">
        <v>1</v>
      </c>
      <c r="X2991" s="218">
        <v>1</v>
      </c>
      <c r="Y2991" s="218">
        <v>1</v>
      </c>
    </row>
    <row r="2992" spans="1:25" x14ac:dyDescent="0.3">
      <c r="A2992" s="1" t="s">
        <v>8638</v>
      </c>
      <c r="B2992" s="102">
        <v>46242</v>
      </c>
      <c r="C2992" s="6">
        <v>0.6875</v>
      </c>
      <c r="D2992" s="1" t="s">
        <v>10</v>
      </c>
      <c r="E2992" s="1" t="s">
        <v>11</v>
      </c>
      <c r="F2992" s="1" t="s">
        <v>8639</v>
      </c>
      <c r="G2992" s="39" t="s">
        <v>182</v>
      </c>
      <c r="H2992" s="15">
        <v>2</v>
      </c>
      <c r="I2992" s="15">
        <v>4</v>
      </c>
      <c r="J2992" s="216" t="s">
        <v>681</v>
      </c>
      <c r="K2992" s="15">
        <v>4</v>
      </c>
      <c r="L2992" s="15">
        <v>2</v>
      </c>
      <c r="S2992" s="1" t="s">
        <v>10632</v>
      </c>
      <c r="T2992" s="1">
        <v>1</v>
      </c>
      <c r="U2992" s="19"/>
      <c r="V2992" s="19"/>
      <c r="W2992" s="218">
        <v>1</v>
      </c>
      <c r="X2992" s="218">
        <v>1</v>
      </c>
      <c r="Y2992" s="218">
        <v>1</v>
      </c>
    </row>
    <row r="2993" spans="1:25" x14ac:dyDescent="0.3">
      <c r="A2993" s="1" t="s">
        <v>8640</v>
      </c>
      <c r="B2993" s="102">
        <v>46242</v>
      </c>
      <c r="C2993" s="6">
        <v>0.59375</v>
      </c>
      <c r="D2993" s="1" t="s">
        <v>10</v>
      </c>
      <c r="E2993" s="1" t="s">
        <v>11</v>
      </c>
      <c r="F2993" s="1" t="s">
        <v>8641</v>
      </c>
      <c r="G2993" s="39" t="s">
        <v>181</v>
      </c>
      <c r="H2993" s="15">
        <v>1</v>
      </c>
      <c r="I2993" s="15">
        <v>2</v>
      </c>
      <c r="J2993" s="216" t="s">
        <v>226</v>
      </c>
      <c r="K2993" s="15">
        <v>2</v>
      </c>
      <c r="L2993" s="15">
        <v>1</v>
      </c>
      <c r="S2993" s="1" t="s">
        <v>10633</v>
      </c>
      <c r="T2993" s="1">
        <v>1</v>
      </c>
      <c r="U2993" s="19"/>
      <c r="V2993" s="19"/>
      <c r="W2993" s="218">
        <v>1</v>
      </c>
      <c r="X2993" s="218">
        <v>1</v>
      </c>
      <c r="Y2993" s="218">
        <v>1</v>
      </c>
    </row>
    <row r="2994" spans="1:25" x14ac:dyDescent="0.3">
      <c r="A2994" s="1" t="s">
        <v>8642</v>
      </c>
      <c r="B2994" s="102">
        <v>46242</v>
      </c>
      <c r="C2994" s="6">
        <v>0.5</v>
      </c>
      <c r="D2994" s="1" t="s">
        <v>10</v>
      </c>
      <c r="E2994" s="1" t="s">
        <v>11</v>
      </c>
      <c r="F2994" s="1" t="s">
        <v>8643</v>
      </c>
      <c r="G2994" s="39" t="s">
        <v>1092</v>
      </c>
      <c r="H2994" s="15">
        <v>2</v>
      </c>
      <c r="I2994" s="15">
        <v>1</v>
      </c>
      <c r="J2994" s="216" t="s">
        <v>668</v>
      </c>
      <c r="K2994" s="15">
        <v>1</v>
      </c>
      <c r="L2994" s="15">
        <v>2</v>
      </c>
      <c r="S2994" s="1" t="s">
        <v>10634</v>
      </c>
      <c r="T2994" s="1">
        <v>1</v>
      </c>
      <c r="U2994" s="19"/>
      <c r="V2994" s="19"/>
      <c r="W2994" s="218">
        <v>1</v>
      </c>
      <c r="X2994" s="218">
        <v>1</v>
      </c>
      <c r="Y2994" s="218">
        <v>1</v>
      </c>
    </row>
    <row r="2995" spans="1:25" x14ac:dyDescent="0.3">
      <c r="A2995" s="1" t="s">
        <v>8644</v>
      </c>
      <c r="B2995" s="102">
        <v>46243</v>
      </c>
      <c r="C2995" s="6">
        <v>0.6875</v>
      </c>
      <c r="D2995" s="1" t="s">
        <v>10</v>
      </c>
      <c r="E2995" s="1" t="s">
        <v>11</v>
      </c>
      <c r="F2995" s="1" t="s">
        <v>8645</v>
      </c>
      <c r="G2995" s="39" t="s">
        <v>662</v>
      </c>
      <c r="H2995" s="15">
        <v>5</v>
      </c>
      <c r="I2995" s="15">
        <v>0</v>
      </c>
      <c r="J2995" s="216" t="s">
        <v>677</v>
      </c>
      <c r="K2995" s="15">
        <v>0</v>
      </c>
      <c r="L2995" s="15">
        <v>5</v>
      </c>
      <c r="S2995" s="1" t="s">
        <v>10635</v>
      </c>
      <c r="T2995" s="1">
        <v>1</v>
      </c>
      <c r="U2995" s="19"/>
      <c r="V2995" s="19"/>
      <c r="W2995" s="218">
        <v>1</v>
      </c>
      <c r="X2995" s="218">
        <v>1</v>
      </c>
      <c r="Y2995" s="218">
        <v>1</v>
      </c>
    </row>
    <row r="2996" spans="1:25" x14ac:dyDescent="0.3">
      <c r="A2996" s="1" t="s">
        <v>8646</v>
      </c>
      <c r="B2996" s="102">
        <v>46243</v>
      </c>
      <c r="C2996" s="6">
        <v>0.59375</v>
      </c>
      <c r="D2996" s="1" t="s">
        <v>10</v>
      </c>
      <c r="E2996" s="1" t="s">
        <v>11</v>
      </c>
      <c r="F2996" s="1" t="s">
        <v>8647</v>
      </c>
      <c r="G2996" s="39" t="s">
        <v>1553</v>
      </c>
      <c r="H2996" s="15">
        <v>2</v>
      </c>
      <c r="I2996" s="15">
        <v>0</v>
      </c>
      <c r="J2996" s="216" t="s">
        <v>233</v>
      </c>
      <c r="K2996" s="15">
        <v>0</v>
      </c>
      <c r="L2996" s="15">
        <v>2</v>
      </c>
      <c r="S2996" s="1" t="s">
        <v>10636</v>
      </c>
      <c r="T2996" s="1">
        <v>1</v>
      </c>
      <c r="U2996" s="19"/>
      <c r="V2996" s="19"/>
      <c r="W2996" s="218">
        <v>1</v>
      </c>
      <c r="X2996" s="218">
        <v>1</v>
      </c>
      <c r="Y2996" s="218">
        <v>1</v>
      </c>
    </row>
    <row r="2997" spans="1:25" x14ac:dyDescent="0.3">
      <c r="A2997" s="1" t="s">
        <v>8648</v>
      </c>
      <c r="B2997" s="102">
        <v>46243</v>
      </c>
      <c r="C2997" s="6">
        <v>0.5</v>
      </c>
      <c r="D2997" s="1" t="s">
        <v>10</v>
      </c>
      <c r="E2997" s="1" t="s">
        <v>11</v>
      </c>
      <c r="F2997" s="1" t="s">
        <v>8649</v>
      </c>
      <c r="G2997" s="39" t="s">
        <v>1574</v>
      </c>
      <c r="H2997" s="15">
        <v>2</v>
      </c>
      <c r="I2997" s="15">
        <v>3</v>
      </c>
      <c r="J2997" s="216" t="s">
        <v>661</v>
      </c>
      <c r="K2997" s="15">
        <v>3</v>
      </c>
      <c r="L2997" s="15">
        <v>2</v>
      </c>
      <c r="S2997" s="1" t="s">
        <v>10637</v>
      </c>
      <c r="T2997" s="1">
        <v>1</v>
      </c>
      <c r="U2997" s="19"/>
      <c r="V2997" s="19"/>
      <c r="W2997" s="218">
        <v>1</v>
      </c>
      <c r="X2997" s="218">
        <v>1</v>
      </c>
      <c r="Y2997" s="218">
        <v>1</v>
      </c>
    </row>
    <row r="2998" spans="1:25" x14ac:dyDescent="0.3">
      <c r="A2998" s="1" t="s">
        <v>8650</v>
      </c>
      <c r="B2998" s="102">
        <v>46243</v>
      </c>
      <c r="C2998" s="6">
        <v>0.91666666666666696</v>
      </c>
      <c r="D2998" s="1" t="s">
        <v>16</v>
      </c>
      <c r="E2998" s="1" t="s">
        <v>3425</v>
      </c>
      <c r="F2998" s="1" t="s">
        <v>8651</v>
      </c>
      <c r="G2998" s="39" t="s">
        <v>3410</v>
      </c>
      <c r="H2998" s="15">
        <v>2</v>
      </c>
      <c r="I2998" s="15">
        <v>1</v>
      </c>
      <c r="J2998" s="216" t="s">
        <v>3376</v>
      </c>
      <c r="K2998" s="15">
        <v>1</v>
      </c>
      <c r="L2998" s="15">
        <v>2</v>
      </c>
      <c r="S2998" s="1" t="s">
        <v>10638</v>
      </c>
      <c r="T2998" s="1">
        <v>1</v>
      </c>
      <c r="U2998" s="19"/>
      <c r="V2998" s="19"/>
      <c r="W2998" s="218">
        <v>1</v>
      </c>
      <c r="X2998" s="218">
        <v>1</v>
      </c>
      <c r="Y2998" s="218">
        <v>1</v>
      </c>
    </row>
    <row r="2999" spans="1:25" x14ac:dyDescent="0.3">
      <c r="A2999" s="1" t="s">
        <v>8652</v>
      </c>
      <c r="B2999" s="102">
        <v>46243</v>
      </c>
      <c r="C2999" s="6">
        <v>0.8125</v>
      </c>
      <c r="D2999" s="1" t="s">
        <v>16</v>
      </c>
      <c r="E2999" s="1" t="s">
        <v>3425</v>
      </c>
      <c r="F2999" s="1" t="s">
        <v>8653</v>
      </c>
      <c r="G2999" s="39" t="s">
        <v>3414</v>
      </c>
      <c r="H2999" s="15">
        <v>1</v>
      </c>
      <c r="I2999" s="15">
        <v>2</v>
      </c>
      <c r="J2999" s="216" t="s">
        <v>222</v>
      </c>
      <c r="K2999" s="15">
        <v>2</v>
      </c>
      <c r="L2999" s="15">
        <v>1</v>
      </c>
      <c r="S2999" s="1" t="s">
        <v>10639</v>
      </c>
      <c r="T2999" s="1">
        <v>1</v>
      </c>
      <c r="U2999" s="19"/>
      <c r="V2999" s="19"/>
      <c r="W2999" s="218">
        <v>1</v>
      </c>
      <c r="X2999" s="218">
        <v>1</v>
      </c>
      <c r="Y2999" s="218">
        <v>1</v>
      </c>
    </row>
    <row r="3000" spans="1:25" x14ac:dyDescent="0.3">
      <c r="A3000" s="1" t="s">
        <v>8654</v>
      </c>
      <c r="B3000" s="102">
        <v>46243</v>
      </c>
      <c r="C3000" s="6">
        <v>0.70833333333333304</v>
      </c>
      <c r="D3000" s="1" t="s">
        <v>16</v>
      </c>
      <c r="E3000" s="1" t="s">
        <v>3425</v>
      </c>
      <c r="F3000" s="1" t="s">
        <v>8655</v>
      </c>
      <c r="G3000" s="39" t="s">
        <v>3435</v>
      </c>
      <c r="H3000" s="15">
        <v>1</v>
      </c>
      <c r="I3000" s="15">
        <v>3</v>
      </c>
      <c r="J3000" s="216" t="s">
        <v>3348</v>
      </c>
      <c r="K3000" s="15">
        <v>3</v>
      </c>
      <c r="L3000" s="15">
        <v>1</v>
      </c>
      <c r="S3000" s="1" t="s">
        <v>10640</v>
      </c>
      <c r="T3000" s="1">
        <v>1</v>
      </c>
      <c r="U3000" s="19"/>
      <c r="V3000" s="19"/>
      <c r="W3000" s="218">
        <v>1</v>
      </c>
      <c r="X3000" s="218">
        <v>1</v>
      </c>
      <c r="Y3000" s="218">
        <v>1</v>
      </c>
    </row>
    <row r="3001" spans="1:25" x14ac:dyDescent="0.3">
      <c r="A3001" s="1" t="s">
        <v>8656</v>
      </c>
      <c r="B3001" s="102">
        <v>46244</v>
      </c>
      <c r="C3001" s="6">
        <v>0.70833333333333304</v>
      </c>
      <c r="D3001" s="1" t="s">
        <v>16</v>
      </c>
      <c r="E3001" s="1" t="s">
        <v>3425</v>
      </c>
      <c r="F3001" s="1" t="s">
        <v>8657</v>
      </c>
      <c r="G3001" s="39" t="s">
        <v>3388</v>
      </c>
      <c r="H3001" s="15">
        <v>2</v>
      </c>
      <c r="I3001" s="15">
        <v>2</v>
      </c>
      <c r="J3001" s="216" t="s">
        <v>3364</v>
      </c>
      <c r="K3001" s="15">
        <v>2</v>
      </c>
      <c r="L3001" s="15">
        <v>2</v>
      </c>
      <c r="S3001" s="1" t="s">
        <v>10641</v>
      </c>
      <c r="T3001" s="1">
        <v>1</v>
      </c>
      <c r="U3001" s="19"/>
      <c r="V3001" s="19"/>
      <c r="W3001" s="218">
        <v>1</v>
      </c>
      <c r="X3001" s="218">
        <v>1</v>
      </c>
      <c r="Y3001" s="218">
        <v>1</v>
      </c>
    </row>
    <row r="3002" spans="1:25" x14ac:dyDescent="0.3">
      <c r="A3002" s="1" t="s">
        <v>8658</v>
      </c>
      <c r="B3002" s="102">
        <v>46244</v>
      </c>
      <c r="C3002" s="6">
        <v>0.77083333333333304</v>
      </c>
      <c r="D3002" s="1" t="s">
        <v>17</v>
      </c>
      <c r="E3002" s="1" t="s">
        <v>4056</v>
      </c>
      <c r="F3002" s="1" t="s">
        <v>8659</v>
      </c>
      <c r="G3002" s="39" t="s">
        <v>4206</v>
      </c>
      <c r="H3002" s="15">
        <v>2</v>
      </c>
      <c r="I3002" s="15">
        <v>1</v>
      </c>
      <c r="J3002" s="216" t="s">
        <v>4090</v>
      </c>
      <c r="K3002" s="15">
        <v>1</v>
      </c>
      <c r="L3002" s="15">
        <v>2</v>
      </c>
      <c r="S3002" s="1" t="s">
        <v>10642</v>
      </c>
      <c r="T3002" s="1">
        <v>1</v>
      </c>
      <c r="U3002" s="19"/>
      <c r="V3002" s="19"/>
      <c r="W3002" s="218">
        <v>1</v>
      </c>
      <c r="X3002" s="218">
        <v>1</v>
      </c>
      <c r="Y3002" s="218">
        <v>1</v>
      </c>
    </row>
    <row r="3003" spans="1:25" x14ac:dyDescent="0.3">
      <c r="A3003" s="1" t="s">
        <v>8660</v>
      </c>
      <c r="B3003" s="102">
        <v>46244</v>
      </c>
      <c r="C3003" s="6">
        <v>0.66666666666666696</v>
      </c>
      <c r="D3003" s="1" t="s">
        <v>17</v>
      </c>
      <c r="E3003" s="1" t="s">
        <v>4056</v>
      </c>
      <c r="F3003" s="1" t="s">
        <v>8661</v>
      </c>
      <c r="G3003" s="39" t="s">
        <v>4068</v>
      </c>
      <c r="H3003" s="15">
        <v>0</v>
      </c>
      <c r="I3003" s="15">
        <v>3</v>
      </c>
      <c r="J3003" s="216" t="s">
        <v>4077</v>
      </c>
      <c r="K3003" s="15">
        <v>3</v>
      </c>
      <c r="L3003" s="15">
        <v>0</v>
      </c>
      <c r="S3003" s="1" t="s">
        <v>10643</v>
      </c>
      <c r="T3003" s="1">
        <v>1</v>
      </c>
      <c r="U3003" s="19"/>
      <c r="V3003" s="19"/>
      <c r="W3003" s="218">
        <v>1</v>
      </c>
      <c r="X3003" s="218">
        <v>1</v>
      </c>
      <c r="Y3003" s="218">
        <v>1</v>
      </c>
    </row>
    <row r="3004" spans="1:25" ht="14.4" x14ac:dyDescent="0.3">
      <c r="A3004" s="1" t="s">
        <v>8662</v>
      </c>
      <c r="B3004" s="102">
        <v>46244</v>
      </c>
      <c r="C3004" s="6">
        <v>0.875</v>
      </c>
      <c r="D3004" s="1" t="s">
        <v>17</v>
      </c>
      <c r="E3004" s="1" t="s">
        <v>4056</v>
      </c>
      <c r="F3004" s="1" t="s">
        <v>8663</v>
      </c>
      <c r="G3004" s="39" t="s">
        <v>4062</v>
      </c>
      <c r="H3004" s="15">
        <v>1</v>
      </c>
      <c r="I3004" s="15">
        <v>2</v>
      </c>
      <c r="J3004" s="216" t="s">
        <v>147</v>
      </c>
      <c r="K3004" s="15">
        <v>2</v>
      </c>
      <c r="L3004" s="15">
        <v>1</v>
      </c>
      <c r="S3004" s="1" t="s">
        <v>10644</v>
      </c>
      <c r="T3004">
        <v>1</v>
      </c>
      <c r="U3004" s="19"/>
      <c r="V3004" s="19"/>
      <c r="W3004" s="218">
        <v>1</v>
      </c>
      <c r="X3004" s="218">
        <v>1</v>
      </c>
      <c r="Y3004" s="218">
        <v>1</v>
      </c>
    </row>
    <row r="3005" spans="1:25" x14ac:dyDescent="0.3">
      <c r="A3005" s="1" t="s">
        <v>8664</v>
      </c>
      <c r="B3005" s="102">
        <v>46242</v>
      </c>
      <c r="C3005" s="6">
        <v>0.79166666666666696</v>
      </c>
      <c r="D3005" s="1" t="s">
        <v>12</v>
      </c>
      <c r="E3005" s="1" t="s">
        <v>14</v>
      </c>
      <c r="F3005" s="1" t="s">
        <v>8665</v>
      </c>
      <c r="G3005" s="39" t="s">
        <v>84</v>
      </c>
      <c r="H3005" s="15">
        <v>0</v>
      </c>
      <c r="I3005" s="15">
        <v>1</v>
      </c>
      <c r="J3005" s="216" t="s">
        <v>92</v>
      </c>
      <c r="K3005" s="15">
        <v>1</v>
      </c>
      <c r="L3005" s="15">
        <v>0</v>
      </c>
      <c r="S3005" s="1" t="s">
        <v>10645</v>
      </c>
      <c r="T3005" s="1">
        <v>1</v>
      </c>
      <c r="U3005" s="19"/>
      <c r="V3005" s="19"/>
      <c r="W3005" s="218">
        <v>1</v>
      </c>
      <c r="X3005" s="218">
        <v>1</v>
      </c>
      <c r="Y3005" s="218">
        <v>1</v>
      </c>
    </row>
    <row r="3006" spans="1:25" x14ac:dyDescent="0.3">
      <c r="A3006" s="1" t="s">
        <v>8666</v>
      </c>
      <c r="B3006" s="102">
        <v>46242</v>
      </c>
      <c r="C3006" s="6">
        <v>0.89583333333333304</v>
      </c>
      <c r="D3006" s="1" t="s">
        <v>12</v>
      </c>
      <c r="E3006" s="1" t="s">
        <v>14</v>
      </c>
      <c r="F3006" s="1" t="s">
        <v>8667</v>
      </c>
      <c r="G3006" s="39" t="s">
        <v>124</v>
      </c>
      <c r="H3006" s="15">
        <v>2</v>
      </c>
      <c r="I3006" s="15">
        <v>1</v>
      </c>
      <c r="J3006" s="216" t="s">
        <v>1843</v>
      </c>
      <c r="K3006" s="15">
        <v>1</v>
      </c>
      <c r="L3006" s="15">
        <v>2</v>
      </c>
      <c r="S3006" s="1" t="s">
        <v>10646</v>
      </c>
      <c r="T3006" s="1">
        <v>1</v>
      </c>
      <c r="U3006" s="19"/>
      <c r="V3006" s="19"/>
      <c r="W3006" s="218">
        <v>1</v>
      </c>
      <c r="X3006" s="218">
        <v>1</v>
      </c>
      <c r="Y3006" s="218">
        <v>1</v>
      </c>
    </row>
    <row r="3007" spans="1:25" x14ac:dyDescent="0.3">
      <c r="A3007" s="1" t="s">
        <v>8668</v>
      </c>
      <c r="B3007" s="102">
        <v>46243</v>
      </c>
      <c r="C3007" s="6">
        <v>0.58333333333333304</v>
      </c>
      <c r="D3007" s="1" t="s">
        <v>12</v>
      </c>
      <c r="E3007" s="1" t="s">
        <v>14</v>
      </c>
      <c r="F3007" s="1" t="s">
        <v>8669</v>
      </c>
      <c r="G3007" s="39" t="s">
        <v>102</v>
      </c>
      <c r="H3007" s="15">
        <v>2</v>
      </c>
      <c r="I3007" s="15">
        <v>0</v>
      </c>
      <c r="J3007" s="216" t="s">
        <v>1863</v>
      </c>
      <c r="K3007" s="15">
        <v>0</v>
      </c>
      <c r="L3007" s="15">
        <v>2</v>
      </c>
      <c r="S3007" s="1" t="s">
        <v>10647</v>
      </c>
      <c r="T3007" s="1">
        <v>1</v>
      </c>
      <c r="U3007" s="19"/>
      <c r="V3007" s="19"/>
      <c r="W3007" s="218">
        <v>1</v>
      </c>
      <c r="X3007" s="218">
        <v>1</v>
      </c>
      <c r="Y3007" s="218">
        <v>1</v>
      </c>
    </row>
    <row r="3008" spans="1:25" x14ac:dyDescent="0.3">
      <c r="A3008" s="1" t="s">
        <v>8670</v>
      </c>
      <c r="B3008" s="102">
        <v>46243</v>
      </c>
      <c r="C3008" s="6">
        <v>0.79166666666666696</v>
      </c>
      <c r="D3008" s="1" t="s">
        <v>12</v>
      </c>
      <c r="E3008" s="1" t="s">
        <v>14</v>
      </c>
      <c r="F3008" s="1" t="s">
        <v>8671</v>
      </c>
      <c r="G3008" s="39" t="s">
        <v>1855</v>
      </c>
      <c r="H3008" s="15">
        <v>0</v>
      </c>
      <c r="I3008" s="15">
        <v>1</v>
      </c>
      <c r="J3008" s="216" t="s">
        <v>106</v>
      </c>
      <c r="K3008" s="15">
        <v>1</v>
      </c>
      <c r="L3008" s="15">
        <v>0</v>
      </c>
      <c r="S3008" s="1" t="s">
        <v>10648</v>
      </c>
      <c r="T3008" s="1">
        <v>1</v>
      </c>
      <c r="U3008" s="19"/>
      <c r="V3008" s="19"/>
      <c r="W3008" s="218">
        <v>1</v>
      </c>
      <c r="X3008" s="218">
        <v>1</v>
      </c>
      <c r="Y3008" s="218">
        <v>1</v>
      </c>
    </row>
    <row r="3009" spans="1:25" x14ac:dyDescent="0.3">
      <c r="A3009" s="1" t="s">
        <v>8672</v>
      </c>
      <c r="B3009" s="102">
        <v>46243</v>
      </c>
      <c r="C3009" s="6">
        <v>0.79166666666666696</v>
      </c>
      <c r="D3009" s="1" t="s">
        <v>12</v>
      </c>
      <c r="E3009" s="1" t="s">
        <v>14</v>
      </c>
      <c r="F3009" s="1" t="s">
        <v>8673</v>
      </c>
      <c r="G3009" s="39" t="s">
        <v>1852</v>
      </c>
      <c r="H3009" s="15">
        <v>1</v>
      </c>
      <c r="I3009" s="15">
        <v>1</v>
      </c>
      <c r="J3009" s="216" t="s">
        <v>88</v>
      </c>
      <c r="K3009" s="15">
        <v>1</v>
      </c>
      <c r="L3009" s="15">
        <v>1</v>
      </c>
      <c r="S3009" s="1" t="s">
        <v>10649</v>
      </c>
      <c r="T3009" s="1">
        <v>1</v>
      </c>
      <c r="U3009" s="19"/>
      <c r="V3009" s="19"/>
      <c r="W3009" s="218">
        <v>1</v>
      </c>
      <c r="X3009" s="218">
        <v>1</v>
      </c>
      <c r="Y3009" s="218">
        <v>1</v>
      </c>
    </row>
    <row r="3010" spans="1:25" x14ac:dyDescent="0.3">
      <c r="A3010" s="1" t="s">
        <v>8674</v>
      </c>
      <c r="B3010" s="102">
        <v>46243</v>
      </c>
      <c r="C3010" s="6">
        <v>0.875</v>
      </c>
      <c r="D3010" s="1" t="s">
        <v>12</v>
      </c>
      <c r="E3010" s="1" t="s">
        <v>14</v>
      </c>
      <c r="F3010" s="1" t="s">
        <v>8675</v>
      </c>
      <c r="G3010" s="39" t="s">
        <v>93</v>
      </c>
      <c r="H3010" s="15">
        <v>1</v>
      </c>
      <c r="I3010" s="15">
        <v>1</v>
      </c>
      <c r="J3010" s="216" t="s">
        <v>123</v>
      </c>
      <c r="K3010" s="15">
        <v>1</v>
      </c>
      <c r="L3010" s="15">
        <v>1</v>
      </c>
      <c r="S3010" s="1" t="s">
        <v>10650</v>
      </c>
      <c r="T3010" s="1">
        <v>1</v>
      </c>
      <c r="U3010" s="19"/>
      <c r="V3010" s="19"/>
      <c r="W3010" s="218">
        <v>1</v>
      </c>
      <c r="X3010" s="218">
        <v>1</v>
      </c>
      <c r="Y3010" s="218">
        <v>1</v>
      </c>
    </row>
    <row r="3011" spans="1:25" x14ac:dyDescent="0.3">
      <c r="A3011" s="1" t="s">
        <v>8676</v>
      </c>
      <c r="B3011" s="102">
        <v>46244</v>
      </c>
      <c r="C3011" s="6">
        <v>0.9375</v>
      </c>
      <c r="D3011" s="1" t="s">
        <v>12</v>
      </c>
      <c r="E3011" s="1" t="s">
        <v>14</v>
      </c>
      <c r="F3011" s="1" t="s">
        <v>8677</v>
      </c>
      <c r="G3011" s="39" t="s">
        <v>1885</v>
      </c>
      <c r="H3011" s="15">
        <v>1</v>
      </c>
      <c r="I3011" s="15">
        <v>0</v>
      </c>
      <c r="J3011" s="216" t="s">
        <v>1846</v>
      </c>
      <c r="K3011" s="15">
        <v>0</v>
      </c>
      <c r="L3011" s="15">
        <v>1</v>
      </c>
      <c r="S3011" s="1" t="s">
        <v>10651</v>
      </c>
      <c r="T3011" s="1">
        <v>1</v>
      </c>
      <c r="U3011" s="19"/>
      <c r="V3011" s="19"/>
      <c r="W3011" s="218">
        <v>1</v>
      </c>
      <c r="X3011" s="218">
        <v>1</v>
      </c>
      <c r="Y3011" s="218">
        <v>1</v>
      </c>
    </row>
    <row r="3012" spans="1:25" x14ac:dyDescent="0.3">
      <c r="A3012" s="1" t="s">
        <v>8678</v>
      </c>
      <c r="B3012" s="102">
        <v>46245</v>
      </c>
      <c r="C3012" s="6">
        <v>0.9375</v>
      </c>
      <c r="D3012" s="1" t="s">
        <v>12</v>
      </c>
      <c r="E3012" s="1" t="s">
        <v>14</v>
      </c>
      <c r="F3012" s="1" t="s">
        <v>8679</v>
      </c>
      <c r="G3012" s="39" t="s">
        <v>107</v>
      </c>
      <c r="H3012" s="15">
        <v>0</v>
      </c>
      <c r="I3012" s="15">
        <v>1</v>
      </c>
      <c r="J3012" s="216" t="s">
        <v>83</v>
      </c>
      <c r="K3012" s="15">
        <v>1</v>
      </c>
      <c r="L3012" s="15">
        <v>0</v>
      </c>
      <c r="S3012" s="1" t="s">
        <v>10652</v>
      </c>
      <c r="T3012" s="1">
        <v>1</v>
      </c>
      <c r="U3012" s="19"/>
      <c r="V3012" s="19"/>
      <c r="W3012" s="218">
        <v>1</v>
      </c>
      <c r="X3012" s="218">
        <v>1</v>
      </c>
      <c r="Y3012" s="218">
        <v>1</v>
      </c>
    </row>
    <row r="3013" spans="1:25" x14ac:dyDescent="0.3">
      <c r="A3013" s="1" t="s">
        <v>10806</v>
      </c>
      <c r="B3013" s="5">
        <v>46137</v>
      </c>
      <c r="C3013" s="6">
        <v>8.3333333333333329E-2</v>
      </c>
      <c r="D3013" s="1" t="s">
        <v>10807</v>
      </c>
      <c r="E3013" s="1" t="s">
        <v>10808</v>
      </c>
      <c r="F3013" s="1" t="s">
        <v>10809</v>
      </c>
      <c r="G3013" s="39" t="s">
        <v>10810</v>
      </c>
      <c r="H3013" s="15">
        <v>1</v>
      </c>
      <c r="I3013" s="15">
        <v>2</v>
      </c>
      <c r="J3013" s="216" t="s">
        <v>10811</v>
      </c>
      <c r="K3013" s="15">
        <v>2</v>
      </c>
      <c r="L3013" s="15">
        <v>1</v>
      </c>
      <c r="S3013" s="1" t="s">
        <v>10812</v>
      </c>
      <c r="T3013" s="1">
        <v>1</v>
      </c>
      <c r="U3013" s="19"/>
      <c r="V3013" s="19"/>
      <c r="W3013" s="218">
        <v>1</v>
      </c>
      <c r="X3013" s="218">
        <v>1</v>
      </c>
      <c r="Y3013" s="218">
        <v>1</v>
      </c>
    </row>
    <row r="3014" spans="1:25" x14ac:dyDescent="0.3">
      <c r="A3014" s="1" t="s">
        <v>10813</v>
      </c>
      <c r="B3014" s="5">
        <v>46137</v>
      </c>
      <c r="C3014" s="6">
        <v>0.1875</v>
      </c>
      <c r="D3014" s="1" t="s">
        <v>10807</v>
      </c>
      <c r="E3014" s="1" t="s">
        <v>10808</v>
      </c>
      <c r="F3014" s="1" t="s">
        <v>10814</v>
      </c>
      <c r="G3014" s="39" t="s">
        <v>10815</v>
      </c>
      <c r="H3014" s="15">
        <v>1</v>
      </c>
      <c r="I3014" s="15">
        <v>0</v>
      </c>
      <c r="J3014" s="216" t="s">
        <v>10816</v>
      </c>
      <c r="K3014" s="15">
        <v>0</v>
      </c>
      <c r="L3014" s="15">
        <v>1</v>
      </c>
      <c r="S3014" s="1" t="s">
        <v>10817</v>
      </c>
      <c r="T3014" s="1">
        <v>1</v>
      </c>
      <c r="U3014" s="19"/>
      <c r="V3014" s="19"/>
      <c r="W3014" s="218">
        <v>1</v>
      </c>
      <c r="X3014" s="218">
        <v>1</v>
      </c>
      <c r="Y3014" s="218">
        <v>1</v>
      </c>
    </row>
    <row r="3015" spans="1:25" x14ac:dyDescent="0.3">
      <c r="A3015" s="1" t="s">
        <v>10818</v>
      </c>
      <c r="B3015" s="5">
        <v>46144</v>
      </c>
      <c r="C3015" s="6">
        <v>0.29166666666666669</v>
      </c>
      <c r="D3015" s="1" t="s">
        <v>10807</v>
      </c>
      <c r="E3015" s="1" t="s">
        <v>10808</v>
      </c>
      <c r="F3015" s="1" t="s">
        <v>10819</v>
      </c>
      <c r="G3015" s="39" t="s">
        <v>10820</v>
      </c>
      <c r="H3015" s="15">
        <v>0</v>
      </c>
      <c r="I3015" s="15">
        <v>1</v>
      </c>
      <c r="J3015" s="216" t="s">
        <v>10821</v>
      </c>
      <c r="K3015" s="15">
        <v>1</v>
      </c>
      <c r="L3015" s="15">
        <v>0</v>
      </c>
      <c r="S3015" s="1" t="s">
        <v>10822</v>
      </c>
      <c r="T3015" s="1">
        <v>1</v>
      </c>
      <c r="U3015" s="19"/>
      <c r="V3015" s="19"/>
      <c r="W3015" s="218">
        <v>1</v>
      </c>
      <c r="X3015" s="218">
        <v>1</v>
      </c>
      <c r="Y3015" s="218">
        <v>1</v>
      </c>
    </row>
    <row r="3016" spans="1:25" x14ac:dyDescent="0.3">
      <c r="A3016" s="1" t="s">
        <v>10823</v>
      </c>
      <c r="B3016" s="5">
        <v>46144</v>
      </c>
      <c r="C3016" s="6">
        <v>8.3333333333333329E-2</v>
      </c>
      <c r="D3016" s="1" t="s">
        <v>10807</v>
      </c>
      <c r="E3016" s="1" t="s">
        <v>10808</v>
      </c>
      <c r="F3016" s="1" t="s">
        <v>10824</v>
      </c>
      <c r="G3016" s="39" t="s">
        <v>10811</v>
      </c>
      <c r="H3016" s="15">
        <v>2</v>
      </c>
      <c r="I3016" s="15">
        <v>3</v>
      </c>
      <c r="J3016" s="216" t="s">
        <v>10825</v>
      </c>
      <c r="K3016" s="15">
        <v>3</v>
      </c>
      <c r="L3016" s="15">
        <v>2</v>
      </c>
      <c r="S3016" s="1" t="s">
        <v>10826</v>
      </c>
      <c r="T3016" s="1">
        <v>1</v>
      </c>
      <c r="U3016" s="19"/>
      <c r="V3016" s="19"/>
      <c r="W3016" s="218">
        <v>1</v>
      </c>
      <c r="X3016" s="218">
        <v>1</v>
      </c>
      <c r="Y3016" s="218">
        <v>1</v>
      </c>
    </row>
    <row r="3017" spans="1:25" x14ac:dyDescent="0.3">
      <c r="A3017" s="1" t="s">
        <v>10827</v>
      </c>
      <c r="B3017" s="5">
        <v>46144</v>
      </c>
      <c r="C3017" s="6">
        <v>0.1875</v>
      </c>
      <c r="D3017" s="1" t="s">
        <v>10807</v>
      </c>
      <c r="E3017" s="1" t="s">
        <v>10808</v>
      </c>
      <c r="F3017" s="1" t="s">
        <v>10828</v>
      </c>
      <c r="G3017" s="39" t="s">
        <v>10815</v>
      </c>
      <c r="H3017" s="15">
        <v>0</v>
      </c>
      <c r="I3017" s="15">
        <v>1</v>
      </c>
      <c r="J3017" s="216" t="s">
        <v>10810</v>
      </c>
      <c r="K3017" s="15">
        <v>1</v>
      </c>
      <c r="L3017" s="15">
        <v>0</v>
      </c>
      <c r="S3017" s="1" t="s">
        <v>10829</v>
      </c>
      <c r="T3017" s="1">
        <v>1</v>
      </c>
      <c r="U3017" s="19"/>
      <c r="V3017" s="19"/>
      <c r="W3017" s="218">
        <v>1</v>
      </c>
      <c r="X3017" s="218">
        <v>1</v>
      </c>
      <c r="Y3017" s="218">
        <v>1</v>
      </c>
    </row>
    <row r="3018" spans="1:25" x14ac:dyDescent="0.3">
      <c r="A3018" s="1" t="s">
        <v>10830</v>
      </c>
      <c r="B3018" s="5">
        <v>46144</v>
      </c>
      <c r="C3018" s="6">
        <v>0.1875</v>
      </c>
      <c r="D3018" s="1" t="s">
        <v>10807</v>
      </c>
      <c r="E3018" s="1" t="s">
        <v>10808</v>
      </c>
      <c r="F3018" s="1" t="s">
        <v>10831</v>
      </c>
      <c r="G3018" s="39" t="s">
        <v>10816</v>
      </c>
      <c r="H3018" s="15">
        <v>0</v>
      </c>
      <c r="I3018" s="15">
        <v>2</v>
      </c>
      <c r="J3018" s="216" t="s">
        <v>10832</v>
      </c>
      <c r="K3018" s="15">
        <v>2</v>
      </c>
      <c r="L3018" s="15">
        <v>0</v>
      </c>
      <c r="S3018" s="1" t="s">
        <v>10833</v>
      </c>
      <c r="T3018" s="1">
        <v>1</v>
      </c>
      <c r="U3018" s="19"/>
      <c r="V3018" s="19"/>
      <c r="W3018" s="218">
        <v>1</v>
      </c>
      <c r="X3018" s="218">
        <v>1</v>
      </c>
      <c r="Y3018" s="218">
        <v>1</v>
      </c>
    </row>
    <row r="3019" spans="1:25" x14ac:dyDescent="0.3">
      <c r="A3019" s="1" t="s">
        <v>10834</v>
      </c>
      <c r="B3019" s="5">
        <v>46144</v>
      </c>
      <c r="C3019" s="6">
        <v>8.3333333333333329E-2</v>
      </c>
      <c r="D3019" s="1" t="s">
        <v>10807</v>
      </c>
      <c r="E3019" s="1" t="s">
        <v>10808</v>
      </c>
      <c r="F3019" s="1" t="s">
        <v>10835</v>
      </c>
      <c r="G3019" s="39" t="s">
        <v>10836</v>
      </c>
      <c r="H3019" s="15">
        <v>0</v>
      </c>
      <c r="I3019" s="15">
        <v>1</v>
      </c>
      <c r="J3019" s="216" t="s">
        <v>10837</v>
      </c>
      <c r="K3019" s="15">
        <v>1</v>
      </c>
      <c r="L3019" s="15">
        <v>0</v>
      </c>
      <c r="S3019" s="1" t="s">
        <v>10838</v>
      </c>
      <c r="T3019" s="1">
        <v>1</v>
      </c>
      <c r="U3019" s="19"/>
      <c r="V3019" s="19"/>
      <c r="W3019" s="218">
        <v>1</v>
      </c>
      <c r="X3019" s="218">
        <v>1</v>
      </c>
      <c r="Y3019" s="218">
        <v>1</v>
      </c>
    </row>
    <row r="3020" spans="1:25" x14ac:dyDescent="0.3">
      <c r="A3020" s="1" t="s">
        <v>10839</v>
      </c>
      <c r="B3020" s="5">
        <v>46147</v>
      </c>
      <c r="C3020" s="6">
        <v>8.3333333333333329E-2</v>
      </c>
      <c r="D3020" s="1" t="s">
        <v>10807</v>
      </c>
      <c r="E3020" s="1" t="s">
        <v>10808</v>
      </c>
      <c r="F3020" s="1" t="s">
        <v>10840</v>
      </c>
      <c r="G3020" s="39" t="s">
        <v>10821</v>
      </c>
      <c r="H3020" s="15">
        <v>0</v>
      </c>
      <c r="I3020" s="15">
        <v>1</v>
      </c>
      <c r="J3020" s="216" t="s">
        <v>10816</v>
      </c>
      <c r="K3020" s="15">
        <v>1</v>
      </c>
      <c r="L3020" s="15">
        <v>0</v>
      </c>
      <c r="S3020" s="1" t="s">
        <v>10841</v>
      </c>
      <c r="T3020" s="1">
        <v>1</v>
      </c>
      <c r="U3020" s="19"/>
      <c r="V3020" s="19"/>
      <c r="W3020" s="218">
        <v>1</v>
      </c>
      <c r="X3020" s="218">
        <v>1</v>
      </c>
      <c r="Y3020" s="218">
        <v>1</v>
      </c>
    </row>
    <row r="3021" spans="1:25" x14ac:dyDescent="0.3">
      <c r="A3021" s="1" t="s">
        <v>10842</v>
      </c>
      <c r="B3021" s="5">
        <v>46147</v>
      </c>
      <c r="C3021" s="6">
        <v>0.1875</v>
      </c>
      <c r="D3021" s="1" t="s">
        <v>10807</v>
      </c>
      <c r="E3021" s="1" t="s">
        <v>10808</v>
      </c>
      <c r="F3021" s="1" t="s">
        <v>10843</v>
      </c>
      <c r="G3021" s="39" t="s">
        <v>10844</v>
      </c>
      <c r="H3021" s="15">
        <v>0</v>
      </c>
      <c r="I3021" s="15">
        <v>0</v>
      </c>
      <c r="J3021" s="216" t="s">
        <v>10815</v>
      </c>
      <c r="K3021" s="15">
        <v>0</v>
      </c>
      <c r="L3021" s="15">
        <v>0</v>
      </c>
      <c r="S3021" s="1" t="s">
        <v>10845</v>
      </c>
      <c r="T3021" s="1">
        <v>1</v>
      </c>
      <c r="U3021" s="19"/>
      <c r="V3021" s="19"/>
      <c r="W3021" s="218">
        <v>1</v>
      </c>
      <c r="X3021" s="218">
        <v>1</v>
      </c>
      <c r="Y3021" s="218">
        <v>1</v>
      </c>
    </row>
    <row r="3022" spans="1:25" x14ac:dyDescent="0.3">
      <c r="A3022" s="1" t="s">
        <v>10846</v>
      </c>
      <c r="B3022" s="5">
        <v>46147</v>
      </c>
      <c r="C3022" s="6">
        <v>0.1875</v>
      </c>
      <c r="D3022" s="1" t="s">
        <v>10807</v>
      </c>
      <c r="E3022" s="1" t="s">
        <v>10808</v>
      </c>
      <c r="F3022" s="1" t="s">
        <v>10847</v>
      </c>
      <c r="G3022" s="39" t="s">
        <v>10810</v>
      </c>
      <c r="H3022" s="15">
        <v>1</v>
      </c>
      <c r="I3022" s="15">
        <v>1</v>
      </c>
      <c r="J3022" s="216" t="s">
        <v>10837</v>
      </c>
      <c r="K3022" s="15">
        <v>1</v>
      </c>
      <c r="L3022" s="15">
        <v>1</v>
      </c>
      <c r="S3022" s="1" t="s">
        <v>10848</v>
      </c>
      <c r="T3022" s="1">
        <v>1</v>
      </c>
      <c r="U3022" s="19"/>
      <c r="V3022" s="19"/>
      <c r="W3022" s="218">
        <v>1</v>
      </c>
      <c r="X3022" s="218">
        <v>1</v>
      </c>
      <c r="Y3022" s="218">
        <v>1</v>
      </c>
    </row>
    <row r="3023" spans="1:25" x14ac:dyDescent="0.3">
      <c r="A3023" s="1" t="s">
        <v>10849</v>
      </c>
      <c r="B3023" s="5">
        <v>46147</v>
      </c>
      <c r="C3023" s="6">
        <v>0.1875</v>
      </c>
      <c r="D3023" s="1" t="s">
        <v>10807</v>
      </c>
      <c r="E3023" s="1" t="s">
        <v>10808</v>
      </c>
      <c r="F3023" s="1" t="s">
        <v>10850</v>
      </c>
      <c r="G3023" s="39" t="s">
        <v>10825</v>
      </c>
      <c r="H3023" s="15">
        <v>1</v>
      </c>
      <c r="I3023" s="15">
        <v>2</v>
      </c>
      <c r="J3023" s="216" t="s">
        <v>10836</v>
      </c>
      <c r="K3023" s="15">
        <v>2</v>
      </c>
      <c r="L3023" s="15">
        <v>1</v>
      </c>
      <c r="S3023" s="1" t="s">
        <v>10851</v>
      </c>
      <c r="T3023" s="1">
        <v>1</v>
      </c>
      <c r="U3023" s="19"/>
      <c r="V3023" s="19"/>
      <c r="W3023" s="218">
        <v>1</v>
      </c>
      <c r="X3023" s="218">
        <v>1</v>
      </c>
      <c r="Y3023" s="218">
        <v>1</v>
      </c>
    </row>
    <row r="3024" spans="1:25" x14ac:dyDescent="0.3">
      <c r="A3024" s="1" t="s">
        <v>10852</v>
      </c>
      <c r="B3024" s="5">
        <v>46147</v>
      </c>
      <c r="C3024" s="6">
        <v>8.3333333333333329E-2</v>
      </c>
      <c r="D3024" s="1" t="s">
        <v>10807</v>
      </c>
      <c r="E3024" s="1" t="s">
        <v>10808</v>
      </c>
      <c r="F3024" s="1" t="s">
        <v>10853</v>
      </c>
      <c r="G3024" s="39" t="s">
        <v>10832</v>
      </c>
      <c r="H3024" s="15">
        <v>4</v>
      </c>
      <c r="I3024" s="15">
        <v>0</v>
      </c>
      <c r="J3024" s="216" t="s">
        <v>10854</v>
      </c>
      <c r="K3024" s="15">
        <v>0</v>
      </c>
      <c r="L3024" s="15">
        <v>4</v>
      </c>
      <c r="S3024" s="1" t="s">
        <v>10855</v>
      </c>
      <c r="T3024" s="1">
        <v>1</v>
      </c>
      <c r="U3024" s="19"/>
      <c r="V3024" s="19"/>
      <c r="W3024" s="218">
        <v>1</v>
      </c>
      <c r="X3024" s="218">
        <v>1</v>
      </c>
      <c r="Y3024" s="218">
        <v>1</v>
      </c>
    </row>
    <row r="3025" spans="1:25" x14ac:dyDescent="0.3">
      <c r="A3025" s="1" t="s">
        <v>10856</v>
      </c>
      <c r="B3025" s="5">
        <v>46151</v>
      </c>
      <c r="C3025" s="6">
        <v>0.1875</v>
      </c>
      <c r="D3025" s="1" t="s">
        <v>10807</v>
      </c>
      <c r="E3025" s="1" t="s">
        <v>10808</v>
      </c>
      <c r="F3025" s="1" t="s">
        <v>10857</v>
      </c>
      <c r="G3025" s="39" t="s">
        <v>10825</v>
      </c>
      <c r="H3025" s="15">
        <v>0</v>
      </c>
      <c r="I3025" s="15">
        <v>3</v>
      </c>
      <c r="J3025" s="216" t="s">
        <v>10815</v>
      </c>
      <c r="K3025" s="15">
        <v>3</v>
      </c>
      <c r="L3025" s="15">
        <v>0</v>
      </c>
      <c r="S3025" s="1" t="s">
        <v>10858</v>
      </c>
      <c r="T3025" s="1">
        <v>1</v>
      </c>
      <c r="U3025" s="19"/>
      <c r="V3025" s="19"/>
      <c r="W3025" s="218">
        <v>1</v>
      </c>
      <c r="X3025" s="218">
        <v>1</v>
      </c>
      <c r="Y3025" s="218">
        <v>1</v>
      </c>
    </row>
    <row r="3026" spans="1:25" x14ac:dyDescent="0.3">
      <c r="A3026" s="1" t="s">
        <v>10859</v>
      </c>
      <c r="B3026" s="5">
        <v>46151</v>
      </c>
      <c r="C3026" s="6">
        <v>0.1875</v>
      </c>
      <c r="D3026" s="1" t="s">
        <v>10807</v>
      </c>
      <c r="E3026" s="1" t="s">
        <v>10808</v>
      </c>
      <c r="F3026" s="1" t="s">
        <v>10860</v>
      </c>
      <c r="G3026" s="39" t="s">
        <v>10854</v>
      </c>
      <c r="H3026" s="15">
        <v>0</v>
      </c>
      <c r="I3026" s="15">
        <v>0</v>
      </c>
      <c r="J3026" s="216" t="s">
        <v>10810</v>
      </c>
      <c r="K3026" s="15">
        <v>0</v>
      </c>
      <c r="L3026" s="15">
        <v>0</v>
      </c>
      <c r="S3026" s="1" t="s">
        <v>10861</v>
      </c>
      <c r="T3026" s="1">
        <v>1</v>
      </c>
      <c r="U3026" s="19"/>
      <c r="V3026" s="19"/>
      <c r="W3026" s="218">
        <v>1</v>
      </c>
      <c r="X3026" s="218">
        <v>1</v>
      </c>
      <c r="Y3026" s="218">
        <v>1</v>
      </c>
    </row>
    <row r="3027" spans="1:25" x14ac:dyDescent="0.3">
      <c r="A3027" s="1" t="s">
        <v>10862</v>
      </c>
      <c r="B3027" s="5">
        <v>46152</v>
      </c>
      <c r="C3027" s="6">
        <v>0.1875</v>
      </c>
      <c r="D3027" s="1" t="s">
        <v>10807</v>
      </c>
      <c r="E3027" s="1" t="s">
        <v>10808</v>
      </c>
      <c r="F3027" s="1" t="s">
        <v>10863</v>
      </c>
      <c r="G3027" s="39" t="s">
        <v>10820</v>
      </c>
      <c r="H3027" s="15">
        <v>1</v>
      </c>
      <c r="I3027" s="15">
        <v>1</v>
      </c>
      <c r="J3027" s="216" t="s">
        <v>10832</v>
      </c>
      <c r="K3027" s="15">
        <v>1</v>
      </c>
      <c r="L3027" s="15">
        <v>1</v>
      </c>
      <c r="S3027" s="1" t="s">
        <v>10864</v>
      </c>
      <c r="T3027" s="1">
        <v>1</v>
      </c>
      <c r="U3027" s="19"/>
      <c r="V3027" s="19"/>
      <c r="W3027" s="218">
        <v>1</v>
      </c>
      <c r="X3027" s="218">
        <v>1</v>
      </c>
      <c r="Y3027" s="218">
        <v>1</v>
      </c>
    </row>
    <row r="3028" spans="1:25" x14ac:dyDescent="0.3">
      <c r="A3028" s="1" t="s">
        <v>10865</v>
      </c>
      <c r="B3028" s="5">
        <v>46152</v>
      </c>
      <c r="C3028" s="6">
        <v>8.3333333333333329E-2</v>
      </c>
      <c r="D3028" s="1" t="s">
        <v>10807</v>
      </c>
      <c r="E3028" s="1" t="s">
        <v>10808</v>
      </c>
      <c r="F3028" s="1" t="s">
        <v>10866</v>
      </c>
      <c r="G3028" s="39" t="s">
        <v>10836</v>
      </c>
      <c r="H3028" s="15">
        <v>1</v>
      </c>
      <c r="I3028" s="15">
        <v>0</v>
      </c>
      <c r="J3028" s="216" t="s">
        <v>10821</v>
      </c>
      <c r="K3028" s="15">
        <v>0</v>
      </c>
      <c r="L3028" s="15">
        <v>1</v>
      </c>
      <c r="S3028" s="1" t="s">
        <v>10867</v>
      </c>
      <c r="T3028" s="1">
        <v>1</v>
      </c>
      <c r="U3028" s="19"/>
      <c r="V3028" s="19"/>
      <c r="W3028" s="218">
        <v>1</v>
      </c>
      <c r="X3028" s="218">
        <v>1</v>
      </c>
      <c r="Y3028" s="218">
        <v>1</v>
      </c>
    </row>
    <row r="3029" spans="1:25" x14ac:dyDescent="0.3">
      <c r="A3029" s="1" t="s">
        <v>10868</v>
      </c>
      <c r="B3029" s="5">
        <v>46154</v>
      </c>
      <c r="C3029" s="6">
        <v>0.3125</v>
      </c>
      <c r="D3029" s="1" t="s">
        <v>10807</v>
      </c>
      <c r="E3029" s="1" t="s">
        <v>10808</v>
      </c>
      <c r="F3029" s="1" t="s">
        <v>10869</v>
      </c>
      <c r="G3029" s="39" t="s">
        <v>10810</v>
      </c>
      <c r="H3029" s="15">
        <v>2</v>
      </c>
      <c r="I3029" s="15">
        <v>0</v>
      </c>
      <c r="J3029" s="216" t="s">
        <v>10844</v>
      </c>
      <c r="K3029" s="15">
        <v>0</v>
      </c>
      <c r="L3029" s="15">
        <v>2</v>
      </c>
      <c r="S3029" s="1" t="s">
        <v>10870</v>
      </c>
      <c r="T3029" s="1">
        <v>1</v>
      </c>
      <c r="U3029" s="19"/>
      <c r="V3029" s="19"/>
      <c r="W3029" s="218">
        <v>1</v>
      </c>
      <c r="X3029" s="218">
        <v>1</v>
      </c>
      <c r="Y3029" s="218">
        <v>1</v>
      </c>
    </row>
    <row r="3030" spans="1:25" x14ac:dyDescent="0.3">
      <c r="A3030" s="1" t="s">
        <v>10871</v>
      </c>
      <c r="B3030" s="5">
        <v>46154</v>
      </c>
      <c r="C3030" s="6">
        <v>0.3125</v>
      </c>
      <c r="D3030" s="1" t="s">
        <v>10807</v>
      </c>
      <c r="E3030" s="1" t="s">
        <v>10808</v>
      </c>
      <c r="F3030" s="1" t="s">
        <v>10872</v>
      </c>
      <c r="G3030" s="39" t="s">
        <v>10815</v>
      </c>
      <c r="H3030" s="15">
        <v>0</v>
      </c>
      <c r="I3030" s="15">
        <v>1</v>
      </c>
      <c r="J3030" s="216" t="s">
        <v>10837</v>
      </c>
      <c r="K3030" s="15">
        <v>1</v>
      </c>
      <c r="L3030" s="15">
        <v>0</v>
      </c>
      <c r="S3030" s="1" t="s">
        <v>10873</v>
      </c>
      <c r="T3030" s="1">
        <v>1</v>
      </c>
      <c r="U3030" s="19"/>
      <c r="V3030" s="19"/>
      <c r="W3030" s="218">
        <v>1</v>
      </c>
      <c r="X3030" s="218">
        <v>1</v>
      </c>
      <c r="Y3030" s="218">
        <v>1</v>
      </c>
    </row>
    <row r="3031" spans="1:25" x14ac:dyDescent="0.3">
      <c r="A3031" s="1" t="s">
        <v>10874</v>
      </c>
      <c r="B3031" s="5">
        <v>46155</v>
      </c>
      <c r="C3031" s="6">
        <v>0.3125</v>
      </c>
      <c r="D3031" s="1" t="s">
        <v>10807</v>
      </c>
      <c r="E3031" s="1" t="s">
        <v>10808</v>
      </c>
      <c r="F3031" s="1" t="s">
        <v>10875</v>
      </c>
      <c r="G3031" s="39" t="s">
        <v>10821</v>
      </c>
      <c r="H3031" s="15">
        <v>0</v>
      </c>
      <c r="I3031" s="15">
        <v>0</v>
      </c>
      <c r="J3031" s="216" t="s">
        <v>10832</v>
      </c>
      <c r="K3031" s="15">
        <v>0</v>
      </c>
      <c r="L3031" s="15">
        <v>0</v>
      </c>
      <c r="S3031" s="1" t="s">
        <v>10876</v>
      </c>
      <c r="T3031" s="1">
        <v>1</v>
      </c>
      <c r="U3031" s="19"/>
      <c r="V3031" s="19"/>
      <c r="W3031" s="218">
        <v>1</v>
      </c>
      <c r="X3031" s="218">
        <v>1</v>
      </c>
      <c r="Y3031" s="218">
        <v>1</v>
      </c>
    </row>
    <row r="3032" spans="1:25" x14ac:dyDescent="0.3">
      <c r="A3032" s="1" t="s">
        <v>10877</v>
      </c>
      <c r="B3032" s="5">
        <v>46155</v>
      </c>
      <c r="C3032" s="6">
        <v>0.3125</v>
      </c>
      <c r="D3032" s="1" t="s">
        <v>10807</v>
      </c>
      <c r="E3032" s="1" t="s">
        <v>10808</v>
      </c>
      <c r="F3032" s="1" t="s">
        <v>10878</v>
      </c>
      <c r="G3032" s="39" t="s">
        <v>10820</v>
      </c>
      <c r="H3032" s="15">
        <v>2</v>
      </c>
      <c r="I3032" s="15">
        <v>2</v>
      </c>
      <c r="J3032" s="216" t="s">
        <v>10825</v>
      </c>
      <c r="K3032" s="15">
        <v>2</v>
      </c>
      <c r="L3032" s="15">
        <v>2</v>
      </c>
      <c r="S3032" s="1" t="s">
        <v>10879</v>
      </c>
      <c r="T3032" s="1">
        <v>1</v>
      </c>
      <c r="U3032" s="19"/>
      <c r="V3032" s="19"/>
      <c r="W3032" s="218">
        <v>1</v>
      </c>
      <c r="X3032" s="218">
        <v>1</v>
      </c>
      <c r="Y3032" s="218">
        <v>1</v>
      </c>
    </row>
    <row r="3033" spans="1:25" x14ac:dyDescent="0.3">
      <c r="A3033" s="1" t="s">
        <v>10880</v>
      </c>
      <c r="B3033" s="5">
        <v>46155</v>
      </c>
      <c r="C3033" s="6">
        <v>0.3125</v>
      </c>
      <c r="D3033" s="1" t="s">
        <v>10807</v>
      </c>
      <c r="E3033" s="1" t="s">
        <v>10808</v>
      </c>
      <c r="F3033" s="1" t="s">
        <v>10881</v>
      </c>
      <c r="G3033" s="39" t="s">
        <v>10836</v>
      </c>
      <c r="H3033" s="15">
        <v>2</v>
      </c>
      <c r="I3033" s="15">
        <v>1</v>
      </c>
      <c r="J3033" s="216" t="s">
        <v>10816</v>
      </c>
      <c r="K3033" s="15">
        <v>1</v>
      </c>
      <c r="L3033" s="15">
        <v>2</v>
      </c>
      <c r="S3033" s="1" t="s">
        <v>10882</v>
      </c>
      <c r="T3033" s="1">
        <v>1</v>
      </c>
      <c r="U3033" s="19"/>
      <c r="V3033" s="19"/>
      <c r="W3033" s="218">
        <v>1</v>
      </c>
      <c r="X3033" s="218">
        <v>1</v>
      </c>
      <c r="Y3033" s="218">
        <v>1</v>
      </c>
    </row>
    <row r="3034" spans="1:25" x14ac:dyDescent="0.3">
      <c r="A3034" s="1" t="s">
        <v>10883</v>
      </c>
      <c r="B3034" s="5">
        <v>46158</v>
      </c>
      <c r="C3034" s="6">
        <v>0.29166666666666669</v>
      </c>
      <c r="D3034" s="1" t="s">
        <v>10807</v>
      </c>
      <c r="E3034" s="1" t="s">
        <v>10808</v>
      </c>
      <c r="F3034" s="1" t="s">
        <v>10884</v>
      </c>
      <c r="G3034" s="39" t="s">
        <v>10815</v>
      </c>
      <c r="H3034" s="15">
        <v>4</v>
      </c>
      <c r="I3034" s="15">
        <v>0</v>
      </c>
      <c r="J3034" s="216" t="s">
        <v>10854</v>
      </c>
      <c r="K3034" s="15">
        <v>0</v>
      </c>
      <c r="L3034" s="15">
        <v>4</v>
      </c>
      <c r="S3034" s="1" t="s">
        <v>10885</v>
      </c>
      <c r="T3034" s="1">
        <v>1</v>
      </c>
      <c r="U3034" s="19"/>
      <c r="V3034" s="19"/>
      <c r="W3034" s="218">
        <v>1</v>
      </c>
      <c r="X3034" s="218">
        <v>1</v>
      </c>
      <c r="Y3034" s="218">
        <v>1</v>
      </c>
    </row>
    <row r="3035" spans="1:25" x14ac:dyDescent="0.3">
      <c r="A3035" s="1" t="s">
        <v>10886</v>
      </c>
      <c r="B3035" s="5">
        <v>46159</v>
      </c>
      <c r="C3035" s="6">
        <v>0.33333333333333331</v>
      </c>
      <c r="D3035" s="1" t="s">
        <v>10807</v>
      </c>
      <c r="E3035" s="1" t="s">
        <v>10808</v>
      </c>
      <c r="F3035" s="1" t="s">
        <v>10887</v>
      </c>
      <c r="G3035" s="39" t="s">
        <v>10821</v>
      </c>
      <c r="H3035" s="15">
        <v>2</v>
      </c>
      <c r="I3035" s="15">
        <v>0</v>
      </c>
      <c r="J3035" s="216" t="s">
        <v>10837</v>
      </c>
      <c r="K3035" s="15">
        <v>0</v>
      </c>
      <c r="L3035" s="15">
        <v>2</v>
      </c>
      <c r="S3035" s="1" t="s">
        <v>10888</v>
      </c>
      <c r="T3035" s="1">
        <v>1</v>
      </c>
      <c r="U3035" s="19"/>
      <c r="V3035" s="19"/>
      <c r="W3035" s="218">
        <v>1</v>
      </c>
      <c r="X3035" s="218">
        <v>1</v>
      </c>
      <c r="Y3035" s="218">
        <v>1</v>
      </c>
    </row>
    <row r="3036" spans="1:25" x14ac:dyDescent="0.3">
      <c r="A3036" s="1" t="s">
        <v>10889</v>
      </c>
      <c r="B3036" s="5">
        <v>46159</v>
      </c>
      <c r="C3036" s="6">
        <v>0.29166666666666669</v>
      </c>
      <c r="D3036" s="1" t="s">
        <v>10807</v>
      </c>
      <c r="E3036" s="1" t="s">
        <v>10808</v>
      </c>
      <c r="F3036" s="1" t="s">
        <v>10890</v>
      </c>
      <c r="G3036" s="39" t="s">
        <v>10810</v>
      </c>
      <c r="H3036" s="15">
        <v>2</v>
      </c>
      <c r="I3036" s="15">
        <v>0</v>
      </c>
      <c r="J3036" s="216" t="s">
        <v>10836</v>
      </c>
      <c r="K3036" s="15">
        <v>0</v>
      </c>
      <c r="L3036" s="15">
        <v>2</v>
      </c>
      <c r="S3036" s="1" t="s">
        <v>10891</v>
      </c>
      <c r="T3036" s="1">
        <v>1</v>
      </c>
      <c r="U3036" s="19"/>
      <c r="V3036" s="19"/>
      <c r="W3036" s="218">
        <v>1</v>
      </c>
      <c r="X3036" s="218">
        <v>1</v>
      </c>
      <c r="Y3036" s="218">
        <v>1</v>
      </c>
    </row>
    <row r="3037" spans="1:25" x14ac:dyDescent="0.3">
      <c r="A3037" s="1" t="s">
        <v>10892</v>
      </c>
      <c r="B3037" s="5">
        <v>46159</v>
      </c>
      <c r="C3037" s="6">
        <v>0.1875</v>
      </c>
      <c r="D3037" s="1" t="s">
        <v>10807</v>
      </c>
      <c r="E3037" s="1" t="s">
        <v>10808</v>
      </c>
      <c r="F3037" s="1" t="s">
        <v>10893</v>
      </c>
      <c r="G3037" s="39" t="s">
        <v>10832</v>
      </c>
      <c r="H3037" s="15">
        <v>1</v>
      </c>
      <c r="I3037" s="15">
        <v>0</v>
      </c>
      <c r="J3037" s="216" t="s">
        <v>10825</v>
      </c>
      <c r="K3037" s="15">
        <v>0</v>
      </c>
      <c r="L3037" s="15">
        <v>1</v>
      </c>
      <c r="S3037" s="1" t="s">
        <v>10894</v>
      </c>
      <c r="T3037" s="1">
        <v>1</v>
      </c>
      <c r="U3037" s="19"/>
      <c r="V3037" s="19"/>
      <c r="W3037" s="218">
        <v>1</v>
      </c>
      <c r="X3037" s="218">
        <v>1</v>
      </c>
      <c r="Y3037" s="218">
        <v>1</v>
      </c>
    </row>
    <row r="3038" spans="1:25" x14ac:dyDescent="0.3">
      <c r="A3038" s="1" t="s">
        <v>10895</v>
      </c>
      <c r="B3038" s="5">
        <v>46207</v>
      </c>
      <c r="C3038" s="6">
        <v>0.3125</v>
      </c>
      <c r="D3038" s="1" t="s">
        <v>10807</v>
      </c>
      <c r="E3038" s="1" t="s">
        <v>10808</v>
      </c>
      <c r="F3038" s="1" t="s">
        <v>10896</v>
      </c>
      <c r="G3038" s="39" t="s">
        <v>10844</v>
      </c>
      <c r="H3038" s="15">
        <v>2</v>
      </c>
      <c r="I3038" s="15">
        <v>2</v>
      </c>
      <c r="J3038" s="216" t="s">
        <v>10821</v>
      </c>
      <c r="K3038" s="15">
        <v>2</v>
      </c>
      <c r="L3038" s="15">
        <v>2</v>
      </c>
      <c r="S3038" s="1" t="s">
        <v>10897</v>
      </c>
      <c r="T3038" s="1">
        <v>1</v>
      </c>
      <c r="U3038" s="19"/>
      <c r="V3038" s="19"/>
      <c r="W3038" s="218">
        <v>1</v>
      </c>
      <c r="X3038" s="218">
        <v>1</v>
      </c>
      <c r="Y3038" s="218">
        <v>1</v>
      </c>
    </row>
    <row r="3039" spans="1:25" x14ac:dyDescent="0.3">
      <c r="A3039" s="1" t="s">
        <v>10898</v>
      </c>
      <c r="B3039" s="5">
        <v>46207</v>
      </c>
      <c r="C3039" s="6">
        <v>0.3125</v>
      </c>
      <c r="D3039" s="1" t="s">
        <v>10807</v>
      </c>
      <c r="E3039" s="1" t="s">
        <v>10808</v>
      </c>
      <c r="F3039" s="1" t="s">
        <v>10899</v>
      </c>
      <c r="G3039" s="39" t="s">
        <v>10832</v>
      </c>
      <c r="H3039" s="15">
        <v>1</v>
      </c>
      <c r="I3039" s="15">
        <v>2</v>
      </c>
      <c r="J3039" s="216" t="s">
        <v>10810</v>
      </c>
      <c r="K3039" s="15">
        <v>2</v>
      </c>
      <c r="L3039" s="15">
        <v>1</v>
      </c>
      <c r="S3039" s="1" t="s">
        <v>10900</v>
      </c>
      <c r="T3039" s="1">
        <v>1</v>
      </c>
      <c r="U3039" s="19"/>
      <c r="V3039" s="19"/>
      <c r="W3039" s="218">
        <v>1</v>
      </c>
      <c r="X3039" s="218">
        <v>1</v>
      </c>
      <c r="Y3039" s="218">
        <v>1</v>
      </c>
    </row>
    <row r="3040" spans="1:25" x14ac:dyDescent="0.3">
      <c r="A3040" s="1" t="s">
        <v>10901</v>
      </c>
      <c r="B3040" s="5">
        <v>46208</v>
      </c>
      <c r="C3040" s="6">
        <v>0.3125</v>
      </c>
      <c r="D3040" s="1" t="s">
        <v>10807</v>
      </c>
      <c r="E3040" s="1" t="s">
        <v>10808</v>
      </c>
      <c r="F3040" s="1" t="s">
        <v>10902</v>
      </c>
      <c r="G3040" s="39" t="s">
        <v>10811</v>
      </c>
      <c r="H3040" s="15">
        <v>1</v>
      </c>
      <c r="I3040" s="15">
        <v>0</v>
      </c>
      <c r="J3040" s="216" t="s">
        <v>10815</v>
      </c>
      <c r="K3040" s="15">
        <v>0</v>
      </c>
      <c r="L3040" s="15">
        <v>1</v>
      </c>
      <c r="S3040" s="1" t="s">
        <v>10903</v>
      </c>
      <c r="T3040" s="1">
        <v>1</v>
      </c>
      <c r="U3040" s="19"/>
      <c r="V3040" s="19"/>
      <c r="W3040" s="218">
        <v>1</v>
      </c>
      <c r="X3040" s="218">
        <v>1</v>
      </c>
      <c r="Y3040" s="218">
        <v>1</v>
      </c>
    </row>
    <row r="3041" spans="1:25" x14ac:dyDescent="0.3">
      <c r="A3041" s="1" t="s">
        <v>10904</v>
      </c>
      <c r="B3041" s="5">
        <v>46208</v>
      </c>
      <c r="C3041" s="6">
        <v>0.3125</v>
      </c>
      <c r="D3041" s="1" t="s">
        <v>10807</v>
      </c>
      <c r="E3041" s="1" t="s">
        <v>10808</v>
      </c>
      <c r="F3041" s="1" t="s">
        <v>10905</v>
      </c>
      <c r="G3041" s="39" t="s">
        <v>10825</v>
      </c>
      <c r="H3041" s="15">
        <v>1</v>
      </c>
      <c r="I3041" s="15">
        <v>1</v>
      </c>
      <c r="J3041" s="216" t="s">
        <v>10816</v>
      </c>
      <c r="K3041" s="15">
        <v>1</v>
      </c>
      <c r="L3041" s="15">
        <v>1</v>
      </c>
      <c r="S3041" s="1" t="s">
        <v>10906</v>
      </c>
      <c r="T3041" s="1">
        <v>1</v>
      </c>
      <c r="U3041" s="19"/>
      <c r="V3041" s="19"/>
      <c r="W3041" s="218">
        <v>1</v>
      </c>
      <c r="X3041" s="218">
        <v>1</v>
      </c>
      <c r="Y3041" s="218">
        <v>1</v>
      </c>
    </row>
    <row r="3042" spans="1:25" x14ac:dyDescent="0.3">
      <c r="A3042" s="1" t="s">
        <v>10907</v>
      </c>
      <c r="B3042" s="5">
        <v>46208</v>
      </c>
      <c r="C3042" s="6">
        <v>0.3125</v>
      </c>
      <c r="D3042" s="1" t="s">
        <v>10807</v>
      </c>
      <c r="E3042" s="1" t="s">
        <v>10808</v>
      </c>
      <c r="F3042" s="1" t="s">
        <v>10908</v>
      </c>
      <c r="G3042" s="39" t="s">
        <v>10854</v>
      </c>
      <c r="H3042" s="15">
        <v>1</v>
      </c>
      <c r="I3042" s="15">
        <v>1</v>
      </c>
      <c r="J3042" s="216" t="s">
        <v>10836</v>
      </c>
      <c r="K3042" s="15">
        <v>1</v>
      </c>
      <c r="L3042" s="15">
        <v>1</v>
      </c>
      <c r="S3042" s="1" t="s">
        <v>10909</v>
      </c>
      <c r="T3042" s="1">
        <v>1</v>
      </c>
      <c r="U3042" s="19"/>
      <c r="V3042" s="19"/>
      <c r="W3042" s="218">
        <v>1</v>
      </c>
      <c r="X3042" s="218">
        <v>1</v>
      </c>
      <c r="Y3042" s="218">
        <v>1</v>
      </c>
    </row>
    <row r="3043" spans="1:25" x14ac:dyDescent="0.3">
      <c r="A3043" s="1" t="s">
        <v>10910</v>
      </c>
      <c r="B3043" s="5">
        <v>46214</v>
      </c>
      <c r="C3043" s="6">
        <v>0.3125</v>
      </c>
      <c r="D3043" s="1" t="s">
        <v>10807</v>
      </c>
      <c r="E3043" s="1" t="s">
        <v>10808</v>
      </c>
      <c r="F3043" s="1" t="s">
        <v>10911</v>
      </c>
      <c r="G3043" s="39" t="s">
        <v>10825</v>
      </c>
      <c r="H3043" s="15">
        <v>1</v>
      </c>
      <c r="I3043" s="15">
        <v>1</v>
      </c>
      <c r="J3043" s="216" t="s">
        <v>10821</v>
      </c>
      <c r="K3043" s="15">
        <v>1</v>
      </c>
      <c r="L3043" s="15">
        <v>1</v>
      </c>
      <c r="S3043" s="1" t="s">
        <v>10912</v>
      </c>
      <c r="T3043" s="1">
        <v>1</v>
      </c>
      <c r="U3043" s="19"/>
      <c r="V3043" s="19"/>
      <c r="W3043" s="218">
        <v>1</v>
      </c>
      <c r="X3043" s="218">
        <v>1</v>
      </c>
      <c r="Y3043" s="218">
        <v>1</v>
      </c>
    </row>
    <row r="3044" spans="1:25" x14ac:dyDescent="0.3">
      <c r="A3044" s="1" t="s">
        <v>10913</v>
      </c>
      <c r="B3044" s="5">
        <v>46214</v>
      </c>
      <c r="C3044" s="6">
        <v>0.3125</v>
      </c>
      <c r="D3044" s="1" t="s">
        <v>10807</v>
      </c>
      <c r="E3044" s="1" t="s">
        <v>10808</v>
      </c>
      <c r="F3044" s="1" t="s">
        <v>10914</v>
      </c>
      <c r="G3044" s="39" t="s">
        <v>10836</v>
      </c>
      <c r="H3044" s="15">
        <v>1</v>
      </c>
      <c r="I3044" s="15">
        <v>3</v>
      </c>
      <c r="J3044" s="216" t="s">
        <v>10832</v>
      </c>
      <c r="K3044" s="15">
        <v>3</v>
      </c>
      <c r="L3044" s="15">
        <v>1</v>
      </c>
      <c r="S3044" s="1" t="s">
        <v>10915</v>
      </c>
      <c r="T3044" s="1">
        <v>1</v>
      </c>
      <c r="U3044" s="19"/>
      <c r="V3044" s="19"/>
      <c r="W3044" s="218">
        <v>1</v>
      </c>
      <c r="X3044" s="218">
        <v>1</v>
      </c>
      <c r="Y3044" s="218">
        <v>1</v>
      </c>
    </row>
    <row r="3045" spans="1:25" x14ac:dyDescent="0.3">
      <c r="A3045" s="1" t="s">
        <v>10916</v>
      </c>
      <c r="B3045" s="5">
        <v>46215</v>
      </c>
      <c r="C3045" s="6">
        <v>0.3125</v>
      </c>
      <c r="D3045" s="1" t="s">
        <v>10807</v>
      </c>
      <c r="E3045" s="1" t="s">
        <v>10808</v>
      </c>
      <c r="F3045" s="1" t="s">
        <v>10917</v>
      </c>
      <c r="G3045" s="39" t="s">
        <v>10811</v>
      </c>
      <c r="H3045" s="15">
        <v>0</v>
      </c>
      <c r="I3045" s="15">
        <v>0</v>
      </c>
      <c r="J3045" s="216" t="s">
        <v>10810</v>
      </c>
      <c r="K3045" s="15">
        <v>0</v>
      </c>
      <c r="L3045" s="15">
        <v>0</v>
      </c>
      <c r="S3045" s="1" t="s">
        <v>10918</v>
      </c>
      <c r="T3045" s="1">
        <v>1</v>
      </c>
      <c r="U3045" s="19"/>
      <c r="V3045" s="19"/>
      <c r="W3045" s="218">
        <v>1</v>
      </c>
      <c r="X3045" s="218">
        <v>1</v>
      </c>
      <c r="Y3045" s="218">
        <v>1</v>
      </c>
    </row>
    <row r="3046" spans="1:25" x14ac:dyDescent="0.3">
      <c r="A3046" s="1" t="s">
        <v>10919</v>
      </c>
      <c r="B3046" s="5">
        <v>46215</v>
      </c>
      <c r="C3046" s="6">
        <v>0.3125</v>
      </c>
      <c r="D3046" s="1" t="s">
        <v>10807</v>
      </c>
      <c r="E3046" s="1" t="s">
        <v>10808</v>
      </c>
      <c r="F3046" s="1" t="s">
        <v>10920</v>
      </c>
      <c r="G3046" s="39" t="s">
        <v>10815</v>
      </c>
      <c r="H3046" s="15">
        <v>0</v>
      </c>
      <c r="I3046" s="15">
        <v>1</v>
      </c>
      <c r="J3046" s="216" t="s">
        <v>10820</v>
      </c>
      <c r="K3046" s="15">
        <v>1</v>
      </c>
      <c r="L3046" s="15">
        <v>0</v>
      </c>
      <c r="S3046" s="1" t="s">
        <v>10921</v>
      </c>
      <c r="T3046" s="1">
        <v>1</v>
      </c>
      <c r="U3046" s="19"/>
      <c r="V3046" s="19"/>
      <c r="W3046" s="218">
        <v>1</v>
      </c>
      <c r="X3046" s="218">
        <v>1</v>
      </c>
      <c r="Y3046" s="218">
        <v>1</v>
      </c>
    </row>
    <row r="3047" spans="1:25" x14ac:dyDescent="0.3">
      <c r="A3047" s="1" t="s">
        <v>10922</v>
      </c>
      <c r="B3047" s="5">
        <v>46221</v>
      </c>
      <c r="C3047" s="6">
        <v>0.3125</v>
      </c>
      <c r="D3047" s="1" t="s">
        <v>10807</v>
      </c>
      <c r="E3047" s="1" t="s">
        <v>10808</v>
      </c>
      <c r="F3047" s="1" t="s">
        <v>10923</v>
      </c>
      <c r="G3047" s="39" t="s">
        <v>10844</v>
      </c>
      <c r="H3047" s="15">
        <v>2</v>
      </c>
      <c r="I3047" s="15">
        <v>2</v>
      </c>
      <c r="J3047" s="216" t="s">
        <v>10836</v>
      </c>
      <c r="K3047" s="15">
        <v>2</v>
      </c>
      <c r="L3047" s="15">
        <v>2</v>
      </c>
      <c r="S3047" s="1" t="s">
        <v>10924</v>
      </c>
      <c r="T3047" s="1">
        <v>1</v>
      </c>
      <c r="U3047" s="19"/>
      <c r="V3047" s="19"/>
      <c r="W3047" s="218">
        <v>1</v>
      </c>
      <c r="X3047" s="218">
        <v>1</v>
      </c>
      <c r="Y3047" s="218">
        <v>1</v>
      </c>
    </row>
    <row r="3048" spans="1:25" x14ac:dyDescent="0.3">
      <c r="A3048" s="1" t="s">
        <v>10925</v>
      </c>
      <c r="B3048" s="5">
        <v>46221</v>
      </c>
      <c r="C3048" s="6">
        <v>0.3125</v>
      </c>
      <c r="D3048" s="1" t="s">
        <v>10807</v>
      </c>
      <c r="E3048" s="1" t="s">
        <v>10808</v>
      </c>
      <c r="F3048" s="1" t="s">
        <v>10926</v>
      </c>
      <c r="G3048" s="39" t="s">
        <v>10810</v>
      </c>
      <c r="H3048" s="15">
        <v>2</v>
      </c>
      <c r="I3048" s="15">
        <v>0</v>
      </c>
      <c r="J3048" s="216" t="s">
        <v>10825</v>
      </c>
      <c r="K3048" s="15">
        <v>0</v>
      </c>
      <c r="L3048" s="15">
        <v>2</v>
      </c>
      <c r="S3048" s="1" t="s">
        <v>10927</v>
      </c>
      <c r="T3048" s="1">
        <v>1</v>
      </c>
      <c r="U3048" s="19"/>
      <c r="V3048" s="19"/>
      <c r="W3048" s="218">
        <v>1</v>
      </c>
      <c r="X3048" s="218">
        <v>1</v>
      </c>
      <c r="Y3048" s="218">
        <v>1</v>
      </c>
    </row>
    <row r="3049" spans="1:25" x14ac:dyDescent="0.3">
      <c r="A3049" s="1" t="s">
        <v>10928</v>
      </c>
      <c r="B3049" s="5">
        <v>46221</v>
      </c>
      <c r="C3049" s="6">
        <v>0.3125</v>
      </c>
      <c r="D3049" s="1" t="s">
        <v>10807</v>
      </c>
      <c r="E3049" s="1" t="s">
        <v>10808</v>
      </c>
      <c r="F3049" s="1" t="s">
        <v>10929</v>
      </c>
      <c r="G3049" s="39" t="s">
        <v>10815</v>
      </c>
      <c r="H3049" s="15">
        <v>1</v>
      </c>
      <c r="I3049" s="15">
        <v>0</v>
      </c>
      <c r="J3049" s="216" t="s">
        <v>10832</v>
      </c>
      <c r="K3049" s="15">
        <v>0</v>
      </c>
      <c r="L3049" s="15">
        <v>1</v>
      </c>
      <c r="S3049" s="1" t="s">
        <v>10930</v>
      </c>
      <c r="T3049" s="1">
        <v>1</v>
      </c>
      <c r="U3049" s="19"/>
      <c r="V3049" s="19"/>
      <c r="W3049" s="218">
        <v>1</v>
      </c>
      <c r="X3049" s="218">
        <v>1</v>
      </c>
      <c r="Y3049" s="218">
        <v>1</v>
      </c>
    </row>
    <row r="3050" spans="1:25" x14ac:dyDescent="0.3">
      <c r="A3050" s="1" t="s">
        <v>10931</v>
      </c>
      <c r="B3050" s="5">
        <v>46222</v>
      </c>
      <c r="C3050" s="6">
        <v>0.3125</v>
      </c>
      <c r="D3050" s="1" t="s">
        <v>10807</v>
      </c>
      <c r="E3050" s="1" t="s">
        <v>10808</v>
      </c>
      <c r="F3050" s="1" t="s">
        <v>10932</v>
      </c>
      <c r="G3050" s="39" t="s">
        <v>10821</v>
      </c>
      <c r="H3050" s="15">
        <v>1</v>
      </c>
      <c r="I3050" s="15">
        <v>3</v>
      </c>
      <c r="J3050" s="216" t="s">
        <v>10811</v>
      </c>
      <c r="K3050" s="15">
        <v>3</v>
      </c>
      <c r="L3050" s="15">
        <v>1</v>
      </c>
      <c r="S3050" s="1" t="s">
        <v>10933</v>
      </c>
      <c r="T3050" s="1">
        <v>1</v>
      </c>
      <c r="U3050" s="19"/>
      <c r="V3050" s="19"/>
      <c r="W3050" s="218">
        <v>1</v>
      </c>
      <c r="X3050" s="218">
        <v>1</v>
      </c>
      <c r="Y3050" s="218">
        <v>1</v>
      </c>
    </row>
    <row r="3051" spans="1:25" x14ac:dyDescent="0.3">
      <c r="A3051" s="1" t="s">
        <v>10934</v>
      </c>
      <c r="B3051" s="5">
        <v>46224</v>
      </c>
      <c r="C3051" s="6">
        <v>0.3125</v>
      </c>
      <c r="D3051" s="1" t="s">
        <v>10807</v>
      </c>
      <c r="E3051" s="1" t="s">
        <v>10808</v>
      </c>
      <c r="F3051" s="1" t="s">
        <v>10935</v>
      </c>
      <c r="G3051" s="39" t="s">
        <v>10816</v>
      </c>
      <c r="H3051" s="15">
        <v>1</v>
      </c>
      <c r="I3051" s="15">
        <v>1</v>
      </c>
      <c r="J3051" s="216" t="s">
        <v>10810</v>
      </c>
      <c r="K3051" s="15">
        <v>1</v>
      </c>
      <c r="L3051" s="15">
        <v>1</v>
      </c>
      <c r="S3051" s="1" t="s">
        <v>10936</v>
      </c>
      <c r="T3051" s="1">
        <v>1</v>
      </c>
      <c r="U3051" s="19"/>
      <c r="V3051" s="19"/>
      <c r="W3051" s="218">
        <v>1</v>
      </c>
      <c r="X3051" s="218">
        <v>1</v>
      </c>
      <c r="Y3051" s="218">
        <v>1</v>
      </c>
    </row>
    <row r="3052" spans="1:25" x14ac:dyDescent="0.3">
      <c r="A3052" s="1" t="s">
        <v>10937</v>
      </c>
      <c r="B3052" s="5">
        <v>46224</v>
      </c>
      <c r="C3052" s="6">
        <v>0.3125</v>
      </c>
      <c r="D3052" s="1" t="s">
        <v>10807</v>
      </c>
      <c r="E3052" s="1" t="s">
        <v>10808</v>
      </c>
      <c r="F3052" s="1" t="s">
        <v>10938</v>
      </c>
      <c r="G3052" s="39" t="s">
        <v>10832</v>
      </c>
      <c r="H3052" s="15">
        <v>0</v>
      </c>
      <c r="I3052" s="15">
        <v>0</v>
      </c>
      <c r="J3052" s="216" t="s">
        <v>10844</v>
      </c>
      <c r="K3052" s="15">
        <v>0</v>
      </c>
      <c r="L3052" s="15">
        <v>0</v>
      </c>
      <c r="S3052" s="1" t="s">
        <v>10939</v>
      </c>
      <c r="T3052" s="1">
        <v>1</v>
      </c>
      <c r="U3052" s="19"/>
      <c r="V3052" s="19"/>
      <c r="W3052" s="218">
        <v>1</v>
      </c>
      <c r="X3052" s="218">
        <v>1</v>
      </c>
      <c r="Y3052" s="218">
        <v>1</v>
      </c>
    </row>
    <row r="3053" spans="1:25" x14ac:dyDescent="0.3">
      <c r="A3053" s="1" t="s">
        <v>10940</v>
      </c>
      <c r="B3053" s="5">
        <v>46224</v>
      </c>
      <c r="C3053" s="6">
        <v>0.3125</v>
      </c>
      <c r="D3053" s="1" t="s">
        <v>10807</v>
      </c>
      <c r="E3053" s="1" t="s">
        <v>10808</v>
      </c>
      <c r="F3053" s="1" t="s">
        <v>10941</v>
      </c>
      <c r="G3053" s="39" t="s">
        <v>10836</v>
      </c>
      <c r="H3053" s="15">
        <v>1</v>
      </c>
      <c r="I3053" s="15">
        <v>2</v>
      </c>
      <c r="J3053" s="216" t="s">
        <v>10815</v>
      </c>
      <c r="K3053" s="15">
        <v>2</v>
      </c>
      <c r="L3053" s="15">
        <v>1</v>
      </c>
      <c r="S3053" s="1" t="s">
        <v>10942</v>
      </c>
      <c r="T3053" s="1">
        <v>1</v>
      </c>
      <c r="U3053" s="19"/>
      <c r="V3053" s="19"/>
      <c r="W3053" s="218">
        <v>1</v>
      </c>
      <c r="X3053" s="218">
        <v>1</v>
      </c>
      <c r="Y3053" s="218">
        <v>1</v>
      </c>
    </row>
    <row r="3054" spans="1:25" x14ac:dyDescent="0.3">
      <c r="A3054" s="1" t="s">
        <v>10943</v>
      </c>
      <c r="B3054" s="5">
        <v>46225</v>
      </c>
      <c r="C3054" s="6">
        <v>0.3125</v>
      </c>
      <c r="D3054" s="1" t="s">
        <v>10807</v>
      </c>
      <c r="E3054" s="1" t="s">
        <v>10808</v>
      </c>
      <c r="F3054" s="1" t="s">
        <v>10944</v>
      </c>
      <c r="G3054" s="39" t="s">
        <v>10821</v>
      </c>
      <c r="H3054" s="15">
        <v>2</v>
      </c>
      <c r="I3054" s="15">
        <v>3</v>
      </c>
      <c r="J3054" s="216" t="s">
        <v>10820</v>
      </c>
      <c r="K3054" s="15">
        <v>3</v>
      </c>
      <c r="L3054" s="15">
        <v>2</v>
      </c>
      <c r="S3054" s="1" t="s">
        <v>10945</v>
      </c>
      <c r="T3054" s="1">
        <v>1</v>
      </c>
      <c r="U3054" s="19"/>
      <c r="V3054" s="19"/>
      <c r="W3054" s="218">
        <v>1</v>
      </c>
      <c r="X3054" s="218">
        <v>1</v>
      </c>
      <c r="Y3054" s="218">
        <v>1</v>
      </c>
    </row>
    <row r="3055" spans="1:25" x14ac:dyDescent="0.3">
      <c r="A3055" s="1" t="s">
        <v>10946</v>
      </c>
      <c r="B3055" s="5">
        <v>46225</v>
      </c>
      <c r="C3055" s="6">
        <v>0.3125</v>
      </c>
      <c r="D3055" s="1" t="s">
        <v>10807</v>
      </c>
      <c r="E3055" s="1" t="s">
        <v>10808</v>
      </c>
      <c r="F3055" s="1" t="s">
        <v>10947</v>
      </c>
      <c r="G3055" s="39" t="s">
        <v>10854</v>
      </c>
      <c r="H3055" s="15">
        <v>1</v>
      </c>
      <c r="I3055" s="15">
        <v>1</v>
      </c>
      <c r="J3055" s="216" t="s">
        <v>10825</v>
      </c>
      <c r="K3055" s="15">
        <v>1</v>
      </c>
      <c r="L3055" s="15">
        <v>1</v>
      </c>
      <c r="S3055" s="1" t="s">
        <v>10948</v>
      </c>
      <c r="T3055" s="1">
        <v>1</v>
      </c>
      <c r="U3055" s="19"/>
      <c r="V3055" s="19"/>
      <c r="W3055" s="218">
        <v>1</v>
      </c>
      <c r="X3055" s="218">
        <v>1</v>
      </c>
      <c r="Y3055" s="218">
        <v>1</v>
      </c>
    </row>
    <row r="3056" spans="1:25" x14ac:dyDescent="0.3">
      <c r="A3056" s="1" t="s">
        <v>10949</v>
      </c>
      <c r="B3056" s="5">
        <v>46228</v>
      </c>
      <c r="C3056" s="6">
        <v>0.3125</v>
      </c>
      <c r="D3056" s="1" t="s">
        <v>10807</v>
      </c>
      <c r="E3056" s="1" t="s">
        <v>10808</v>
      </c>
      <c r="F3056" s="1" t="s">
        <v>10950</v>
      </c>
      <c r="G3056" s="39" t="s">
        <v>10825</v>
      </c>
      <c r="H3056" s="15">
        <v>3</v>
      </c>
      <c r="I3056" s="15">
        <v>2</v>
      </c>
      <c r="J3056" s="216" t="s">
        <v>10844</v>
      </c>
      <c r="K3056" s="15">
        <v>2</v>
      </c>
      <c r="L3056" s="15">
        <v>3</v>
      </c>
      <c r="S3056" s="1" t="s">
        <v>10951</v>
      </c>
      <c r="T3056" s="1">
        <v>1</v>
      </c>
      <c r="U3056" s="19"/>
      <c r="V3056" s="19"/>
      <c r="W3056" s="218">
        <v>1</v>
      </c>
      <c r="X3056" s="218">
        <v>1</v>
      </c>
      <c r="Y3056" s="218">
        <v>1</v>
      </c>
    </row>
    <row r="3057" spans="1:25" x14ac:dyDescent="0.3">
      <c r="A3057" s="1" t="s">
        <v>10952</v>
      </c>
      <c r="B3057" s="5">
        <v>46228</v>
      </c>
      <c r="C3057" s="6">
        <v>0.3125</v>
      </c>
      <c r="D3057" s="1" t="s">
        <v>10807</v>
      </c>
      <c r="E3057" s="1" t="s">
        <v>10808</v>
      </c>
      <c r="F3057" s="1" t="s">
        <v>10953</v>
      </c>
      <c r="G3057" s="39" t="s">
        <v>10837</v>
      </c>
      <c r="H3057" s="15">
        <v>0</v>
      </c>
      <c r="I3057" s="15">
        <v>2</v>
      </c>
      <c r="J3057" s="216" t="s">
        <v>10832</v>
      </c>
      <c r="K3057" s="15">
        <v>2</v>
      </c>
      <c r="L3057" s="15">
        <v>0</v>
      </c>
      <c r="S3057" s="1" t="s">
        <v>10954</v>
      </c>
      <c r="T3057" s="1">
        <v>1</v>
      </c>
      <c r="U3057" s="19"/>
      <c r="V3057" s="19"/>
      <c r="W3057" s="218">
        <v>1</v>
      </c>
      <c r="X3057" s="218">
        <v>1</v>
      </c>
      <c r="Y3057" s="218">
        <v>1</v>
      </c>
    </row>
    <row r="3058" spans="1:25" x14ac:dyDescent="0.3">
      <c r="A3058" s="1" t="s">
        <v>10955</v>
      </c>
      <c r="B3058" s="5">
        <v>46229</v>
      </c>
      <c r="C3058" s="6">
        <v>0.3125</v>
      </c>
      <c r="D3058" s="1" t="s">
        <v>10807</v>
      </c>
      <c r="E3058" s="1" t="s">
        <v>10808</v>
      </c>
      <c r="F3058" s="1" t="s">
        <v>10956</v>
      </c>
      <c r="G3058" s="39" t="s">
        <v>10820</v>
      </c>
      <c r="H3058" s="15">
        <v>2</v>
      </c>
      <c r="I3058" s="15">
        <v>1</v>
      </c>
      <c r="J3058" s="216" t="s">
        <v>10810</v>
      </c>
      <c r="K3058" s="15">
        <v>1</v>
      </c>
      <c r="L3058" s="15">
        <v>2</v>
      </c>
      <c r="S3058" s="1" t="s">
        <v>10957</v>
      </c>
      <c r="T3058" s="1">
        <v>1</v>
      </c>
      <c r="U3058" s="19"/>
      <c r="V3058" s="19"/>
      <c r="W3058" s="218">
        <v>1</v>
      </c>
      <c r="X3058" s="218">
        <v>1</v>
      </c>
      <c r="Y3058" s="218">
        <v>1</v>
      </c>
    </row>
    <row r="3059" spans="1:25" x14ac:dyDescent="0.3">
      <c r="A3059" s="1" t="s">
        <v>10958</v>
      </c>
      <c r="B3059" s="5">
        <v>46229</v>
      </c>
      <c r="C3059" s="6">
        <v>0.3125</v>
      </c>
      <c r="D3059" s="1" t="s">
        <v>10807</v>
      </c>
      <c r="E3059" s="1" t="s">
        <v>10808</v>
      </c>
      <c r="F3059" s="1" t="s">
        <v>10959</v>
      </c>
      <c r="G3059" s="39" t="s">
        <v>10811</v>
      </c>
      <c r="H3059" s="15">
        <v>1</v>
      </c>
      <c r="I3059" s="15">
        <v>3</v>
      </c>
      <c r="J3059" s="216" t="s">
        <v>10836</v>
      </c>
      <c r="K3059" s="15">
        <v>3</v>
      </c>
      <c r="L3059" s="15">
        <v>1</v>
      </c>
      <c r="S3059" s="1" t="s">
        <v>10960</v>
      </c>
      <c r="T3059" s="1">
        <v>1</v>
      </c>
      <c r="U3059" s="19"/>
      <c r="V3059" s="19"/>
      <c r="W3059" s="218">
        <v>1</v>
      </c>
      <c r="X3059" s="218">
        <v>1</v>
      </c>
      <c r="Y3059" s="218">
        <v>1</v>
      </c>
    </row>
    <row r="3060" spans="1:25" x14ac:dyDescent="0.3">
      <c r="A3060" s="1" t="s">
        <v>10961</v>
      </c>
      <c r="B3060" s="5">
        <v>46229</v>
      </c>
      <c r="C3060" s="6">
        <v>0.3125</v>
      </c>
      <c r="D3060" s="1" t="s">
        <v>10807</v>
      </c>
      <c r="E3060" s="1" t="s">
        <v>10808</v>
      </c>
      <c r="F3060" s="1" t="s">
        <v>10962</v>
      </c>
      <c r="G3060" s="39" t="s">
        <v>10815</v>
      </c>
      <c r="H3060" s="15">
        <v>1</v>
      </c>
      <c r="I3060" s="15">
        <v>1</v>
      </c>
      <c r="J3060" s="216" t="s">
        <v>10821</v>
      </c>
      <c r="K3060" s="15">
        <v>1</v>
      </c>
      <c r="L3060" s="15">
        <v>1</v>
      </c>
      <c r="S3060" s="1" t="s">
        <v>10963</v>
      </c>
      <c r="T3060" s="1">
        <v>1</v>
      </c>
      <c r="U3060" s="19"/>
      <c r="V3060" s="19"/>
      <c r="W3060" s="218">
        <v>1</v>
      </c>
      <c r="X3060" s="218">
        <v>1</v>
      </c>
      <c r="Y3060" s="218">
        <v>1</v>
      </c>
    </row>
    <row r="3061" spans="1:25" x14ac:dyDescent="0.3">
      <c r="A3061" s="1" t="s">
        <v>10964</v>
      </c>
      <c r="B3061" s="5">
        <v>46235</v>
      </c>
      <c r="C3061" s="6">
        <v>0.3125</v>
      </c>
      <c r="D3061" s="1" t="s">
        <v>10807</v>
      </c>
      <c r="E3061" s="1" t="s">
        <v>10808</v>
      </c>
      <c r="F3061" s="1" t="s">
        <v>10965</v>
      </c>
      <c r="G3061" s="39" t="s">
        <v>10810</v>
      </c>
      <c r="H3061" s="15">
        <v>0</v>
      </c>
      <c r="I3061" s="15">
        <v>3</v>
      </c>
      <c r="J3061" s="216" t="s">
        <v>10821</v>
      </c>
      <c r="K3061" s="15">
        <v>3</v>
      </c>
      <c r="L3061" s="15">
        <v>0</v>
      </c>
      <c r="S3061" s="1" t="s">
        <v>10966</v>
      </c>
      <c r="T3061" s="1">
        <v>1</v>
      </c>
      <c r="U3061" s="19"/>
      <c r="V3061" s="19"/>
      <c r="W3061" s="218">
        <v>1</v>
      </c>
      <c r="X3061" s="218">
        <v>1</v>
      </c>
      <c r="Y3061" s="218">
        <v>1</v>
      </c>
    </row>
    <row r="3062" spans="1:25" x14ac:dyDescent="0.3">
      <c r="A3062" s="1" t="s">
        <v>10967</v>
      </c>
      <c r="B3062" s="5">
        <v>46235</v>
      </c>
      <c r="C3062" s="6">
        <v>0.3125</v>
      </c>
      <c r="D3062" s="1" t="s">
        <v>10807</v>
      </c>
      <c r="E3062" s="1" t="s">
        <v>10808</v>
      </c>
      <c r="F3062" s="1" t="s">
        <v>10968</v>
      </c>
      <c r="G3062" s="39" t="s">
        <v>10832</v>
      </c>
      <c r="H3062" s="15">
        <v>0</v>
      </c>
      <c r="I3062" s="15">
        <v>0</v>
      </c>
      <c r="J3062" s="216" t="s">
        <v>10811</v>
      </c>
      <c r="K3062" s="15">
        <v>0</v>
      </c>
      <c r="L3062" s="15">
        <v>0</v>
      </c>
      <c r="S3062" s="1" t="s">
        <v>10969</v>
      </c>
      <c r="T3062" s="1">
        <v>1</v>
      </c>
      <c r="U3062" s="19"/>
      <c r="V3062" s="19"/>
      <c r="W3062" s="218">
        <v>1</v>
      </c>
      <c r="X3062" s="218">
        <v>1</v>
      </c>
      <c r="Y3062" s="218">
        <v>1</v>
      </c>
    </row>
    <row r="3063" spans="1:25" x14ac:dyDescent="0.3">
      <c r="A3063" s="1" t="s">
        <v>10970</v>
      </c>
      <c r="B3063" s="5">
        <v>46235</v>
      </c>
      <c r="C3063" s="6">
        <v>0.3125</v>
      </c>
      <c r="D3063" s="1" t="s">
        <v>10807</v>
      </c>
      <c r="E3063" s="1" t="s">
        <v>10808</v>
      </c>
      <c r="F3063" s="1" t="s">
        <v>10971</v>
      </c>
      <c r="G3063" s="39" t="s">
        <v>10837</v>
      </c>
      <c r="H3063" s="15">
        <v>0</v>
      </c>
      <c r="I3063" s="15">
        <v>1</v>
      </c>
      <c r="J3063" s="216" t="s">
        <v>10825</v>
      </c>
      <c r="K3063" s="15">
        <v>1</v>
      </c>
      <c r="L3063" s="15">
        <v>0</v>
      </c>
      <c r="S3063" s="1" t="s">
        <v>10972</v>
      </c>
      <c r="T3063" s="1">
        <v>1</v>
      </c>
      <c r="U3063" s="19"/>
      <c r="V3063" s="19"/>
      <c r="W3063" s="218">
        <v>1</v>
      </c>
      <c r="X3063" s="218">
        <v>1</v>
      </c>
      <c r="Y3063" s="218">
        <v>1</v>
      </c>
    </row>
    <row r="3064" spans="1:25" x14ac:dyDescent="0.3">
      <c r="A3064" s="1" t="s">
        <v>10973</v>
      </c>
      <c r="B3064" s="5">
        <v>46236</v>
      </c>
      <c r="C3064" s="6">
        <v>0.3125</v>
      </c>
      <c r="D3064" s="1" t="s">
        <v>10807</v>
      </c>
      <c r="E3064" s="1" t="s">
        <v>10808</v>
      </c>
      <c r="F3064" s="1" t="s">
        <v>10974</v>
      </c>
      <c r="G3064" s="39" t="s">
        <v>10816</v>
      </c>
      <c r="H3064" s="15">
        <v>3</v>
      </c>
      <c r="I3064" s="15">
        <v>3</v>
      </c>
      <c r="J3064" s="216" t="s">
        <v>10815</v>
      </c>
      <c r="K3064" s="15">
        <v>3</v>
      </c>
      <c r="L3064" s="15">
        <v>3</v>
      </c>
      <c r="S3064" s="1" t="s">
        <v>10975</v>
      </c>
      <c r="T3064" s="1">
        <v>1</v>
      </c>
      <c r="U3064" s="19"/>
      <c r="V3064" s="19"/>
      <c r="W3064" s="218">
        <v>1</v>
      </c>
      <c r="X3064" s="218">
        <v>1</v>
      </c>
      <c r="Y3064" s="218">
        <v>1</v>
      </c>
    </row>
    <row r="3065" spans="1:25" x14ac:dyDescent="0.3">
      <c r="A3065" s="1" t="s">
        <v>10976</v>
      </c>
      <c r="B3065" s="5">
        <v>46236</v>
      </c>
      <c r="C3065" s="6">
        <v>0.3125</v>
      </c>
      <c r="D3065" s="1" t="s">
        <v>10807</v>
      </c>
      <c r="E3065" s="1" t="s">
        <v>10808</v>
      </c>
      <c r="F3065" s="1" t="s">
        <v>10977</v>
      </c>
      <c r="G3065" s="39" t="s">
        <v>10836</v>
      </c>
      <c r="H3065" s="15">
        <v>3</v>
      </c>
      <c r="I3065" s="15">
        <v>1</v>
      </c>
      <c r="J3065" s="216" t="s">
        <v>10820</v>
      </c>
      <c r="K3065" s="15">
        <v>1</v>
      </c>
      <c r="L3065" s="15">
        <v>3</v>
      </c>
      <c r="S3065" s="1" t="s">
        <v>10978</v>
      </c>
      <c r="T3065" s="1">
        <v>1</v>
      </c>
      <c r="U3065" s="19"/>
      <c r="V3065" s="19"/>
      <c r="W3065" s="218">
        <v>1</v>
      </c>
      <c r="X3065" s="218">
        <v>1</v>
      </c>
      <c r="Y3065" s="218">
        <v>1</v>
      </c>
    </row>
    <row r="3066" spans="1:25" x14ac:dyDescent="0.3">
      <c r="A3066" s="1" t="s">
        <v>10979</v>
      </c>
      <c r="B3066" s="5">
        <v>46242</v>
      </c>
      <c r="C3066" s="6">
        <v>0.33333333333333331</v>
      </c>
      <c r="D3066" s="1" t="s">
        <v>10807</v>
      </c>
      <c r="E3066" s="1" t="s">
        <v>10808</v>
      </c>
      <c r="F3066" s="1" t="s">
        <v>10980</v>
      </c>
      <c r="G3066" s="39" t="s">
        <v>10821</v>
      </c>
      <c r="H3066" s="15">
        <v>0</v>
      </c>
      <c r="I3066" s="15">
        <v>0</v>
      </c>
      <c r="J3066" s="216" t="s">
        <v>10854</v>
      </c>
      <c r="K3066" s="15">
        <v>0</v>
      </c>
      <c r="L3066" s="15">
        <v>0</v>
      </c>
      <c r="S3066" s="1" t="s">
        <v>10981</v>
      </c>
      <c r="T3066" s="1">
        <v>1</v>
      </c>
      <c r="U3066" s="19"/>
      <c r="V3066" s="19"/>
      <c r="W3066" s="218">
        <v>1</v>
      </c>
      <c r="X3066" s="218">
        <v>1</v>
      </c>
      <c r="Y3066" s="218">
        <v>1</v>
      </c>
    </row>
    <row r="3067" spans="1:25" x14ac:dyDescent="0.3">
      <c r="A3067" s="1" t="s">
        <v>10982</v>
      </c>
      <c r="B3067" s="5">
        <v>46242</v>
      </c>
      <c r="C3067" s="6">
        <v>0.33333333333333331</v>
      </c>
      <c r="D3067" s="1" t="s">
        <v>10807</v>
      </c>
      <c r="E3067" s="1" t="s">
        <v>10808</v>
      </c>
      <c r="F3067" s="1" t="s">
        <v>10983</v>
      </c>
      <c r="G3067" s="39" t="s">
        <v>10825</v>
      </c>
      <c r="H3067" s="15">
        <v>0</v>
      </c>
      <c r="I3067" s="15">
        <v>0</v>
      </c>
      <c r="J3067" s="216" t="s">
        <v>10811</v>
      </c>
      <c r="K3067" s="15">
        <v>0</v>
      </c>
      <c r="L3067" s="15">
        <v>0</v>
      </c>
      <c r="S3067" s="1" t="s">
        <v>10984</v>
      </c>
      <c r="T3067" s="1">
        <v>1</v>
      </c>
      <c r="U3067" s="19"/>
      <c r="V3067" s="19"/>
      <c r="W3067" s="218">
        <v>1</v>
      </c>
      <c r="X3067" s="218">
        <v>1</v>
      </c>
      <c r="Y3067" s="218">
        <v>1</v>
      </c>
    </row>
    <row r="3068" spans="1:25" x14ac:dyDescent="0.3">
      <c r="A3068" s="1" t="s">
        <v>10985</v>
      </c>
      <c r="B3068" s="5">
        <v>46242</v>
      </c>
      <c r="C3068" s="6">
        <v>0.33333333333333331</v>
      </c>
      <c r="D3068" s="1" t="s">
        <v>10807</v>
      </c>
      <c r="E3068" s="1" t="s">
        <v>10808</v>
      </c>
      <c r="F3068" s="1" t="s">
        <v>10986</v>
      </c>
      <c r="G3068" s="39" t="s">
        <v>10832</v>
      </c>
      <c r="H3068" s="15">
        <v>1</v>
      </c>
      <c r="I3068" s="15">
        <v>3</v>
      </c>
      <c r="J3068" s="216" t="s">
        <v>10816</v>
      </c>
      <c r="K3068" s="15">
        <v>3</v>
      </c>
      <c r="L3068" s="15">
        <v>1</v>
      </c>
      <c r="S3068" s="1" t="s">
        <v>10987</v>
      </c>
      <c r="T3068" s="1">
        <v>1</v>
      </c>
      <c r="U3068" s="19"/>
      <c r="V3068" s="19"/>
      <c r="W3068" s="218">
        <v>1</v>
      </c>
      <c r="X3068" s="218">
        <v>1</v>
      </c>
      <c r="Y3068" s="218">
        <v>1</v>
      </c>
    </row>
    <row r="3069" spans="1:25" x14ac:dyDescent="0.3">
      <c r="A3069" s="1" t="s">
        <v>10988</v>
      </c>
      <c r="B3069" s="5">
        <v>46242</v>
      </c>
      <c r="C3069" s="6">
        <v>0.33333333333333331</v>
      </c>
      <c r="D3069" s="1" t="s">
        <v>10807</v>
      </c>
      <c r="E3069" s="1" t="s">
        <v>10808</v>
      </c>
      <c r="F3069" s="1" t="s">
        <v>10989</v>
      </c>
      <c r="G3069" s="39" t="s">
        <v>10837</v>
      </c>
      <c r="H3069" s="15">
        <v>0</v>
      </c>
      <c r="I3069" s="15">
        <v>2</v>
      </c>
      <c r="J3069" s="216" t="s">
        <v>10836</v>
      </c>
      <c r="K3069" s="15">
        <v>2</v>
      </c>
      <c r="L3069" s="15">
        <v>0</v>
      </c>
      <c r="S3069" s="1" t="s">
        <v>10990</v>
      </c>
      <c r="T3069" s="1">
        <v>1</v>
      </c>
      <c r="U3069" s="19"/>
      <c r="V3069" s="19"/>
      <c r="W3069" s="218">
        <v>1</v>
      </c>
      <c r="X3069" s="218">
        <v>1</v>
      </c>
      <c r="Y3069" s="218">
        <v>1</v>
      </c>
    </row>
    <row r="3070" spans="1:25" x14ac:dyDescent="0.3">
      <c r="A3070" s="1" t="s">
        <v>11005</v>
      </c>
      <c r="B3070" s="5">
        <v>46137</v>
      </c>
      <c r="C3070" s="6">
        <v>0.1875</v>
      </c>
      <c r="D3070" s="1" t="s">
        <v>10807</v>
      </c>
      <c r="E3070" s="1" t="s">
        <v>11006</v>
      </c>
      <c r="F3070" s="1" t="s">
        <v>11007</v>
      </c>
      <c r="G3070" s="39" t="s">
        <v>11008</v>
      </c>
      <c r="H3070" s="15">
        <v>2</v>
      </c>
      <c r="I3070" s="15">
        <v>1</v>
      </c>
      <c r="J3070" s="216" t="s">
        <v>11009</v>
      </c>
      <c r="K3070" s="15">
        <v>1</v>
      </c>
      <c r="L3070" s="15">
        <v>2</v>
      </c>
      <c r="S3070" s="1" t="s">
        <v>11010</v>
      </c>
      <c r="T3070" s="1">
        <v>1</v>
      </c>
      <c r="U3070" s="19"/>
      <c r="V3070" s="19"/>
      <c r="W3070" s="218">
        <v>1</v>
      </c>
      <c r="X3070" s="218">
        <v>1</v>
      </c>
      <c r="Y3070" s="218">
        <v>1</v>
      </c>
    </row>
    <row r="3071" spans="1:25" x14ac:dyDescent="0.3">
      <c r="A3071" s="1" t="s">
        <v>11011</v>
      </c>
      <c r="B3071" s="5">
        <v>46137</v>
      </c>
      <c r="C3071" s="6">
        <v>0.1875</v>
      </c>
      <c r="D3071" s="1" t="s">
        <v>10807</v>
      </c>
      <c r="E3071" s="1" t="s">
        <v>11006</v>
      </c>
      <c r="F3071" s="1" t="s">
        <v>11012</v>
      </c>
      <c r="G3071" s="39" t="s">
        <v>11013</v>
      </c>
      <c r="H3071" s="15">
        <v>1</v>
      </c>
      <c r="I3071" s="15">
        <v>1</v>
      </c>
      <c r="J3071" s="216" t="s">
        <v>11014</v>
      </c>
      <c r="K3071" s="15">
        <v>1</v>
      </c>
      <c r="L3071" s="15">
        <v>1</v>
      </c>
      <c r="S3071" s="1" t="s">
        <v>11015</v>
      </c>
      <c r="T3071" s="1">
        <v>1</v>
      </c>
      <c r="U3071" s="19"/>
      <c r="V3071" s="19"/>
      <c r="W3071" s="218">
        <v>1</v>
      </c>
      <c r="X3071" s="218">
        <v>1</v>
      </c>
      <c r="Y3071" s="218">
        <v>1</v>
      </c>
    </row>
    <row r="3072" spans="1:25" x14ac:dyDescent="0.3">
      <c r="A3072" s="1" t="s">
        <v>11016</v>
      </c>
      <c r="B3072" s="5">
        <v>46137</v>
      </c>
      <c r="C3072" s="6">
        <v>8.3333333333333329E-2</v>
      </c>
      <c r="D3072" s="1" t="s">
        <v>10807</v>
      </c>
      <c r="E3072" s="1" t="s">
        <v>11006</v>
      </c>
      <c r="F3072" s="1" t="s">
        <v>11017</v>
      </c>
      <c r="G3072" s="39" t="s">
        <v>11018</v>
      </c>
      <c r="H3072" s="15">
        <v>2</v>
      </c>
      <c r="I3072" s="15">
        <v>3</v>
      </c>
      <c r="J3072" s="216" t="s">
        <v>11019</v>
      </c>
      <c r="K3072" s="15">
        <v>3</v>
      </c>
      <c r="L3072" s="15">
        <v>2</v>
      </c>
      <c r="S3072" s="1" t="s">
        <v>11020</v>
      </c>
      <c r="T3072" s="1">
        <v>1</v>
      </c>
      <c r="U3072" s="19"/>
      <c r="V3072" s="19"/>
      <c r="W3072" s="218">
        <v>1</v>
      </c>
      <c r="X3072" s="218">
        <v>1</v>
      </c>
      <c r="Y3072" s="218">
        <v>1</v>
      </c>
    </row>
    <row r="3073" spans="1:25" x14ac:dyDescent="0.3">
      <c r="A3073" s="1" t="s">
        <v>11021</v>
      </c>
      <c r="B3073" s="5">
        <v>46138</v>
      </c>
      <c r="C3073" s="6">
        <v>8.3333333333333329E-2</v>
      </c>
      <c r="D3073" s="1" t="s">
        <v>10807</v>
      </c>
      <c r="E3073" s="1" t="s">
        <v>11006</v>
      </c>
      <c r="F3073" s="1" t="s">
        <v>11022</v>
      </c>
      <c r="G3073" s="39" t="s">
        <v>11023</v>
      </c>
      <c r="H3073" s="15">
        <v>1</v>
      </c>
      <c r="I3073" s="15">
        <v>2</v>
      </c>
      <c r="J3073" s="216" t="s">
        <v>11024</v>
      </c>
      <c r="K3073" s="15">
        <v>2</v>
      </c>
      <c r="L3073" s="15">
        <v>1</v>
      </c>
      <c r="S3073" s="1" t="s">
        <v>11025</v>
      </c>
      <c r="T3073" s="1">
        <v>1</v>
      </c>
      <c r="U3073" s="19"/>
      <c r="V3073" s="19"/>
      <c r="W3073" s="218">
        <v>1</v>
      </c>
      <c r="X3073" s="218">
        <v>1</v>
      </c>
      <c r="Y3073" s="218">
        <v>1</v>
      </c>
    </row>
    <row r="3074" spans="1:25" x14ac:dyDescent="0.3">
      <c r="A3074" s="1" t="s">
        <v>11026</v>
      </c>
      <c r="B3074" s="5">
        <v>46145</v>
      </c>
      <c r="C3074" s="6">
        <v>8.3333333333333329E-2</v>
      </c>
      <c r="D3074" s="1" t="s">
        <v>10807</v>
      </c>
      <c r="E3074" s="1" t="s">
        <v>11006</v>
      </c>
      <c r="F3074" s="1" t="s">
        <v>11027</v>
      </c>
      <c r="G3074" s="39" t="s">
        <v>11013</v>
      </c>
      <c r="H3074" s="15">
        <v>1</v>
      </c>
      <c r="I3074" s="15">
        <v>0</v>
      </c>
      <c r="J3074" s="216" t="s">
        <v>11028</v>
      </c>
      <c r="K3074" s="15">
        <v>0</v>
      </c>
      <c r="L3074" s="15">
        <v>1</v>
      </c>
      <c r="S3074" s="1" t="s">
        <v>11029</v>
      </c>
      <c r="T3074" s="1">
        <v>1</v>
      </c>
      <c r="U3074" s="19"/>
      <c r="V3074" s="19"/>
      <c r="W3074" s="218">
        <v>1</v>
      </c>
      <c r="X3074" s="218">
        <v>1</v>
      </c>
      <c r="Y3074" s="218">
        <v>1</v>
      </c>
    </row>
    <row r="3075" spans="1:25" x14ac:dyDescent="0.3">
      <c r="A3075" s="1" t="s">
        <v>11030</v>
      </c>
      <c r="B3075" s="5">
        <v>46145</v>
      </c>
      <c r="C3075" s="6">
        <v>8.3333333333333329E-2</v>
      </c>
      <c r="D3075" s="1" t="s">
        <v>10807</v>
      </c>
      <c r="E3075" s="1" t="s">
        <v>11006</v>
      </c>
      <c r="F3075" s="1" t="s">
        <v>11031</v>
      </c>
      <c r="G3075" s="39" t="s">
        <v>11032</v>
      </c>
      <c r="H3075" s="15">
        <v>2</v>
      </c>
      <c r="I3075" s="15">
        <v>0</v>
      </c>
      <c r="J3075" s="216" t="s">
        <v>11019</v>
      </c>
      <c r="K3075" s="15">
        <v>0</v>
      </c>
      <c r="L3075" s="15">
        <v>2</v>
      </c>
      <c r="S3075" s="1" t="s">
        <v>11033</v>
      </c>
      <c r="T3075" s="1">
        <v>1</v>
      </c>
      <c r="U3075" s="19"/>
      <c r="V3075" s="19"/>
      <c r="W3075" s="218">
        <v>1</v>
      </c>
      <c r="X3075" s="218">
        <v>1</v>
      </c>
      <c r="Y3075" s="218">
        <v>1</v>
      </c>
    </row>
    <row r="3076" spans="1:25" x14ac:dyDescent="0.3">
      <c r="A3076" s="1" t="s">
        <v>11034</v>
      </c>
      <c r="B3076" s="5">
        <v>46145</v>
      </c>
      <c r="C3076" s="6">
        <v>8.3333333333333329E-2</v>
      </c>
      <c r="D3076" s="1" t="s">
        <v>10807</v>
      </c>
      <c r="E3076" s="1" t="s">
        <v>11006</v>
      </c>
      <c r="F3076" s="1" t="s">
        <v>11035</v>
      </c>
      <c r="G3076" s="39" t="s">
        <v>11024</v>
      </c>
      <c r="H3076" s="15">
        <v>2</v>
      </c>
      <c r="I3076" s="15">
        <v>0</v>
      </c>
      <c r="J3076" s="216" t="s">
        <v>11008</v>
      </c>
      <c r="K3076" s="15">
        <v>0</v>
      </c>
      <c r="L3076" s="15">
        <v>2</v>
      </c>
      <c r="S3076" s="1" t="s">
        <v>11036</v>
      </c>
      <c r="T3076" s="1">
        <v>1</v>
      </c>
      <c r="U3076" s="19"/>
      <c r="V3076" s="19"/>
      <c r="W3076" s="218">
        <v>1</v>
      </c>
      <c r="X3076" s="218">
        <v>1</v>
      </c>
      <c r="Y3076" s="218">
        <v>1</v>
      </c>
    </row>
    <row r="3077" spans="1:25" x14ac:dyDescent="0.3">
      <c r="A3077" s="1" t="s">
        <v>11037</v>
      </c>
      <c r="B3077" s="5">
        <v>46145</v>
      </c>
      <c r="C3077" s="6">
        <v>0.1875</v>
      </c>
      <c r="D3077" s="1" t="s">
        <v>10807</v>
      </c>
      <c r="E3077" s="1" t="s">
        <v>11006</v>
      </c>
      <c r="F3077" s="1" t="s">
        <v>11038</v>
      </c>
      <c r="G3077" s="39" t="s">
        <v>11018</v>
      </c>
      <c r="H3077" s="15">
        <v>0</v>
      </c>
      <c r="I3077" s="15">
        <v>0</v>
      </c>
      <c r="J3077" s="216" t="s">
        <v>11039</v>
      </c>
      <c r="K3077" s="15">
        <v>0</v>
      </c>
      <c r="L3077" s="15">
        <v>0</v>
      </c>
      <c r="S3077" s="1" t="s">
        <v>11040</v>
      </c>
      <c r="T3077" s="1">
        <v>1</v>
      </c>
      <c r="U3077" s="19"/>
      <c r="V3077" s="19"/>
      <c r="W3077" s="218">
        <v>1</v>
      </c>
      <c r="X3077" s="218">
        <v>1</v>
      </c>
      <c r="Y3077" s="218">
        <v>1</v>
      </c>
    </row>
    <row r="3078" spans="1:25" x14ac:dyDescent="0.3">
      <c r="A3078" s="1" t="s">
        <v>11041</v>
      </c>
      <c r="B3078" s="5">
        <v>46145</v>
      </c>
      <c r="C3078" s="6">
        <v>8.3333333333333329E-2</v>
      </c>
      <c r="D3078" s="1" t="s">
        <v>10807</v>
      </c>
      <c r="E3078" s="1" t="s">
        <v>11006</v>
      </c>
      <c r="F3078" s="1" t="s">
        <v>11042</v>
      </c>
      <c r="G3078" s="39" t="s">
        <v>11023</v>
      </c>
      <c r="H3078" s="15">
        <v>2</v>
      </c>
      <c r="I3078" s="15">
        <v>1</v>
      </c>
      <c r="J3078" s="216" t="s">
        <v>11043</v>
      </c>
      <c r="K3078" s="15">
        <v>1</v>
      </c>
      <c r="L3078" s="15">
        <v>2</v>
      </c>
      <c r="S3078" s="1" t="s">
        <v>11044</v>
      </c>
      <c r="T3078" s="1">
        <v>1</v>
      </c>
      <c r="U3078" s="19"/>
      <c r="V3078" s="19"/>
      <c r="W3078" s="218">
        <v>1</v>
      </c>
      <c r="X3078" s="218">
        <v>1</v>
      </c>
      <c r="Y3078" s="218">
        <v>1</v>
      </c>
    </row>
    <row r="3079" spans="1:25" x14ac:dyDescent="0.3">
      <c r="A3079" s="1" t="s">
        <v>11045</v>
      </c>
      <c r="B3079" s="5">
        <v>46145</v>
      </c>
      <c r="C3079" s="6">
        <v>8.3333333333333329E-2</v>
      </c>
      <c r="D3079" s="1" t="s">
        <v>10807</v>
      </c>
      <c r="E3079" s="1" t="s">
        <v>11006</v>
      </c>
      <c r="F3079" s="1" t="s">
        <v>11046</v>
      </c>
      <c r="G3079" s="39" t="s">
        <v>11047</v>
      </c>
      <c r="H3079" s="15">
        <v>1</v>
      </c>
      <c r="I3079" s="15">
        <v>2</v>
      </c>
      <c r="J3079" s="216" t="s">
        <v>11014</v>
      </c>
      <c r="K3079" s="15">
        <v>2</v>
      </c>
      <c r="L3079" s="15">
        <v>1</v>
      </c>
      <c r="S3079" s="1" t="s">
        <v>11048</v>
      </c>
      <c r="T3079" s="1">
        <v>1</v>
      </c>
      <c r="U3079" s="19"/>
      <c r="V3079" s="19"/>
      <c r="W3079" s="218">
        <v>1</v>
      </c>
      <c r="X3079" s="218">
        <v>1</v>
      </c>
      <c r="Y3079" s="218">
        <v>1</v>
      </c>
    </row>
    <row r="3080" spans="1:25" x14ac:dyDescent="0.3">
      <c r="A3080" s="1" t="s">
        <v>11049</v>
      </c>
      <c r="B3080" s="5">
        <v>46151</v>
      </c>
      <c r="C3080" s="6">
        <v>0.1875</v>
      </c>
      <c r="D3080" s="1" t="s">
        <v>10807</v>
      </c>
      <c r="E3080" s="1" t="s">
        <v>11006</v>
      </c>
      <c r="F3080" s="1" t="s">
        <v>11050</v>
      </c>
      <c r="G3080" s="39" t="s">
        <v>11039</v>
      </c>
      <c r="H3080" s="15">
        <v>1</v>
      </c>
      <c r="I3080" s="15">
        <v>1</v>
      </c>
      <c r="J3080" s="216" t="s">
        <v>11043</v>
      </c>
      <c r="K3080" s="15">
        <v>1</v>
      </c>
      <c r="L3080" s="15">
        <v>1</v>
      </c>
      <c r="S3080" s="1" t="s">
        <v>11051</v>
      </c>
      <c r="T3080" s="1">
        <v>1</v>
      </c>
      <c r="U3080" s="19"/>
      <c r="V3080" s="19"/>
      <c r="W3080" s="218">
        <v>1</v>
      </c>
      <c r="X3080" s="218">
        <v>1</v>
      </c>
      <c r="Y3080" s="218">
        <v>1</v>
      </c>
    </row>
    <row r="3081" spans="1:25" x14ac:dyDescent="0.3">
      <c r="A3081" s="1" t="s">
        <v>11052</v>
      </c>
      <c r="B3081" s="5">
        <v>46151</v>
      </c>
      <c r="C3081" s="6">
        <v>8.3333333333333329E-2</v>
      </c>
      <c r="D3081" s="1" t="s">
        <v>10807</v>
      </c>
      <c r="E3081" s="1" t="s">
        <v>11006</v>
      </c>
      <c r="F3081" s="1" t="s">
        <v>11053</v>
      </c>
      <c r="G3081" s="39" t="s">
        <v>11028</v>
      </c>
      <c r="H3081" s="15">
        <v>3</v>
      </c>
      <c r="I3081" s="15">
        <v>0</v>
      </c>
      <c r="J3081" s="216" t="s">
        <v>11023</v>
      </c>
      <c r="K3081" s="15">
        <v>0</v>
      </c>
      <c r="L3081" s="15">
        <v>3</v>
      </c>
      <c r="S3081" s="1" t="s">
        <v>11054</v>
      </c>
      <c r="T3081" s="1">
        <v>1</v>
      </c>
      <c r="U3081" s="19"/>
      <c r="V3081" s="19"/>
      <c r="W3081" s="218">
        <v>1</v>
      </c>
      <c r="X3081" s="218">
        <v>1</v>
      </c>
      <c r="Y3081" s="218">
        <v>1</v>
      </c>
    </row>
    <row r="3082" spans="1:25" x14ac:dyDescent="0.3">
      <c r="A3082" s="1" t="s">
        <v>11055</v>
      </c>
      <c r="B3082" s="5">
        <v>46151</v>
      </c>
      <c r="C3082" s="6">
        <v>0.1875</v>
      </c>
      <c r="D3082" s="1" t="s">
        <v>10807</v>
      </c>
      <c r="E3082" s="1" t="s">
        <v>11006</v>
      </c>
      <c r="F3082" s="1" t="s">
        <v>11056</v>
      </c>
      <c r="G3082" s="39" t="s">
        <v>11057</v>
      </c>
      <c r="H3082" s="15">
        <v>0</v>
      </c>
      <c r="I3082" s="15">
        <v>0</v>
      </c>
      <c r="J3082" s="216" t="s">
        <v>11032</v>
      </c>
      <c r="K3082" s="15">
        <v>0</v>
      </c>
      <c r="L3082" s="15">
        <v>0</v>
      </c>
      <c r="S3082" s="1" t="s">
        <v>11058</v>
      </c>
      <c r="T3082" s="1">
        <v>1</v>
      </c>
      <c r="U3082" s="19"/>
      <c r="V3082" s="19"/>
      <c r="W3082" s="218">
        <v>1</v>
      </c>
      <c r="X3082" s="218">
        <v>1</v>
      </c>
      <c r="Y3082" s="218">
        <v>1</v>
      </c>
    </row>
    <row r="3083" spans="1:25" x14ac:dyDescent="0.3">
      <c r="A3083" s="1" t="s">
        <v>11059</v>
      </c>
      <c r="B3083" s="5">
        <v>46152</v>
      </c>
      <c r="C3083" s="6">
        <v>0.1875</v>
      </c>
      <c r="D3083" s="1" t="s">
        <v>10807</v>
      </c>
      <c r="E3083" s="1" t="s">
        <v>11006</v>
      </c>
      <c r="F3083" s="1" t="s">
        <v>11060</v>
      </c>
      <c r="G3083" s="39" t="s">
        <v>11008</v>
      </c>
      <c r="H3083" s="15">
        <v>1</v>
      </c>
      <c r="I3083" s="15">
        <v>2</v>
      </c>
      <c r="J3083" s="216" t="s">
        <v>11047</v>
      </c>
      <c r="K3083" s="15">
        <v>2</v>
      </c>
      <c r="L3083" s="15">
        <v>1</v>
      </c>
      <c r="S3083" s="1" t="s">
        <v>11061</v>
      </c>
      <c r="T3083" s="1">
        <v>1</v>
      </c>
      <c r="U3083" s="19"/>
      <c r="V3083" s="19"/>
      <c r="W3083" s="218">
        <v>1</v>
      </c>
      <c r="X3083" s="218">
        <v>1</v>
      </c>
      <c r="Y3083" s="218">
        <v>1</v>
      </c>
    </row>
    <row r="3084" spans="1:25" x14ac:dyDescent="0.3">
      <c r="A3084" s="1" t="s">
        <v>11062</v>
      </c>
      <c r="B3084" s="5">
        <v>46152</v>
      </c>
      <c r="C3084" s="6">
        <v>0.1875</v>
      </c>
      <c r="D3084" s="1" t="s">
        <v>10807</v>
      </c>
      <c r="E3084" s="1" t="s">
        <v>11006</v>
      </c>
      <c r="F3084" s="1" t="s">
        <v>11063</v>
      </c>
      <c r="G3084" s="39" t="s">
        <v>11064</v>
      </c>
      <c r="H3084" s="15">
        <v>1</v>
      </c>
      <c r="I3084" s="15">
        <v>0</v>
      </c>
      <c r="J3084" s="216" t="s">
        <v>11013</v>
      </c>
      <c r="K3084" s="15">
        <v>0</v>
      </c>
      <c r="L3084" s="15">
        <v>1</v>
      </c>
      <c r="S3084" s="1" t="s">
        <v>11065</v>
      </c>
      <c r="T3084" s="1">
        <v>1</v>
      </c>
      <c r="U3084" s="19"/>
      <c r="V3084" s="19"/>
      <c r="W3084" s="218">
        <v>1</v>
      </c>
      <c r="X3084" s="218">
        <v>1</v>
      </c>
      <c r="Y3084" s="218">
        <v>1</v>
      </c>
    </row>
    <row r="3085" spans="1:25" x14ac:dyDescent="0.3">
      <c r="A3085" s="1" t="s">
        <v>11066</v>
      </c>
      <c r="B3085" s="5">
        <v>46152</v>
      </c>
      <c r="C3085" s="6">
        <v>0.1875</v>
      </c>
      <c r="D3085" s="1" t="s">
        <v>10807</v>
      </c>
      <c r="E3085" s="1" t="s">
        <v>11006</v>
      </c>
      <c r="F3085" s="1" t="s">
        <v>11067</v>
      </c>
      <c r="G3085" s="39" t="s">
        <v>11014</v>
      </c>
      <c r="H3085" s="15">
        <v>0</v>
      </c>
      <c r="I3085" s="15">
        <v>0</v>
      </c>
      <c r="J3085" s="216" t="s">
        <v>11009</v>
      </c>
      <c r="K3085" s="15">
        <v>0</v>
      </c>
      <c r="L3085" s="15">
        <v>0</v>
      </c>
      <c r="S3085" s="1" t="s">
        <v>11068</v>
      </c>
      <c r="T3085" s="1">
        <v>1</v>
      </c>
      <c r="U3085" s="19"/>
      <c r="V3085" s="19"/>
      <c r="W3085" s="218">
        <v>1</v>
      </c>
      <c r="X3085" s="218">
        <v>1</v>
      </c>
      <c r="Y3085" s="218">
        <v>1</v>
      </c>
    </row>
    <row r="3086" spans="1:25" x14ac:dyDescent="0.3">
      <c r="A3086" s="1" t="s">
        <v>11069</v>
      </c>
      <c r="B3086" s="5">
        <v>46158</v>
      </c>
      <c r="C3086" s="6">
        <v>0.29166666666666669</v>
      </c>
      <c r="D3086" s="1" t="s">
        <v>10807</v>
      </c>
      <c r="E3086" s="1" t="s">
        <v>11006</v>
      </c>
      <c r="F3086" s="1" t="s">
        <v>11070</v>
      </c>
      <c r="G3086" s="39" t="s">
        <v>11008</v>
      </c>
      <c r="H3086" s="15">
        <v>0</v>
      </c>
      <c r="I3086" s="15">
        <v>1</v>
      </c>
      <c r="J3086" s="216" t="s">
        <v>11043</v>
      </c>
      <c r="K3086" s="15">
        <v>1</v>
      </c>
      <c r="L3086" s="15">
        <v>0</v>
      </c>
      <c r="S3086" s="1" t="s">
        <v>11071</v>
      </c>
      <c r="T3086" s="1">
        <v>1</v>
      </c>
      <c r="U3086" s="19"/>
      <c r="V3086" s="19"/>
      <c r="W3086" s="218">
        <v>1</v>
      </c>
      <c r="X3086" s="218">
        <v>1</v>
      </c>
      <c r="Y3086" s="218">
        <v>1</v>
      </c>
    </row>
    <row r="3087" spans="1:25" x14ac:dyDescent="0.3">
      <c r="A3087" s="1" t="s">
        <v>11072</v>
      </c>
      <c r="B3087" s="5">
        <v>46158</v>
      </c>
      <c r="C3087" s="6">
        <v>0.29166666666666669</v>
      </c>
      <c r="D3087" s="1" t="s">
        <v>10807</v>
      </c>
      <c r="E3087" s="1" t="s">
        <v>11006</v>
      </c>
      <c r="F3087" s="1" t="s">
        <v>11073</v>
      </c>
      <c r="G3087" s="39" t="s">
        <v>11013</v>
      </c>
      <c r="H3087" s="15">
        <v>0</v>
      </c>
      <c r="I3087" s="15">
        <v>0</v>
      </c>
      <c r="J3087" s="216" t="s">
        <v>11018</v>
      </c>
      <c r="K3087" s="15">
        <v>0</v>
      </c>
      <c r="L3087" s="15">
        <v>0</v>
      </c>
      <c r="S3087" s="1" t="s">
        <v>11074</v>
      </c>
      <c r="T3087" s="1">
        <v>1</v>
      </c>
      <c r="U3087" s="19"/>
      <c r="V3087" s="19"/>
      <c r="W3087" s="218">
        <v>1</v>
      </c>
      <c r="X3087" s="218">
        <v>1</v>
      </c>
      <c r="Y3087" s="218">
        <v>1</v>
      </c>
    </row>
    <row r="3088" spans="1:25" x14ac:dyDescent="0.3">
      <c r="A3088" s="1" t="s">
        <v>11075</v>
      </c>
      <c r="B3088" s="5">
        <v>46158</v>
      </c>
      <c r="C3088" s="6">
        <v>0.1875</v>
      </c>
      <c r="D3088" s="1" t="s">
        <v>10807</v>
      </c>
      <c r="E3088" s="1" t="s">
        <v>11006</v>
      </c>
      <c r="F3088" s="1" t="s">
        <v>11076</v>
      </c>
      <c r="G3088" s="39" t="s">
        <v>11023</v>
      </c>
      <c r="H3088" s="15">
        <v>2</v>
      </c>
      <c r="I3088" s="15">
        <v>2</v>
      </c>
      <c r="J3088" s="216" t="s">
        <v>11047</v>
      </c>
      <c r="K3088" s="15">
        <v>2</v>
      </c>
      <c r="L3088" s="15">
        <v>2</v>
      </c>
      <c r="S3088" s="1" t="s">
        <v>11077</v>
      </c>
      <c r="T3088" s="1">
        <v>1</v>
      </c>
      <c r="U3088" s="19"/>
      <c r="V3088" s="19"/>
      <c r="W3088" s="218">
        <v>1</v>
      </c>
      <c r="X3088" s="218">
        <v>1</v>
      </c>
      <c r="Y3088" s="218">
        <v>1</v>
      </c>
    </row>
    <row r="3089" spans="1:25" x14ac:dyDescent="0.3">
      <c r="A3089" s="1" t="s">
        <v>11078</v>
      </c>
      <c r="B3089" s="5">
        <v>46159</v>
      </c>
      <c r="C3089" s="6">
        <v>0.29166666666666669</v>
      </c>
      <c r="D3089" s="1" t="s">
        <v>10807</v>
      </c>
      <c r="E3089" s="1" t="s">
        <v>11006</v>
      </c>
      <c r="F3089" s="1" t="s">
        <v>11079</v>
      </c>
      <c r="G3089" s="39" t="s">
        <v>11028</v>
      </c>
      <c r="H3089" s="15">
        <v>1</v>
      </c>
      <c r="I3089" s="15">
        <v>3</v>
      </c>
      <c r="J3089" s="216" t="s">
        <v>11080</v>
      </c>
      <c r="K3089" s="15">
        <v>3</v>
      </c>
      <c r="L3089" s="15">
        <v>1</v>
      </c>
      <c r="S3089" s="1" t="s">
        <v>11081</v>
      </c>
      <c r="T3089" s="1">
        <v>1</v>
      </c>
      <c r="U3089" s="19"/>
      <c r="V3089" s="19"/>
      <c r="W3089" s="218">
        <v>1</v>
      </c>
      <c r="X3089" s="218">
        <v>1</v>
      </c>
      <c r="Y3089" s="218">
        <v>1</v>
      </c>
    </row>
    <row r="3090" spans="1:25" x14ac:dyDescent="0.3">
      <c r="A3090" s="1" t="s">
        <v>11082</v>
      </c>
      <c r="B3090" s="5">
        <v>46159</v>
      </c>
      <c r="C3090" s="6">
        <v>0.29166666666666669</v>
      </c>
      <c r="D3090" s="1" t="s">
        <v>10807</v>
      </c>
      <c r="E3090" s="1" t="s">
        <v>11006</v>
      </c>
      <c r="F3090" s="1" t="s">
        <v>11083</v>
      </c>
      <c r="G3090" s="39" t="s">
        <v>11084</v>
      </c>
      <c r="H3090" s="15">
        <v>1</v>
      </c>
      <c r="I3090" s="15">
        <v>4</v>
      </c>
      <c r="J3090" s="216" t="s">
        <v>11032</v>
      </c>
      <c r="K3090" s="15">
        <v>4</v>
      </c>
      <c r="L3090" s="15">
        <v>1</v>
      </c>
      <c r="S3090" s="1" t="s">
        <v>11085</v>
      </c>
      <c r="T3090" s="1">
        <v>1</v>
      </c>
      <c r="U3090" s="19"/>
      <c r="V3090" s="19"/>
      <c r="W3090" s="218">
        <v>1</v>
      </c>
      <c r="X3090" s="218">
        <v>1</v>
      </c>
      <c r="Y3090" s="218">
        <v>1</v>
      </c>
    </row>
    <row r="3091" spans="1:25" x14ac:dyDescent="0.3">
      <c r="A3091" s="1" t="s">
        <v>11086</v>
      </c>
      <c r="B3091" s="5">
        <v>46159</v>
      </c>
      <c r="C3091" s="6">
        <v>0.29166666666666669</v>
      </c>
      <c r="D3091" s="1" t="s">
        <v>10807</v>
      </c>
      <c r="E3091" s="1" t="s">
        <v>11006</v>
      </c>
      <c r="F3091" s="1" t="s">
        <v>11087</v>
      </c>
      <c r="G3091" s="39" t="s">
        <v>11014</v>
      </c>
      <c r="H3091" s="15">
        <v>1</v>
      </c>
      <c r="I3091" s="15">
        <v>1</v>
      </c>
      <c r="J3091" s="216" t="s">
        <v>11019</v>
      </c>
      <c r="K3091" s="15">
        <v>1</v>
      </c>
      <c r="L3091" s="15">
        <v>1</v>
      </c>
      <c r="S3091" s="1" t="s">
        <v>11088</v>
      </c>
      <c r="T3091" s="1">
        <v>1</v>
      </c>
      <c r="U3091" s="19"/>
      <c r="V3091" s="19"/>
      <c r="W3091" s="218">
        <v>1</v>
      </c>
      <c r="X3091" s="218">
        <v>1</v>
      </c>
      <c r="Y3091" s="218">
        <v>1</v>
      </c>
    </row>
    <row r="3092" spans="1:25" x14ac:dyDescent="0.3">
      <c r="A3092" s="1" t="s">
        <v>11089</v>
      </c>
      <c r="B3092" s="5">
        <v>46166</v>
      </c>
      <c r="C3092" s="6">
        <v>0.29166666666666669</v>
      </c>
      <c r="D3092" s="1" t="s">
        <v>10807</v>
      </c>
      <c r="E3092" s="1" t="s">
        <v>11006</v>
      </c>
      <c r="F3092" s="1" t="s">
        <v>11090</v>
      </c>
      <c r="G3092" s="39" t="s">
        <v>11032</v>
      </c>
      <c r="H3092" s="15">
        <v>3</v>
      </c>
      <c r="I3092" s="15">
        <v>0</v>
      </c>
      <c r="J3092" s="216" t="s">
        <v>11008</v>
      </c>
      <c r="K3092" s="15">
        <v>0</v>
      </c>
      <c r="L3092" s="15">
        <v>3</v>
      </c>
      <c r="S3092" s="1" t="s">
        <v>11091</v>
      </c>
      <c r="T3092" s="1">
        <v>1</v>
      </c>
      <c r="U3092" s="19"/>
      <c r="V3092" s="19"/>
      <c r="W3092" s="218">
        <v>1</v>
      </c>
      <c r="X3092" s="218">
        <v>1</v>
      </c>
      <c r="Y3092" s="218">
        <v>1</v>
      </c>
    </row>
    <row r="3093" spans="1:25" x14ac:dyDescent="0.3">
      <c r="A3093" s="1" t="s">
        <v>11092</v>
      </c>
      <c r="B3093" s="5">
        <v>46166</v>
      </c>
      <c r="C3093" s="6">
        <v>0.29166666666666669</v>
      </c>
      <c r="D3093" s="1" t="s">
        <v>10807</v>
      </c>
      <c r="E3093" s="1" t="s">
        <v>11006</v>
      </c>
      <c r="F3093" s="1" t="s">
        <v>11093</v>
      </c>
      <c r="G3093" s="39" t="s">
        <v>11023</v>
      </c>
      <c r="H3093" s="15">
        <v>3</v>
      </c>
      <c r="I3093" s="15">
        <v>1</v>
      </c>
      <c r="J3093" s="216" t="s">
        <v>11014</v>
      </c>
      <c r="K3093" s="15">
        <v>1</v>
      </c>
      <c r="L3093" s="15">
        <v>3</v>
      </c>
      <c r="S3093" s="1" t="s">
        <v>11094</v>
      </c>
      <c r="T3093" s="1">
        <v>1</v>
      </c>
      <c r="U3093" s="19"/>
      <c r="V3093" s="19"/>
      <c r="W3093" s="218">
        <v>1</v>
      </c>
      <c r="X3093" s="218">
        <v>1</v>
      </c>
      <c r="Y3093" s="218">
        <v>1</v>
      </c>
    </row>
    <row r="3094" spans="1:25" x14ac:dyDescent="0.3">
      <c r="A3094" s="1" t="s">
        <v>11095</v>
      </c>
      <c r="B3094" s="5">
        <v>46166</v>
      </c>
      <c r="C3094" s="6">
        <v>0.29166666666666669</v>
      </c>
      <c r="D3094" s="1" t="s">
        <v>10807</v>
      </c>
      <c r="E3094" s="1" t="s">
        <v>11006</v>
      </c>
      <c r="F3094" s="1" t="s">
        <v>11096</v>
      </c>
      <c r="G3094" s="39" t="s">
        <v>11047</v>
      </c>
      <c r="H3094" s="15">
        <v>0</v>
      </c>
      <c r="I3094" s="15">
        <v>0</v>
      </c>
      <c r="J3094" s="216" t="s">
        <v>11028</v>
      </c>
      <c r="K3094" s="15">
        <v>0</v>
      </c>
      <c r="L3094" s="15">
        <v>0</v>
      </c>
      <c r="S3094" s="1" t="s">
        <v>11097</v>
      </c>
      <c r="T3094" s="1">
        <v>1</v>
      </c>
      <c r="U3094" s="19"/>
      <c r="V3094" s="19"/>
      <c r="W3094" s="218">
        <v>1</v>
      </c>
      <c r="X3094" s="218">
        <v>1</v>
      </c>
      <c r="Y3094" s="218">
        <v>1</v>
      </c>
    </row>
    <row r="3095" spans="1:25" x14ac:dyDescent="0.3">
      <c r="A3095" s="1" t="s">
        <v>11098</v>
      </c>
      <c r="B3095" s="5">
        <v>46167</v>
      </c>
      <c r="C3095" s="6">
        <v>0.1875</v>
      </c>
      <c r="D3095" s="1" t="s">
        <v>10807</v>
      </c>
      <c r="E3095" s="1" t="s">
        <v>11006</v>
      </c>
      <c r="F3095" s="1" t="s">
        <v>11099</v>
      </c>
      <c r="G3095" s="39" t="s">
        <v>11018</v>
      </c>
      <c r="H3095" s="15">
        <v>0</v>
      </c>
      <c r="I3095" s="15">
        <v>1</v>
      </c>
      <c r="J3095" s="216" t="s">
        <v>11043</v>
      </c>
      <c r="K3095" s="15">
        <v>1</v>
      </c>
      <c r="L3095" s="15">
        <v>0</v>
      </c>
      <c r="S3095" s="1" t="s">
        <v>11100</v>
      </c>
      <c r="T3095" s="1">
        <v>1</v>
      </c>
      <c r="U3095" s="19"/>
      <c r="V3095" s="19"/>
      <c r="W3095" s="218">
        <v>1</v>
      </c>
      <c r="X3095" s="218">
        <v>1</v>
      </c>
      <c r="Y3095" s="218">
        <v>1</v>
      </c>
    </row>
    <row r="3096" spans="1:25" x14ac:dyDescent="0.3">
      <c r="A3096" s="1" t="s">
        <v>11101</v>
      </c>
      <c r="B3096" s="5">
        <v>46167</v>
      </c>
      <c r="C3096" s="6">
        <v>0.1875</v>
      </c>
      <c r="D3096" s="1" t="s">
        <v>10807</v>
      </c>
      <c r="E3096" s="1" t="s">
        <v>11006</v>
      </c>
      <c r="F3096" s="1" t="s">
        <v>11102</v>
      </c>
      <c r="G3096" s="39" t="s">
        <v>11057</v>
      </c>
      <c r="H3096" s="15">
        <v>3</v>
      </c>
      <c r="I3096" s="15">
        <v>2</v>
      </c>
      <c r="J3096" s="216" t="s">
        <v>11013</v>
      </c>
      <c r="K3096" s="15">
        <v>2</v>
      </c>
      <c r="L3096" s="15">
        <v>3</v>
      </c>
      <c r="S3096" s="1" t="s">
        <v>11103</v>
      </c>
      <c r="T3096" s="1">
        <v>1</v>
      </c>
      <c r="U3096" s="19"/>
      <c r="V3096" s="19"/>
      <c r="W3096" s="218">
        <v>1</v>
      </c>
      <c r="X3096" s="218">
        <v>1</v>
      </c>
      <c r="Y3096" s="218">
        <v>1</v>
      </c>
    </row>
    <row r="3097" spans="1:25" x14ac:dyDescent="0.3">
      <c r="A3097" s="1" t="s">
        <v>11104</v>
      </c>
      <c r="B3097" s="5">
        <v>46172</v>
      </c>
      <c r="C3097" s="6">
        <v>0.1875</v>
      </c>
      <c r="D3097" s="1" t="s">
        <v>10807</v>
      </c>
      <c r="E3097" s="1" t="s">
        <v>11006</v>
      </c>
      <c r="F3097" s="1" t="s">
        <v>11105</v>
      </c>
      <c r="G3097" s="39" t="s">
        <v>11064</v>
      </c>
      <c r="H3097" s="15">
        <v>4</v>
      </c>
      <c r="I3097" s="15">
        <v>1</v>
      </c>
      <c r="J3097" s="216" t="s">
        <v>11018</v>
      </c>
      <c r="K3097" s="15">
        <v>1</v>
      </c>
      <c r="L3097" s="15">
        <v>4</v>
      </c>
      <c r="S3097" s="1" t="s">
        <v>11106</v>
      </c>
      <c r="T3097" s="1">
        <v>1</v>
      </c>
      <c r="U3097" s="19"/>
      <c r="V3097" s="19"/>
      <c r="W3097" s="218">
        <v>1</v>
      </c>
      <c r="X3097" s="218">
        <v>1</v>
      </c>
      <c r="Y3097" s="218">
        <v>1</v>
      </c>
    </row>
    <row r="3098" spans="1:25" x14ac:dyDescent="0.3">
      <c r="A3098" s="1" t="s">
        <v>11107</v>
      </c>
      <c r="B3098" s="5">
        <v>46172</v>
      </c>
      <c r="C3098" s="6">
        <v>0.29166666666666669</v>
      </c>
      <c r="D3098" s="1" t="s">
        <v>10807</v>
      </c>
      <c r="E3098" s="1" t="s">
        <v>11006</v>
      </c>
      <c r="F3098" s="1" t="s">
        <v>11108</v>
      </c>
      <c r="G3098" s="39" t="s">
        <v>11028</v>
      </c>
      <c r="H3098" s="15">
        <v>2</v>
      </c>
      <c r="I3098" s="15">
        <v>1</v>
      </c>
      <c r="J3098" s="216" t="s">
        <v>11057</v>
      </c>
      <c r="K3098" s="15">
        <v>1</v>
      </c>
      <c r="L3098" s="15">
        <v>2</v>
      </c>
      <c r="S3098" s="1" t="s">
        <v>11109</v>
      </c>
      <c r="T3098" s="1">
        <v>1</v>
      </c>
      <c r="U3098" s="19"/>
      <c r="V3098" s="19"/>
      <c r="W3098" s="218">
        <v>1</v>
      </c>
      <c r="X3098" s="218">
        <v>1</v>
      </c>
      <c r="Y3098" s="218">
        <v>1</v>
      </c>
    </row>
    <row r="3099" spans="1:25" x14ac:dyDescent="0.3">
      <c r="A3099" s="1" t="s">
        <v>11110</v>
      </c>
      <c r="B3099" s="5">
        <v>46172</v>
      </c>
      <c r="C3099" s="6">
        <v>0.29166666666666669</v>
      </c>
      <c r="D3099" s="1" t="s">
        <v>10807</v>
      </c>
      <c r="E3099" s="1" t="s">
        <v>11006</v>
      </c>
      <c r="F3099" s="1" t="s">
        <v>11111</v>
      </c>
      <c r="G3099" s="39" t="s">
        <v>11084</v>
      </c>
      <c r="H3099" s="15">
        <v>1</v>
      </c>
      <c r="I3099" s="15">
        <v>2</v>
      </c>
      <c r="J3099" s="216" t="s">
        <v>11043</v>
      </c>
      <c r="K3099" s="15">
        <v>2</v>
      </c>
      <c r="L3099" s="15">
        <v>1</v>
      </c>
      <c r="S3099" s="1" t="s">
        <v>11112</v>
      </c>
      <c r="T3099" s="1">
        <v>1</v>
      </c>
      <c r="U3099" s="19"/>
      <c r="V3099" s="19"/>
      <c r="W3099" s="218">
        <v>1</v>
      </c>
      <c r="X3099" s="218">
        <v>1</v>
      </c>
      <c r="Y3099" s="218">
        <v>1</v>
      </c>
    </row>
    <row r="3100" spans="1:25" x14ac:dyDescent="0.3">
      <c r="A3100" s="1" t="s">
        <v>11113</v>
      </c>
      <c r="B3100" s="5">
        <v>46172</v>
      </c>
      <c r="C3100" s="6">
        <v>0.29166666666666669</v>
      </c>
      <c r="D3100" s="1" t="s">
        <v>10807</v>
      </c>
      <c r="E3100" s="1" t="s">
        <v>11006</v>
      </c>
      <c r="F3100" s="1" t="s">
        <v>11114</v>
      </c>
      <c r="G3100" s="39" t="s">
        <v>11080</v>
      </c>
      <c r="H3100" s="15">
        <v>0</v>
      </c>
      <c r="I3100" s="15">
        <v>0</v>
      </c>
      <c r="J3100" s="216" t="s">
        <v>11014</v>
      </c>
      <c r="K3100" s="15">
        <v>0</v>
      </c>
      <c r="L3100" s="15">
        <v>0</v>
      </c>
      <c r="S3100" s="1" t="s">
        <v>11115</v>
      </c>
      <c r="T3100" s="1">
        <v>1</v>
      </c>
      <c r="U3100" s="19"/>
      <c r="V3100" s="19"/>
      <c r="W3100" s="218">
        <v>1</v>
      </c>
      <c r="X3100" s="218">
        <v>1</v>
      </c>
      <c r="Y3100" s="218">
        <v>1</v>
      </c>
    </row>
    <row r="3101" spans="1:25" x14ac:dyDescent="0.3">
      <c r="A3101" s="1" t="s">
        <v>11116</v>
      </c>
      <c r="B3101" s="5">
        <v>46172</v>
      </c>
      <c r="C3101" s="6">
        <v>0.29166666666666669</v>
      </c>
      <c r="D3101" s="1" t="s">
        <v>10807</v>
      </c>
      <c r="E3101" s="1" t="s">
        <v>11006</v>
      </c>
      <c r="F3101" s="1" t="s">
        <v>11117</v>
      </c>
      <c r="G3101" s="39" t="s">
        <v>11047</v>
      </c>
      <c r="H3101" s="15">
        <v>1</v>
      </c>
      <c r="I3101" s="15">
        <v>1</v>
      </c>
      <c r="J3101" s="216" t="s">
        <v>11032</v>
      </c>
      <c r="K3101" s="15">
        <v>1</v>
      </c>
      <c r="L3101" s="15">
        <v>1</v>
      </c>
      <c r="S3101" s="1" t="s">
        <v>11118</v>
      </c>
      <c r="T3101" s="1">
        <v>1</v>
      </c>
      <c r="U3101" s="19"/>
      <c r="V3101" s="19"/>
      <c r="W3101" s="218">
        <v>1</v>
      </c>
      <c r="X3101" s="218">
        <v>1</v>
      </c>
      <c r="Y3101" s="218">
        <v>1</v>
      </c>
    </row>
    <row r="3102" spans="1:25" x14ac:dyDescent="0.3">
      <c r="A3102" s="1" t="s">
        <v>11119</v>
      </c>
      <c r="B3102" s="5">
        <v>46173</v>
      </c>
      <c r="C3102" s="6">
        <v>0.29166666666666669</v>
      </c>
      <c r="D3102" s="1" t="s">
        <v>10807</v>
      </c>
      <c r="E3102" s="1" t="s">
        <v>11006</v>
      </c>
      <c r="F3102" s="1" t="s">
        <v>11120</v>
      </c>
      <c r="G3102" s="39" t="s">
        <v>11008</v>
      </c>
      <c r="H3102" s="15">
        <v>1</v>
      </c>
      <c r="I3102" s="15">
        <v>3</v>
      </c>
      <c r="J3102" s="216" t="s">
        <v>11013</v>
      </c>
      <c r="K3102" s="15">
        <v>3</v>
      </c>
      <c r="L3102" s="15">
        <v>1</v>
      </c>
      <c r="S3102" s="1" t="s">
        <v>11121</v>
      </c>
      <c r="T3102" s="1">
        <v>1</v>
      </c>
      <c r="U3102" s="19"/>
      <c r="V3102" s="19"/>
      <c r="W3102" s="218">
        <v>1</v>
      </c>
      <c r="X3102" s="218">
        <v>1</v>
      </c>
      <c r="Y3102" s="218">
        <v>1</v>
      </c>
    </row>
    <row r="3103" spans="1:25" x14ac:dyDescent="0.3">
      <c r="A3103" s="1" t="s">
        <v>11122</v>
      </c>
      <c r="B3103" s="5">
        <v>46173</v>
      </c>
      <c r="C3103" s="6">
        <v>0.1875</v>
      </c>
      <c r="D3103" s="1" t="s">
        <v>10807</v>
      </c>
      <c r="E3103" s="1" t="s">
        <v>11006</v>
      </c>
      <c r="F3103" s="1" t="s">
        <v>11123</v>
      </c>
      <c r="G3103" s="39" t="s">
        <v>11009</v>
      </c>
      <c r="H3103" s="15">
        <v>0</v>
      </c>
      <c r="I3103" s="15">
        <v>1</v>
      </c>
      <c r="J3103" s="216" t="s">
        <v>11023</v>
      </c>
      <c r="K3103" s="15">
        <v>1</v>
      </c>
      <c r="L3103" s="15">
        <v>0</v>
      </c>
      <c r="S3103" s="1" t="s">
        <v>11124</v>
      </c>
      <c r="T3103" s="1">
        <v>1</v>
      </c>
      <c r="U3103" s="19"/>
      <c r="V3103" s="19"/>
      <c r="W3103" s="218">
        <v>1</v>
      </c>
      <c r="X3103" s="218">
        <v>1</v>
      </c>
      <c r="Y3103" s="218">
        <v>1</v>
      </c>
    </row>
    <row r="3104" spans="1:25" x14ac:dyDescent="0.3">
      <c r="A3104" s="1" t="s">
        <v>11125</v>
      </c>
      <c r="B3104" s="5">
        <v>46178</v>
      </c>
      <c r="C3104" s="6">
        <v>0.3125</v>
      </c>
      <c r="D3104" s="1" t="s">
        <v>10807</v>
      </c>
      <c r="E3104" s="1" t="s">
        <v>11006</v>
      </c>
      <c r="F3104" s="1" t="s">
        <v>11126</v>
      </c>
      <c r="G3104" s="39" t="s">
        <v>11064</v>
      </c>
      <c r="H3104" s="15">
        <v>2</v>
      </c>
      <c r="I3104" s="15">
        <v>2</v>
      </c>
      <c r="J3104" s="216" t="s">
        <v>11028</v>
      </c>
      <c r="K3104" s="15">
        <v>2</v>
      </c>
      <c r="L3104" s="15">
        <v>2</v>
      </c>
      <c r="S3104" s="1" t="s">
        <v>11127</v>
      </c>
      <c r="T3104" s="1">
        <v>1</v>
      </c>
      <c r="U3104" s="19"/>
      <c r="V3104" s="19"/>
      <c r="W3104" s="218">
        <v>1</v>
      </c>
      <c r="X3104" s="218">
        <v>1</v>
      </c>
      <c r="Y3104" s="218">
        <v>1</v>
      </c>
    </row>
    <row r="3105" spans="1:25" x14ac:dyDescent="0.3">
      <c r="A3105" s="1" t="s">
        <v>11128</v>
      </c>
      <c r="B3105" s="5">
        <v>46178</v>
      </c>
      <c r="C3105" s="6">
        <v>0.3125</v>
      </c>
      <c r="D3105" s="1" t="s">
        <v>10807</v>
      </c>
      <c r="E3105" s="1" t="s">
        <v>11006</v>
      </c>
      <c r="F3105" s="1" t="s">
        <v>11129</v>
      </c>
      <c r="G3105" s="39" t="s">
        <v>11032</v>
      </c>
      <c r="H3105" s="15">
        <v>1</v>
      </c>
      <c r="I3105" s="15">
        <v>0</v>
      </c>
      <c r="J3105" s="216" t="s">
        <v>11018</v>
      </c>
      <c r="K3105" s="15">
        <v>0</v>
      </c>
      <c r="L3105" s="15">
        <v>1</v>
      </c>
      <c r="S3105" s="1" t="s">
        <v>11130</v>
      </c>
      <c r="T3105" s="1">
        <v>1</v>
      </c>
      <c r="U3105" s="19"/>
      <c r="V3105" s="19"/>
      <c r="W3105" s="218">
        <v>1</v>
      </c>
      <c r="X3105" s="218">
        <v>1</v>
      </c>
      <c r="Y3105" s="218">
        <v>1</v>
      </c>
    </row>
    <row r="3106" spans="1:25" x14ac:dyDescent="0.3">
      <c r="A3106" s="1" t="s">
        <v>11131</v>
      </c>
      <c r="B3106" s="5">
        <v>46178</v>
      </c>
      <c r="C3106" s="6">
        <v>0.3125</v>
      </c>
      <c r="D3106" s="1" t="s">
        <v>10807</v>
      </c>
      <c r="E3106" s="1" t="s">
        <v>11006</v>
      </c>
      <c r="F3106" s="1" t="s">
        <v>11132</v>
      </c>
      <c r="G3106" s="39" t="s">
        <v>11014</v>
      </c>
      <c r="H3106" s="15">
        <v>1</v>
      </c>
      <c r="I3106" s="15">
        <v>1</v>
      </c>
      <c r="J3106" s="216" t="s">
        <v>11084</v>
      </c>
      <c r="K3106" s="15">
        <v>1</v>
      </c>
      <c r="L3106" s="15">
        <v>1</v>
      </c>
      <c r="S3106" s="1" t="s">
        <v>11133</v>
      </c>
      <c r="T3106" s="1">
        <v>1</v>
      </c>
      <c r="U3106" s="19"/>
      <c r="V3106" s="19"/>
      <c r="W3106" s="218">
        <v>1</v>
      </c>
      <c r="X3106" s="218">
        <v>1</v>
      </c>
      <c r="Y3106" s="218">
        <v>1</v>
      </c>
    </row>
    <row r="3107" spans="1:25" x14ac:dyDescent="0.3">
      <c r="A3107" s="1" t="s">
        <v>11134</v>
      </c>
      <c r="B3107" s="5">
        <v>46180</v>
      </c>
      <c r="C3107" s="6">
        <v>0.4375</v>
      </c>
      <c r="D3107" s="1" t="s">
        <v>10807</v>
      </c>
      <c r="E3107" s="1" t="s">
        <v>11006</v>
      </c>
      <c r="F3107" s="1" t="s">
        <v>11135</v>
      </c>
      <c r="G3107" s="39" t="s">
        <v>11013</v>
      </c>
      <c r="H3107" s="15">
        <v>2</v>
      </c>
      <c r="I3107" s="15">
        <v>2</v>
      </c>
      <c r="J3107" s="216" t="s">
        <v>11080</v>
      </c>
      <c r="K3107" s="15">
        <v>2</v>
      </c>
      <c r="L3107" s="15">
        <v>2</v>
      </c>
      <c r="S3107" s="1" t="s">
        <v>11136</v>
      </c>
      <c r="T3107" s="1">
        <v>1</v>
      </c>
      <c r="U3107" s="19"/>
      <c r="V3107" s="19"/>
      <c r="W3107" s="218">
        <v>1</v>
      </c>
      <c r="X3107" s="218">
        <v>1</v>
      </c>
      <c r="Y3107" s="218">
        <v>1</v>
      </c>
    </row>
    <row r="3108" spans="1:25" x14ac:dyDescent="0.3">
      <c r="A3108" s="1" t="s">
        <v>11137</v>
      </c>
      <c r="B3108" s="5">
        <v>46180</v>
      </c>
      <c r="C3108" s="6">
        <v>0.3125</v>
      </c>
      <c r="D3108" s="1" t="s">
        <v>10807</v>
      </c>
      <c r="E3108" s="1" t="s">
        <v>11006</v>
      </c>
      <c r="F3108" s="1" t="s">
        <v>11138</v>
      </c>
      <c r="G3108" s="39" t="s">
        <v>11043</v>
      </c>
      <c r="H3108" s="15">
        <v>2</v>
      </c>
      <c r="I3108" s="15">
        <v>2</v>
      </c>
      <c r="J3108" s="216" t="s">
        <v>11009</v>
      </c>
      <c r="K3108" s="15">
        <v>2</v>
      </c>
      <c r="L3108" s="15">
        <v>2</v>
      </c>
      <c r="S3108" s="1" t="s">
        <v>11139</v>
      </c>
      <c r="T3108" s="1">
        <v>1</v>
      </c>
      <c r="U3108" s="19"/>
      <c r="V3108" s="19"/>
      <c r="W3108" s="218">
        <v>1</v>
      </c>
      <c r="X3108" s="218">
        <v>1</v>
      </c>
      <c r="Y3108" s="218">
        <v>1</v>
      </c>
    </row>
    <row r="3109" spans="1:25" x14ac:dyDescent="0.3">
      <c r="A3109" s="1" t="s">
        <v>11140</v>
      </c>
      <c r="B3109" s="5">
        <v>46180</v>
      </c>
      <c r="C3109" s="6">
        <v>0.3125</v>
      </c>
      <c r="D3109" s="1" t="s">
        <v>10807</v>
      </c>
      <c r="E3109" s="1" t="s">
        <v>11006</v>
      </c>
      <c r="F3109" s="1" t="s">
        <v>11141</v>
      </c>
      <c r="G3109" s="39" t="s">
        <v>11023</v>
      </c>
      <c r="H3109" s="15">
        <v>1</v>
      </c>
      <c r="I3109" s="15">
        <v>2</v>
      </c>
      <c r="J3109" s="216" t="s">
        <v>11039</v>
      </c>
      <c r="K3109" s="15">
        <v>2</v>
      </c>
      <c r="L3109" s="15">
        <v>1</v>
      </c>
      <c r="S3109" s="1" t="s">
        <v>11142</v>
      </c>
      <c r="T3109" s="1">
        <v>1</v>
      </c>
      <c r="U3109" s="19"/>
      <c r="V3109" s="19"/>
      <c r="W3109" s="218">
        <v>1</v>
      </c>
      <c r="X3109" s="218">
        <v>1</v>
      </c>
      <c r="Y3109" s="218">
        <v>1</v>
      </c>
    </row>
    <row r="3110" spans="1:25" x14ac:dyDescent="0.3">
      <c r="A3110" s="1" t="s">
        <v>11143</v>
      </c>
      <c r="B3110" s="5">
        <v>46207</v>
      </c>
      <c r="C3110" s="6">
        <v>0.3125</v>
      </c>
      <c r="D3110" s="1" t="s">
        <v>10807</v>
      </c>
      <c r="E3110" s="1" t="s">
        <v>11006</v>
      </c>
      <c r="F3110" s="1" t="s">
        <v>11144</v>
      </c>
      <c r="G3110" s="39" t="s">
        <v>11008</v>
      </c>
      <c r="H3110" s="15">
        <v>1</v>
      </c>
      <c r="I3110" s="15">
        <v>3</v>
      </c>
      <c r="J3110" s="216" t="s">
        <v>11080</v>
      </c>
      <c r="K3110" s="15">
        <v>3</v>
      </c>
      <c r="L3110" s="15">
        <v>1</v>
      </c>
      <c r="S3110" s="1" t="s">
        <v>11145</v>
      </c>
      <c r="T3110" s="1">
        <v>1</v>
      </c>
      <c r="U3110" s="19"/>
      <c r="V3110" s="19"/>
      <c r="W3110" s="218">
        <v>1</v>
      </c>
      <c r="X3110" s="218">
        <v>1</v>
      </c>
      <c r="Y3110" s="218">
        <v>1</v>
      </c>
    </row>
    <row r="3111" spans="1:25" x14ac:dyDescent="0.3">
      <c r="A3111" s="1" t="s">
        <v>11146</v>
      </c>
      <c r="B3111" s="5">
        <v>46207</v>
      </c>
      <c r="C3111" s="6">
        <v>0.3125</v>
      </c>
      <c r="D3111" s="1" t="s">
        <v>10807</v>
      </c>
      <c r="E3111" s="1" t="s">
        <v>11006</v>
      </c>
      <c r="F3111" s="1" t="s">
        <v>11147</v>
      </c>
      <c r="G3111" s="39" t="s">
        <v>11039</v>
      </c>
      <c r="H3111" s="15">
        <v>1</v>
      </c>
      <c r="I3111" s="15">
        <v>5</v>
      </c>
      <c r="J3111" s="216" t="s">
        <v>11032</v>
      </c>
      <c r="K3111" s="15">
        <v>5</v>
      </c>
      <c r="L3111" s="15">
        <v>1</v>
      </c>
      <c r="S3111" s="1" t="s">
        <v>11148</v>
      </c>
      <c r="T3111" s="1">
        <v>1</v>
      </c>
      <c r="U3111" s="19"/>
      <c r="V3111" s="19"/>
      <c r="W3111" s="218">
        <v>1</v>
      </c>
      <c r="X3111" s="218">
        <v>1</v>
      </c>
      <c r="Y3111" s="218">
        <v>1</v>
      </c>
    </row>
    <row r="3112" spans="1:25" x14ac:dyDescent="0.3">
      <c r="A3112" s="1" t="s">
        <v>11149</v>
      </c>
      <c r="B3112" s="5">
        <v>46207</v>
      </c>
      <c r="C3112" s="6">
        <v>0.3125</v>
      </c>
      <c r="D3112" s="1" t="s">
        <v>10807</v>
      </c>
      <c r="E3112" s="1" t="s">
        <v>11006</v>
      </c>
      <c r="F3112" s="1" t="s">
        <v>11150</v>
      </c>
      <c r="G3112" s="39" t="s">
        <v>11018</v>
      </c>
      <c r="H3112" s="15">
        <v>0</v>
      </c>
      <c r="I3112" s="15">
        <v>1</v>
      </c>
      <c r="J3112" s="216" t="s">
        <v>11047</v>
      </c>
      <c r="K3112" s="15">
        <v>1</v>
      </c>
      <c r="L3112" s="15">
        <v>0</v>
      </c>
      <c r="S3112" s="1" t="s">
        <v>11151</v>
      </c>
      <c r="T3112" s="1">
        <v>1</v>
      </c>
      <c r="U3112" s="19"/>
      <c r="V3112" s="19"/>
      <c r="W3112" s="218">
        <v>1</v>
      </c>
      <c r="X3112" s="218">
        <v>1</v>
      </c>
      <c r="Y3112" s="218">
        <v>1</v>
      </c>
    </row>
    <row r="3113" spans="1:25" x14ac:dyDescent="0.3">
      <c r="A3113" s="1" t="s">
        <v>11152</v>
      </c>
      <c r="B3113" s="5">
        <v>46207</v>
      </c>
      <c r="C3113" s="6">
        <v>0.3125</v>
      </c>
      <c r="D3113" s="1" t="s">
        <v>10807</v>
      </c>
      <c r="E3113" s="1" t="s">
        <v>11006</v>
      </c>
      <c r="F3113" s="1" t="s">
        <v>11153</v>
      </c>
      <c r="G3113" s="39" t="s">
        <v>11057</v>
      </c>
      <c r="H3113" s="15">
        <v>1</v>
      </c>
      <c r="I3113" s="15">
        <v>0</v>
      </c>
      <c r="J3113" s="216" t="s">
        <v>11014</v>
      </c>
      <c r="K3113" s="15">
        <v>0</v>
      </c>
      <c r="L3113" s="15">
        <v>1</v>
      </c>
      <c r="S3113" s="1" t="s">
        <v>11154</v>
      </c>
      <c r="T3113" s="1">
        <v>1</v>
      </c>
      <c r="U3113" s="19"/>
      <c r="V3113" s="19"/>
      <c r="W3113" s="218">
        <v>1</v>
      </c>
      <c r="X3113" s="218">
        <v>1</v>
      </c>
      <c r="Y3113" s="218">
        <v>1</v>
      </c>
    </row>
    <row r="3114" spans="1:25" x14ac:dyDescent="0.3">
      <c r="A3114" s="1" t="s">
        <v>11155</v>
      </c>
      <c r="B3114" s="5">
        <v>46208</v>
      </c>
      <c r="C3114" s="6">
        <v>0.3125</v>
      </c>
      <c r="D3114" s="1" t="s">
        <v>10807</v>
      </c>
      <c r="E3114" s="1" t="s">
        <v>11006</v>
      </c>
      <c r="F3114" s="1" t="s">
        <v>11156</v>
      </c>
      <c r="G3114" s="39" t="s">
        <v>11084</v>
      </c>
      <c r="H3114" s="15">
        <v>1</v>
      </c>
      <c r="I3114" s="15">
        <v>3</v>
      </c>
      <c r="J3114" s="216" t="s">
        <v>11023</v>
      </c>
      <c r="K3114" s="15">
        <v>3</v>
      </c>
      <c r="L3114" s="15">
        <v>1</v>
      </c>
      <c r="S3114" s="1" t="s">
        <v>11157</v>
      </c>
      <c r="T3114" s="1">
        <v>1</v>
      </c>
      <c r="U3114" s="19"/>
      <c r="V3114" s="19"/>
      <c r="W3114" s="218">
        <v>1</v>
      </c>
      <c r="X3114" s="218">
        <v>1</v>
      </c>
      <c r="Y3114" s="218">
        <v>1</v>
      </c>
    </row>
    <row r="3115" spans="1:25" x14ac:dyDescent="0.3">
      <c r="A3115" s="1" t="s">
        <v>11158</v>
      </c>
      <c r="B3115" s="5">
        <v>46208</v>
      </c>
      <c r="C3115" s="6">
        <v>0.3125</v>
      </c>
      <c r="D3115" s="1" t="s">
        <v>10807</v>
      </c>
      <c r="E3115" s="1" t="s">
        <v>11006</v>
      </c>
      <c r="F3115" s="1" t="s">
        <v>11159</v>
      </c>
      <c r="G3115" s="39" t="s">
        <v>11043</v>
      </c>
      <c r="H3115" s="15">
        <v>0</v>
      </c>
      <c r="I3115" s="15">
        <v>2</v>
      </c>
      <c r="J3115" s="216" t="s">
        <v>11028</v>
      </c>
      <c r="K3115" s="15">
        <v>2</v>
      </c>
      <c r="L3115" s="15">
        <v>0</v>
      </c>
      <c r="S3115" s="1" t="s">
        <v>11160</v>
      </c>
      <c r="T3115" s="1">
        <v>1</v>
      </c>
      <c r="U3115" s="19"/>
      <c r="V3115" s="19"/>
      <c r="W3115" s="218">
        <v>1</v>
      </c>
      <c r="X3115" s="218">
        <v>1</v>
      </c>
      <c r="Y3115" s="218">
        <v>1</v>
      </c>
    </row>
    <row r="3116" spans="1:25" x14ac:dyDescent="0.3">
      <c r="A3116" s="1" t="s">
        <v>11161</v>
      </c>
      <c r="B3116" s="5">
        <v>46208</v>
      </c>
      <c r="C3116" s="6">
        <v>0.3125</v>
      </c>
      <c r="D3116" s="1" t="s">
        <v>10807</v>
      </c>
      <c r="E3116" s="1" t="s">
        <v>11006</v>
      </c>
      <c r="F3116" s="1" t="s">
        <v>11162</v>
      </c>
      <c r="G3116" s="39" t="s">
        <v>11019</v>
      </c>
      <c r="H3116" s="15">
        <v>2</v>
      </c>
      <c r="I3116" s="15">
        <v>1</v>
      </c>
      <c r="J3116" s="216" t="s">
        <v>11013</v>
      </c>
      <c r="K3116" s="15">
        <v>1</v>
      </c>
      <c r="L3116" s="15">
        <v>2</v>
      </c>
      <c r="S3116" s="1" t="s">
        <v>11163</v>
      </c>
      <c r="T3116" s="1">
        <v>1</v>
      </c>
      <c r="U3116" s="19"/>
      <c r="V3116" s="19"/>
      <c r="W3116" s="218">
        <v>1</v>
      </c>
      <c r="X3116" s="218">
        <v>1</v>
      </c>
      <c r="Y3116" s="218">
        <v>1</v>
      </c>
    </row>
    <row r="3117" spans="1:25" x14ac:dyDescent="0.3">
      <c r="A3117" s="1" t="s">
        <v>11164</v>
      </c>
      <c r="B3117" s="5">
        <v>46213</v>
      </c>
      <c r="C3117" s="6">
        <v>0.3125</v>
      </c>
      <c r="D3117" s="1" t="s">
        <v>10807</v>
      </c>
      <c r="E3117" s="1" t="s">
        <v>11006</v>
      </c>
      <c r="F3117" s="1" t="s">
        <v>11165</v>
      </c>
      <c r="G3117" s="39" t="s">
        <v>11013</v>
      </c>
      <c r="H3117" s="15">
        <v>0</v>
      </c>
      <c r="I3117" s="15">
        <v>1</v>
      </c>
      <c r="J3117" s="216" t="s">
        <v>11084</v>
      </c>
      <c r="K3117" s="15">
        <v>1</v>
      </c>
      <c r="L3117" s="15">
        <v>0</v>
      </c>
      <c r="S3117" s="1" t="s">
        <v>11166</v>
      </c>
      <c r="T3117" s="1">
        <v>1</v>
      </c>
      <c r="U3117" s="19"/>
      <c r="V3117" s="19"/>
      <c r="W3117" s="218">
        <v>1</v>
      </c>
      <c r="X3117" s="218">
        <v>1</v>
      </c>
      <c r="Y3117" s="218">
        <v>1</v>
      </c>
    </row>
    <row r="3118" spans="1:25" x14ac:dyDescent="0.3">
      <c r="A3118" s="1" t="s">
        <v>11167</v>
      </c>
      <c r="B3118" s="5">
        <v>46214</v>
      </c>
      <c r="C3118" s="6">
        <v>0.3125</v>
      </c>
      <c r="D3118" s="1" t="s">
        <v>10807</v>
      </c>
      <c r="E3118" s="1" t="s">
        <v>11006</v>
      </c>
      <c r="F3118" s="1" t="s">
        <v>11168</v>
      </c>
      <c r="G3118" s="39" t="s">
        <v>11008</v>
      </c>
      <c r="H3118" s="15">
        <v>2</v>
      </c>
      <c r="I3118" s="15">
        <v>1</v>
      </c>
      <c r="J3118" s="216" t="s">
        <v>11057</v>
      </c>
      <c r="K3118" s="15">
        <v>1</v>
      </c>
      <c r="L3118" s="15">
        <v>2</v>
      </c>
      <c r="S3118" s="1" t="s">
        <v>11169</v>
      </c>
      <c r="T3118" s="1">
        <v>1</v>
      </c>
      <c r="U3118" s="19"/>
      <c r="V3118" s="19"/>
      <c r="W3118" s="218">
        <v>1</v>
      </c>
      <c r="X3118" s="218">
        <v>1</v>
      </c>
      <c r="Y3118" s="218">
        <v>1</v>
      </c>
    </row>
    <row r="3119" spans="1:25" x14ac:dyDescent="0.3">
      <c r="A3119" s="1" t="s">
        <v>11170</v>
      </c>
      <c r="B3119" s="5">
        <v>46214</v>
      </c>
      <c r="C3119" s="6">
        <v>0.3125</v>
      </c>
      <c r="D3119" s="1" t="s">
        <v>10807</v>
      </c>
      <c r="E3119" s="1" t="s">
        <v>11006</v>
      </c>
      <c r="F3119" s="1" t="s">
        <v>11171</v>
      </c>
      <c r="G3119" s="39" t="s">
        <v>11032</v>
      </c>
      <c r="H3119" s="15">
        <v>3</v>
      </c>
      <c r="I3119" s="15">
        <v>2</v>
      </c>
      <c r="J3119" s="216" t="s">
        <v>11014</v>
      </c>
      <c r="K3119" s="15">
        <v>2</v>
      </c>
      <c r="L3119" s="15">
        <v>3</v>
      </c>
      <c r="S3119" s="1" t="s">
        <v>11172</v>
      </c>
      <c r="T3119" s="1">
        <v>1</v>
      </c>
      <c r="U3119" s="19"/>
      <c r="V3119" s="19"/>
      <c r="W3119" s="218">
        <v>1</v>
      </c>
      <c r="X3119" s="218">
        <v>1</v>
      </c>
      <c r="Y3119" s="218">
        <v>1</v>
      </c>
    </row>
    <row r="3120" spans="1:25" x14ac:dyDescent="0.3">
      <c r="A3120" s="1" t="s">
        <v>11173</v>
      </c>
      <c r="B3120" s="5">
        <v>46214</v>
      </c>
      <c r="C3120" s="6">
        <v>0.3125</v>
      </c>
      <c r="D3120" s="1" t="s">
        <v>10807</v>
      </c>
      <c r="E3120" s="1" t="s">
        <v>11006</v>
      </c>
      <c r="F3120" s="1" t="s">
        <v>11174</v>
      </c>
      <c r="G3120" s="39" t="s">
        <v>11024</v>
      </c>
      <c r="H3120" s="15">
        <v>1</v>
      </c>
      <c r="I3120" s="15">
        <v>2</v>
      </c>
      <c r="J3120" s="216" t="s">
        <v>11018</v>
      </c>
      <c r="K3120" s="15">
        <v>2</v>
      </c>
      <c r="L3120" s="15">
        <v>1</v>
      </c>
      <c r="S3120" s="1" t="s">
        <v>11175</v>
      </c>
      <c r="T3120" s="1">
        <v>1</v>
      </c>
      <c r="U3120" s="19"/>
      <c r="V3120" s="19"/>
      <c r="W3120" s="218">
        <v>1</v>
      </c>
      <c r="X3120" s="218">
        <v>1</v>
      </c>
      <c r="Y3120" s="218">
        <v>1</v>
      </c>
    </row>
    <row r="3121" spans="1:25" x14ac:dyDescent="0.3">
      <c r="A3121" s="1" t="s">
        <v>11176</v>
      </c>
      <c r="B3121" s="5">
        <v>46215</v>
      </c>
      <c r="C3121" s="6">
        <v>0.3125</v>
      </c>
      <c r="D3121" s="1" t="s">
        <v>10807</v>
      </c>
      <c r="E3121" s="1" t="s">
        <v>11006</v>
      </c>
      <c r="F3121" s="1" t="s">
        <v>11177</v>
      </c>
      <c r="G3121" s="39" t="s">
        <v>11064</v>
      </c>
      <c r="H3121" s="15">
        <v>2</v>
      </c>
      <c r="I3121" s="15">
        <v>0</v>
      </c>
      <c r="J3121" s="216" t="s">
        <v>11043</v>
      </c>
      <c r="K3121" s="15">
        <v>0</v>
      </c>
      <c r="L3121" s="15">
        <v>2</v>
      </c>
      <c r="S3121" s="1" t="s">
        <v>11178</v>
      </c>
      <c r="T3121" s="1">
        <v>1</v>
      </c>
      <c r="U3121" s="19"/>
      <c r="V3121" s="19"/>
      <c r="W3121" s="218">
        <v>1</v>
      </c>
      <c r="X3121" s="218">
        <v>1</v>
      </c>
      <c r="Y3121" s="218">
        <v>1</v>
      </c>
    </row>
    <row r="3122" spans="1:25" x14ac:dyDescent="0.3">
      <c r="A3122" s="1" t="s">
        <v>11179</v>
      </c>
      <c r="B3122" s="5">
        <v>46215</v>
      </c>
      <c r="C3122" s="6">
        <v>0.3125</v>
      </c>
      <c r="D3122" s="1" t="s">
        <v>10807</v>
      </c>
      <c r="E3122" s="1" t="s">
        <v>11006</v>
      </c>
      <c r="F3122" s="1" t="s">
        <v>11180</v>
      </c>
      <c r="G3122" s="39" t="s">
        <v>11028</v>
      </c>
      <c r="H3122" s="15">
        <v>1</v>
      </c>
      <c r="I3122" s="15">
        <v>1</v>
      </c>
      <c r="J3122" s="216" t="s">
        <v>11019</v>
      </c>
      <c r="K3122" s="15">
        <v>1</v>
      </c>
      <c r="L3122" s="15">
        <v>1</v>
      </c>
      <c r="S3122" s="1" t="s">
        <v>11181</v>
      </c>
      <c r="T3122" s="1">
        <v>1</v>
      </c>
      <c r="U3122" s="19"/>
      <c r="V3122" s="19"/>
      <c r="W3122" s="218">
        <v>1</v>
      </c>
      <c r="X3122" s="218">
        <v>1</v>
      </c>
      <c r="Y3122" s="218">
        <v>1</v>
      </c>
    </row>
    <row r="3123" spans="1:25" x14ac:dyDescent="0.3">
      <c r="A3123" s="1" t="s">
        <v>11182</v>
      </c>
      <c r="B3123" s="5">
        <v>46221</v>
      </c>
      <c r="C3123" s="6">
        <v>0.3125</v>
      </c>
      <c r="D3123" s="1" t="s">
        <v>10807</v>
      </c>
      <c r="E3123" s="1" t="s">
        <v>11006</v>
      </c>
      <c r="F3123" s="1" t="s">
        <v>11183</v>
      </c>
      <c r="G3123" s="39" t="s">
        <v>11043</v>
      </c>
      <c r="H3123" s="15">
        <v>1</v>
      </c>
      <c r="I3123" s="15">
        <v>1</v>
      </c>
      <c r="J3123" s="216" t="s">
        <v>11032</v>
      </c>
      <c r="K3123" s="15">
        <v>1</v>
      </c>
      <c r="L3123" s="15">
        <v>1</v>
      </c>
      <c r="S3123" s="1" t="s">
        <v>11184</v>
      </c>
      <c r="T3123" s="1">
        <v>1</v>
      </c>
      <c r="U3123" s="19"/>
      <c r="V3123" s="19"/>
      <c r="W3123" s="218">
        <v>1</v>
      </c>
      <c r="X3123" s="218">
        <v>1</v>
      </c>
      <c r="Y3123" s="218">
        <v>1</v>
      </c>
    </row>
    <row r="3124" spans="1:25" x14ac:dyDescent="0.3">
      <c r="A3124" s="1" t="s">
        <v>11185</v>
      </c>
      <c r="B3124" s="5">
        <v>46221</v>
      </c>
      <c r="C3124" s="6">
        <v>0.3125</v>
      </c>
      <c r="D3124" s="1" t="s">
        <v>10807</v>
      </c>
      <c r="E3124" s="1" t="s">
        <v>11006</v>
      </c>
      <c r="F3124" s="1" t="s">
        <v>11186</v>
      </c>
      <c r="G3124" s="39" t="s">
        <v>11009</v>
      </c>
      <c r="H3124" s="15">
        <v>1</v>
      </c>
      <c r="I3124" s="15">
        <v>0</v>
      </c>
      <c r="J3124" s="216" t="s">
        <v>11028</v>
      </c>
      <c r="K3124" s="15">
        <v>0</v>
      </c>
      <c r="L3124" s="15">
        <v>1</v>
      </c>
      <c r="S3124" s="1" t="s">
        <v>11187</v>
      </c>
      <c r="T3124" s="1">
        <v>1</v>
      </c>
      <c r="U3124" s="19"/>
      <c r="V3124" s="19"/>
      <c r="W3124" s="218">
        <v>1</v>
      </c>
      <c r="X3124" s="218">
        <v>1</v>
      </c>
      <c r="Y3124" s="218">
        <v>1</v>
      </c>
    </row>
    <row r="3125" spans="1:25" x14ac:dyDescent="0.3">
      <c r="A3125" s="1" t="s">
        <v>11188</v>
      </c>
      <c r="B3125" s="5">
        <v>46221</v>
      </c>
      <c r="C3125" s="6">
        <v>0.3125</v>
      </c>
      <c r="D3125" s="1" t="s">
        <v>10807</v>
      </c>
      <c r="E3125" s="1" t="s">
        <v>11006</v>
      </c>
      <c r="F3125" s="1" t="s">
        <v>11189</v>
      </c>
      <c r="G3125" s="39" t="s">
        <v>11014</v>
      </c>
      <c r="H3125" s="15">
        <v>1</v>
      </c>
      <c r="I3125" s="15">
        <v>0</v>
      </c>
      <c r="J3125" s="216" t="s">
        <v>11064</v>
      </c>
      <c r="K3125" s="15">
        <v>0</v>
      </c>
      <c r="L3125" s="15">
        <v>1</v>
      </c>
      <c r="S3125" s="1" t="s">
        <v>11190</v>
      </c>
      <c r="T3125" s="1">
        <v>1</v>
      </c>
      <c r="U3125" s="19"/>
      <c r="V3125" s="19"/>
      <c r="W3125" s="218">
        <v>1</v>
      </c>
      <c r="X3125" s="218">
        <v>1</v>
      </c>
      <c r="Y3125" s="218">
        <v>1</v>
      </c>
    </row>
    <row r="3126" spans="1:25" x14ac:dyDescent="0.3">
      <c r="A3126" s="1" t="s">
        <v>11191</v>
      </c>
      <c r="B3126" s="5">
        <v>46221</v>
      </c>
      <c r="C3126" s="6">
        <v>0.3125</v>
      </c>
      <c r="D3126" s="1" t="s">
        <v>10807</v>
      </c>
      <c r="E3126" s="1" t="s">
        <v>11006</v>
      </c>
      <c r="F3126" s="1" t="s">
        <v>11192</v>
      </c>
      <c r="G3126" s="39" t="s">
        <v>11080</v>
      </c>
      <c r="H3126" s="15">
        <v>2</v>
      </c>
      <c r="I3126" s="15">
        <v>2</v>
      </c>
      <c r="J3126" s="216" t="s">
        <v>11023</v>
      </c>
      <c r="K3126" s="15">
        <v>2</v>
      </c>
      <c r="L3126" s="15">
        <v>2</v>
      </c>
      <c r="S3126" s="1" t="s">
        <v>11193</v>
      </c>
      <c r="T3126" s="1">
        <v>1</v>
      </c>
      <c r="U3126" s="19"/>
      <c r="V3126" s="19"/>
      <c r="W3126" s="218">
        <v>1</v>
      </c>
      <c r="X3126" s="218">
        <v>1</v>
      </c>
      <c r="Y3126" s="218">
        <v>1</v>
      </c>
    </row>
    <row r="3127" spans="1:25" x14ac:dyDescent="0.3">
      <c r="A3127" s="1" t="s">
        <v>11194</v>
      </c>
      <c r="B3127" s="5">
        <v>46222</v>
      </c>
      <c r="C3127" s="6">
        <v>0.3125</v>
      </c>
      <c r="D3127" s="1" t="s">
        <v>10807</v>
      </c>
      <c r="E3127" s="1" t="s">
        <v>11006</v>
      </c>
      <c r="F3127" s="1" t="s">
        <v>11195</v>
      </c>
      <c r="G3127" s="39" t="s">
        <v>11039</v>
      </c>
      <c r="H3127" s="15">
        <v>1</v>
      </c>
      <c r="I3127" s="15">
        <v>0</v>
      </c>
      <c r="J3127" s="216" t="s">
        <v>11013</v>
      </c>
      <c r="K3127" s="15">
        <v>0</v>
      </c>
      <c r="L3127" s="15">
        <v>1</v>
      </c>
      <c r="S3127" s="1" t="s">
        <v>11196</v>
      </c>
      <c r="T3127" s="1">
        <v>1</v>
      </c>
      <c r="U3127" s="19"/>
      <c r="V3127" s="19"/>
      <c r="W3127" s="218">
        <v>1</v>
      </c>
      <c r="X3127" s="218">
        <v>1</v>
      </c>
      <c r="Y3127" s="218">
        <v>1</v>
      </c>
    </row>
    <row r="3128" spans="1:25" x14ac:dyDescent="0.3">
      <c r="A3128" s="1" t="s">
        <v>11197</v>
      </c>
      <c r="B3128" s="5">
        <v>46222</v>
      </c>
      <c r="C3128" s="6">
        <v>0.3125</v>
      </c>
      <c r="D3128" s="1" t="s">
        <v>10807</v>
      </c>
      <c r="E3128" s="1" t="s">
        <v>11006</v>
      </c>
      <c r="F3128" s="1" t="s">
        <v>11198</v>
      </c>
      <c r="G3128" s="39" t="s">
        <v>11019</v>
      </c>
      <c r="H3128" s="15">
        <v>5</v>
      </c>
      <c r="I3128" s="15">
        <v>0</v>
      </c>
      <c r="J3128" s="216" t="s">
        <v>11008</v>
      </c>
      <c r="K3128" s="15">
        <v>0</v>
      </c>
      <c r="L3128" s="15">
        <v>5</v>
      </c>
      <c r="S3128" s="1" t="s">
        <v>11199</v>
      </c>
      <c r="T3128" s="1">
        <v>1</v>
      </c>
      <c r="U3128" s="19"/>
      <c r="V3128" s="19"/>
      <c r="W3128" s="218">
        <v>1</v>
      </c>
      <c r="X3128" s="218">
        <v>1</v>
      </c>
      <c r="Y3128" s="218">
        <v>1</v>
      </c>
    </row>
    <row r="3129" spans="1:25" x14ac:dyDescent="0.3">
      <c r="A3129" s="1" t="s">
        <v>11200</v>
      </c>
      <c r="B3129" s="5">
        <v>46222</v>
      </c>
      <c r="C3129" s="6">
        <v>0.3125</v>
      </c>
      <c r="D3129" s="1" t="s">
        <v>10807</v>
      </c>
      <c r="E3129" s="1" t="s">
        <v>11006</v>
      </c>
      <c r="F3129" s="1" t="s">
        <v>11201</v>
      </c>
      <c r="G3129" s="39" t="s">
        <v>11057</v>
      </c>
      <c r="H3129" s="15">
        <v>0</v>
      </c>
      <c r="I3129" s="15">
        <v>0</v>
      </c>
      <c r="J3129" s="216" t="s">
        <v>11018</v>
      </c>
      <c r="K3129" s="15">
        <v>0</v>
      </c>
      <c r="L3129" s="15">
        <v>0</v>
      </c>
      <c r="S3129" s="1" t="s">
        <v>11202</v>
      </c>
      <c r="T3129" s="1">
        <v>1</v>
      </c>
      <c r="U3129" s="19"/>
      <c r="V3129" s="19"/>
      <c r="W3129" s="218">
        <v>1</v>
      </c>
      <c r="X3129" s="218">
        <v>1</v>
      </c>
      <c r="Y3129" s="218">
        <v>1</v>
      </c>
    </row>
    <row r="3130" spans="1:25" x14ac:dyDescent="0.3">
      <c r="A3130" s="1" t="s">
        <v>11203</v>
      </c>
      <c r="B3130" s="5">
        <v>46227</v>
      </c>
      <c r="C3130" s="6">
        <v>0.3125</v>
      </c>
      <c r="D3130" s="1" t="s">
        <v>10807</v>
      </c>
      <c r="E3130" s="1" t="s">
        <v>11006</v>
      </c>
      <c r="F3130" s="1" t="s">
        <v>11204</v>
      </c>
      <c r="G3130" s="39" t="s">
        <v>11023</v>
      </c>
      <c r="H3130" s="15">
        <v>4</v>
      </c>
      <c r="I3130" s="15">
        <v>3</v>
      </c>
      <c r="J3130" s="216" t="s">
        <v>11013</v>
      </c>
      <c r="K3130" s="15">
        <v>3</v>
      </c>
      <c r="L3130" s="15">
        <v>4</v>
      </c>
      <c r="S3130" s="1" t="s">
        <v>11205</v>
      </c>
      <c r="T3130" s="1">
        <v>1</v>
      </c>
      <c r="U3130" s="19"/>
      <c r="V3130" s="19"/>
      <c r="W3130" s="218">
        <v>1</v>
      </c>
      <c r="X3130" s="218">
        <v>1</v>
      </c>
      <c r="Y3130" s="218">
        <v>1</v>
      </c>
    </row>
    <row r="3131" spans="1:25" x14ac:dyDescent="0.3">
      <c r="A3131" s="1" t="s">
        <v>11206</v>
      </c>
      <c r="B3131" s="5">
        <v>46228</v>
      </c>
      <c r="C3131" s="6">
        <v>0.3125</v>
      </c>
      <c r="D3131" s="1" t="s">
        <v>10807</v>
      </c>
      <c r="E3131" s="1" t="s">
        <v>11006</v>
      </c>
      <c r="F3131" s="1" t="s">
        <v>11207</v>
      </c>
      <c r="G3131" s="39" t="s">
        <v>11032</v>
      </c>
      <c r="H3131" s="15">
        <v>1</v>
      </c>
      <c r="I3131" s="15">
        <v>2</v>
      </c>
      <c r="J3131" s="216" t="s">
        <v>11080</v>
      </c>
      <c r="K3131" s="15">
        <v>2</v>
      </c>
      <c r="L3131" s="15">
        <v>1</v>
      </c>
      <c r="S3131" s="1" t="s">
        <v>11208</v>
      </c>
      <c r="T3131" s="1">
        <v>1</v>
      </c>
      <c r="U3131" s="19"/>
      <c r="V3131" s="19"/>
      <c r="W3131" s="218">
        <v>1</v>
      </c>
      <c r="X3131" s="218">
        <v>1</v>
      </c>
      <c r="Y3131" s="218">
        <v>1</v>
      </c>
    </row>
    <row r="3132" spans="1:25" x14ac:dyDescent="0.3">
      <c r="A3132" s="1" t="s">
        <v>11209</v>
      </c>
      <c r="B3132" s="5">
        <v>46228</v>
      </c>
      <c r="C3132" s="6">
        <v>0.3125</v>
      </c>
      <c r="D3132" s="1" t="s">
        <v>10807</v>
      </c>
      <c r="E3132" s="1" t="s">
        <v>11006</v>
      </c>
      <c r="F3132" s="1" t="s">
        <v>11210</v>
      </c>
      <c r="G3132" s="39" t="s">
        <v>11024</v>
      </c>
      <c r="H3132" s="15">
        <v>3</v>
      </c>
      <c r="I3132" s="15">
        <v>2</v>
      </c>
      <c r="J3132" s="216" t="s">
        <v>11028</v>
      </c>
      <c r="K3132" s="15">
        <v>2</v>
      </c>
      <c r="L3132" s="15">
        <v>3</v>
      </c>
      <c r="S3132" s="1" t="s">
        <v>11211</v>
      </c>
      <c r="T3132" s="1">
        <v>1</v>
      </c>
      <c r="U3132" s="19"/>
      <c r="V3132" s="19"/>
      <c r="W3132" s="218">
        <v>1</v>
      </c>
      <c r="X3132" s="218">
        <v>1</v>
      </c>
      <c r="Y3132" s="218">
        <v>1</v>
      </c>
    </row>
    <row r="3133" spans="1:25" x14ac:dyDescent="0.3">
      <c r="A3133" s="1" t="s">
        <v>11212</v>
      </c>
      <c r="B3133" s="5">
        <v>46229</v>
      </c>
      <c r="C3133" s="6">
        <v>0.3125</v>
      </c>
      <c r="D3133" s="1" t="s">
        <v>10807</v>
      </c>
      <c r="E3133" s="1" t="s">
        <v>11006</v>
      </c>
      <c r="F3133" s="1" t="s">
        <v>11213</v>
      </c>
      <c r="G3133" s="39" t="s">
        <v>11043</v>
      </c>
      <c r="H3133" s="15">
        <v>1</v>
      </c>
      <c r="I3133" s="15">
        <v>1</v>
      </c>
      <c r="J3133" s="216" t="s">
        <v>11047</v>
      </c>
      <c r="K3133" s="15">
        <v>1</v>
      </c>
      <c r="L3133" s="15">
        <v>1</v>
      </c>
      <c r="S3133" s="1" t="s">
        <v>11214</v>
      </c>
      <c r="T3133" s="1">
        <v>1</v>
      </c>
      <c r="U3133" s="19"/>
      <c r="V3133" s="19"/>
      <c r="W3133" s="218">
        <v>1</v>
      </c>
      <c r="X3133" s="218">
        <v>1</v>
      </c>
      <c r="Y3133" s="218">
        <v>1</v>
      </c>
    </row>
    <row r="3134" spans="1:25" x14ac:dyDescent="0.3">
      <c r="A3134" s="1" t="s">
        <v>11215</v>
      </c>
      <c r="B3134" s="5">
        <v>46229</v>
      </c>
      <c r="C3134" s="6">
        <v>0.3125</v>
      </c>
      <c r="D3134" s="1" t="s">
        <v>10807</v>
      </c>
      <c r="E3134" s="1" t="s">
        <v>11006</v>
      </c>
      <c r="F3134" s="1" t="s">
        <v>11216</v>
      </c>
      <c r="G3134" s="39" t="s">
        <v>11018</v>
      </c>
      <c r="H3134" s="15">
        <v>0</v>
      </c>
      <c r="I3134" s="15">
        <v>1</v>
      </c>
      <c r="J3134" s="216" t="s">
        <v>11008</v>
      </c>
      <c r="K3134" s="15">
        <v>1</v>
      </c>
      <c r="L3134" s="15">
        <v>0</v>
      </c>
      <c r="S3134" s="1" t="s">
        <v>11217</v>
      </c>
      <c r="T3134" s="1">
        <v>1</v>
      </c>
      <c r="U3134" s="19"/>
      <c r="V3134" s="19"/>
      <c r="W3134" s="218">
        <v>1</v>
      </c>
      <c r="X3134" s="218">
        <v>1</v>
      </c>
      <c r="Y3134" s="218">
        <v>1</v>
      </c>
    </row>
    <row r="3135" spans="1:25" x14ac:dyDescent="0.3">
      <c r="A3135" s="1" t="s">
        <v>11218</v>
      </c>
      <c r="B3135" s="5">
        <v>46235</v>
      </c>
      <c r="C3135" s="6">
        <v>0.3125</v>
      </c>
      <c r="D3135" s="1" t="s">
        <v>10807</v>
      </c>
      <c r="E3135" s="1" t="s">
        <v>11006</v>
      </c>
      <c r="F3135" s="1" t="s">
        <v>11219</v>
      </c>
      <c r="G3135" s="39" t="s">
        <v>11013</v>
      </c>
      <c r="H3135" s="15">
        <v>2</v>
      </c>
      <c r="I3135" s="15">
        <v>2</v>
      </c>
      <c r="J3135" s="216" t="s">
        <v>11047</v>
      </c>
      <c r="K3135" s="15">
        <v>2</v>
      </c>
      <c r="L3135" s="15">
        <v>2</v>
      </c>
      <c r="S3135" s="1" t="s">
        <v>11220</v>
      </c>
      <c r="T3135" s="1">
        <v>1</v>
      </c>
      <c r="U3135" s="19"/>
      <c r="V3135" s="19"/>
      <c r="W3135" s="218">
        <v>1</v>
      </c>
      <c r="X3135" s="218">
        <v>1</v>
      </c>
      <c r="Y3135" s="218">
        <v>1</v>
      </c>
    </row>
    <row r="3136" spans="1:25" x14ac:dyDescent="0.3">
      <c r="A3136" s="1" t="s">
        <v>11221</v>
      </c>
      <c r="B3136" s="5">
        <v>46235</v>
      </c>
      <c r="C3136" s="6">
        <v>0.3125</v>
      </c>
      <c r="D3136" s="1" t="s">
        <v>10807</v>
      </c>
      <c r="E3136" s="1" t="s">
        <v>11006</v>
      </c>
      <c r="F3136" s="1" t="s">
        <v>11222</v>
      </c>
      <c r="G3136" s="39" t="s">
        <v>11028</v>
      </c>
      <c r="H3136" s="15">
        <v>2</v>
      </c>
      <c r="I3136" s="15">
        <v>0</v>
      </c>
      <c r="J3136" s="216" t="s">
        <v>11014</v>
      </c>
      <c r="K3136" s="15">
        <v>0</v>
      </c>
      <c r="L3136" s="15">
        <v>2</v>
      </c>
      <c r="S3136" s="1" t="s">
        <v>11223</v>
      </c>
      <c r="T3136" s="1">
        <v>1</v>
      </c>
      <c r="U3136" s="19"/>
      <c r="V3136" s="19"/>
      <c r="W3136" s="218">
        <v>1</v>
      </c>
      <c r="X3136" s="218">
        <v>1</v>
      </c>
      <c r="Y3136" s="218">
        <v>1</v>
      </c>
    </row>
    <row r="3137" spans="1:25" x14ac:dyDescent="0.3">
      <c r="A3137" s="1" t="s">
        <v>11224</v>
      </c>
      <c r="B3137" s="5">
        <v>46235</v>
      </c>
      <c r="C3137" s="6">
        <v>0.3125</v>
      </c>
      <c r="D3137" s="1" t="s">
        <v>10807</v>
      </c>
      <c r="E3137" s="1" t="s">
        <v>11006</v>
      </c>
      <c r="F3137" s="1" t="s">
        <v>11225</v>
      </c>
      <c r="G3137" s="39" t="s">
        <v>11024</v>
      </c>
      <c r="H3137" s="15">
        <v>5</v>
      </c>
      <c r="I3137" s="15">
        <v>1</v>
      </c>
      <c r="J3137" s="216" t="s">
        <v>11032</v>
      </c>
      <c r="K3137" s="15">
        <v>1</v>
      </c>
      <c r="L3137" s="15">
        <v>5</v>
      </c>
      <c r="S3137" s="1" t="s">
        <v>11226</v>
      </c>
      <c r="T3137" s="1">
        <v>1</v>
      </c>
      <c r="U3137" s="19"/>
      <c r="V3137" s="19"/>
      <c r="W3137" s="218">
        <v>1</v>
      </c>
      <c r="X3137" s="218">
        <v>1</v>
      </c>
      <c r="Y3137" s="218">
        <v>1</v>
      </c>
    </row>
    <row r="3138" spans="1:25" x14ac:dyDescent="0.3">
      <c r="A3138" s="1" t="s">
        <v>11227</v>
      </c>
      <c r="B3138" s="5">
        <v>46236</v>
      </c>
      <c r="C3138" s="6">
        <v>0.3125</v>
      </c>
      <c r="D3138" s="1" t="s">
        <v>10807</v>
      </c>
      <c r="E3138" s="1" t="s">
        <v>11006</v>
      </c>
      <c r="F3138" s="1" t="s">
        <v>11228</v>
      </c>
      <c r="G3138" s="39" t="s">
        <v>11008</v>
      </c>
      <c r="H3138" s="15">
        <v>2</v>
      </c>
      <c r="I3138" s="15">
        <v>2</v>
      </c>
      <c r="J3138" s="216" t="s">
        <v>11084</v>
      </c>
      <c r="K3138" s="15">
        <v>2</v>
      </c>
      <c r="L3138" s="15">
        <v>2</v>
      </c>
      <c r="S3138" s="1" t="s">
        <v>11229</v>
      </c>
      <c r="T3138" s="1">
        <v>1</v>
      </c>
      <c r="U3138" s="19"/>
      <c r="V3138" s="19"/>
      <c r="W3138" s="218">
        <v>1</v>
      </c>
      <c r="X3138" s="218">
        <v>1</v>
      </c>
      <c r="Y3138" s="218">
        <v>1</v>
      </c>
    </row>
    <row r="3139" spans="1:25" x14ac:dyDescent="0.3">
      <c r="A3139" s="1" t="s">
        <v>11230</v>
      </c>
      <c r="B3139" s="5">
        <v>46236</v>
      </c>
      <c r="C3139" s="6">
        <v>0.3125</v>
      </c>
      <c r="D3139" s="1" t="s">
        <v>10807</v>
      </c>
      <c r="E3139" s="1" t="s">
        <v>11006</v>
      </c>
      <c r="F3139" s="1" t="s">
        <v>11231</v>
      </c>
      <c r="G3139" s="39" t="s">
        <v>11064</v>
      </c>
      <c r="H3139" s="15">
        <v>1</v>
      </c>
      <c r="I3139" s="15">
        <v>2</v>
      </c>
      <c r="J3139" s="216" t="s">
        <v>11023</v>
      </c>
      <c r="K3139" s="15">
        <v>2</v>
      </c>
      <c r="L3139" s="15">
        <v>1</v>
      </c>
      <c r="S3139" s="1" t="s">
        <v>11232</v>
      </c>
      <c r="T3139" s="1">
        <v>1</v>
      </c>
      <c r="U3139" s="19"/>
      <c r="V3139" s="19"/>
      <c r="W3139" s="218">
        <v>1</v>
      </c>
      <c r="X3139" s="218">
        <v>1</v>
      </c>
      <c r="Y3139" s="218">
        <v>1</v>
      </c>
    </row>
    <row r="3140" spans="1:25" x14ac:dyDescent="0.3">
      <c r="A3140" s="1" t="s">
        <v>11233</v>
      </c>
      <c r="B3140" s="5">
        <v>46236</v>
      </c>
      <c r="C3140" s="6">
        <v>0.3125</v>
      </c>
      <c r="D3140" s="1" t="s">
        <v>10807</v>
      </c>
      <c r="E3140" s="1" t="s">
        <v>11006</v>
      </c>
      <c r="F3140" s="1" t="s">
        <v>11234</v>
      </c>
      <c r="G3140" s="39" t="s">
        <v>11043</v>
      </c>
      <c r="H3140" s="15">
        <v>1</v>
      </c>
      <c r="I3140" s="15">
        <v>1</v>
      </c>
      <c r="J3140" s="216" t="s">
        <v>11019</v>
      </c>
      <c r="K3140" s="15">
        <v>1</v>
      </c>
      <c r="L3140" s="15">
        <v>1</v>
      </c>
      <c r="S3140" s="1" t="s">
        <v>11235</v>
      </c>
      <c r="T3140" s="1">
        <v>1</v>
      </c>
      <c r="U3140" s="19"/>
      <c r="V3140" s="19"/>
      <c r="W3140" s="218">
        <v>1</v>
      </c>
      <c r="X3140" s="218">
        <v>1</v>
      </c>
      <c r="Y3140" s="218">
        <v>1</v>
      </c>
    </row>
    <row r="3141" spans="1:25" x14ac:dyDescent="0.3">
      <c r="A3141" s="1" t="s">
        <v>11236</v>
      </c>
      <c r="B3141" s="5">
        <v>46236</v>
      </c>
      <c r="C3141" s="6">
        <v>0.3125</v>
      </c>
      <c r="D3141" s="1" t="s">
        <v>10807</v>
      </c>
      <c r="E3141" s="1" t="s">
        <v>11006</v>
      </c>
      <c r="F3141" s="1" t="s">
        <v>11237</v>
      </c>
      <c r="G3141" s="39" t="s">
        <v>11009</v>
      </c>
      <c r="H3141" s="15">
        <v>1</v>
      </c>
      <c r="I3141" s="15">
        <v>2</v>
      </c>
      <c r="J3141" s="216" t="s">
        <v>11018</v>
      </c>
      <c r="K3141" s="15">
        <v>2</v>
      </c>
      <c r="L3141" s="15">
        <v>1</v>
      </c>
      <c r="S3141" s="1" t="s">
        <v>11238</v>
      </c>
      <c r="T3141" s="1">
        <v>1</v>
      </c>
      <c r="U3141" s="19"/>
      <c r="V3141" s="19"/>
      <c r="W3141" s="218">
        <v>1</v>
      </c>
      <c r="X3141" s="218">
        <v>1</v>
      </c>
      <c r="Y3141" s="218">
        <v>1</v>
      </c>
    </row>
    <row r="3142" spans="1:25" x14ac:dyDescent="0.3">
      <c r="A3142" s="1" t="s">
        <v>11239</v>
      </c>
      <c r="B3142" s="5">
        <v>46241</v>
      </c>
      <c r="C3142" s="6">
        <v>0.33333333333333331</v>
      </c>
      <c r="D3142" s="1" t="s">
        <v>10807</v>
      </c>
      <c r="E3142" s="1" t="s">
        <v>11006</v>
      </c>
      <c r="F3142" s="1" t="s">
        <v>11240</v>
      </c>
      <c r="G3142" s="39" t="s">
        <v>11028</v>
      </c>
      <c r="H3142" s="15">
        <v>1</v>
      </c>
      <c r="I3142" s="15">
        <v>1</v>
      </c>
      <c r="J3142" s="216" t="s">
        <v>11008</v>
      </c>
      <c r="K3142" s="15">
        <v>1</v>
      </c>
      <c r="L3142" s="15">
        <v>1</v>
      </c>
      <c r="S3142" s="1" t="s">
        <v>11241</v>
      </c>
      <c r="T3142" s="1">
        <v>1</v>
      </c>
      <c r="U3142" s="19"/>
      <c r="V3142" s="19"/>
      <c r="W3142" s="218">
        <v>1</v>
      </c>
      <c r="X3142" s="218">
        <v>1</v>
      </c>
      <c r="Y3142" s="218">
        <v>1</v>
      </c>
    </row>
    <row r="3143" spans="1:25" x14ac:dyDescent="0.3">
      <c r="A3143" s="1" t="s">
        <v>11242</v>
      </c>
      <c r="B3143" s="5">
        <v>46241</v>
      </c>
      <c r="C3143" s="6">
        <v>0.33333333333333331</v>
      </c>
      <c r="D3143" s="1" t="s">
        <v>10807</v>
      </c>
      <c r="E3143" s="1" t="s">
        <v>11006</v>
      </c>
      <c r="F3143" s="1" t="s">
        <v>11243</v>
      </c>
      <c r="G3143" s="39" t="s">
        <v>11043</v>
      </c>
      <c r="H3143" s="15">
        <v>3</v>
      </c>
      <c r="I3143" s="15">
        <v>0</v>
      </c>
      <c r="J3143" s="216" t="s">
        <v>11039</v>
      </c>
      <c r="K3143" s="15">
        <v>0</v>
      </c>
      <c r="L3143" s="15">
        <v>3</v>
      </c>
      <c r="S3143" s="1" t="s">
        <v>11244</v>
      </c>
      <c r="T3143" s="1">
        <v>1</v>
      </c>
      <c r="U3143" s="19"/>
      <c r="V3143" s="19"/>
      <c r="W3143" s="218">
        <v>1</v>
      </c>
      <c r="X3143" s="218">
        <v>1</v>
      </c>
      <c r="Y3143" s="218">
        <v>1</v>
      </c>
    </row>
    <row r="3144" spans="1:25" x14ac:dyDescent="0.3">
      <c r="A3144" s="1" t="s">
        <v>11245</v>
      </c>
      <c r="B3144" s="5">
        <v>46241</v>
      </c>
      <c r="C3144" s="6">
        <v>0.33333333333333331</v>
      </c>
      <c r="D3144" s="1" t="s">
        <v>10807</v>
      </c>
      <c r="E3144" s="1" t="s">
        <v>11006</v>
      </c>
      <c r="F3144" s="1" t="s">
        <v>11246</v>
      </c>
      <c r="G3144" s="39" t="s">
        <v>11019</v>
      </c>
      <c r="H3144" s="15">
        <v>0</v>
      </c>
      <c r="I3144" s="15">
        <v>1</v>
      </c>
      <c r="J3144" s="216" t="s">
        <v>11032</v>
      </c>
      <c r="K3144" s="15">
        <v>1</v>
      </c>
      <c r="L3144" s="15">
        <v>0</v>
      </c>
      <c r="S3144" s="1" t="s">
        <v>11247</v>
      </c>
      <c r="T3144" s="1">
        <v>1</v>
      </c>
      <c r="U3144" s="19"/>
      <c r="V3144" s="19"/>
      <c r="W3144" s="218">
        <v>1</v>
      </c>
      <c r="X3144" s="218">
        <v>1</v>
      </c>
      <c r="Y3144" s="218">
        <v>1</v>
      </c>
    </row>
    <row r="3145" spans="1:25" x14ac:dyDescent="0.3">
      <c r="A3145" s="1" t="s">
        <v>11248</v>
      </c>
      <c r="B3145" s="5">
        <v>46241</v>
      </c>
      <c r="C3145" s="6">
        <v>0.33333333333333331</v>
      </c>
      <c r="D3145" s="1" t="s">
        <v>10807</v>
      </c>
      <c r="E3145" s="1" t="s">
        <v>11006</v>
      </c>
      <c r="F3145" s="1" t="s">
        <v>11249</v>
      </c>
      <c r="G3145" s="39" t="s">
        <v>11024</v>
      </c>
      <c r="H3145" s="15">
        <v>0</v>
      </c>
      <c r="I3145" s="15">
        <v>0</v>
      </c>
      <c r="J3145" s="216" t="s">
        <v>11023</v>
      </c>
      <c r="K3145" s="15">
        <v>0</v>
      </c>
      <c r="L3145" s="15">
        <v>0</v>
      </c>
      <c r="S3145" s="1" t="s">
        <v>11250</v>
      </c>
      <c r="T3145" s="1">
        <v>1</v>
      </c>
      <c r="U3145" s="19"/>
      <c r="V3145" s="19"/>
      <c r="W3145" s="218">
        <v>1</v>
      </c>
      <c r="X3145" s="218">
        <v>1</v>
      </c>
      <c r="Y3145" s="218">
        <v>1</v>
      </c>
    </row>
    <row r="3146" spans="1:25" x14ac:dyDescent="0.3">
      <c r="A3146" s="1" t="s">
        <v>11251</v>
      </c>
      <c r="B3146" s="5">
        <v>46242</v>
      </c>
      <c r="C3146" s="6">
        <v>0.33333333333333331</v>
      </c>
      <c r="D3146" s="1" t="s">
        <v>10807</v>
      </c>
      <c r="E3146" s="1" t="s">
        <v>11006</v>
      </c>
      <c r="F3146" s="1" t="s">
        <v>11252</v>
      </c>
      <c r="G3146" s="39" t="s">
        <v>11018</v>
      </c>
      <c r="H3146" s="15">
        <v>0</v>
      </c>
      <c r="I3146" s="15">
        <v>1</v>
      </c>
      <c r="J3146" s="216" t="s">
        <v>11080</v>
      </c>
      <c r="K3146" s="15">
        <v>1</v>
      </c>
      <c r="L3146" s="15">
        <v>0</v>
      </c>
      <c r="S3146" s="1" t="s">
        <v>11253</v>
      </c>
      <c r="T3146" s="1">
        <v>1</v>
      </c>
      <c r="U3146" s="19"/>
      <c r="V3146" s="19"/>
      <c r="W3146" s="218">
        <v>1</v>
      </c>
      <c r="X3146" s="218">
        <v>1</v>
      </c>
      <c r="Y3146" s="218">
        <v>1</v>
      </c>
    </row>
    <row r="3147" spans="1:25" x14ac:dyDescent="0.3">
      <c r="A3147" s="1" t="s">
        <v>11254</v>
      </c>
      <c r="B3147" s="5">
        <v>46242</v>
      </c>
      <c r="C3147" s="6">
        <v>0.33333333333333331</v>
      </c>
      <c r="D3147" s="1" t="s">
        <v>10807</v>
      </c>
      <c r="E3147" s="1" t="s">
        <v>11006</v>
      </c>
      <c r="F3147" s="1" t="s">
        <v>11255</v>
      </c>
      <c r="G3147" s="39" t="s">
        <v>11014</v>
      </c>
      <c r="H3147" s="15">
        <v>3</v>
      </c>
      <c r="I3147" s="15">
        <v>2</v>
      </c>
      <c r="J3147" s="216" t="s">
        <v>11013</v>
      </c>
      <c r="K3147" s="15">
        <v>2</v>
      </c>
      <c r="L3147" s="15">
        <v>3</v>
      </c>
      <c r="S3147" s="1" t="s">
        <v>11256</v>
      </c>
      <c r="T3147" s="1">
        <v>1</v>
      </c>
      <c r="U3147" s="19"/>
      <c r="V3147" s="19"/>
      <c r="W3147" s="218">
        <v>1</v>
      </c>
      <c r="X3147" s="218">
        <v>1</v>
      </c>
      <c r="Y3147" s="218">
        <v>1</v>
      </c>
    </row>
  </sheetData>
  <dataValidations count="7">
    <dataValidation type="custom" errorStyle="warning" allowBlank="1" showInputMessage="1" showErrorMessage="1" errorTitle="Equipe não cadastrada" error="Confira a grafia e consulte a sugestão na coluna V. Se for uma equipe nova, o valor pode ser mantido." promptTitle="Equipe visitante" prompt="Digite o nome conforme o cadastro." sqref="J3830:J12872" xr:uid="{9BF92B31-40E6-4366-9402-97239221F287}">
      <formula1>OR(J3830="",COUNTIF(CadastroEquipes,TRIM(J3830))&gt;0)</formula1>
    </dataValidation>
    <dataValidation type="custom" errorStyle="warning" allowBlank="1" showInputMessage="1" showErrorMessage="1" errorTitle="Equipe não cadastrada" error="Confira a grafia e consulte a sugestão na coluna U. Se for uma equipe nova, o valor pode ser mantido." promptTitle="Equipe mandante" prompt="Digite o nome conforme o cadastro." sqref="G3830:G12872" xr:uid="{24D25CC6-D7E5-40A7-8D90-9A09D3C11855}">
      <formula1>OR(G3830="",COUNTIF(CadastroEquipes,TRIM(G3830))&gt;0)</formula1>
    </dataValidation>
    <dataValidation type="custom" errorStyle="warning" allowBlank="1" showErrorMessage="1" errorTitle="Equipe não cadastrada" error="Confira a grafia e consulte a sugestão na coluna U. Se for uma equipe nova, o valor pode ser mantido." promptTitle="Equipe mandante" prompt="Digite o nome conforme o cadastro." sqref="G244:G253 G495:G902 G3148:G3829 G306:G479" xr:uid="{C4EE7B09-9AF4-45B8-9D8D-1C4FFAF9C480}">
      <formula1>OR(G244="",COUNTIF(CadastroEquipes,TRIM(G244))&gt;0)</formula1>
    </dataValidation>
    <dataValidation type="custom" errorStyle="warning" allowBlank="1" showErrorMessage="1" errorTitle="Equipe não cadastrada" error="Confira a grafia e consulte a sugestão na coluna V. Se for uma equipe nova, o valor pode ser mantido." promptTitle="Equipe visitante" prompt="Digite o nome conforme o cadastro." sqref="J244:J253 J495:J902 J3148:J3829 J306:J479" xr:uid="{B33E613D-C17E-4B1D-A2A0-27621AAE83F2}">
      <formula1>OR(J244="",COUNTIF(CadastroEquipes,TRIM(J244))&gt;0)</formula1>
    </dataValidation>
    <dataValidation type="custom" allowBlank="1" showInputMessage="1" showErrorMessage="1" errorTitle="Equipe não cadastrada" error="Selecione uma equipe cadastrada na aba Ligas." sqref="G903:G925 J903:J925" xr:uid="{B771356C-7726-4443-864B-2AAC31DDADE3}">
      <formula1>OR(G903="",COUNTIF(CadastroEquipes,TRIM(G903))&gt;0)</formula1>
    </dataValidation>
    <dataValidation allowBlank="1" showErrorMessage="1" sqref="G2:G243 J2:J243" xr:uid="{49E16424-5B14-413C-9A01-5028F10B1597}"/>
    <dataValidation type="custom" allowBlank="1" showInputMessage="1" showErrorMessage="1" sqref="J926:J3147 G926:G3147" xr:uid="{275C85C3-C2B9-483C-A411-AE223F25BED1}">
      <formula1>OR(G926="",COUNTIF(CadastroEquipes,TRIM(G926))&gt;0)</formula1>
    </dataValidation>
  </dataValidations>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Normal="100" workbookViewId="0">
      <pane ySplit="1" topLeftCell="A2" activePane="bottomLeft" state="frozen"/>
      <selection pane="bottomLeft" activeCell="M10" sqref="M10"/>
    </sheetView>
  </sheetViews>
  <sheetFormatPr defaultColWidth="8.5546875" defaultRowHeight="14.4" x14ac:dyDescent="0.3"/>
  <cols>
    <col min="1" max="1" width="26" style="1" customWidth="1"/>
    <col min="2" max="2" width="15.21875" style="1" customWidth="1"/>
    <col min="3" max="3" width="8.33203125" style="1" customWidth="1"/>
    <col min="4" max="5" width="18.5546875" style="1" customWidth="1"/>
    <col min="6" max="6" width="15" style="1" bestFit="1" customWidth="1"/>
    <col min="8" max="9" width="0" style="1" hidden="1" customWidth="1"/>
    <col min="10" max="11" width="13" hidden="1" customWidth="1"/>
    <col min="12" max="16384" width="8.5546875" style="1"/>
  </cols>
  <sheetData>
    <row r="1" spans="1:9" ht="30" customHeight="1" x14ac:dyDescent="0.3">
      <c r="A1" s="22" t="s">
        <v>0</v>
      </c>
      <c r="B1" s="21" t="s">
        <v>1322</v>
      </c>
      <c r="C1" s="22" t="s">
        <v>1892</v>
      </c>
      <c r="D1" s="21" t="s">
        <v>428</v>
      </c>
      <c r="E1" s="171" t="s">
        <v>1893</v>
      </c>
      <c r="F1" s="21" t="s">
        <v>1</v>
      </c>
      <c r="H1" s="21" t="s">
        <v>2</v>
      </c>
      <c r="I1" s="21" t="s">
        <v>3</v>
      </c>
    </row>
    <row r="2" spans="1:9" ht="15" customHeight="1" x14ac:dyDescent="0.3">
      <c r="A2" s="30" t="s">
        <v>1327</v>
      </c>
      <c r="B2" s="79" t="s">
        <v>1323</v>
      </c>
      <c r="C2" s="15">
        <f>IF(A2="","",COUNTIFS(tblDados[País],H2,tblDados[Liga],I2,tblDados[Janela_12_Liga],1))</f>
        <v>4</v>
      </c>
      <c r="D2" s="36">
        <v>2.0499999999999998</v>
      </c>
      <c r="E2" s="172" t="str">
        <f>IF(A2="","",IF(AND(I2&lt;&gt;"MLS-Cross",C2&lt;30),"Insuficiente",IF(C2=0,"Insuficiente",(SUMIFS(tblDados[GM_M],tblDados[País],H2,tblDados[Liga],I2,tblDados[Janela_12_Liga],1)+SUMIFS(tblDados[GS_M],tblDados[País],H2,tblDados[Liga],I2,tblDados[Janela_12_Liga],1))/C2)))</f>
        <v>Insuficiente</v>
      </c>
      <c r="F2" s="31" t="s">
        <v>1328</v>
      </c>
      <c r="H2" s="32" t="str">
        <f>IF(A2="","",LEFT(A2,3))</f>
        <v>ARG</v>
      </c>
      <c r="I2" s="32" t="str">
        <f>IF(A2="","",_xlfn.TEXTAFTER(A2," - "))</f>
        <v>Liga Profesional</v>
      </c>
    </row>
    <row r="3" spans="1:9" ht="15" customHeight="1" x14ac:dyDescent="0.3">
      <c r="A3" s="30" t="s">
        <v>1329</v>
      </c>
      <c r="B3" s="79" t="s">
        <v>1324</v>
      </c>
      <c r="C3" s="15">
        <f>IF(A3="","",COUNTIFS(tblDados[País],H3,tblDados[Liga],I3,tblDados[Janela_12_Liga],1))</f>
        <v>2</v>
      </c>
      <c r="D3" s="36">
        <v>1.92</v>
      </c>
      <c r="E3" s="172" t="str">
        <f>IF(A3="","",IF(AND(I3&lt;&gt;"MLS-Cross",C3&lt;30),"Insuficiente",IF(C3=0,"Insuficiente",(SUMIFS(tblDados[GM_M],tblDados[País],H3,tblDados[Liga],I3,tblDados[Janela_12_Liga],1)+SUMIFS(tblDados[GS_M],tblDados[País],H3,tblDados[Liga],I3,tblDados[Janela_12_Liga],1))/C3)))</f>
        <v>Insuficiente</v>
      </c>
      <c r="F3" s="31" t="s">
        <v>1328</v>
      </c>
      <c r="H3" s="32" t="str">
        <f t="shared" ref="H3:H39" si="0">IF(A3="","",LEFT(A3,3))</f>
        <v>ARG</v>
      </c>
      <c r="I3" s="32" t="str">
        <f t="shared" ref="I3:I39" si="1">IF(A3="","",_xlfn.TEXTAFTER(A3," - "))</f>
        <v>Primera Nacional</v>
      </c>
    </row>
    <row r="4" spans="1:9" ht="15" customHeight="1" x14ac:dyDescent="0.3">
      <c r="A4" s="30" t="s">
        <v>1332</v>
      </c>
      <c r="B4" s="79" t="s">
        <v>1325</v>
      </c>
      <c r="C4" s="15">
        <f>IF(A4="","",COUNTIFS(tblDados[País],H4,tblDados[Liga],I4,tblDados[Janela_12_Liga],1))</f>
        <v>97</v>
      </c>
      <c r="D4" s="36">
        <v>3.62</v>
      </c>
      <c r="E4" s="172">
        <f>IF(A4="","",IF(AND(I4&lt;&gt;"MLS-Cross",C4&lt;30),"Insuficiente",IF(C4=0,"Insuficiente",(SUMIFS(tblDados[GM_M],tblDados[País],H4,tblDados[Liga],I4,tblDados[Janela_12_Liga],1)+SUMIFS(tblDados[GS_M],tblDados[País],H4,tblDados[Liga],I4,tblDados[Janela_12_Liga],1))/C4)))</f>
        <v>2.9793814432989691</v>
      </c>
      <c r="F4" s="31" t="s">
        <v>1321</v>
      </c>
      <c r="H4" s="32" t="str">
        <f t="shared" si="0"/>
        <v>BOL</v>
      </c>
      <c r="I4" s="32" t="str">
        <f t="shared" si="1"/>
        <v>Div. Profesional</v>
      </c>
    </row>
    <row r="5" spans="1:9" ht="15" customHeight="1" x14ac:dyDescent="0.3">
      <c r="A5" s="30" t="s">
        <v>1333</v>
      </c>
      <c r="B5" s="79" t="s">
        <v>1325</v>
      </c>
      <c r="C5" s="15">
        <f>IF(A5="","",COUNTIFS(tblDados[País],H5,tblDados[Liga],I5,tblDados[Janela_12_Liga],1))</f>
        <v>124</v>
      </c>
      <c r="D5" s="36">
        <v>2.59</v>
      </c>
      <c r="E5" s="172">
        <f>IF(A5="","",IF(AND(I5&lt;&gt;"MLS-Cross",C5&lt;30),"Insuficiente",IF(C5=0,"Insuficiente",(SUMIFS(tblDados[GM_M],tblDados[País],H5,tblDados[Liga],I5,tblDados[Janela_12_Liga],1)+SUMIFS(tblDados[GS_M],tblDados[País],H5,tblDados[Liga],I5,tblDados[Janela_12_Liga],1))/C5)))</f>
        <v>2.524193548387097</v>
      </c>
      <c r="F5" s="31" t="s">
        <v>1331</v>
      </c>
      <c r="H5" s="110" t="str">
        <f t="shared" si="0"/>
        <v>BRA</v>
      </c>
      <c r="I5" s="110" t="str">
        <f t="shared" si="1"/>
        <v>Série A</v>
      </c>
    </row>
    <row r="6" spans="1:9" ht="15" customHeight="1" x14ac:dyDescent="0.3">
      <c r="A6" s="30" t="s">
        <v>1334</v>
      </c>
      <c r="B6" s="79" t="s">
        <v>1325</v>
      </c>
      <c r="C6" s="15">
        <f>IF(A6="","",COUNTIFS(tblDados[País],H6,tblDados[Liga],I6,tblDados[Janela_12_Liga],1))</f>
        <v>120</v>
      </c>
      <c r="D6" s="36">
        <v>2.31</v>
      </c>
      <c r="E6" s="172">
        <f>IF(A6="","",IF(AND(I6&lt;&gt;"MLS-Cross",C6&lt;30),"Insuficiente",IF(C6=0,"Insuficiente",(SUMIFS(tblDados[GM_M],tblDados[País],H6,tblDados[Liga],I6,tblDados[Janela_12_Liga],1)+SUMIFS(tblDados[GS_M],tblDados[País],H6,tblDados[Liga],I6,tblDados[Janela_12_Liga],1))/C6)))</f>
        <v>2.3250000000000002</v>
      </c>
      <c r="F6" s="31" t="s">
        <v>1328</v>
      </c>
      <c r="H6" s="110" t="str">
        <f t="shared" si="0"/>
        <v>BRA</v>
      </c>
      <c r="I6" s="110" t="str">
        <f t="shared" si="1"/>
        <v>Série B</v>
      </c>
    </row>
    <row r="7" spans="1:9" ht="15" customHeight="1" x14ac:dyDescent="0.3">
      <c r="A7" s="30" t="s">
        <v>4657</v>
      </c>
      <c r="B7" s="79" t="s">
        <v>1325</v>
      </c>
      <c r="C7" s="15">
        <f>IF(A7="","",COUNTIFS(tblDados[País],H7,tblDados[Liga],I7,tblDados[Janela_12_Liga],1))</f>
        <v>121</v>
      </c>
      <c r="D7" s="36">
        <v>2.09</v>
      </c>
      <c r="E7" s="172">
        <f>IF(A7="","",IF(AND(I7&lt;&gt;"MLS-Cross",C7&lt;30),"Insuficiente",IF(C7=0,"Insuficiente",(SUMIFS(tblDados[GM_M],tblDados[País],H7,tblDados[Liga],I7,tblDados[Janela_12_Liga],1)+SUMIFS(tblDados[GS_M],tblDados[País],H7,tblDados[Liga],I7,tblDados[Janela_12_Liga],1))/C7)))</f>
        <v>2.2727272727272729</v>
      </c>
      <c r="F7" s="31" t="s">
        <v>1328</v>
      </c>
      <c r="H7" s="110" t="str">
        <f>IF(A7="","",LEFT(A7,3))</f>
        <v>BRA</v>
      </c>
      <c r="I7" s="110" t="str">
        <f>IF(A7="","",_xlfn.TEXTAFTER(A7," - "))</f>
        <v>Série C</v>
      </c>
    </row>
    <row r="8" spans="1:9" ht="15" customHeight="1" x14ac:dyDescent="0.3">
      <c r="A8" s="30" t="s">
        <v>2574</v>
      </c>
      <c r="B8" s="79" t="s">
        <v>1325</v>
      </c>
      <c r="C8" s="15">
        <f>IF(A8="","",COUNTIFS(tblDados[País],H8,tblDados[Liga],I8,tblDados[Janela_12_Liga],1))</f>
        <v>49</v>
      </c>
      <c r="D8" s="36">
        <v>2.5</v>
      </c>
      <c r="E8" s="172">
        <f>IF(A8="","",IF(AND(I8&lt;&gt;"MLS-Cross",C8&lt;30),"Insuficiente",IF(C8=0,"Insuficiente",(SUMIFS(tblDados[GM_M],tblDados[País],H8,tblDados[Liga],I8,tblDados[Janela_12_Liga],1)+SUMIFS(tblDados[GS_M],tblDados[País],H8,tblDados[Liga],I8,tblDados[Janela_12_Liga],1))/C8)))</f>
        <v>3.0612244897959182</v>
      </c>
      <c r="F8" s="31" t="s">
        <v>1331</v>
      </c>
      <c r="H8" s="32" t="str">
        <f t="shared" si="0"/>
        <v>CAN</v>
      </c>
      <c r="I8" s="32" t="str">
        <f t="shared" si="1"/>
        <v>Premier League</v>
      </c>
    </row>
    <row r="9" spans="1:9" ht="15" customHeight="1" x14ac:dyDescent="0.3">
      <c r="A9" s="30" t="s">
        <v>3426</v>
      </c>
      <c r="B9" s="79" t="s">
        <v>1325</v>
      </c>
      <c r="C9" s="15">
        <f>IF(A9="","",COUNTIFS(tblDados[País],H9,tblDados[Liga],I9,tblDados[Janela_12_Liga],1))</f>
        <v>98</v>
      </c>
      <c r="D9" s="36">
        <v>2.5</v>
      </c>
      <c r="E9" s="172">
        <f>IF(A9="","",IF(AND(I9&lt;&gt;"MLS-Cross",C9&lt;30),"Insuficiente",IF(C9=0,"Insuficiente",(SUMIFS(tblDados[GM_M],tblDados[País],H9,tblDados[Liga],I9,tblDados[Janela_12_Liga],1)+SUMIFS(tblDados[GS_M],tblDados[País],H9,tblDados[Liga],I9,tblDados[Janela_12_Liga],1))/C9)))</f>
        <v>3.0714285714285716</v>
      </c>
      <c r="F9" s="31" t="s">
        <v>1331</v>
      </c>
      <c r="H9" s="110" t="str">
        <f t="shared" si="0"/>
        <v>CHI</v>
      </c>
      <c r="I9" s="110" t="str">
        <f t="shared" si="1"/>
        <v>Liga de Primera</v>
      </c>
    </row>
    <row r="10" spans="1:9" ht="15" customHeight="1" x14ac:dyDescent="0.3">
      <c r="A10" s="30" t="s">
        <v>4055</v>
      </c>
      <c r="B10" s="79" t="s">
        <v>1323</v>
      </c>
      <c r="C10" s="15">
        <f>IF(A10="","",COUNTIFS(tblDados[País],H10,tblDados[Liga],I10,tblDados[Janela_12_Liga],1))</f>
        <v>96</v>
      </c>
      <c r="D10" s="36">
        <v>2.5</v>
      </c>
      <c r="E10" s="172">
        <f>IF(A10="","",IF(AND(I10&lt;&gt;"MLS-Cross",C10&lt;30),"Insuficiente",IF(C10=0,"Insuficiente",(SUMIFS(tblDados[GM_M],tblDados[País],H10,tblDados[Liga],I10,tblDados[Janela_12_Liga],1)+SUMIFS(tblDados[GS_M],tblDados[País],H10,tblDados[Liga],I10,tblDados[Janela_12_Liga],1))/C10)))</f>
        <v>2.3541666666666665</v>
      </c>
      <c r="F10" s="31" t="s">
        <v>1331</v>
      </c>
      <c r="H10" s="32" t="str">
        <f t="shared" si="0"/>
        <v>ECU</v>
      </c>
      <c r="I10" s="32" t="str">
        <f t="shared" si="1"/>
        <v>LigaPro Serie A</v>
      </c>
    </row>
    <row r="11" spans="1:9" ht="15" customHeight="1" x14ac:dyDescent="0.3">
      <c r="A11" s="30" t="s">
        <v>994</v>
      </c>
      <c r="B11" s="79" t="s">
        <v>1324</v>
      </c>
      <c r="C11" s="15">
        <f>IF(A11="","",COUNTIFS(tblDados[País],H11,tblDados[Liga],I11,tblDados[Janela_12_Liga],1))</f>
        <v>75</v>
      </c>
      <c r="D11" s="36">
        <v>2.6</v>
      </c>
      <c r="E11" s="172">
        <f>IF(A11="","",IF(AND(I11&lt;&gt;"MLS-Cross",C11&lt;30),"Insuficiente",IF(C11=0,"Insuficiente",(SUMIFS(tblDados[GM_M],tblDados[País],H11,tblDados[Liga],I11,tblDados[Janela_12_Liga],1)+SUMIFS(tblDados[GS_M],tblDados[País],H11,tblDados[Liga],I11,tblDados[Janela_12_Liga],1))/C11)))</f>
        <v>2.72</v>
      </c>
      <c r="F11" s="31" t="s">
        <v>1331</v>
      </c>
      <c r="H11" s="32" t="str">
        <f t="shared" si="0"/>
        <v>FIN</v>
      </c>
      <c r="I11" s="32" t="str">
        <f t="shared" si="1"/>
        <v>Veikkausliiga</v>
      </c>
    </row>
    <row r="12" spans="1:9" ht="15" customHeight="1" x14ac:dyDescent="0.3">
      <c r="A12" s="30" t="s">
        <v>1335</v>
      </c>
      <c r="B12" s="79" t="s">
        <v>1323</v>
      </c>
      <c r="C12" s="15">
        <f>IF(A12="","",COUNTIFS(tblDados[País],H12,tblDados[Liga],I12,tblDados[Janela_12_Liga],1))</f>
        <v>62</v>
      </c>
      <c r="D12" s="36">
        <v>2.5099999999999998</v>
      </c>
      <c r="E12" s="172">
        <f>IF(A12="","",IF(AND(I12&lt;&gt;"MLS-Cross",C12&lt;30),"Insuficiente",IF(C12=0,"Insuficiente",(SUMIFS(tblDados[GM_M],tblDados[País],H12,tblDados[Liga],I12,tblDados[Janela_12_Liga],1)+SUMIFS(tblDados[GS_M],tblDados[País],H12,tblDados[Liga],I12,tblDados[Janela_12_Liga],1))/C12)))</f>
        <v>2.4838709677419355</v>
      </c>
      <c r="F12" s="31" t="s">
        <v>1331</v>
      </c>
      <c r="H12" s="32" t="str">
        <f t="shared" si="0"/>
        <v>FIN</v>
      </c>
      <c r="I12" s="32" t="str">
        <f t="shared" si="1"/>
        <v>Ykkösliiga</v>
      </c>
    </row>
    <row r="13" spans="1:9" ht="15" customHeight="1" x14ac:dyDescent="0.3">
      <c r="A13" s="30" t="s">
        <v>844</v>
      </c>
      <c r="B13" s="79" t="s">
        <v>1323</v>
      </c>
      <c r="C13" s="15">
        <f>IF(A13="","",COUNTIFS(tblDados[País],H13,tblDados[Liga],I13,tblDados[Janela_12_Liga],1))</f>
        <v>73</v>
      </c>
      <c r="D13" s="36">
        <v>3.57</v>
      </c>
      <c r="E13" s="172">
        <f>IF(A13="","",IF(AND(I13&lt;&gt;"MLS-Cross",C13&lt;30),"Insuficiente",IF(C13=0,"Insuficiente",(SUMIFS(tblDados[GM_M],tblDados[País],H13,tblDados[Liga],I13,tblDados[Janela_12_Liga],1)+SUMIFS(tblDados[GS_M],tblDados[País],H13,tblDados[Liga],I13,tblDados[Janela_12_Liga],1))/C13)))</f>
        <v>3.506849315068493</v>
      </c>
      <c r="F13" s="31" t="s">
        <v>1321</v>
      </c>
      <c r="H13" s="32" t="str">
        <f t="shared" si="0"/>
        <v>FIN</v>
      </c>
      <c r="I13" s="32" t="str">
        <f t="shared" si="1"/>
        <v>Ykkönen</v>
      </c>
    </row>
    <row r="14" spans="1:9" ht="15" customHeight="1" x14ac:dyDescent="0.3">
      <c r="A14" s="30" t="s">
        <v>1336</v>
      </c>
      <c r="B14" s="79" t="s">
        <v>1323</v>
      </c>
      <c r="C14" s="15">
        <f>IF(A14="","",COUNTIFS(tblDados[País],H14,tblDados[Liga],I14,tblDados[Janela_12_Liga],1))</f>
        <v>63</v>
      </c>
      <c r="D14" s="36">
        <v>3.79</v>
      </c>
      <c r="E14" s="172">
        <f>IF(A14="","",IF(AND(I14&lt;&gt;"MLS-Cross",C14&lt;30),"Insuficiente",IF(C14=0,"Insuficiente",(SUMIFS(tblDados[GM_M],tblDados[País],H14,tblDados[Liga],I14,tblDados[Janela_12_Liga],1)+SUMIFS(tblDados[GS_M],tblDados[País],H14,tblDados[Liga],I14,tblDados[Janela_12_Liga],1))/C14)))</f>
        <v>3.8888888888888888</v>
      </c>
      <c r="F14" s="31" t="s">
        <v>1321</v>
      </c>
      <c r="H14" s="32" t="str">
        <f t="shared" si="0"/>
        <v>FIN</v>
      </c>
      <c r="I14" s="32" t="str">
        <f t="shared" si="1"/>
        <v>Kakkonen A</v>
      </c>
    </row>
    <row r="15" spans="1:9" ht="15" customHeight="1" x14ac:dyDescent="0.3">
      <c r="A15" s="30" t="s">
        <v>882</v>
      </c>
      <c r="B15" s="79" t="s">
        <v>1323</v>
      </c>
      <c r="C15" s="15">
        <f>IF(A15="","",COUNTIFS(tblDados[País],H15,tblDados[Liga],I15,tblDados[Janela_12_Liga],1))</f>
        <v>63</v>
      </c>
      <c r="D15" s="36">
        <v>3.56</v>
      </c>
      <c r="E15" s="172">
        <f>IF(A15="","",IF(AND(I15&lt;&gt;"MLS-Cross",C15&lt;30),"Insuficiente",IF(C15=0,"Insuficiente",(SUMIFS(tblDados[GM_M],tblDados[País],H15,tblDados[Liga],I15,tblDados[Janela_12_Liga],1)+SUMIFS(tblDados[GS_M],tblDados[País],H15,tblDados[Liga],I15,tblDados[Janela_12_Liga],1))/C15)))</f>
        <v>3.6666666666666665</v>
      </c>
      <c r="F15" s="31" t="s">
        <v>1321</v>
      </c>
      <c r="H15" s="32" t="str">
        <f t="shared" si="0"/>
        <v>FIN</v>
      </c>
      <c r="I15" s="32" t="str">
        <f t="shared" si="1"/>
        <v>Kakkonen B</v>
      </c>
    </row>
    <row r="16" spans="1:9" ht="15" customHeight="1" x14ac:dyDescent="0.3">
      <c r="A16" s="30" t="s">
        <v>845</v>
      </c>
      <c r="B16" s="79" t="s">
        <v>1323</v>
      </c>
      <c r="C16" s="15">
        <f>IF(A16="","",COUNTIFS(tblDados[País],H16,tblDados[Liga],I16,tblDados[Janela_12_Liga],1))</f>
        <v>63</v>
      </c>
      <c r="D16" s="36">
        <v>4.32</v>
      </c>
      <c r="E16" s="172">
        <f>IF(A16="","",IF(AND(I16&lt;&gt;"MLS-Cross",C16&lt;30),"Insuficiente",IF(C16=0,"Insuficiente",(SUMIFS(tblDados[GM_M],tblDados[País],H16,tblDados[Liga],I16,tblDados[Janela_12_Liga],1)+SUMIFS(tblDados[GS_M],tblDados[País],H16,tblDados[Liga],I16,tblDados[Janela_12_Liga],1))/C16)))</f>
        <v>4.253968253968254</v>
      </c>
      <c r="F16" s="31" t="s">
        <v>1321</v>
      </c>
      <c r="H16" s="32" t="str">
        <f t="shared" si="0"/>
        <v>FIN</v>
      </c>
      <c r="I16" s="32" t="str">
        <f t="shared" si="1"/>
        <v>Kakkonen C</v>
      </c>
    </row>
    <row r="17" spans="1:9" ht="15" customHeight="1" x14ac:dyDescent="0.3">
      <c r="A17" s="30" t="s">
        <v>4290</v>
      </c>
      <c r="B17" s="79" t="s">
        <v>1323</v>
      </c>
      <c r="C17" s="15">
        <f>IF(A17="","",COUNTIFS(tblDados[País],H17,tblDados[Liga],I17,tblDados[Janela_12_Liga],1))</f>
        <v>72</v>
      </c>
      <c r="D17" s="36">
        <v>2.5</v>
      </c>
      <c r="E17" s="172">
        <f>IF(A17="","",IF(AND(I17&lt;&gt;"MLS-Cross",C17&lt;30),"Insuficiente",IF(C17=0,"Insuficiente",(SUMIFS(tblDados[GM_M],tblDados[País],H17,tblDados[Liga],I17,tblDados[Janela_12_Liga],1)+SUMIFS(tblDados[GS_M],tblDados[País],H17,tblDados[Liga],I17,tblDados[Janela_12_Liga],1))/C17)))</f>
        <v>3.8055555555555554</v>
      </c>
      <c r="F17" s="31" t="s">
        <v>1331</v>
      </c>
      <c r="H17" s="32" t="str">
        <f t="shared" si="0"/>
        <v>ISL</v>
      </c>
      <c r="I17" s="32" t="str">
        <f t="shared" si="1"/>
        <v>Besta-deild karla (PL)</v>
      </c>
    </row>
    <row r="18" spans="1:9" ht="15" customHeight="1" x14ac:dyDescent="0.3">
      <c r="A18" s="30" t="s">
        <v>4291</v>
      </c>
      <c r="B18" s="79" t="s">
        <v>1324</v>
      </c>
      <c r="C18" s="15">
        <f>IF(A18="","",COUNTIFS(tblDados[País],H18,tblDados[Liga],I18,tblDados[Janela_12_Liga],1))</f>
        <v>74</v>
      </c>
      <c r="D18" s="36">
        <v>3.55</v>
      </c>
      <c r="E18" s="172">
        <f>IF(A18="","",IF(AND(I18&lt;&gt;"MLS-Cross",C18&lt;30),"Insuficiente",IF(C18=0,"Insuficiente",(SUMIFS(tblDados[GM_M],tblDados[País],H18,tblDados[Liga],I18,tblDados[Janela_12_Liga],1)+SUMIFS(tblDados[GS_M],tblDados[País],H18,tblDados[Liga],I18,tblDados[Janela_12_Liga],1))/C18)))</f>
        <v>3.8243243243243241</v>
      </c>
      <c r="F18" s="31" t="s">
        <v>1321</v>
      </c>
      <c r="H18" s="32" t="str">
        <f t="shared" si="0"/>
        <v>ISL</v>
      </c>
      <c r="I18" s="32" t="str">
        <f t="shared" si="1"/>
        <v>Lengjudeildin (1ªD)</v>
      </c>
    </row>
    <row r="19" spans="1:9" ht="15" customHeight="1" x14ac:dyDescent="0.3">
      <c r="A19" s="30" t="s">
        <v>1337</v>
      </c>
      <c r="B19" s="79" t="s">
        <v>1326</v>
      </c>
      <c r="C19" s="15">
        <f>IF(A19="","",COUNTIFS(tblDados[País],H19,tblDados[Liga],I19,tblDados[Janela_12_Liga],1))</f>
        <v>2</v>
      </c>
      <c r="D19" s="36">
        <v>3.91</v>
      </c>
      <c r="E19" s="172" t="str">
        <f>IF(A19="","",IF(AND(I19&lt;&gt;"MLS-Cross",C19&lt;30),"Insuficiente",IF(C19=0,"Insuficiente",(SUMIFS(tblDados[GM_M],tblDados[País],H19,tblDados[Liga],I19,tblDados[Janela_12_Liga],1)+SUMIFS(tblDados[GS_M],tblDados[País],H19,tblDados[Liga],I19,tblDados[Janela_12_Liga],1))/C19)))</f>
        <v>Insuficiente</v>
      </c>
      <c r="F19" s="31" t="s">
        <v>1321</v>
      </c>
      <c r="H19" s="32" t="str">
        <f t="shared" si="0"/>
        <v>MEX</v>
      </c>
      <c r="I19" s="32" t="str">
        <f t="shared" si="1"/>
        <v>Liga MX</v>
      </c>
    </row>
    <row r="20" spans="1:9" ht="15" customHeight="1" x14ac:dyDescent="0.3">
      <c r="A20" s="30" t="s">
        <v>1338</v>
      </c>
      <c r="B20" s="79" t="s">
        <v>1323</v>
      </c>
      <c r="C20" s="15">
        <f>IF(A20="","",COUNTIFS(tblDados[País],H20,tblDados[Liga],I20,tblDados[Janela_12_Liga],1))</f>
        <v>99</v>
      </c>
      <c r="D20" s="36">
        <v>2.5</v>
      </c>
      <c r="E20" s="172">
        <f>IF(A20="","",IF(AND(I20&lt;&gt;"MLS-Cross",C20&lt;30),"Insuficiente",IF(C20=0,"Insuficiente",(SUMIFS(tblDados[GM_M],tblDados[País],H20,tblDados[Liga],I20,tblDados[Janela_12_Liga],1)+SUMIFS(tblDados[GS_M],tblDados[País],H20,tblDados[Liga],I20,tblDados[Janela_12_Liga],1))/C20)))</f>
        <v>3.0101010101010099</v>
      </c>
      <c r="F20" s="31" t="s">
        <v>1331</v>
      </c>
      <c r="H20" s="32" t="str">
        <f t="shared" si="0"/>
        <v>NOR</v>
      </c>
      <c r="I20" s="32" t="str">
        <f t="shared" si="1"/>
        <v>Eliteserien</v>
      </c>
    </row>
    <row r="21" spans="1:9" ht="15" customHeight="1" x14ac:dyDescent="0.3">
      <c r="A21" s="30" t="s">
        <v>987</v>
      </c>
      <c r="B21" s="79" t="s">
        <v>1324</v>
      </c>
      <c r="C21" s="15">
        <f>IF(A21="","",COUNTIFS(tblDados[País],H21,tblDados[Liga],I21,tblDados[Janela_12_Liga],1))</f>
        <v>96</v>
      </c>
      <c r="D21" s="36">
        <v>2.5</v>
      </c>
      <c r="E21" s="172">
        <f>IF(A21="","",IF(AND(I21&lt;&gt;"MLS-Cross",C21&lt;30),"Insuficiente",IF(C21=0,"Insuficiente",(SUMIFS(tblDados[GM_M],tblDados[País],H21,tblDados[Liga],I21,tblDados[Janela_12_Liga],1)+SUMIFS(tblDados[GS_M],tblDados[País],H21,tblDados[Liga],I21,tblDados[Janela_12_Liga],1))/C21)))</f>
        <v>4</v>
      </c>
      <c r="F21" s="31" t="s">
        <v>1331</v>
      </c>
      <c r="H21" s="32" t="str">
        <f t="shared" si="0"/>
        <v>NOR</v>
      </c>
      <c r="I21" s="32" t="str">
        <f t="shared" si="1"/>
        <v>OBOS-ligaen</v>
      </c>
    </row>
    <row r="22" spans="1:9" ht="15" customHeight="1" x14ac:dyDescent="0.3">
      <c r="A22" s="30" t="s">
        <v>1000</v>
      </c>
      <c r="B22" s="79" t="s">
        <v>1323</v>
      </c>
      <c r="C22" s="15">
        <f>IF(A22="","",COUNTIFS(tblDados[País],H22,tblDados[Liga],I22,tblDados[Janela_12_Liga],1))</f>
        <v>97</v>
      </c>
      <c r="D22" s="36">
        <v>2.5</v>
      </c>
      <c r="E22" s="172">
        <f>IF(A22="","",IF(AND(I22&lt;&gt;"MLS-Cross",C22&lt;30),"Insuficiente",IF(C22=0,"Insuficiente",(SUMIFS(tblDados[GM_M],tblDados[País],H22,tblDados[Liga],I22,tblDados[Janela_12_Liga],1)+SUMIFS(tblDados[GS_M],tblDados[País],H22,tblDados[Liga],I22,tblDados[Janela_12_Liga],1))/C22)))</f>
        <v>3.0927835051546393</v>
      </c>
      <c r="F22" s="31" t="s">
        <v>1331</v>
      </c>
      <c r="H22" s="32" t="str">
        <f t="shared" si="0"/>
        <v>SWE</v>
      </c>
      <c r="I22" s="32" t="str">
        <f t="shared" si="1"/>
        <v>Allsvenskan</v>
      </c>
    </row>
    <row r="23" spans="1:9" ht="15" customHeight="1" x14ac:dyDescent="0.3">
      <c r="A23" s="30" t="s">
        <v>954</v>
      </c>
      <c r="B23" s="79" t="s">
        <v>1324</v>
      </c>
      <c r="C23" s="15">
        <f>IF(A23="","",COUNTIFS(tblDados[País],H23,tblDados[Liga],I23,tblDados[Janela_12_Liga],1))</f>
        <v>96</v>
      </c>
      <c r="D23" s="36">
        <v>2.5</v>
      </c>
      <c r="E23" s="172">
        <f>IF(A23="","",IF(AND(I23&lt;&gt;"MLS-Cross",C23&lt;30),"Insuficiente",IF(C23=0,"Insuficiente",(SUMIFS(tblDados[GM_M],tblDados[País],H23,tblDados[Liga],I23,tblDados[Janela_12_Liga],1)+SUMIFS(tblDados[GS_M],tblDados[País],H23,tblDados[Liga],I23,tblDados[Janela_12_Liga],1))/C23)))</f>
        <v>2.8854166666666665</v>
      </c>
      <c r="F23" s="31" t="s">
        <v>1331</v>
      </c>
      <c r="H23" s="32" t="str">
        <f t="shared" si="0"/>
        <v>SWE</v>
      </c>
      <c r="I23" s="32" t="str">
        <f t="shared" si="1"/>
        <v>Superettan</v>
      </c>
    </row>
    <row r="24" spans="1:9" ht="15" customHeight="1" x14ac:dyDescent="0.3">
      <c r="A24" s="30" t="s">
        <v>966</v>
      </c>
      <c r="B24" s="79" t="s">
        <v>1325</v>
      </c>
      <c r="C24" s="15">
        <f>IF(A24="","",COUNTIFS(tblDados[País],H24,tblDados[Liga],I24,tblDados[Janela_12_Liga],1))</f>
        <v>96</v>
      </c>
      <c r="D24" s="36">
        <v>2.5</v>
      </c>
      <c r="E24" s="172">
        <f>IF(A24="","",IF(AND(I24&lt;&gt;"MLS-Cross",C24&lt;30),"Insuficiente",IF(C24=0,"Insuficiente",(SUMIFS(tblDados[GM_M],tblDados[País],H24,tblDados[Liga],I24,tblDados[Janela_12_Liga],1)+SUMIFS(tblDados[GS_M],tblDados[País],H24,tblDados[Liga],I24,tblDados[Janela_12_Liga],1))/C24)))</f>
        <v>3.125</v>
      </c>
      <c r="F24" s="31" t="s">
        <v>1331</v>
      </c>
      <c r="H24" s="32" t="str">
        <f t="shared" si="0"/>
        <v>SWE</v>
      </c>
      <c r="I24" s="32" t="str">
        <f t="shared" si="1"/>
        <v>1ª D Norra</v>
      </c>
    </row>
    <row r="25" spans="1:9" ht="15" customHeight="1" x14ac:dyDescent="0.3">
      <c r="A25" s="30" t="s">
        <v>1339</v>
      </c>
      <c r="B25" s="79" t="s">
        <v>1325</v>
      </c>
      <c r="C25" s="15">
        <f>IF(A25="","",COUNTIFS(tblDados[País],H25,tblDados[Liga],I25,tblDados[Janela_12_Liga],1))</f>
        <v>96</v>
      </c>
      <c r="D25" s="36">
        <v>2.5</v>
      </c>
      <c r="E25" s="172">
        <f>IF(A25="","",IF(AND(I25&lt;&gt;"MLS-Cross",C25&lt;30),"Insuficiente",IF(C25=0,"Insuficiente",(SUMIFS(tblDados[GM_M],tblDados[País],H25,tblDados[Liga],I25,tblDados[Janela_12_Liga],1)+SUMIFS(tblDados[GS_M],tblDados[País],H25,tblDados[Liga],I25,tblDados[Janela_12_Liga],1))/C25)))</f>
        <v>3.125</v>
      </c>
      <c r="F25" s="31" t="s">
        <v>1331</v>
      </c>
      <c r="H25" s="32" t="str">
        <f t="shared" si="0"/>
        <v>SWE</v>
      </c>
      <c r="I25" s="32" t="str">
        <f t="shared" si="1"/>
        <v>1ª D Södra</v>
      </c>
    </row>
    <row r="26" spans="1:9" ht="15" customHeight="1" x14ac:dyDescent="0.3">
      <c r="A26" s="30" t="s">
        <v>1340</v>
      </c>
      <c r="B26" s="79" t="s">
        <v>1326</v>
      </c>
      <c r="C26" s="15">
        <f>IF(A26="","",COUNTIFS(tblDados[País],H26,tblDados[Liga],I26,tblDados[Janela_12_Liga],1))</f>
        <v>85</v>
      </c>
      <c r="D26" s="36">
        <v>2.5</v>
      </c>
      <c r="E26" s="172">
        <f>IF(A26="","",IF(AND(I26&lt;&gt;"MLS-Cross",C26&lt;30),"Insuficiente",IF(C26=0,"Insuficiente",(SUMIFS(tblDados[GM_M],tblDados[País],H26,tblDados[Liga],I26,tblDados[Janela_12_Liga],1)+SUMIFS(tblDados[GS_M],tblDados[País],H26,tblDados[Liga],I26,tblDados[Janela_12_Liga],1))/C26)))</f>
        <v>3.2705882352941176</v>
      </c>
      <c r="F26" s="31" t="s">
        <v>1331</v>
      </c>
      <c r="H26" s="32" t="str">
        <f t="shared" si="0"/>
        <v>SWE</v>
      </c>
      <c r="I26" s="32" t="str">
        <f t="shared" si="1"/>
        <v>2ª D Södra Götaland</v>
      </c>
    </row>
    <row r="27" spans="1:9" ht="15" customHeight="1" x14ac:dyDescent="0.3">
      <c r="A27" s="30" t="s">
        <v>6105</v>
      </c>
      <c r="B27" s="79" t="s">
        <v>1326</v>
      </c>
      <c r="C27" s="15">
        <f>IF(A27="","",COUNTIFS(tblDados[País],H27,tblDados[Liga],I27,tblDados[Janela_12_Liga],1))</f>
        <v>84</v>
      </c>
      <c r="D27" s="36">
        <v>2.5</v>
      </c>
      <c r="E27" s="172">
        <f>IF(A27="","",IF(AND(I27&lt;&gt;"MLS-Cross",C27&lt;30),"Insuficiente",IF(C27=0,"Insuficiente",(SUMIFS(tblDados[GM_M],tblDados[País],H27,tblDados[Liga],I27,tblDados[Janela_12_Liga],1)+SUMIFS(tblDados[GS_M],tblDados[País],H27,tblDados[Liga],I27,tblDados[Janela_12_Liga],1))/C27)))</f>
        <v>3.1071428571428572</v>
      </c>
      <c r="F27" s="31" t="s">
        <v>1331</v>
      </c>
      <c r="H27" s="32" t="str">
        <f t="shared" ref="H27" si="2">IF(A27="","",LEFT(A27,3))</f>
        <v>SWE</v>
      </c>
      <c r="I27" s="32" t="str">
        <f t="shared" ref="I27" si="3">IF(A27="","",_xlfn.TEXTAFTER(A27," - "))</f>
        <v>2ª D Norra Götaland</v>
      </c>
    </row>
    <row r="28" spans="1:9" ht="15" customHeight="1" x14ac:dyDescent="0.3">
      <c r="A28" s="30" t="s">
        <v>960</v>
      </c>
      <c r="B28" s="79" t="s">
        <v>1326</v>
      </c>
      <c r="C28" s="15">
        <f>IF(A28="","",COUNTIFS(tblDados[País],H28,tblDados[Liga],I28,tblDados[Janela_12_Liga],1))</f>
        <v>84</v>
      </c>
      <c r="D28" s="36">
        <v>2.5</v>
      </c>
      <c r="E28" s="172">
        <f>IF(A28="","",IF(AND(I28&lt;&gt;"MLS-Cross",C28&lt;30),"Insuficiente",IF(C28=0,"Insuficiente",(SUMIFS(tblDados[GM_M],tblDados[País],H28,tblDados[Liga],I28,tblDados[Janela_12_Liga],1)+SUMIFS(tblDados[GS_M],tblDados[País],H28,tblDados[Liga],I28,tblDados[Janela_12_Liga],1))/C28)))</f>
        <v>3.2142857142857144</v>
      </c>
      <c r="F28" s="31" t="s">
        <v>1331</v>
      </c>
      <c r="H28" s="32" t="str">
        <f t="shared" si="0"/>
        <v>SWE</v>
      </c>
      <c r="I28" s="32" t="str">
        <f t="shared" si="1"/>
        <v>2ª D Västra Götaland</v>
      </c>
    </row>
    <row r="29" spans="1:9" ht="15" customHeight="1" x14ac:dyDescent="0.3">
      <c r="A29" s="30" t="s">
        <v>1341</v>
      </c>
      <c r="B29" s="79" t="s">
        <v>1324</v>
      </c>
      <c r="C29" s="15">
        <f>IF(A29="","",COUNTIFS(tblDados[País],H29,tblDados[Liga],I29,tblDados[Janela_12_Liga],1))</f>
        <v>1</v>
      </c>
      <c r="D29" s="36">
        <v>2.5</v>
      </c>
      <c r="E29" s="172" t="str">
        <f>IF(A29="","",IF(AND(I29&lt;&gt;"MLS-Cross",C29&lt;30),"Insuficiente",IF(C29=0,"Insuficiente",(SUMIFS(tblDados[GM_M],tblDados[País],H29,tblDados[Liga],I29,tblDados[Janela_12_Liga],1)+SUMIFS(tblDados[GS_M],tblDados[País],H29,tblDados[Liga],I29,tblDados[Janela_12_Liga],1))/C29)))</f>
        <v>Insuficiente</v>
      </c>
      <c r="F29" s="31" t="s">
        <v>1331</v>
      </c>
      <c r="H29" s="32" t="str">
        <f t="shared" si="0"/>
        <v>URU</v>
      </c>
      <c r="I29" s="32" t="str">
        <f t="shared" si="1"/>
        <v>Liga AUF</v>
      </c>
    </row>
    <row r="30" spans="1:9" ht="15" customHeight="1" x14ac:dyDescent="0.3">
      <c r="A30" s="30" t="s">
        <v>3662</v>
      </c>
      <c r="B30" s="79" t="s">
        <v>1325</v>
      </c>
      <c r="C30" s="15">
        <f>IF(A30="","",COUNTIFS(tblDados[País],H30,tblDados[Liga],I30,tblDados[Janela_12_Liga],1))</f>
        <v>79</v>
      </c>
      <c r="D30" s="36">
        <v>2.5</v>
      </c>
      <c r="E30" s="172">
        <f>IF(A30="","",IF(AND(I30&lt;&gt;"MLS-Cross",C30&lt;30),"Insuficiente",IF(C30=0,"Insuficiente",(SUMIFS(tblDados[GM_M],tblDados[País],H30,tblDados[Liga],I30,tblDados[Janela_12_Liga],1)+SUMIFS(tblDados[GS_M],tblDados[País],H30,tblDados[Liga],I30,tblDados[Janela_12_Liga],1))/C30)))</f>
        <v>3.4303797468354431</v>
      </c>
      <c r="F30" s="31" t="s">
        <v>1331</v>
      </c>
      <c r="H30" s="32" t="str">
        <f>IF(A30="","",LEFT(A30,3))</f>
        <v>USA</v>
      </c>
      <c r="I30" s="32" t="str">
        <f>IF(A30="","",_xlfn.TEXTAFTER(A30," - "))</f>
        <v>MLS-East</v>
      </c>
    </row>
    <row r="31" spans="1:9" ht="15" customHeight="1" x14ac:dyDescent="0.3">
      <c r="A31" s="30" t="s">
        <v>3663</v>
      </c>
      <c r="B31" s="79" t="s">
        <v>1325</v>
      </c>
      <c r="C31" s="15">
        <f>IF(A31="","",COUNTIFS(tblDados[País],H31,tblDados[Liga],I31,tblDados[Janela_12_Liga],1))</f>
        <v>80</v>
      </c>
      <c r="D31" s="36">
        <v>2.5</v>
      </c>
      <c r="E31" s="172">
        <f>IF(A31="","",IF(AND(I31&lt;&gt;"MLS-Cross",C31&lt;30),"Insuficiente",IF(C31=0,"Insuficiente",(SUMIFS(tblDados[GM_M],tblDados[País],H31,tblDados[Liga],I31,tblDados[Janela_12_Liga],1)+SUMIFS(tblDados[GS_M],tblDados[País],H31,tblDados[Liga],I31,tblDados[Janela_12_Liga],1))/C31)))</f>
        <v>3.0249999999999999</v>
      </c>
      <c r="F31" s="31" t="s">
        <v>1331</v>
      </c>
      <c r="H31" s="32" t="str">
        <f>IF(A31="","",LEFT(A31,3))</f>
        <v>USA</v>
      </c>
      <c r="I31" s="32" t="str">
        <f>IF(A31="","",_xlfn.TEXTAFTER(A31," - "))</f>
        <v>MLS-West</v>
      </c>
    </row>
    <row r="32" spans="1:9" ht="15" customHeight="1" x14ac:dyDescent="0.3">
      <c r="A32" s="30" t="s">
        <v>3664</v>
      </c>
      <c r="B32" s="79" t="s">
        <v>1325</v>
      </c>
      <c r="C32" s="15">
        <f>IF(A32="","",COUNTIFS(tblDados[País],H32,tblDados[Liga],I32,tblDados[Janela_12_Liga],1))</f>
        <v>25</v>
      </c>
      <c r="D32" s="36">
        <v>2.5</v>
      </c>
      <c r="E32" s="172">
        <f>IF(A32="","",IF(AND(I32&lt;&gt;"MLS-Cross",C32&lt;30),"Insuficiente",IF(C32=0,"Insuficiente",(SUMIFS(tblDados[GM_M],tblDados[País],H32,tblDados[Liga],I32,tblDados[Janela_12_Liga],1)+SUMIFS(tblDados[GS_M],tblDados[País],H32,tblDados[Liga],I32,tblDados[Janela_12_Liga],1))/C32)))</f>
        <v>3.48</v>
      </c>
      <c r="F32" s="31" t="s">
        <v>1331</v>
      </c>
      <c r="H32" s="32" t="str">
        <f>IF(A32="","",LEFT(A32,3))</f>
        <v>USA</v>
      </c>
      <c r="I32" s="32" t="str">
        <f>IF(A32="","",_xlfn.TEXTAFTER(A32," - "))</f>
        <v>MLS-Cross</v>
      </c>
    </row>
    <row r="33" spans="1:9" ht="15" customHeight="1" x14ac:dyDescent="0.3">
      <c r="A33" s="30" t="s">
        <v>847</v>
      </c>
      <c r="B33" s="79" t="s">
        <v>1323</v>
      </c>
      <c r="C33" s="15">
        <f>IF(A33="","",COUNTIFS(tblDados[País],H33,tblDados[Liga],I33,tblDados[Janela_12_Liga],1))</f>
        <v>100</v>
      </c>
      <c r="D33" s="36">
        <v>2.5</v>
      </c>
      <c r="E33" s="172">
        <f>IF(A33="","",IF(AND(I33&lt;&gt;"MLS-Cross",C33&lt;30),"Insuficiente",IF(C33=0,"Insuficiente",(SUMIFS(tblDados[GM_M],tblDados[País],H33,tblDados[Liga],I33,tblDados[Janela_12_Liga],1)+SUMIFS(tblDados[GS_M],tblDados[País],H33,tblDados[Liga],I33,tblDados[Janela_12_Liga],1))/C33)))</f>
        <v>3.11</v>
      </c>
      <c r="F33" s="31" t="s">
        <v>1331</v>
      </c>
      <c r="H33" s="32" t="str">
        <f t="shared" si="0"/>
        <v>CHN</v>
      </c>
      <c r="I33" s="32" t="str">
        <f t="shared" si="1"/>
        <v>Super League</v>
      </c>
    </row>
    <row r="34" spans="1:9" ht="15" customHeight="1" x14ac:dyDescent="0.3">
      <c r="A34" s="30" t="s">
        <v>7895</v>
      </c>
      <c r="B34" s="79" t="s">
        <v>1324</v>
      </c>
      <c r="C34" s="15">
        <f>IF(A34="","",COUNTIFS(tblDados[País],H34,tblDados[Liga],I34,tblDados[Janela_12_Liga],1))</f>
        <v>99</v>
      </c>
      <c r="D34" s="36">
        <v>2.5</v>
      </c>
      <c r="E34" s="172">
        <f>IF(A34="","",IF(AND(I34&lt;&gt;"MLS-Cross",C34&lt;30),"Insuficiente",IF(C34=0,"Insuficiente",(SUMIFS(tblDados[GM_M],tblDados[País],H34,tblDados[Liga],I34,tblDados[Janela_12_Liga],1)+SUMIFS(tblDados[GS_M],tblDados[País],H34,tblDados[Liga],I34,tblDados[Janela_12_Liga],1))/C34)))</f>
        <v>2.8484848484848486</v>
      </c>
      <c r="F34" s="31" t="s">
        <v>1331</v>
      </c>
      <c r="H34" s="32" t="str">
        <f>IF(A34="","",LEFT(A34,3))</f>
        <v>CHN</v>
      </c>
      <c r="I34" s="32" t="str">
        <f>IF(A34="","",_xlfn.TEXTAFTER(A34," - "))</f>
        <v>League One</v>
      </c>
    </row>
    <row r="35" spans="1:9" ht="15" customHeight="1" x14ac:dyDescent="0.3">
      <c r="A35" s="30" t="s">
        <v>2230</v>
      </c>
      <c r="B35" s="79" t="s">
        <v>1323</v>
      </c>
      <c r="C35" s="15">
        <f>IF(A35="","",COUNTIFS(tblDados[País],H35,tblDados[Liga],I35,tblDados[Janela_12_Liga],1))</f>
        <v>96</v>
      </c>
      <c r="D35" s="36">
        <v>2.72</v>
      </c>
      <c r="E35" s="172">
        <f>IF(A35="","",IF(AND(I35&lt;&gt;"MLS-Cross",C35&lt;30),"Insuficiente",IF(C35=0,"Insuficiente",(SUMIFS(tblDados[GM_M],tblDados[País],H35,tblDados[Liga],I35,tblDados[Janela_12_Liga],1)+SUMIFS(tblDados[GS_M],tblDados[País],H35,tblDados[Liga],I35,tblDados[Janela_12_Liga],1))/C35)))</f>
        <v>2.7291666666666665</v>
      </c>
      <c r="F35" s="31" t="s">
        <v>1321</v>
      </c>
      <c r="H35" s="32" t="str">
        <f t="shared" si="0"/>
        <v>AUS</v>
      </c>
      <c r="I35" s="32" t="str">
        <f t="shared" si="1"/>
        <v>NPL New South Wales</v>
      </c>
    </row>
    <row r="36" spans="1:9" ht="15" customHeight="1" x14ac:dyDescent="0.3">
      <c r="A36" s="107" t="s">
        <v>851</v>
      </c>
      <c r="B36" s="79" t="s">
        <v>1323</v>
      </c>
      <c r="C36" s="15">
        <f>IF(A36="","",COUNTIFS(tblDados[País],H36,tblDados[Liga],I36,tblDados[Janela_12_Liga],1))</f>
        <v>77</v>
      </c>
      <c r="D36" s="108">
        <v>3.76</v>
      </c>
      <c r="E36" s="173">
        <f>IF(A36="","",IF(AND(I36&lt;&gt;"MLS-Cross",C36&lt;30),"Insuficiente",IF(C36=0,"Insuficiente",(SUMIFS(tblDados[GM_M],tblDados[País],H36,tblDados[Liga],I36,tblDados[Janela_12_Liga],1)+SUMIFS(tblDados[GS_M],tblDados[País],H36,tblDados[Liga],I36,tblDados[Janela_12_Liga],1))/C36)))</f>
        <v>3.6623376623376624</v>
      </c>
      <c r="F36" s="109" t="s">
        <v>1321</v>
      </c>
      <c r="H36" s="32" t="str">
        <f t="shared" si="0"/>
        <v>AUS</v>
      </c>
      <c r="I36" s="32" t="str">
        <f t="shared" si="1"/>
        <v>NPL Queensland</v>
      </c>
    </row>
    <row r="37" spans="1:9" ht="15" customHeight="1" x14ac:dyDescent="0.3">
      <c r="A37" s="107" t="s">
        <v>973</v>
      </c>
      <c r="B37" s="79" t="s">
        <v>1323</v>
      </c>
      <c r="C37" s="15">
        <f>IF(A37="","",COUNTIFS(tblDados[País],H37,tblDados[Liga],I37,tblDados[Janela_12_Liga],1))</f>
        <v>73</v>
      </c>
      <c r="D37" s="108">
        <v>3.7</v>
      </c>
      <c r="E37" s="173">
        <f>IF(A37="","",IF(AND(I37&lt;&gt;"MLS-Cross",C37&lt;30),"Insuficiente",IF(C37=0,"Insuficiente",(SUMIFS(tblDados[GM_M],tblDados[País],H37,tblDados[Liga],I37,tblDados[Janela_12_Liga],1)+SUMIFS(tblDados[GS_M],tblDados[País],H37,tblDados[Liga],I37,tblDados[Janela_12_Liga],1))/C37)))</f>
        <v>3.2465753424657535</v>
      </c>
      <c r="F37" s="109" t="s">
        <v>1321</v>
      </c>
      <c r="H37" s="32" t="str">
        <f t="shared" si="0"/>
        <v>AUS</v>
      </c>
      <c r="I37" s="32" t="str">
        <f t="shared" si="1"/>
        <v>NPL South Australia</v>
      </c>
    </row>
    <row r="38" spans="1:9" ht="15" customHeight="1" x14ac:dyDescent="0.3">
      <c r="A38" s="30" t="s">
        <v>1330</v>
      </c>
      <c r="B38" s="79" t="s">
        <v>1323</v>
      </c>
      <c r="C38" s="15">
        <f>IF(A38="","",COUNTIFS(tblDados[País],H38,tblDados[Liga],I38,tblDados[Janela_12_Liga],1))</f>
        <v>85</v>
      </c>
      <c r="D38" s="36">
        <v>2.5</v>
      </c>
      <c r="E38" s="172">
        <f>IF(A38="","",IF(AND(I38&lt;&gt;"MLS-Cross",C38&lt;30),"Insuficiente",IF(C38=0,"Insuficiente",(SUMIFS(tblDados[GM_M],tblDados[País],H38,tblDados[Liga],I38,tblDados[Janela_12_Liga],1)+SUMIFS(tblDados[GS_M],tblDados[País],H38,tblDados[Liga],I38,tblDados[Janela_12_Liga],1))/C38)))</f>
        <v>2.8588235294117648</v>
      </c>
      <c r="F38" s="31" t="s">
        <v>1331</v>
      </c>
      <c r="H38" s="32" t="str">
        <f t="shared" si="0"/>
        <v>AUS</v>
      </c>
      <c r="I38" s="32" t="str">
        <f t="shared" si="1"/>
        <v>NPL Victoria</v>
      </c>
    </row>
    <row r="39" spans="1:9" ht="15" customHeight="1" x14ac:dyDescent="0.3">
      <c r="A39" s="107" t="s">
        <v>1405</v>
      </c>
      <c r="B39" s="79" t="s">
        <v>1323</v>
      </c>
      <c r="C39" s="15">
        <f>IF(A39="","",COUNTIFS(tblDados[País],H39,tblDados[Liga],I39,tblDados[Janela_12_Liga],1))</f>
        <v>72</v>
      </c>
      <c r="D39" s="108">
        <v>3.31</v>
      </c>
      <c r="E39" s="173">
        <f>IF(A39="","",IF(AND(I39&lt;&gt;"MLS-Cross",C39&lt;30),"Insuficiente",IF(C39=0,"Insuficiente",(SUMIFS(tblDados[GM_M],tblDados[País],H39,tblDados[Liga],I39,tblDados[Janela_12_Liga],1)+SUMIFS(tblDados[GS_M],tblDados[País],H39,tblDados[Liga],I39,tblDados[Janela_12_Liga],1))/C39)))</f>
        <v>3.6805555555555554</v>
      </c>
      <c r="F39" s="109" t="s">
        <v>1321</v>
      </c>
      <c r="H39" s="33" t="str">
        <f t="shared" si="0"/>
        <v>AUS</v>
      </c>
      <c r="I39" s="33" t="str">
        <f t="shared" si="1"/>
        <v>NPL Western Australia</v>
      </c>
    </row>
    <row r="40" spans="1:9" ht="15" customHeight="1" x14ac:dyDescent="0.3">
      <c r="A40" s="107" t="s">
        <v>10991</v>
      </c>
      <c r="B40" s="79" t="s">
        <v>1323</v>
      </c>
      <c r="C40" s="15">
        <f>IF(A40="","",COUNTIFS(tblDados[País],H40,tblDados[Liga],I40,tblDados[Janela_12_Liga],1))</f>
        <v>57</v>
      </c>
      <c r="D40" s="108">
        <v>2.4</v>
      </c>
      <c r="E40" s="173">
        <f>IF(A40="","",IF(AND(I40&lt;&gt;"MLS-Cross",C40&lt;30),"Insuficiente",IF(C40=0,"Insuficiente",(SUMIFS(tblDados[GM_M],tblDados[País],H40,tblDados[Liga],I40,tblDados[Janela_12_Liga],1)+SUMIFS(tblDados[GS_M],tblDados[País],H40,tblDados[Liga],I40,tblDados[Janela_12_Liga],1))/C40)))</f>
        <v>2.2280701754385963</v>
      </c>
      <c r="F40" s="109" t="s">
        <v>1328</v>
      </c>
      <c r="H40" s="33" t="str">
        <f t="shared" ref="H40" si="4">IF(A40="","",LEFT(A40,3))</f>
        <v>KOR</v>
      </c>
      <c r="I40" s="33" t="str">
        <f t="shared" ref="I40" si="5">IF(A40="","",_xlfn.TEXTAFTER(A40," - "))</f>
        <v>K League 1</v>
      </c>
    </row>
    <row r="41" spans="1:9" ht="15" customHeight="1" x14ac:dyDescent="0.3">
      <c r="A41" s="107" t="s">
        <v>11257</v>
      </c>
      <c r="B41" s="79" t="s">
        <v>1324</v>
      </c>
      <c r="C41" s="15">
        <f>IF(A41="","",COUNTIFS(tblDados[País],H41,tblDados[Liga],I41,tblDados[Janela_12_Liga],1))</f>
        <v>78</v>
      </c>
      <c r="D41" s="108">
        <v>2.7</v>
      </c>
      <c r="E41" s="173">
        <f>IF(A41="","",IF(AND(I41&lt;&gt;"MLS-Cross",C41&lt;30),"Insuficiente",IF(C41=0,"Insuficiente",(SUMIFS(tblDados[GM_M],tblDados[País],H41,tblDados[Liga],I41,tblDados[Janela_12_Liga],1)+SUMIFS(tblDados[GS_M],tblDados[País],H41,tblDados[Liga],I41,tblDados[Janela_12_Liga],1))/C41)))</f>
        <v>2.6025641025641026</v>
      </c>
      <c r="F41" s="109" t="s">
        <v>1331</v>
      </c>
      <c r="H41" s="33" t="str">
        <f t="shared" ref="H41" si="6">IF(A41="","",LEFT(A41,3))</f>
        <v>KOR</v>
      </c>
      <c r="I41" s="33" t="str">
        <f t="shared" ref="I41" si="7">IF(A41="","",_xlfn.TEXTAFTER(A41," - "))</f>
        <v>K League 2</v>
      </c>
    </row>
    <row r="42" spans="1:9" ht="15" customHeight="1" x14ac:dyDescent="0.3">
      <c r="A42" s="35"/>
      <c r="B42" s="79"/>
      <c r="D42" s="34"/>
      <c r="E42" s="34"/>
      <c r="F42" s="33"/>
      <c r="H42" s="33"/>
      <c r="I42" s="33"/>
    </row>
    <row r="43" spans="1:9" ht="15" customHeight="1" x14ac:dyDescent="0.3">
      <c r="A43" s="35"/>
      <c r="B43" s="79"/>
      <c r="D43" s="34"/>
      <c r="E43" s="34"/>
      <c r="F43" s="33"/>
      <c r="H43" s="33"/>
      <c r="I43" s="33"/>
    </row>
    <row r="44" spans="1:9" ht="15" customHeight="1" x14ac:dyDescent="0.3">
      <c r="A44" s="35"/>
      <c r="B44" s="79"/>
      <c r="D44" s="34"/>
      <c r="E44" s="34"/>
      <c r="F44" s="33"/>
      <c r="H44" s="33"/>
      <c r="I44" s="33"/>
    </row>
    <row r="45" spans="1:9" ht="15" customHeight="1" x14ac:dyDescent="0.3">
      <c r="A45" s="33"/>
      <c r="B45" s="79"/>
      <c r="D45" s="34"/>
      <c r="E45" s="34"/>
      <c r="F45" s="33"/>
      <c r="H45" s="33"/>
      <c r="I45" s="33"/>
    </row>
    <row r="46" spans="1:9" ht="15" customHeight="1" x14ac:dyDescent="0.3">
      <c r="A46" s="33"/>
      <c r="B46" s="79"/>
      <c r="D46" s="34"/>
      <c r="E46" s="34"/>
      <c r="F46" s="33"/>
      <c r="H46" s="33"/>
      <c r="I46" s="33"/>
    </row>
    <row r="47" spans="1:9" ht="15" customHeight="1" x14ac:dyDescent="0.3">
      <c r="A47" s="33"/>
      <c r="B47" s="79"/>
      <c r="D47" s="34"/>
      <c r="E47" s="34"/>
      <c r="F47" s="33"/>
      <c r="H47" s="33"/>
      <c r="I47" s="33"/>
    </row>
    <row r="48" spans="1:9" ht="15" customHeight="1" x14ac:dyDescent="0.3">
      <c r="A48" s="33"/>
      <c r="B48" s="79"/>
      <c r="D48" s="34"/>
      <c r="E48" s="34"/>
      <c r="F48" s="33"/>
      <c r="H48" s="33"/>
      <c r="I48" s="33"/>
    </row>
    <row r="49" spans="1:9" ht="15" customHeight="1" x14ac:dyDescent="0.3">
      <c r="A49" s="33"/>
      <c r="B49" s="79"/>
      <c r="D49" s="34"/>
      <c r="E49" s="34"/>
      <c r="F49" s="33"/>
      <c r="H49" s="33"/>
      <c r="I49" s="33"/>
    </row>
    <row r="50" spans="1:9" ht="15" customHeight="1" x14ac:dyDescent="0.3">
      <c r="A50" s="33"/>
      <c r="B50" s="79"/>
      <c r="D50" s="34"/>
      <c r="E50" s="34"/>
      <c r="F50" s="33"/>
      <c r="H50" s="33"/>
      <c r="I50" s="33"/>
    </row>
    <row r="51" spans="1:9" ht="15" customHeight="1" x14ac:dyDescent="0.3">
      <c r="A51" s="33"/>
      <c r="B51" s="79"/>
      <c r="D51" s="34"/>
      <c r="E51" s="34"/>
      <c r="F51" s="33"/>
      <c r="H51" s="33"/>
      <c r="I51" s="33"/>
    </row>
    <row r="52" spans="1:9" ht="15" customHeight="1" x14ac:dyDescent="0.3">
      <c r="A52" s="33"/>
      <c r="B52" s="79"/>
      <c r="D52" s="34"/>
      <c r="E52" s="34"/>
      <c r="F52" s="33"/>
      <c r="H52" s="33"/>
      <c r="I52" s="33"/>
    </row>
    <row r="53" spans="1:9" ht="15" customHeight="1" x14ac:dyDescent="0.3">
      <c r="A53" s="33"/>
      <c r="B53" s="79"/>
      <c r="D53" s="34"/>
      <c r="E53" s="34"/>
      <c r="F53" s="33"/>
      <c r="H53" s="33"/>
      <c r="I53" s="33"/>
    </row>
    <row r="54" spans="1:9" ht="15" customHeight="1" x14ac:dyDescent="0.3">
      <c r="A54" s="33"/>
      <c r="B54" s="79"/>
      <c r="D54" s="34"/>
      <c r="E54" s="34"/>
      <c r="F54" s="33"/>
      <c r="H54" s="33"/>
      <c r="I54" s="33"/>
    </row>
    <row r="55" spans="1:9" ht="15" customHeight="1" x14ac:dyDescent="0.3">
      <c r="A55" s="33"/>
      <c r="B55" s="79"/>
      <c r="D55" s="34"/>
      <c r="E55" s="34"/>
      <c r="F55" s="33"/>
      <c r="H55" s="33"/>
      <c r="I55" s="33"/>
    </row>
    <row r="56" spans="1:9" ht="15" customHeight="1" x14ac:dyDescent="0.3">
      <c r="A56" s="33"/>
      <c r="B56" s="79"/>
      <c r="D56" s="34"/>
      <c r="E56" s="34"/>
      <c r="F56" s="33"/>
      <c r="H56" s="33"/>
      <c r="I56" s="33"/>
    </row>
    <row r="57" spans="1:9" ht="15" customHeight="1" x14ac:dyDescent="0.3">
      <c r="A57" s="33"/>
      <c r="B57" s="79"/>
      <c r="D57" s="34"/>
      <c r="E57" s="34"/>
      <c r="F57" s="33"/>
      <c r="H57" s="33"/>
      <c r="I57" s="33"/>
    </row>
    <row r="58" spans="1:9" ht="15" customHeight="1" x14ac:dyDescent="0.3">
      <c r="A58" s="33"/>
      <c r="B58" s="79"/>
      <c r="D58" s="34"/>
      <c r="E58" s="34"/>
      <c r="F58" s="33"/>
      <c r="H58" s="33"/>
      <c r="I58" s="33"/>
    </row>
    <row r="59" spans="1:9" ht="15" customHeight="1" x14ac:dyDescent="0.3">
      <c r="A59" s="33"/>
      <c r="B59" s="79"/>
      <c r="D59" s="34"/>
      <c r="E59" s="34"/>
      <c r="F59" s="33"/>
      <c r="H59" s="33"/>
      <c r="I59" s="33"/>
    </row>
    <row r="60" spans="1:9" ht="15" customHeight="1" x14ac:dyDescent="0.3">
      <c r="A60" s="33"/>
      <c r="B60" s="79"/>
      <c r="D60" s="34"/>
      <c r="E60" s="34"/>
      <c r="F60" s="33"/>
      <c r="H60" s="33"/>
      <c r="I60" s="33"/>
    </row>
    <row r="61" spans="1:9" ht="15" customHeight="1" x14ac:dyDescent="0.3">
      <c r="A61" s="33"/>
      <c r="B61" s="79"/>
      <c r="D61" s="34"/>
      <c r="E61" s="34"/>
      <c r="F61" s="33"/>
      <c r="H61" s="33"/>
      <c r="I61" s="33"/>
    </row>
    <row r="62" spans="1:9" ht="15" customHeight="1" x14ac:dyDescent="0.3">
      <c r="A62" s="33"/>
      <c r="B62" s="79"/>
      <c r="D62" s="34"/>
      <c r="E62" s="34"/>
      <c r="F62" s="33"/>
      <c r="H62" s="33"/>
      <c r="I62" s="33"/>
    </row>
    <row r="63" spans="1:9" ht="15" customHeight="1" x14ac:dyDescent="0.3">
      <c r="A63" s="33"/>
      <c r="B63" s="79"/>
      <c r="D63" s="34"/>
      <c r="E63" s="34"/>
      <c r="F63" s="33"/>
      <c r="H63" s="33"/>
      <c r="I63" s="33"/>
    </row>
    <row r="64" spans="1:9" ht="15" customHeight="1" x14ac:dyDescent="0.3">
      <c r="A64" s="33"/>
      <c r="B64" s="79"/>
      <c r="D64" s="34"/>
      <c r="E64" s="34"/>
      <c r="F64" s="33"/>
      <c r="H64" s="33"/>
      <c r="I64" s="33"/>
    </row>
    <row r="65" spans="1:9" ht="15" customHeight="1" x14ac:dyDescent="0.3">
      <c r="A65" s="33"/>
      <c r="B65" s="79"/>
      <c r="D65" s="34"/>
      <c r="E65" s="34"/>
      <c r="F65" s="33"/>
      <c r="H65" s="33"/>
      <c r="I65" s="33"/>
    </row>
    <row r="66" spans="1:9" ht="15" customHeight="1" x14ac:dyDescent="0.3">
      <c r="A66" s="33"/>
      <c r="B66" s="79"/>
      <c r="D66" s="34"/>
      <c r="E66" s="34"/>
      <c r="F66" s="33"/>
      <c r="H66" s="33"/>
      <c r="I66" s="33"/>
    </row>
    <row r="67" spans="1:9" ht="15" customHeight="1" x14ac:dyDescent="0.3">
      <c r="A67" s="33"/>
      <c r="B67" s="79"/>
      <c r="D67" s="34"/>
      <c r="E67" s="34"/>
      <c r="F67" s="33"/>
      <c r="H67" s="33"/>
      <c r="I67" s="33"/>
    </row>
    <row r="68" spans="1:9" ht="15" customHeight="1" x14ac:dyDescent="0.3">
      <c r="A68" s="33"/>
      <c r="B68" s="79"/>
      <c r="D68" s="34"/>
      <c r="E68" s="34"/>
      <c r="F68" s="33"/>
      <c r="H68" s="33"/>
      <c r="I68" s="33"/>
    </row>
    <row r="69" spans="1:9" ht="15" customHeight="1" x14ac:dyDescent="0.3">
      <c r="A69" s="33"/>
      <c r="B69" s="79"/>
      <c r="D69" s="34"/>
      <c r="E69" s="34"/>
      <c r="F69" s="33"/>
      <c r="H69" s="33"/>
      <c r="I69" s="33"/>
    </row>
    <row r="70" spans="1:9" ht="15" customHeight="1" x14ac:dyDescent="0.3">
      <c r="A70" s="33"/>
      <c r="B70" s="79"/>
      <c r="D70" s="34"/>
      <c r="E70" s="34"/>
      <c r="F70" s="33"/>
      <c r="H70" s="33"/>
      <c r="I70" s="33"/>
    </row>
    <row r="71" spans="1:9" ht="15" customHeight="1" x14ac:dyDescent="0.3">
      <c r="A71" s="33"/>
      <c r="B71" s="79"/>
      <c r="D71" s="34"/>
      <c r="E71" s="34"/>
      <c r="F71" s="33"/>
      <c r="H71" s="33"/>
      <c r="I71" s="33"/>
    </row>
    <row r="72" spans="1:9" ht="15" customHeight="1" x14ac:dyDescent="0.3">
      <c r="A72" s="33"/>
      <c r="B72" s="79"/>
      <c r="D72" s="34"/>
      <c r="E72" s="34"/>
      <c r="F72" s="33"/>
      <c r="H72" s="33"/>
      <c r="I72" s="33"/>
    </row>
    <row r="73" spans="1:9" ht="15" customHeight="1" x14ac:dyDescent="0.3">
      <c r="A73" s="33"/>
      <c r="B73" s="79"/>
      <c r="D73" s="34"/>
      <c r="E73" s="34"/>
      <c r="F73" s="33"/>
      <c r="H73" s="33"/>
      <c r="I73" s="33"/>
    </row>
    <row r="74" spans="1:9" ht="15" customHeight="1" x14ac:dyDescent="0.3">
      <c r="A74" s="33"/>
      <c r="B74" s="79"/>
      <c r="D74" s="34"/>
      <c r="E74" s="34"/>
      <c r="F74" s="33"/>
      <c r="H74" s="33"/>
      <c r="I74" s="33"/>
    </row>
    <row r="75" spans="1:9" ht="15" customHeight="1" x14ac:dyDescent="0.3">
      <c r="A75" s="33"/>
      <c r="B75" s="79"/>
      <c r="D75" s="34"/>
      <c r="E75" s="34"/>
      <c r="F75" s="33"/>
      <c r="H75" s="33"/>
      <c r="I75" s="33"/>
    </row>
    <row r="76" spans="1:9" ht="15" customHeight="1" x14ac:dyDescent="0.3">
      <c r="A76" s="33"/>
      <c r="B76" s="79"/>
      <c r="D76" s="34"/>
      <c r="E76" s="34"/>
      <c r="F76" s="33"/>
      <c r="H76" s="33"/>
      <c r="I76" s="33"/>
    </row>
    <row r="77" spans="1:9" ht="15" customHeight="1" x14ac:dyDescent="0.3">
      <c r="A77" s="33"/>
      <c r="B77" s="79"/>
      <c r="D77" s="34"/>
      <c r="E77" s="34"/>
      <c r="F77" s="33"/>
      <c r="H77" s="33"/>
      <c r="I77" s="33"/>
    </row>
    <row r="78" spans="1:9" ht="15" customHeight="1" x14ac:dyDescent="0.3">
      <c r="A78" s="33"/>
      <c r="B78" s="79"/>
      <c r="D78" s="34"/>
      <c r="E78" s="34"/>
      <c r="F78" s="33"/>
      <c r="H78" s="33"/>
      <c r="I78" s="33"/>
    </row>
    <row r="79" spans="1:9" ht="15" customHeight="1" x14ac:dyDescent="0.3">
      <c r="A79" s="33"/>
      <c r="B79" s="79"/>
      <c r="D79" s="34"/>
      <c r="E79" s="34"/>
      <c r="F79" s="33"/>
      <c r="H79" s="33"/>
      <c r="I79" s="33"/>
    </row>
    <row r="80" spans="1:9" ht="15" customHeight="1" x14ac:dyDescent="0.3">
      <c r="A80" s="33"/>
      <c r="B80" s="79"/>
      <c r="D80" s="34"/>
      <c r="E80" s="34"/>
      <c r="F80" s="33"/>
      <c r="H80" s="33"/>
      <c r="I80" s="33"/>
    </row>
    <row r="81" spans="1:9" ht="15" customHeight="1" x14ac:dyDescent="0.3">
      <c r="A81" s="33"/>
      <c r="B81" s="79"/>
      <c r="D81" s="34"/>
      <c r="E81" s="34"/>
      <c r="F81" s="33"/>
      <c r="H81" s="33"/>
      <c r="I81" s="33"/>
    </row>
    <row r="82" spans="1:9" ht="15" customHeight="1" x14ac:dyDescent="0.3">
      <c r="A82" s="33"/>
      <c r="B82" s="79"/>
      <c r="D82" s="34"/>
      <c r="E82" s="34"/>
      <c r="F82" s="33"/>
      <c r="H82" s="33"/>
      <c r="I82" s="33"/>
    </row>
    <row r="83" spans="1:9" ht="15" customHeight="1" x14ac:dyDescent="0.3">
      <c r="A83" s="33"/>
      <c r="B83" s="79"/>
      <c r="D83" s="34"/>
      <c r="E83" s="34"/>
      <c r="F83" s="33"/>
      <c r="H83" s="33"/>
      <c r="I83" s="33"/>
    </row>
    <row r="84" spans="1:9" ht="15" customHeight="1" x14ac:dyDescent="0.3">
      <c r="A84" s="33"/>
      <c r="B84" s="79"/>
      <c r="D84" s="34"/>
      <c r="E84" s="34"/>
      <c r="F84" s="33"/>
      <c r="H84" s="33"/>
      <c r="I84" s="33"/>
    </row>
    <row r="85" spans="1:9" ht="15" customHeight="1" x14ac:dyDescent="0.3">
      <c r="A85" s="33"/>
      <c r="B85" s="79"/>
      <c r="D85" s="34"/>
      <c r="E85" s="34"/>
      <c r="F85" s="33"/>
      <c r="H85" s="33"/>
      <c r="I85" s="33"/>
    </row>
    <row r="86" spans="1:9" ht="15" customHeight="1" x14ac:dyDescent="0.3">
      <c r="A86" s="33"/>
      <c r="B86" s="79"/>
      <c r="D86" s="34"/>
      <c r="E86" s="34"/>
      <c r="F86" s="33"/>
      <c r="H86" s="33"/>
      <c r="I86" s="33"/>
    </row>
    <row r="87" spans="1:9" ht="15" customHeight="1" x14ac:dyDescent="0.3">
      <c r="A87" s="33"/>
      <c r="B87" s="79"/>
      <c r="D87" s="34"/>
      <c r="E87" s="34"/>
      <c r="F87" s="33"/>
      <c r="H87" s="33"/>
      <c r="I87" s="33"/>
    </row>
    <row r="88" spans="1:9" ht="15" customHeight="1" x14ac:dyDescent="0.3">
      <c r="A88" s="33"/>
      <c r="B88" s="79"/>
      <c r="D88" s="34"/>
      <c r="E88" s="34"/>
      <c r="F88" s="33"/>
      <c r="H88" s="33"/>
      <c r="I88" s="33"/>
    </row>
    <row r="89" spans="1:9" ht="15" customHeight="1" x14ac:dyDescent="0.3">
      <c r="A89" s="33"/>
      <c r="B89" s="79"/>
      <c r="D89" s="34"/>
      <c r="E89" s="34"/>
      <c r="F89" s="33"/>
      <c r="H89" s="33"/>
      <c r="I89" s="33"/>
    </row>
    <row r="90" spans="1:9" ht="15" customHeight="1" x14ac:dyDescent="0.3">
      <c r="A90" s="33"/>
      <c r="B90" s="79"/>
      <c r="D90" s="34"/>
      <c r="E90" s="34"/>
      <c r="F90" s="33"/>
      <c r="H90" s="33"/>
      <c r="I90" s="33"/>
    </row>
    <row r="91" spans="1:9" ht="15" customHeight="1" x14ac:dyDescent="0.3">
      <c r="A91" s="33"/>
      <c r="B91" s="79"/>
      <c r="D91" s="34"/>
      <c r="E91" s="34"/>
      <c r="F91" s="33"/>
      <c r="H91" s="33"/>
      <c r="I91" s="33"/>
    </row>
    <row r="92" spans="1:9" ht="15" customHeight="1" x14ac:dyDescent="0.3">
      <c r="A92" s="33"/>
      <c r="B92" s="79"/>
      <c r="D92" s="34"/>
      <c r="E92" s="34"/>
      <c r="F92" s="33"/>
      <c r="H92" s="33"/>
      <c r="I92" s="33"/>
    </row>
    <row r="93" spans="1:9" ht="15" customHeight="1" x14ac:dyDescent="0.3">
      <c r="A93" s="33"/>
      <c r="B93" s="79"/>
      <c r="D93" s="34"/>
      <c r="E93" s="34"/>
      <c r="F93" s="33"/>
      <c r="H93" s="33"/>
      <c r="I93" s="33"/>
    </row>
    <row r="94" spans="1:9" ht="15" customHeight="1" x14ac:dyDescent="0.3">
      <c r="A94" s="33"/>
      <c r="B94" s="79"/>
      <c r="D94" s="34"/>
      <c r="E94" s="34"/>
      <c r="F94" s="33"/>
      <c r="H94" s="33"/>
      <c r="I94" s="33"/>
    </row>
    <row r="95" spans="1:9" ht="15" customHeight="1" x14ac:dyDescent="0.3">
      <c r="A95" s="33"/>
      <c r="B95" s="79"/>
      <c r="D95" s="34"/>
      <c r="E95" s="34"/>
      <c r="F95" s="33"/>
      <c r="H95" s="33"/>
      <c r="I95" s="33"/>
    </row>
    <row r="96" spans="1:9" ht="15" customHeight="1" x14ac:dyDescent="0.3">
      <c r="A96" s="33"/>
      <c r="B96" s="79"/>
      <c r="D96" s="34"/>
      <c r="E96" s="34"/>
      <c r="F96" s="33"/>
      <c r="H96" s="33"/>
      <c r="I96" s="33"/>
    </row>
    <row r="97" spans="1:9" ht="15" customHeight="1" x14ac:dyDescent="0.3">
      <c r="A97" s="33"/>
      <c r="B97" s="79"/>
      <c r="D97" s="34"/>
      <c r="E97" s="34"/>
      <c r="F97" s="33"/>
      <c r="H97" s="33"/>
      <c r="I97" s="33"/>
    </row>
    <row r="98" spans="1:9" ht="15" customHeight="1" x14ac:dyDescent="0.3">
      <c r="A98" s="33"/>
      <c r="B98" s="79"/>
      <c r="D98" s="34"/>
      <c r="E98" s="34"/>
      <c r="F98" s="33"/>
      <c r="H98" s="33"/>
      <c r="I98" s="33"/>
    </row>
    <row r="99" spans="1:9" ht="15" customHeight="1" x14ac:dyDescent="0.3">
      <c r="A99" s="33"/>
      <c r="B99" s="79"/>
      <c r="D99" s="34"/>
      <c r="E99" s="34"/>
      <c r="F99" s="33"/>
      <c r="H99" s="33"/>
      <c r="I99" s="33"/>
    </row>
    <row r="100" spans="1:9" ht="15" customHeight="1" x14ac:dyDescent="0.3">
      <c r="A100" s="33"/>
      <c r="B100" s="79"/>
      <c r="D100" s="34"/>
      <c r="E100" s="34"/>
      <c r="F100" s="33"/>
      <c r="H100" s="33"/>
      <c r="I100" s="33"/>
    </row>
    <row r="101" spans="1:9" ht="15" customHeight="1" x14ac:dyDescent="0.3">
      <c r="A101" s="33"/>
      <c r="B101" s="79"/>
      <c r="D101" s="34"/>
      <c r="E101" s="34"/>
      <c r="F101" s="33"/>
      <c r="H101" s="33"/>
      <c r="I101" s="33"/>
    </row>
    <row r="102" spans="1:9" ht="15" customHeight="1" x14ac:dyDescent="0.3">
      <c r="A102" s="33"/>
      <c r="B102" s="79"/>
      <c r="D102" s="34"/>
      <c r="E102" s="34"/>
      <c r="F102" s="33"/>
      <c r="H102" s="33"/>
      <c r="I102" s="33"/>
    </row>
    <row r="103" spans="1:9" ht="15" customHeight="1" x14ac:dyDescent="0.3">
      <c r="A103" s="33"/>
      <c r="B103" s="79"/>
      <c r="D103" s="34"/>
      <c r="E103" s="34"/>
      <c r="F103" s="33"/>
      <c r="H103" s="33"/>
      <c r="I103" s="33"/>
    </row>
    <row r="104" spans="1:9" ht="15" customHeight="1" x14ac:dyDescent="0.3">
      <c r="A104" s="33"/>
      <c r="B104" s="79"/>
      <c r="D104" s="34"/>
      <c r="E104" s="34"/>
      <c r="F104" s="33"/>
      <c r="H104" s="33"/>
      <c r="I104" s="33"/>
    </row>
    <row r="105" spans="1:9" ht="15" customHeight="1" x14ac:dyDescent="0.3">
      <c r="A105" s="33"/>
      <c r="B105" s="79"/>
      <c r="D105" s="34"/>
      <c r="E105" s="34"/>
      <c r="F105" s="33"/>
      <c r="H105" s="33"/>
      <c r="I105" s="33"/>
    </row>
    <row r="106" spans="1:9" ht="15" customHeight="1" x14ac:dyDescent="0.3">
      <c r="A106" s="33"/>
      <c r="B106" s="79"/>
      <c r="D106" s="34"/>
      <c r="E106" s="34"/>
      <c r="F106" s="33"/>
      <c r="H106" s="33"/>
      <c r="I106" s="33"/>
    </row>
    <row r="107" spans="1:9" ht="15" customHeight="1" x14ac:dyDescent="0.3">
      <c r="A107" s="33"/>
      <c r="B107" s="79"/>
      <c r="D107" s="34"/>
      <c r="E107" s="34"/>
      <c r="F107" s="33"/>
      <c r="H107" s="33"/>
      <c r="I107" s="33"/>
    </row>
    <row r="108" spans="1:9" ht="15" customHeight="1" x14ac:dyDescent="0.3">
      <c r="A108" s="33"/>
      <c r="B108" s="79"/>
      <c r="D108" s="34"/>
      <c r="E108" s="34"/>
      <c r="F108" s="33"/>
      <c r="H108" s="33"/>
      <c r="I108" s="33"/>
    </row>
    <row r="109" spans="1:9" ht="15" customHeight="1" x14ac:dyDescent="0.3">
      <c r="A109" s="33"/>
      <c r="B109" s="79"/>
      <c r="D109" s="34"/>
      <c r="E109" s="34"/>
      <c r="F109" s="33"/>
      <c r="H109" s="33"/>
      <c r="I109" s="33"/>
    </row>
    <row r="110" spans="1:9" ht="15" customHeight="1" x14ac:dyDescent="0.3">
      <c r="A110" s="33"/>
      <c r="B110" s="79"/>
      <c r="D110" s="34"/>
      <c r="E110" s="34"/>
      <c r="F110" s="33"/>
      <c r="H110" s="33"/>
      <c r="I110" s="33"/>
    </row>
    <row r="111" spans="1:9" ht="15" customHeight="1" x14ac:dyDescent="0.3">
      <c r="A111" s="33"/>
      <c r="B111" s="79"/>
      <c r="D111" s="34"/>
      <c r="E111" s="34"/>
      <c r="F111" s="33"/>
      <c r="H111" s="33"/>
      <c r="I111" s="33"/>
    </row>
    <row r="112" spans="1:9" ht="15" customHeight="1" x14ac:dyDescent="0.3">
      <c r="A112" s="33"/>
      <c r="B112" s="79"/>
      <c r="D112" s="34"/>
      <c r="E112" s="34"/>
      <c r="F112" s="33"/>
      <c r="H112" s="33"/>
      <c r="I112" s="33"/>
    </row>
    <row r="113" spans="1:9" ht="15" customHeight="1" x14ac:dyDescent="0.3">
      <c r="A113" s="33"/>
      <c r="B113" s="79"/>
      <c r="D113" s="34"/>
      <c r="E113" s="34"/>
      <c r="F113" s="33"/>
      <c r="H113" s="33"/>
      <c r="I113" s="33"/>
    </row>
    <row r="114" spans="1:9" ht="15" customHeight="1" x14ac:dyDescent="0.3">
      <c r="A114" s="33"/>
      <c r="B114" s="79"/>
      <c r="D114" s="34"/>
      <c r="E114" s="34"/>
      <c r="F114" s="33"/>
      <c r="H114" s="33"/>
      <c r="I114" s="33"/>
    </row>
    <row r="115" spans="1:9" ht="15" customHeight="1" x14ac:dyDescent="0.3">
      <c r="A115" s="33"/>
      <c r="B115" s="79"/>
      <c r="D115" s="34"/>
      <c r="E115" s="34"/>
      <c r="F115" s="33"/>
      <c r="H115" s="33"/>
      <c r="I115" s="33"/>
    </row>
    <row r="116" spans="1:9" ht="15" customHeight="1" x14ac:dyDescent="0.3">
      <c r="A116" s="33"/>
      <c r="B116" s="79"/>
      <c r="D116" s="34"/>
      <c r="E116" s="34"/>
      <c r="F116" s="33"/>
      <c r="H116" s="33"/>
      <c r="I116" s="33"/>
    </row>
    <row r="117" spans="1:9" ht="15" customHeight="1" x14ac:dyDescent="0.3">
      <c r="A117" s="33"/>
      <c r="B117" s="79"/>
      <c r="D117" s="34"/>
      <c r="E117" s="34"/>
      <c r="F117" s="33"/>
      <c r="H117" s="33"/>
      <c r="I117" s="33"/>
    </row>
    <row r="118" spans="1:9" ht="15" customHeight="1" x14ac:dyDescent="0.3">
      <c r="A118" s="33"/>
      <c r="B118" s="79"/>
      <c r="D118" s="34"/>
      <c r="E118" s="34"/>
      <c r="F118" s="33"/>
      <c r="H118" s="33"/>
      <c r="I118" s="33"/>
    </row>
    <row r="119" spans="1:9" ht="15" customHeight="1" x14ac:dyDescent="0.3">
      <c r="A119" s="33"/>
      <c r="B119" s="79"/>
      <c r="D119" s="34"/>
      <c r="E119" s="34"/>
      <c r="F119" s="33"/>
      <c r="H119" s="33"/>
      <c r="I119" s="33"/>
    </row>
    <row r="120" spans="1:9" ht="15" customHeight="1" x14ac:dyDescent="0.3">
      <c r="A120" s="33"/>
      <c r="B120" s="79"/>
      <c r="D120" s="34"/>
      <c r="E120" s="34"/>
      <c r="F120" s="33"/>
      <c r="H120" s="33"/>
      <c r="I120" s="33"/>
    </row>
    <row r="121" spans="1:9" ht="15" customHeight="1" x14ac:dyDescent="0.3">
      <c r="A121" s="33"/>
      <c r="B121" s="79"/>
      <c r="D121" s="34"/>
      <c r="E121" s="34"/>
      <c r="F121" s="33"/>
      <c r="H121" s="33"/>
      <c r="I121" s="33"/>
    </row>
    <row r="122" spans="1:9" ht="15" customHeight="1" x14ac:dyDescent="0.3">
      <c r="A122" s="33"/>
      <c r="B122" s="79"/>
      <c r="D122" s="34"/>
      <c r="E122" s="34"/>
      <c r="F122" s="33"/>
      <c r="H122" s="33"/>
      <c r="I122" s="33"/>
    </row>
    <row r="123" spans="1:9" ht="15" customHeight="1" x14ac:dyDescent="0.3">
      <c r="A123" s="33"/>
      <c r="B123" s="79"/>
      <c r="D123" s="34"/>
      <c r="E123" s="34"/>
      <c r="F123" s="33"/>
      <c r="H123" s="33"/>
      <c r="I123" s="33"/>
    </row>
    <row r="124" spans="1:9" ht="15" customHeight="1" x14ac:dyDescent="0.3">
      <c r="A124" s="33"/>
      <c r="B124" s="79"/>
      <c r="D124" s="34"/>
      <c r="E124" s="34"/>
      <c r="F124" s="33"/>
      <c r="H124" s="33"/>
      <c r="I124" s="33"/>
    </row>
    <row r="125" spans="1:9" ht="15" customHeight="1" x14ac:dyDescent="0.3">
      <c r="A125" s="33"/>
      <c r="B125" s="79"/>
      <c r="D125" s="34"/>
      <c r="E125" s="34"/>
      <c r="F125" s="33"/>
      <c r="H125" s="33"/>
      <c r="I125" s="33"/>
    </row>
    <row r="126" spans="1:9" ht="15" customHeight="1" x14ac:dyDescent="0.3">
      <c r="A126" s="33"/>
      <c r="B126" s="79"/>
      <c r="D126" s="34"/>
      <c r="E126" s="34"/>
      <c r="F126" s="33"/>
      <c r="H126" s="33"/>
      <c r="I126" s="33"/>
    </row>
    <row r="127" spans="1:9" ht="15" customHeight="1" x14ac:dyDescent="0.3">
      <c r="A127" s="33"/>
      <c r="B127" s="79"/>
      <c r="D127" s="34"/>
      <c r="E127" s="34"/>
      <c r="F127" s="33"/>
      <c r="H127" s="33"/>
      <c r="I127" s="33"/>
    </row>
    <row r="128" spans="1:9" ht="15" customHeight="1" x14ac:dyDescent="0.3">
      <c r="A128" s="33"/>
      <c r="B128" s="79"/>
      <c r="D128" s="34"/>
      <c r="E128" s="34"/>
      <c r="F128" s="33"/>
      <c r="H128" s="33"/>
      <c r="I128" s="33"/>
    </row>
    <row r="129" spans="1:9" ht="15" customHeight="1" x14ac:dyDescent="0.3">
      <c r="A129" s="33"/>
      <c r="B129" s="79"/>
      <c r="D129" s="34"/>
      <c r="E129" s="34"/>
      <c r="F129" s="33"/>
      <c r="H129" s="33"/>
      <c r="I129" s="33"/>
    </row>
    <row r="130" spans="1:9" ht="15" customHeight="1" x14ac:dyDescent="0.3">
      <c r="A130" s="33"/>
      <c r="B130" s="79"/>
      <c r="D130" s="34"/>
      <c r="E130" s="34"/>
      <c r="F130" s="33"/>
      <c r="H130" s="33"/>
      <c r="I130" s="33"/>
    </row>
    <row r="131" spans="1:9" ht="15" customHeight="1" x14ac:dyDescent="0.3">
      <c r="A131" s="33"/>
      <c r="B131" s="79"/>
      <c r="D131" s="34"/>
      <c r="E131" s="34"/>
      <c r="F131" s="33"/>
      <c r="H131" s="33"/>
      <c r="I131" s="33"/>
    </row>
    <row r="132" spans="1:9" ht="15" customHeight="1" x14ac:dyDescent="0.3">
      <c r="A132" s="33"/>
      <c r="B132" s="79"/>
      <c r="D132" s="34"/>
      <c r="E132" s="34"/>
      <c r="F132" s="33"/>
      <c r="H132" s="33"/>
      <c r="I132" s="33"/>
    </row>
    <row r="133" spans="1:9" ht="15" customHeight="1" x14ac:dyDescent="0.3">
      <c r="A133" s="33"/>
      <c r="B133" s="79"/>
      <c r="D133" s="34"/>
      <c r="E133" s="34"/>
      <c r="F133" s="33"/>
      <c r="H133" s="33"/>
      <c r="I133" s="33"/>
    </row>
    <row r="134" spans="1:9" ht="15" customHeight="1" x14ac:dyDescent="0.3">
      <c r="A134" s="33"/>
      <c r="B134" s="79"/>
      <c r="D134" s="34"/>
      <c r="E134" s="34"/>
      <c r="F134" s="33"/>
      <c r="H134" s="33"/>
      <c r="I134" s="33"/>
    </row>
    <row r="135" spans="1:9" ht="15" customHeight="1" x14ac:dyDescent="0.3">
      <c r="A135" s="33"/>
      <c r="B135" s="79"/>
      <c r="D135" s="34"/>
      <c r="E135" s="34"/>
      <c r="F135" s="33"/>
      <c r="H135" s="33"/>
      <c r="I135" s="33"/>
    </row>
    <row r="136" spans="1:9" ht="15" customHeight="1" x14ac:dyDescent="0.3">
      <c r="A136" s="33"/>
      <c r="B136" s="79"/>
      <c r="D136" s="34"/>
      <c r="E136" s="34"/>
      <c r="F136" s="33"/>
      <c r="H136" s="33"/>
      <c r="I136" s="33"/>
    </row>
    <row r="137" spans="1:9" ht="15" customHeight="1" x14ac:dyDescent="0.3">
      <c r="A137" s="33"/>
      <c r="B137" s="79"/>
      <c r="D137" s="34"/>
      <c r="E137" s="34"/>
      <c r="F137" s="33"/>
      <c r="H137" s="33"/>
      <c r="I137" s="33"/>
    </row>
    <row r="138" spans="1:9" ht="15" customHeight="1" x14ac:dyDescent="0.3">
      <c r="A138" s="33"/>
      <c r="B138" s="79"/>
      <c r="D138" s="34"/>
      <c r="E138" s="34"/>
      <c r="F138" s="33"/>
      <c r="H138" s="33"/>
      <c r="I138" s="33"/>
    </row>
    <row r="139" spans="1:9" ht="15" customHeight="1" x14ac:dyDescent="0.3">
      <c r="A139" s="33"/>
      <c r="B139" s="79"/>
      <c r="D139" s="34"/>
      <c r="E139" s="34"/>
      <c r="F139" s="33"/>
      <c r="H139" s="33"/>
      <c r="I139" s="33"/>
    </row>
    <row r="140" spans="1:9" ht="15" customHeight="1" x14ac:dyDescent="0.3">
      <c r="A140" s="33"/>
      <c r="B140" s="79"/>
      <c r="D140" s="34"/>
      <c r="E140" s="34"/>
      <c r="F140" s="33"/>
      <c r="H140" s="33"/>
      <c r="I140" s="33"/>
    </row>
    <row r="141" spans="1:9" ht="15" customHeight="1" x14ac:dyDescent="0.3">
      <c r="A141" s="33"/>
      <c r="B141" s="79"/>
      <c r="D141" s="34"/>
      <c r="E141" s="34"/>
      <c r="F141" s="33"/>
      <c r="H141" s="33"/>
      <c r="I141" s="33"/>
    </row>
    <row r="142" spans="1:9" ht="15" customHeight="1" x14ac:dyDescent="0.3">
      <c r="A142" s="33"/>
      <c r="B142" s="79"/>
      <c r="D142" s="34"/>
      <c r="E142" s="34"/>
      <c r="F142" s="33"/>
      <c r="H142" s="33"/>
      <c r="I142" s="33"/>
    </row>
    <row r="143" spans="1:9" ht="15" customHeight="1" x14ac:dyDescent="0.3">
      <c r="A143" s="33"/>
      <c r="B143" s="79"/>
      <c r="D143" s="34"/>
      <c r="E143" s="34"/>
      <c r="F143" s="33"/>
      <c r="H143" s="33"/>
      <c r="I143" s="33"/>
    </row>
    <row r="144" spans="1:9" ht="15" customHeight="1" x14ac:dyDescent="0.3">
      <c r="A144" s="33"/>
      <c r="B144" s="79"/>
      <c r="D144" s="34"/>
      <c r="E144" s="34"/>
      <c r="F144" s="33"/>
      <c r="H144" s="33"/>
      <c r="I144" s="33"/>
    </row>
    <row r="145" spans="1:9" ht="15" customHeight="1" x14ac:dyDescent="0.3">
      <c r="A145" s="33"/>
      <c r="B145" s="79"/>
      <c r="D145" s="34"/>
      <c r="E145" s="34"/>
      <c r="F145" s="33"/>
      <c r="H145" s="33"/>
      <c r="I145" s="33"/>
    </row>
    <row r="146" spans="1:9" ht="15" customHeight="1" x14ac:dyDescent="0.3">
      <c r="A146" s="33"/>
      <c r="B146" s="79"/>
      <c r="D146" s="34"/>
      <c r="E146" s="34"/>
      <c r="F146" s="33"/>
      <c r="H146" s="33"/>
      <c r="I146" s="33"/>
    </row>
    <row r="147" spans="1:9" ht="15" customHeight="1" x14ac:dyDescent="0.3">
      <c r="A147" s="33"/>
      <c r="B147" s="79"/>
      <c r="D147" s="34"/>
      <c r="E147" s="34"/>
      <c r="F147" s="33"/>
      <c r="H147" s="33"/>
      <c r="I147" s="33"/>
    </row>
    <row r="148" spans="1:9" ht="15" customHeight="1" x14ac:dyDescent="0.3">
      <c r="A148" s="33"/>
      <c r="B148" s="79"/>
      <c r="D148" s="34"/>
      <c r="E148" s="34"/>
      <c r="F148" s="33"/>
      <c r="H148" s="33"/>
      <c r="I148" s="33"/>
    </row>
    <row r="149" spans="1:9" ht="15" customHeight="1" x14ac:dyDescent="0.3">
      <c r="A149" s="33"/>
      <c r="B149" s="79"/>
      <c r="D149" s="34"/>
      <c r="E149" s="34"/>
      <c r="F149" s="33"/>
      <c r="H149" s="33"/>
      <c r="I149" s="33"/>
    </row>
    <row r="150" spans="1:9" ht="15" customHeight="1" x14ac:dyDescent="0.3">
      <c r="A150" s="33"/>
      <c r="B150" s="79"/>
      <c r="D150" s="34"/>
      <c r="E150" s="34"/>
      <c r="F150" s="33"/>
      <c r="H150" s="33"/>
      <c r="I150" s="33"/>
    </row>
    <row r="151" spans="1:9" ht="15" customHeight="1" x14ac:dyDescent="0.3">
      <c r="A151" s="33"/>
      <c r="B151" s="79"/>
      <c r="D151" s="34"/>
      <c r="E151" s="34"/>
      <c r="F151" s="33"/>
      <c r="H151" s="33"/>
      <c r="I151" s="33"/>
    </row>
    <row r="152" spans="1:9" ht="15" customHeight="1" x14ac:dyDescent="0.3">
      <c r="A152" s="33"/>
      <c r="B152" s="79"/>
      <c r="D152" s="34"/>
      <c r="E152" s="34"/>
      <c r="F152" s="33"/>
      <c r="H152" s="33"/>
      <c r="I152" s="33"/>
    </row>
    <row r="153" spans="1:9" ht="15" customHeight="1" x14ac:dyDescent="0.3">
      <c r="A153" s="33"/>
      <c r="B153" s="79"/>
      <c r="D153" s="34"/>
      <c r="E153" s="34"/>
      <c r="F153" s="33"/>
      <c r="H153" s="33"/>
      <c r="I153" s="33"/>
    </row>
    <row r="154" spans="1:9" ht="15" customHeight="1" x14ac:dyDescent="0.3">
      <c r="A154" s="33"/>
      <c r="B154" s="79"/>
      <c r="D154" s="34"/>
      <c r="E154" s="34"/>
      <c r="F154" s="33"/>
      <c r="H154" s="33"/>
      <c r="I154" s="33"/>
    </row>
    <row r="155" spans="1:9" ht="15" customHeight="1" x14ac:dyDescent="0.3">
      <c r="A155" s="33"/>
      <c r="B155" s="79"/>
      <c r="D155" s="34"/>
      <c r="E155" s="34"/>
      <c r="F155" s="33"/>
      <c r="H155" s="33"/>
      <c r="I155" s="33"/>
    </row>
    <row r="156" spans="1:9" ht="15" customHeight="1" x14ac:dyDescent="0.3">
      <c r="A156" s="33"/>
      <c r="B156" s="79"/>
      <c r="D156" s="34"/>
      <c r="E156" s="34"/>
      <c r="F156" s="33"/>
      <c r="H156" s="33"/>
      <c r="I156" s="33"/>
    </row>
    <row r="157" spans="1:9" ht="15" customHeight="1" x14ac:dyDescent="0.3">
      <c r="A157" s="33"/>
      <c r="B157" s="79"/>
      <c r="D157" s="34"/>
      <c r="E157" s="34"/>
      <c r="F157" s="33"/>
      <c r="H157" s="33"/>
      <c r="I157" s="33"/>
    </row>
    <row r="158" spans="1:9" ht="15" customHeight="1" x14ac:dyDescent="0.3">
      <c r="A158" s="33"/>
      <c r="B158" s="79"/>
      <c r="D158" s="34"/>
      <c r="E158" s="34"/>
      <c r="F158" s="33"/>
      <c r="H158" s="33"/>
      <c r="I158" s="33"/>
    </row>
    <row r="159" spans="1:9" ht="15" customHeight="1" x14ac:dyDescent="0.3">
      <c r="A159" s="33"/>
      <c r="B159" s="79"/>
      <c r="D159" s="34"/>
      <c r="E159" s="34"/>
      <c r="F159" s="33"/>
      <c r="H159" s="33"/>
      <c r="I159" s="33"/>
    </row>
    <row r="160" spans="1:9" ht="15" customHeight="1" x14ac:dyDescent="0.3">
      <c r="A160" s="33"/>
      <c r="B160" s="79"/>
      <c r="D160" s="34"/>
      <c r="E160" s="34"/>
      <c r="F160" s="33"/>
      <c r="H160" s="33"/>
      <c r="I160" s="33"/>
    </row>
    <row r="161" spans="1:9" ht="15" customHeight="1" x14ac:dyDescent="0.3">
      <c r="A161" s="33"/>
      <c r="B161" s="79"/>
      <c r="D161" s="34"/>
      <c r="E161" s="34"/>
      <c r="F161" s="33"/>
      <c r="H161" s="33"/>
      <c r="I161" s="33"/>
    </row>
    <row r="162" spans="1:9" ht="15" customHeight="1" x14ac:dyDescent="0.3">
      <c r="A162" s="33"/>
      <c r="B162" s="79"/>
      <c r="D162" s="34"/>
      <c r="E162" s="34"/>
      <c r="F162" s="33"/>
      <c r="H162" s="33"/>
      <c r="I162" s="33"/>
    </row>
    <row r="163" spans="1:9" ht="15" customHeight="1" x14ac:dyDescent="0.3">
      <c r="A163" s="33"/>
      <c r="B163" s="79"/>
      <c r="D163" s="34"/>
      <c r="E163" s="34"/>
      <c r="F163" s="33"/>
      <c r="H163" s="33"/>
      <c r="I163" s="33"/>
    </row>
    <row r="164" spans="1:9" ht="15" customHeight="1" x14ac:dyDescent="0.3">
      <c r="A164" s="33"/>
      <c r="B164" s="79"/>
      <c r="D164" s="34"/>
      <c r="E164" s="34"/>
      <c r="F164" s="33"/>
      <c r="H164" s="33"/>
      <c r="I164" s="33"/>
    </row>
    <row r="165" spans="1:9" ht="15" customHeight="1" x14ac:dyDescent="0.3">
      <c r="A165" s="33"/>
      <c r="B165" s="79"/>
      <c r="D165" s="34"/>
      <c r="E165" s="34"/>
      <c r="F165" s="33"/>
      <c r="H165" s="33"/>
      <c r="I165" s="33"/>
    </row>
    <row r="166" spans="1:9" ht="15" customHeight="1" x14ac:dyDescent="0.3">
      <c r="A166" s="33"/>
      <c r="B166" s="79"/>
      <c r="D166" s="34"/>
      <c r="E166" s="34"/>
      <c r="F166" s="33"/>
      <c r="H166" s="33"/>
      <c r="I166" s="33"/>
    </row>
    <row r="167" spans="1:9" ht="15" customHeight="1" x14ac:dyDescent="0.3">
      <c r="A167" s="33"/>
      <c r="B167" s="79"/>
      <c r="D167" s="34"/>
      <c r="E167" s="34"/>
      <c r="F167" s="33"/>
      <c r="H167" s="33"/>
      <c r="I167" s="33"/>
    </row>
    <row r="168" spans="1:9" ht="15" customHeight="1" x14ac:dyDescent="0.3">
      <c r="A168" s="33"/>
      <c r="B168" s="79"/>
      <c r="D168" s="34"/>
      <c r="E168" s="34"/>
      <c r="F168" s="33"/>
      <c r="H168" s="33"/>
      <c r="I168" s="33"/>
    </row>
    <row r="169" spans="1:9" ht="15" customHeight="1" x14ac:dyDescent="0.3">
      <c r="A169" s="33"/>
      <c r="B169" s="79"/>
      <c r="D169" s="34"/>
      <c r="E169" s="34"/>
      <c r="F169" s="33"/>
      <c r="H169" s="33"/>
      <c r="I169" s="33"/>
    </row>
    <row r="170" spans="1:9" ht="15" customHeight="1" x14ac:dyDescent="0.3">
      <c r="A170" s="33"/>
      <c r="B170" s="79"/>
      <c r="D170" s="34"/>
      <c r="E170" s="34"/>
      <c r="F170" s="33"/>
      <c r="H170" s="33"/>
      <c r="I170" s="33"/>
    </row>
    <row r="171" spans="1:9" ht="15" customHeight="1" x14ac:dyDescent="0.3">
      <c r="A171" s="33"/>
      <c r="B171" s="79"/>
      <c r="D171" s="34"/>
      <c r="E171" s="34"/>
      <c r="F171" s="33"/>
      <c r="H171" s="33"/>
      <c r="I171" s="33"/>
    </row>
    <row r="172" spans="1:9" ht="15" customHeight="1" x14ac:dyDescent="0.3">
      <c r="A172" s="33"/>
      <c r="B172" s="79"/>
      <c r="D172" s="34"/>
      <c r="E172" s="34"/>
      <c r="F172" s="33"/>
      <c r="H172" s="33"/>
      <c r="I172" s="33"/>
    </row>
    <row r="173" spans="1:9" ht="15" customHeight="1" x14ac:dyDescent="0.3">
      <c r="A173" s="33"/>
      <c r="B173" s="79"/>
      <c r="D173" s="34"/>
      <c r="E173" s="34"/>
      <c r="F173" s="33"/>
      <c r="H173" s="33"/>
      <c r="I173" s="33"/>
    </row>
    <row r="174" spans="1:9" ht="15" customHeight="1" x14ac:dyDescent="0.3">
      <c r="A174" s="33"/>
      <c r="B174" s="79"/>
      <c r="D174" s="34"/>
      <c r="E174" s="34"/>
      <c r="F174" s="33"/>
      <c r="H174" s="33"/>
      <c r="I174" s="33"/>
    </row>
    <row r="175" spans="1:9" ht="15" customHeight="1" x14ac:dyDescent="0.3">
      <c r="A175" s="33"/>
      <c r="B175" s="79"/>
      <c r="D175" s="34"/>
      <c r="E175" s="34"/>
      <c r="F175" s="33"/>
      <c r="H175" s="33"/>
      <c r="I175" s="33"/>
    </row>
    <row r="176" spans="1:9" ht="15" customHeight="1" x14ac:dyDescent="0.3">
      <c r="A176" s="33"/>
      <c r="B176" s="79"/>
      <c r="D176" s="34"/>
      <c r="E176" s="34"/>
      <c r="F176" s="33"/>
      <c r="H176" s="33"/>
      <c r="I176" s="33"/>
    </row>
    <row r="177" spans="1:9" ht="15" customHeight="1" x14ac:dyDescent="0.3">
      <c r="A177" s="33"/>
      <c r="B177" s="79"/>
      <c r="D177" s="34"/>
      <c r="E177" s="34"/>
      <c r="F177" s="33"/>
      <c r="H177" s="33"/>
      <c r="I177" s="33"/>
    </row>
    <row r="178" spans="1:9" ht="15" customHeight="1" x14ac:dyDescent="0.3">
      <c r="A178" s="33"/>
      <c r="B178" s="79"/>
      <c r="D178" s="34"/>
      <c r="E178" s="34"/>
      <c r="F178" s="33"/>
      <c r="H178" s="33"/>
      <c r="I178" s="33"/>
    </row>
    <row r="179" spans="1:9" ht="15" customHeight="1" x14ac:dyDescent="0.3">
      <c r="A179" s="33"/>
      <c r="B179" s="79"/>
      <c r="D179" s="34"/>
      <c r="E179" s="34"/>
      <c r="F179" s="33"/>
      <c r="H179" s="33"/>
      <c r="I179" s="33"/>
    </row>
    <row r="180" spans="1:9" ht="15" customHeight="1" x14ac:dyDescent="0.3">
      <c r="A180" s="33"/>
      <c r="B180" s="79"/>
      <c r="D180" s="34"/>
      <c r="E180" s="34"/>
      <c r="F180" s="33"/>
      <c r="H180" s="33"/>
      <c r="I180" s="33"/>
    </row>
    <row r="181" spans="1:9" ht="15" customHeight="1" x14ac:dyDescent="0.3">
      <c r="A181" s="33"/>
      <c r="B181" s="79"/>
      <c r="D181" s="34"/>
      <c r="E181" s="34"/>
      <c r="F181" s="33"/>
      <c r="H181" s="33"/>
      <c r="I181" s="33"/>
    </row>
    <row r="182" spans="1:9" ht="15" customHeight="1" x14ac:dyDescent="0.3">
      <c r="A182" s="33"/>
      <c r="B182" s="79"/>
      <c r="D182" s="34"/>
      <c r="E182" s="34"/>
      <c r="F182" s="33"/>
      <c r="H182" s="33"/>
      <c r="I182" s="33"/>
    </row>
    <row r="183" spans="1:9" ht="15" customHeight="1" x14ac:dyDescent="0.3">
      <c r="A183" s="33"/>
      <c r="B183" s="79"/>
      <c r="D183" s="34"/>
      <c r="E183" s="34"/>
      <c r="F183" s="33"/>
      <c r="H183" s="33"/>
      <c r="I183" s="33"/>
    </row>
    <row r="184" spans="1:9" ht="15" customHeight="1" x14ac:dyDescent="0.3">
      <c r="A184" s="33"/>
      <c r="B184" s="79"/>
      <c r="D184" s="34"/>
      <c r="E184" s="34"/>
      <c r="F184" s="33"/>
      <c r="H184" s="33"/>
      <c r="I184" s="33"/>
    </row>
    <row r="185" spans="1:9" ht="15" customHeight="1" x14ac:dyDescent="0.3">
      <c r="A185" s="33"/>
      <c r="B185" s="79"/>
      <c r="D185" s="34"/>
      <c r="E185" s="34"/>
      <c r="F185" s="33"/>
      <c r="H185" s="33"/>
      <c r="I185" s="33"/>
    </row>
    <row r="186" spans="1:9" ht="15" customHeight="1" x14ac:dyDescent="0.3">
      <c r="A186" s="33"/>
      <c r="B186" s="79"/>
      <c r="D186" s="34"/>
      <c r="E186" s="34"/>
      <c r="F186" s="33"/>
      <c r="H186" s="33"/>
      <c r="I186" s="33"/>
    </row>
    <row r="187" spans="1:9" ht="15" customHeight="1" x14ac:dyDescent="0.3">
      <c r="A187" s="33"/>
      <c r="B187" s="79"/>
      <c r="D187" s="34"/>
      <c r="E187" s="34"/>
      <c r="F187" s="33"/>
      <c r="H187" s="33"/>
      <c r="I187" s="33"/>
    </row>
    <row r="188" spans="1:9" ht="15" customHeight="1" x14ac:dyDescent="0.3">
      <c r="A188" s="33"/>
      <c r="B188" s="79"/>
      <c r="D188" s="34"/>
      <c r="E188" s="34"/>
      <c r="F188" s="33"/>
      <c r="H188" s="33"/>
      <c r="I188" s="33"/>
    </row>
    <row r="189" spans="1:9" ht="15" customHeight="1" x14ac:dyDescent="0.3">
      <c r="A189" s="33"/>
      <c r="B189" s="79"/>
      <c r="D189" s="34"/>
      <c r="E189" s="34"/>
      <c r="F189" s="33"/>
      <c r="H189" s="33"/>
      <c r="I189" s="33"/>
    </row>
    <row r="190" spans="1:9" ht="15" customHeight="1" x14ac:dyDescent="0.3">
      <c r="A190" s="33"/>
      <c r="B190" s="79"/>
      <c r="D190" s="34"/>
      <c r="E190" s="34"/>
      <c r="F190" s="33"/>
      <c r="H190" s="33"/>
      <c r="I190" s="33"/>
    </row>
    <row r="191" spans="1:9" ht="15" customHeight="1" x14ac:dyDescent="0.3">
      <c r="A191" s="33"/>
      <c r="B191" s="79"/>
      <c r="D191" s="34"/>
      <c r="E191" s="34"/>
      <c r="F191" s="33"/>
      <c r="H191" s="33"/>
      <c r="I191" s="33"/>
    </row>
    <row r="192" spans="1:9" ht="15" customHeight="1" x14ac:dyDescent="0.3">
      <c r="A192" s="33"/>
      <c r="B192" s="79"/>
      <c r="D192" s="34"/>
      <c r="E192" s="34"/>
      <c r="F192" s="33"/>
      <c r="H192" s="33"/>
      <c r="I192" s="33"/>
    </row>
    <row r="193" spans="1:9" ht="15" customHeight="1" x14ac:dyDescent="0.3">
      <c r="A193" s="33"/>
      <c r="B193" s="79"/>
      <c r="D193" s="34"/>
      <c r="E193" s="34"/>
      <c r="F193" s="33"/>
      <c r="H193" s="33"/>
      <c r="I193" s="33"/>
    </row>
    <row r="194" spans="1:9" ht="15" customHeight="1" x14ac:dyDescent="0.3">
      <c r="A194" s="33"/>
      <c r="B194" s="79"/>
      <c r="D194" s="34"/>
      <c r="E194" s="34"/>
      <c r="F194" s="33"/>
      <c r="H194" s="33"/>
      <c r="I194" s="33"/>
    </row>
    <row r="195" spans="1:9" ht="15" customHeight="1" x14ac:dyDescent="0.3">
      <c r="A195" s="33"/>
      <c r="B195" s="79"/>
      <c r="D195" s="34"/>
      <c r="E195" s="34"/>
      <c r="F195" s="33"/>
      <c r="H195" s="33"/>
      <c r="I195" s="33"/>
    </row>
    <row r="196" spans="1:9" ht="15" customHeight="1" x14ac:dyDescent="0.3">
      <c r="A196" s="33"/>
      <c r="B196" s="79"/>
      <c r="D196" s="34"/>
      <c r="E196" s="34"/>
      <c r="F196" s="33"/>
      <c r="H196" s="33"/>
      <c r="I196" s="33"/>
    </row>
    <row r="197" spans="1:9" ht="15" customHeight="1" x14ac:dyDescent="0.3">
      <c r="A197" s="33"/>
      <c r="B197" s="79"/>
      <c r="D197" s="34"/>
      <c r="E197" s="34"/>
      <c r="F197" s="33"/>
      <c r="H197" s="33"/>
      <c r="I197" s="33"/>
    </row>
    <row r="198" spans="1:9" ht="15" customHeight="1" x14ac:dyDescent="0.3">
      <c r="A198" s="33"/>
      <c r="B198" s="79"/>
      <c r="D198" s="34"/>
      <c r="E198" s="34"/>
      <c r="F198" s="33"/>
      <c r="H198" s="33"/>
      <c r="I198" s="33"/>
    </row>
    <row r="199" spans="1:9" ht="15" customHeight="1" x14ac:dyDescent="0.3">
      <c r="A199" s="33"/>
      <c r="B199" s="79"/>
      <c r="D199" s="34"/>
      <c r="E199" s="34"/>
      <c r="F199" s="33"/>
      <c r="H199" s="33"/>
      <c r="I199" s="33"/>
    </row>
    <row r="200" spans="1:9" ht="15" customHeight="1" x14ac:dyDescent="0.3">
      <c r="A200" s="33"/>
      <c r="B200" s="79"/>
      <c r="D200" s="34"/>
      <c r="E200" s="34"/>
      <c r="F200" s="33"/>
      <c r="H200" s="33"/>
      <c r="I200" s="33"/>
    </row>
    <row r="201" spans="1:9" ht="15" customHeight="1" x14ac:dyDescent="0.3">
      <c r="A201" s="33"/>
      <c r="B201" s="79"/>
      <c r="D201" s="34"/>
      <c r="E201" s="34"/>
      <c r="F201" s="33"/>
      <c r="H201" s="33"/>
      <c r="I201" s="33"/>
    </row>
    <row r="202" spans="1:9" ht="15" customHeight="1" x14ac:dyDescent="0.3">
      <c r="A202" s="33"/>
      <c r="B202" s="79"/>
      <c r="D202" s="34"/>
      <c r="E202" s="34"/>
      <c r="F202" s="33"/>
      <c r="H202" s="33"/>
      <c r="I202" s="33"/>
    </row>
    <row r="203" spans="1:9" ht="15" customHeight="1" x14ac:dyDescent="0.3">
      <c r="A203" s="33"/>
      <c r="B203" s="79"/>
      <c r="D203" s="34"/>
      <c r="E203" s="34"/>
      <c r="F203" s="33"/>
      <c r="H203" s="33"/>
      <c r="I203" s="33"/>
    </row>
    <row r="204" spans="1:9" ht="15" customHeight="1" x14ac:dyDescent="0.3">
      <c r="A204" s="33"/>
      <c r="B204" s="79"/>
      <c r="D204" s="34"/>
      <c r="E204" s="34"/>
      <c r="F204" s="33"/>
      <c r="H204" s="33"/>
      <c r="I204" s="33"/>
    </row>
    <row r="205" spans="1:9" ht="15" customHeight="1" x14ac:dyDescent="0.3">
      <c r="A205" s="33"/>
      <c r="B205" s="79"/>
      <c r="D205" s="34"/>
      <c r="E205" s="34"/>
      <c r="F205" s="33"/>
      <c r="H205" s="33"/>
      <c r="I205" s="33"/>
    </row>
    <row r="206" spans="1:9" ht="15" customHeight="1" x14ac:dyDescent="0.3">
      <c r="A206" s="33"/>
      <c r="B206" s="79"/>
      <c r="D206" s="34"/>
      <c r="E206" s="34"/>
      <c r="F206" s="33"/>
      <c r="H206" s="33"/>
      <c r="I206" s="33"/>
    </row>
    <row r="207" spans="1:9" ht="15" customHeight="1" x14ac:dyDescent="0.3">
      <c r="A207" s="33"/>
      <c r="B207" s="79"/>
      <c r="D207" s="34"/>
      <c r="E207" s="34"/>
      <c r="F207" s="33"/>
      <c r="H207" s="33"/>
      <c r="I207" s="33"/>
    </row>
    <row r="208" spans="1:9" ht="15" customHeight="1" x14ac:dyDescent="0.3">
      <c r="A208" s="33"/>
      <c r="B208" s="79"/>
      <c r="D208" s="34"/>
      <c r="E208" s="34"/>
      <c r="F208" s="33"/>
      <c r="H208" s="33"/>
      <c r="I208" s="33"/>
    </row>
    <row r="209" spans="1:9" ht="15" customHeight="1" x14ac:dyDescent="0.3">
      <c r="A209" s="33"/>
      <c r="B209" s="79"/>
      <c r="D209" s="34"/>
      <c r="E209" s="34"/>
      <c r="F209" s="33"/>
      <c r="H209" s="33"/>
      <c r="I209" s="33"/>
    </row>
    <row r="210" spans="1:9" ht="15" customHeight="1" x14ac:dyDescent="0.3">
      <c r="A210" s="33"/>
      <c r="B210" s="79"/>
      <c r="D210" s="34"/>
      <c r="E210" s="34"/>
      <c r="F210" s="33"/>
      <c r="H210" s="33"/>
      <c r="I210" s="33"/>
    </row>
    <row r="211" spans="1:9" ht="15" customHeight="1" x14ac:dyDescent="0.3">
      <c r="A211" s="33"/>
      <c r="B211" s="79"/>
      <c r="D211" s="34"/>
      <c r="E211" s="34"/>
      <c r="F211" s="33"/>
      <c r="H211" s="33"/>
      <c r="I211" s="33"/>
    </row>
    <row r="212" spans="1:9" ht="15" customHeight="1" x14ac:dyDescent="0.3">
      <c r="A212" s="33"/>
      <c r="B212" s="79"/>
      <c r="D212" s="34"/>
      <c r="E212" s="34"/>
      <c r="F212" s="33"/>
      <c r="H212" s="33"/>
      <c r="I212" s="33"/>
    </row>
    <row r="213" spans="1:9" ht="15" customHeight="1" x14ac:dyDescent="0.3">
      <c r="A213" s="33"/>
      <c r="B213" s="79"/>
      <c r="D213" s="34"/>
      <c r="E213" s="34"/>
      <c r="F213" s="33"/>
      <c r="H213" s="33"/>
      <c r="I213" s="33"/>
    </row>
    <row r="214" spans="1:9" ht="15" customHeight="1" x14ac:dyDescent="0.3">
      <c r="A214" s="33"/>
      <c r="B214" s="79"/>
      <c r="D214" s="34"/>
      <c r="E214" s="34"/>
      <c r="F214" s="33"/>
      <c r="H214" s="33"/>
      <c r="I214" s="33"/>
    </row>
    <row r="215" spans="1:9" ht="15" customHeight="1" x14ac:dyDescent="0.3">
      <c r="A215" s="33"/>
      <c r="B215" s="79"/>
      <c r="D215" s="34"/>
      <c r="E215" s="34"/>
      <c r="F215" s="33"/>
      <c r="H215" s="33"/>
      <c r="I215" s="33"/>
    </row>
    <row r="216" spans="1:9" ht="15" customHeight="1" x14ac:dyDescent="0.3">
      <c r="A216" s="33"/>
      <c r="B216" s="79"/>
      <c r="D216" s="34"/>
      <c r="E216" s="34"/>
      <c r="F216" s="33"/>
      <c r="H216" s="33"/>
      <c r="I216" s="33"/>
    </row>
    <row r="217" spans="1:9" ht="15" customHeight="1" x14ac:dyDescent="0.3">
      <c r="A217" s="33"/>
      <c r="B217" s="79"/>
      <c r="D217" s="34"/>
      <c r="E217" s="34"/>
      <c r="F217" s="33"/>
      <c r="H217" s="33"/>
      <c r="I217" s="33"/>
    </row>
    <row r="218" spans="1:9" ht="15" customHeight="1" x14ac:dyDescent="0.3">
      <c r="A218" s="33"/>
      <c r="B218" s="79"/>
      <c r="D218" s="34"/>
      <c r="E218" s="34"/>
      <c r="F218" s="33"/>
      <c r="H218" s="33"/>
      <c r="I218" s="33"/>
    </row>
    <row r="219" spans="1:9" ht="15" customHeight="1" x14ac:dyDescent="0.3">
      <c r="A219" s="33"/>
      <c r="B219" s="79"/>
      <c r="D219" s="34"/>
      <c r="E219" s="34"/>
      <c r="F219" s="33"/>
      <c r="H219" s="33"/>
      <c r="I219" s="33"/>
    </row>
    <row r="220" spans="1:9" ht="15" customHeight="1" x14ac:dyDescent="0.3">
      <c r="A220" s="33"/>
      <c r="B220" s="79"/>
      <c r="D220" s="34"/>
      <c r="E220" s="34"/>
      <c r="F220" s="33"/>
      <c r="H220" s="33"/>
      <c r="I220" s="33"/>
    </row>
    <row r="221" spans="1:9" ht="15" customHeight="1" x14ac:dyDescent="0.3">
      <c r="A221" s="33"/>
      <c r="B221" s="79"/>
      <c r="D221" s="34"/>
      <c r="E221" s="34"/>
      <c r="F221" s="33"/>
      <c r="H221" s="33"/>
      <c r="I221" s="33"/>
    </row>
    <row r="222" spans="1:9" ht="15" customHeight="1" x14ac:dyDescent="0.3">
      <c r="A222" s="33"/>
      <c r="B222" s="79"/>
      <c r="D222" s="34"/>
      <c r="E222" s="34"/>
      <c r="F222" s="33"/>
      <c r="H222" s="33"/>
      <c r="I222" s="33"/>
    </row>
    <row r="223" spans="1:9" ht="15" customHeight="1" x14ac:dyDescent="0.3">
      <c r="A223" s="33"/>
      <c r="B223" s="79"/>
      <c r="D223" s="34"/>
      <c r="E223" s="34"/>
      <c r="F223" s="33"/>
      <c r="H223" s="33"/>
      <c r="I223" s="33"/>
    </row>
    <row r="224" spans="1:9" ht="15" customHeight="1" x14ac:dyDescent="0.3">
      <c r="A224" s="33"/>
      <c r="B224" s="79"/>
      <c r="D224" s="34"/>
      <c r="E224" s="34"/>
      <c r="F224" s="33"/>
      <c r="H224" s="33"/>
      <c r="I224" s="33"/>
    </row>
    <row r="225" spans="1:9" ht="15" customHeight="1" x14ac:dyDescent="0.3">
      <c r="A225" s="33"/>
      <c r="B225" s="79"/>
      <c r="D225" s="34"/>
      <c r="E225" s="34"/>
      <c r="F225" s="33"/>
      <c r="H225" s="33"/>
      <c r="I225" s="33"/>
    </row>
    <row r="226" spans="1:9" ht="15" customHeight="1" x14ac:dyDescent="0.3">
      <c r="A226" s="33"/>
      <c r="B226" s="79"/>
      <c r="D226" s="34"/>
      <c r="E226" s="34"/>
      <c r="F226" s="33"/>
      <c r="H226" s="33"/>
      <c r="I226" s="33"/>
    </row>
    <row r="227" spans="1:9" ht="15" customHeight="1" x14ac:dyDescent="0.3">
      <c r="A227" s="33"/>
      <c r="B227" s="79"/>
      <c r="D227" s="34"/>
      <c r="E227" s="34"/>
      <c r="F227" s="33"/>
      <c r="H227" s="33"/>
      <c r="I227" s="33"/>
    </row>
    <row r="228" spans="1:9" ht="15" customHeight="1" x14ac:dyDescent="0.3">
      <c r="A228" s="33"/>
      <c r="B228" s="79"/>
      <c r="D228" s="34"/>
      <c r="E228" s="34"/>
      <c r="F228" s="33"/>
      <c r="H228" s="33"/>
      <c r="I228" s="33"/>
    </row>
    <row r="229" spans="1:9" ht="15" customHeight="1" x14ac:dyDescent="0.3">
      <c r="A229" s="33"/>
      <c r="B229" s="79"/>
      <c r="D229" s="34"/>
      <c r="E229" s="34"/>
      <c r="F229" s="33"/>
      <c r="H229" s="33"/>
      <c r="I229" s="33"/>
    </row>
    <row r="230" spans="1:9" ht="15" customHeight="1" x14ac:dyDescent="0.3">
      <c r="A230" s="33"/>
      <c r="B230" s="79"/>
      <c r="D230" s="34"/>
      <c r="E230" s="34"/>
      <c r="F230" s="33"/>
      <c r="H230" s="33"/>
      <c r="I230" s="33"/>
    </row>
    <row r="231" spans="1:9" ht="15" customHeight="1" x14ac:dyDescent="0.3">
      <c r="A231" s="33"/>
      <c r="B231" s="79"/>
      <c r="D231" s="34"/>
      <c r="E231" s="34"/>
      <c r="F231" s="33"/>
      <c r="H231" s="33"/>
      <c r="I231" s="33"/>
    </row>
    <row r="232" spans="1:9" ht="15" customHeight="1" x14ac:dyDescent="0.3">
      <c r="A232" s="33"/>
      <c r="B232" s="79"/>
      <c r="D232" s="34"/>
      <c r="E232" s="34"/>
      <c r="F232" s="33"/>
      <c r="H232" s="33"/>
      <c r="I232" s="33"/>
    </row>
    <row r="233" spans="1:9" ht="15" customHeight="1" x14ac:dyDescent="0.3">
      <c r="A233" s="33"/>
      <c r="B233" s="79"/>
      <c r="D233" s="34"/>
      <c r="E233" s="34"/>
      <c r="F233" s="33"/>
      <c r="H233" s="33"/>
      <c r="I233" s="33"/>
    </row>
    <row r="234" spans="1:9" ht="15" customHeight="1" x14ac:dyDescent="0.3">
      <c r="A234" s="33"/>
      <c r="B234" s="79"/>
      <c r="D234" s="34"/>
      <c r="E234" s="34"/>
      <c r="F234" s="33"/>
      <c r="H234" s="33"/>
      <c r="I234" s="33"/>
    </row>
    <row r="235" spans="1:9" ht="15" customHeight="1" x14ac:dyDescent="0.3">
      <c r="A235" s="33"/>
      <c r="B235" s="79"/>
      <c r="D235" s="34"/>
      <c r="E235" s="34"/>
      <c r="F235" s="33"/>
      <c r="H235" s="33"/>
      <c r="I235" s="33"/>
    </row>
    <row r="236" spans="1:9" ht="15" customHeight="1" x14ac:dyDescent="0.3">
      <c r="A236" s="33"/>
      <c r="B236" s="79"/>
      <c r="D236" s="34"/>
      <c r="E236" s="34"/>
      <c r="F236" s="33"/>
      <c r="H236" s="33"/>
      <c r="I236" s="33"/>
    </row>
    <row r="237" spans="1:9" ht="15" customHeight="1" x14ac:dyDescent="0.3">
      <c r="A237" s="33"/>
      <c r="B237" s="79"/>
      <c r="D237" s="34"/>
      <c r="E237" s="34"/>
      <c r="F237" s="33"/>
      <c r="H237" s="33"/>
      <c r="I237" s="33"/>
    </row>
    <row r="238" spans="1:9" ht="15" customHeight="1" x14ac:dyDescent="0.3">
      <c r="A238" s="33"/>
      <c r="D238" s="34"/>
      <c r="E238" s="34"/>
      <c r="F238" s="33"/>
      <c r="H238" s="33"/>
      <c r="I238" s="33"/>
    </row>
    <row r="239" spans="1:9" ht="15" customHeight="1" x14ac:dyDescent="0.3">
      <c r="A239" s="33"/>
      <c r="D239" s="34"/>
      <c r="E239" s="34"/>
      <c r="F239" s="33"/>
      <c r="H239" s="33"/>
      <c r="I239" s="33"/>
    </row>
    <row r="240" spans="1:9" ht="15" customHeight="1" x14ac:dyDescent="0.3">
      <c r="A240" s="33"/>
      <c r="D240" s="34"/>
      <c r="E240" s="34"/>
      <c r="F240" s="33"/>
      <c r="H240" s="33"/>
      <c r="I240" s="33"/>
    </row>
    <row r="241" spans="1:9" ht="15" customHeight="1" x14ac:dyDescent="0.3">
      <c r="A241" s="33"/>
      <c r="D241" s="34"/>
      <c r="E241" s="34"/>
      <c r="F241" s="33"/>
      <c r="H241" s="33"/>
      <c r="I241" s="33"/>
    </row>
    <row r="242" spans="1:9" ht="15" customHeight="1" x14ac:dyDescent="0.3">
      <c r="A242" s="33"/>
      <c r="D242" s="34"/>
      <c r="E242" s="34"/>
      <c r="F242" s="33"/>
      <c r="H242" s="33"/>
      <c r="I242" s="33"/>
    </row>
    <row r="243" spans="1:9" ht="15" customHeight="1" x14ac:dyDescent="0.3">
      <c r="A243" s="33"/>
      <c r="D243" s="34"/>
      <c r="E243" s="34"/>
      <c r="F243" s="33"/>
      <c r="H243" s="33"/>
      <c r="I243" s="33"/>
    </row>
    <row r="244" spans="1:9" ht="15" customHeight="1" x14ac:dyDescent="0.3">
      <c r="A244" s="33"/>
      <c r="D244" s="34"/>
      <c r="E244" s="34"/>
      <c r="F244" s="33"/>
      <c r="H244" s="33"/>
      <c r="I244" s="33"/>
    </row>
    <row r="245" spans="1:9" ht="15" customHeight="1" x14ac:dyDescent="0.3">
      <c r="A245" s="33"/>
      <c r="D245" s="34"/>
      <c r="E245" s="34"/>
      <c r="F245" s="33"/>
      <c r="H245" s="33"/>
      <c r="I245" s="33"/>
    </row>
    <row r="246" spans="1:9" ht="15" customHeight="1" x14ac:dyDescent="0.3">
      <c r="A246" s="33"/>
      <c r="D246" s="34"/>
      <c r="E246" s="34"/>
      <c r="F246" s="33"/>
      <c r="H246" s="33"/>
      <c r="I246" s="33"/>
    </row>
    <row r="247" spans="1:9" ht="15" customHeight="1" x14ac:dyDescent="0.3">
      <c r="A247" s="33"/>
      <c r="D247" s="34"/>
      <c r="E247" s="34"/>
      <c r="F247" s="33"/>
      <c r="H247" s="33"/>
      <c r="I247" s="33"/>
    </row>
    <row r="248" spans="1:9" ht="15" customHeight="1" x14ac:dyDescent="0.3">
      <c r="A248" s="33"/>
      <c r="D248" s="34"/>
      <c r="E248" s="34"/>
      <c r="F248" s="33"/>
      <c r="H248" s="33"/>
      <c r="I248" s="33"/>
    </row>
    <row r="249" spans="1:9" ht="15" customHeight="1" x14ac:dyDescent="0.3">
      <c r="A249" s="33"/>
      <c r="D249" s="34"/>
      <c r="E249" s="34"/>
      <c r="F249" s="33"/>
      <c r="H249" s="33"/>
      <c r="I249" s="33"/>
    </row>
    <row r="250" spans="1:9" ht="15" customHeight="1" x14ac:dyDescent="0.3">
      <c r="A250" s="33"/>
      <c r="D250" s="34"/>
      <c r="E250" s="34"/>
      <c r="F250" s="33"/>
      <c r="H250" s="33"/>
      <c r="I250" s="33"/>
    </row>
    <row r="251" spans="1:9" ht="15" customHeight="1" x14ac:dyDescent="0.3">
      <c r="A251" s="33"/>
      <c r="D251" s="34"/>
      <c r="E251" s="34"/>
      <c r="F251" s="33"/>
      <c r="H251" s="33"/>
      <c r="I251" s="33"/>
    </row>
    <row r="252" spans="1:9" ht="15" customHeight="1" x14ac:dyDescent="0.3">
      <c r="A252" s="33"/>
      <c r="D252" s="34"/>
      <c r="E252" s="34"/>
      <c r="F252" s="33"/>
      <c r="H252" s="33"/>
      <c r="I252" s="33"/>
    </row>
    <row r="253" spans="1:9" ht="15" customHeight="1" x14ac:dyDescent="0.3">
      <c r="A253" s="33"/>
      <c r="D253" s="34"/>
      <c r="E253" s="34"/>
      <c r="F253" s="33"/>
      <c r="H253" s="33"/>
      <c r="I253" s="33"/>
    </row>
    <row r="254" spans="1:9" ht="15" customHeight="1" x14ac:dyDescent="0.3">
      <c r="A254" s="33"/>
      <c r="D254" s="34"/>
      <c r="E254" s="34"/>
      <c r="F254" s="33"/>
      <c r="H254" s="33"/>
      <c r="I254" s="33"/>
    </row>
    <row r="255" spans="1:9" ht="15" customHeight="1" x14ac:dyDescent="0.3">
      <c r="A255" s="33"/>
      <c r="D255" s="34"/>
      <c r="E255" s="34"/>
      <c r="F255" s="33"/>
      <c r="H255" s="33"/>
      <c r="I255" s="33"/>
    </row>
    <row r="256" spans="1:9" ht="15" customHeight="1" x14ac:dyDescent="0.3">
      <c r="A256" s="33"/>
      <c r="D256" s="34"/>
      <c r="E256" s="34"/>
      <c r="F256" s="33"/>
      <c r="H256" s="33"/>
      <c r="I256" s="33"/>
    </row>
    <row r="257" spans="1:9" ht="15" customHeight="1" x14ac:dyDescent="0.3">
      <c r="A257" s="33"/>
      <c r="D257" s="34"/>
      <c r="E257" s="34"/>
      <c r="F257" s="33"/>
      <c r="H257" s="33"/>
      <c r="I257" s="33"/>
    </row>
    <row r="258" spans="1:9" ht="15" customHeight="1" x14ac:dyDescent="0.3">
      <c r="A258" s="33"/>
      <c r="D258" s="34"/>
      <c r="E258" s="34"/>
      <c r="F258" s="33"/>
      <c r="H258" s="33"/>
      <c r="I258" s="33"/>
    </row>
    <row r="259" spans="1:9" ht="15" customHeight="1" x14ac:dyDescent="0.3">
      <c r="A259" s="33"/>
      <c r="D259" s="34"/>
      <c r="E259" s="34"/>
      <c r="F259" s="33"/>
      <c r="H259" s="33"/>
      <c r="I259" s="33"/>
    </row>
    <row r="260" spans="1:9" ht="15" customHeight="1" x14ac:dyDescent="0.3">
      <c r="A260" s="33"/>
      <c r="D260" s="34"/>
      <c r="E260" s="34"/>
      <c r="F260" s="33"/>
      <c r="H260" s="33"/>
      <c r="I260" s="33"/>
    </row>
    <row r="261" spans="1:9" ht="15" customHeight="1" x14ac:dyDescent="0.3">
      <c r="A261" s="33"/>
      <c r="D261" s="34"/>
      <c r="E261" s="34"/>
      <c r="F261" s="33"/>
      <c r="H261" s="33"/>
      <c r="I261" s="33"/>
    </row>
    <row r="262" spans="1:9" ht="15" customHeight="1" x14ac:dyDescent="0.3">
      <c r="A262" s="33"/>
      <c r="D262" s="34"/>
      <c r="E262" s="34"/>
      <c r="F262" s="33"/>
      <c r="H262" s="33"/>
      <c r="I262" s="33"/>
    </row>
    <row r="263" spans="1:9" ht="15" customHeight="1" x14ac:dyDescent="0.3">
      <c r="A263" s="33"/>
      <c r="D263" s="34"/>
      <c r="E263" s="34"/>
      <c r="F263" s="33"/>
      <c r="H263" s="33"/>
      <c r="I263" s="33"/>
    </row>
    <row r="264" spans="1:9" ht="15" customHeight="1" x14ac:dyDescent="0.3">
      <c r="A264" s="33"/>
      <c r="D264" s="34"/>
      <c r="E264" s="34"/>
      <c r="F264" s="33"/>
      <c r="H264" s="33"/>
      <c r="I264" s="33"/>
    </row>
    <row r="265" spans="1:9" ht="15" customHeight="1" x14ac:dyDescent="0.3">
      <c r="A265" s="33"/>
      <c r="D265" s="34"/>
      <c r="E265" s="34"/>
      <c r="F265" s="33"/>
      <c r="H265" s="33"/>
      <c r="I265" s="33"/>
    </row>
    <row r="266" spans="1:9" ht="15" customHeight="1" x14ac:dyDescent="0.3">
      <c r="A266" s="33"/>
      <c r="D266" s="34"/>
      <c r="E266" s="34"/>
      <c r="F266" s="33"/>
      <c r="H266" s="33"/>
      <c r="I266" s="33"/>
    </row>
    <row r="267" spans="1:9" ht="15" customHeight="1" x14ac:dyDescent="0.3">
      <c r="A267" s="33"/>
      <c r="D267" s="34"/>
      <c r="E267" s="34"/>
      <c r="F267" s="33"/>
      <c r="H267" s="33"/>
      <c r="I267" s="33"/>
    </row>
    <row r="268" spans="1:9" ht="15" customHeight="1" x14ac:dyDescent="0.3">
      <c r="A268" s="33"/>
      <c r="D268" s="34"/>
      <c r="E268" s="34"/>
      <c r="F268" s="33"/>
      <c r="H268" s="33"/>
      <c r="I268" s="33"/>
    </row>
    <row r="269" spans="1:9" ht="15" customHeight="1" x14ac:dyDescent="0.3">
      <c r="A269" s="33"/>
      <c r="D269" s="34"/>
      <c r="E269" s="34"/>
      <c r="F269" s="33"/>
      <c r="H269" s="33"/>
      <c r="I269" s="33"/>
    </row>
    <row r="270" spans="1:9" ht="15" customHeight="1" x14ac:dyDescent="0.3">
      <c r="A270" s="33"/>
      <c r="D270" s="34"/>
      <c r="E270" s="34"/>
      <c r="F270" s="33"/>
      <c r="H270" s="33"/>
      <c r="I270" s="33"/>
    </row>
    <row r="271" spans="1:9" ht="15" customHeight="1" x14ac:dyDescent="0.3">
      <c r="A271" s="33"/>
      <c r="D271" s="34"/>
      <c r="E271" s="34"/>
      <c r="F271" s="33"/>
      <c r="H271" s="33"/>
      <c r="I271" s="33"/>
    </row>
    <row r="272" spans="1:9" ht="15" customHeight="1" x14ac:dyDescent="0.3">
      <c r="A272" s="33"/>
      <c r="D272" s="34"/>
      <c r="E272" s="34"/>
      <c r="F272" s="33"/>
      <c r="H272" s="33"/>
      <c r="I272" s="33"/>
    </row>
    <row r="273" spans="1:9" ht="15" customHeight="1" x14ac:dyDescent="0.3">
      <c r="A273" s="33"/>
      <c r="D273" s="34"/>
      <c r="E273" s="34"/>
      <c r="F273" s="33"/>
      <c r="H273" s="33"/>
      <c r="I273" s="33"/>
    </row>
    <row r="274" spans="1:9" ht="15" customHeight="1" x14ac:dyDescent="0.3">
      <c r="A274" s="33"/>
      <c r="D274" s="34"/>
      <c r="E274" s="34"/>
      <c r="F274" s="33"/>
      <c r="H274" s="33"/>
      <c r="I274" s="33"/>
    </row>
    <row r="275" spans="1:9" ht="15" customHeight="1" x14ac:dyDescent="0.3">
      <c r="A275" s="33"/>
      <c r="D275" s="34"/>
      <c r="E275" s="34"/>
      <c r="F275" s="33"/>
      <c r="H275" s="33"/>
      <c r="I275" s="33"/>
    </row>
    <row r="276" spans="1:9" ht="15" customHeight="1" x14ac:dyDescent="0.3">
      <c r="A276" s="33"/>
      <c r="D276" s="34"/>
      <c r="E276" s="34"/>
      <c r="F276" s="33"/>
      <c r="H276" s="33"/>
      <c r="I276" s="33"/>
    </row>
    <row r="277" spans="1:9" ht="15" customHeight="1" x14ac:dyDescent="0.3">
      <c r="A277" s="33"/>
      <c r="D277" s="34"/>
      <c r="E277" s="34"/>
      <c r="F277" s="33"/>
      <c r="H277" s="33"/>
      <c r="I277" s="33"/>
    </row>
    <row r="278" spans="1:9" ht="15" customHeight="1" x14ac:dyDescent="0.3">
      <c r="A278" s="33"/>
      <c r="D278" s="34"/>
      <c r="E278" s="34"/>
      <c r="F278" s="33"/>
      <c r="H278" s="33"/>
      <c r="I278" s="33"/>
    </row>
    <row r="279" spans="1:9" ht="15" customHeight="1" x14ac:dyDescent="0.3">
      <c r="A279" s="33"/>
      <c r="D279" s="34"/>
      <c r="E279" s="34"/>
      <c r="F279" s="33"/>
      <c r="H279" s="33"/>
      <c r="I279" s="33"/>
    </row>
    <row r="280" spans="1:9" ht="15" customHeight="1" x14ac:dyDescent="0.3">
      <c r="A280" s="33"/>
      <c r="D280" s="34"/>
      <c r="E280" s="34"/>
      <c r="F280" s="33"/>
      <c r="H280" s="33"/>
      <c r="I280" s="33"/>
    </row>
    <row r="281" spans="1:9" ht="15" customHeight="1" x14ac:dyDescent="0.3">
      <c r="A281" s="33"/>
      <c r="D281" s="34"/>
      <c r="E281" s="34"/>
      <c r="F281" s="33"/>
      <c r="H281" s="33"/>
      <c r="I281" s="33"/>
    </row>
    <row r="282" spans="1:9" ht="15" customHeight="1" x14ac:dyDescent="0.3">
      <c r="A282" s="33"/>
      <c r="D282" s="34"/>
      <c r="E282" s="34"/>
      <c r="F282" s="33"/>
      <c r="H282" s="33"/>
      <c r="I282" s="33"/>
    </row>
    <row r="283" spans="1:9" ht="15" customHeight="1" x14ac:dyDescent="0.3">
      <c r="A283" s="33"/>
      <c r="D283" s="34"/>
      <c r="E283" s="34"/>
      <c r="F283" s="33"/>
      <c r="H283" s="33"/>
      <c r="I283" s="33"/>
    </row>
    <row r="284" spans="1:9" ht="15" customHeight="1" x14ac:dyDescent="0.3">
      <c r="A284" s="33"/>
      <c r="D284" s="34"/>
      <c r="E284" s="34"/>
      <c r="F284" s="33"/>
      <c r="H284" s="33"/>
      <c r="I284" s="33"/>
    </row>
    <row r="285" spans="1:9" ht="15" customHeight="1" x14ac:dyDescent="0.3">
      <c r="A285" s="33"/>
      <c r="D285" s="34"/>
      <c r="E285" s="34"/>
      <c r="F285" s="33"/>
      <c r="H285" s="33"/>
      <c r="I285" s="33"/>
    </row>
    <row r="286" spans="1:9" ht="15" customHeight="1" x14ac:dyDescent="0.3">
      <c r="A286" s="33"/>
      <c r="D286" s="34"/>
      <c r="E286" s="34"/>
      <c r="F286" s="33"/>
      <c r="H286" s="33"/>
      <c r="I286" s="33"/>
    </row>
    <row r="287" spans="1:9" ht="15" customHeight="1" x14ac:dyDescent="0.3">
      <c r="A287" s="33"/>
      <c r="D287" s="34"/>
      <c r="E287" s="34"/>
      <c r="F287" s="33"/>
      <c r="H287" s="33"/>
      <c r="I287" s="33"/>
    </row>
    <row r="288" spans="1:9" ht="15" customHeight="1" x14ac:dyDescent="0.3">
      <c r="A288" s="33"/>
      <c r="D288" s="34"/>
      <c r="E288" s="34"/>
      <c r="F288" s="33"/>
      <c r="H288" s="33"/>
      <c r="I288" s="33"/>
    </row>
    <row r="289" spans="1:9" ht="15" customHeight="1" x14ac:dyDescent="0.3">
      <c r="A289" s="33"/>
      <c r="D289" s="34"/>
      <c r="E289" s="34"/>
      <c r="F289" s="33"/>
      <c r="H289" s="33"/>
      <c r="I289" s="33"/>
    </row>
    <row r="290" spans="1:9" ht="15" customHeight="1" x14ac:dyDescent="0.3">
      <c r="A290" s="33"/>
      <c r="D290" s="34"/>
      <c r="E290" s="34"/>
      <c r="F290" s="33"/>
      <c r="H290" s="33"/>
      <c r="I290" s="33"/>
    </row>
    <row r="291" spans="1:9" ht="15" customHeight="1" x14ac:dyDescent="0.3">
      <c r="A291" s="33"/>
      <c r="D291" s="34"/>
      <c r="E291" s="34"/>
      <c r="F291" s="33"/>
      <c r="H291" s="33"/>
      <c r="I291" s="33"/>
    </row>
    <row r="292" spans="1:9" ht="15" customHeight="1" x14ac:dyDescent="0.3">
      <c r="A292" s="33"/>
      <c r="D292" s="34"/>
      <c r="E292" s="34"/>
      <c r="F292" s="33"/>
      <c r="H292" s="33"/>
      <c r="I292" s="33"/>
    </row>
    <row r="293" spans="1:9" ht="15" customHeight="1" x14ac:dyDescent="0.3">
      <c r="A293" s="33"/>
      <c r="D293" s="34"/>
      <c r="E293" s="34"/>
      <c r="F293" s="33"/>
      <c r="H293" s="33"/>
      <c r="I293" s="33"/>
    </row>
    <row r="294" spans="1:9" ht="15" customHeight="1" x14ac:dyDescent="0.3">
      <c r="A294" s="33"/>
      <c r="D294" s="34"/>
      <c r="E294" s="34"/>
      <c r="F294" s="33"/>
      <c r="H294" s="33"/>
      <c r="I294" s="33"/>
    </row>
    <row r="295" spans="1:9" ht="15" customHeight="1" x14ac:dyDescent="0.3">
      <c r="A295" s="33"/>
      <c r="D295" s="34"/>
      <c r="E295" s="34"/>
      <c r="F295" s="33"/>
      <c r="H295" s="33"/>
      <c r="I295" s="33"/>
    </row>
    <row r="296" spans="1:9" ht="15" customHeight="1" x14ac:dyDescent="0.3">
      <c r="A296" s="33"/>
      <c r="D296" s="34"/>
      <c r="E296" s="34"/>
      <c r="F296" s="33"/>
      <c r="H296" s="33"/>
      <c r="I296" s="33"/>
    </row>
    <row r="297" spans="1:9" ht="15" customHeight="1" x14ac:dyDescent="0.3">
      <c r="A297" s="33"/>
      <c r="D297" s="34"/>
      <c r="E297" s="34"/>
      <c r="F297" s="33"/>
      <c r="H297" s="33"/>
      <c r="I297" s="33"/>
    </row>
    <row r="298" spans="1:9" ht="15" customHeight="1" x14ac:dyDescent="0.3">
      <c r="A298" s="33"/>
      <c r="D298" s="34"/>
      <c r="E298" s="34"/>
      <c r="F298" s="33"/>
      <c r="H298" s="33"/>
      <c r="I298" s="33"/>
    </row>
    <row r="299" spans="1:9" ht="15" customHeight="1" x14ac:dyDescent="0.3">
      <c r="A299" s="33"/>
      <c r="D299" s="34"/>
      <c r="E299" s="34"/>
      <c r="F299" s="33"/>
      <c r="H299" s="33"/>
      <c r="I299" s="33"/>
    </row>
    <row r="300" spans="1:9" ht="15" customHeight="1" x14ac:dyDescent="0.3">
      <c r="A300" s="33"/>
      <c r="D300" s="34"/>
      <c r="E300" s="34"/>
      <c r="F300" s="33"/>
      <c r="H300" s="33"/>
      <c r="I300" s="33"/>
    </row>
    <row r="301" spans="1:9" ht="15" customHeight="1" x14ac:dyDescent="0.3">
      <c r="A301" s="33"/>
      <c r="D301" s="34"/>
      <c r="E301" s="34"/>
      <c r="F301" s="33"/>
      <c r="H301" s="33"/>
      <c r="I301" s="33"/>
    </row>
    <row r="302" spans="1:9" ht="15" customHeight="1" x14ac:dyDescent="0.3">
      <c r="A302" s="33"/>
      <c r="D302" s="34"/>
      <c r="E302" s="34"/>
      <c r="F302" s="33"/>
      <c r="H302" s="33"/>
      <c r="I302" s="33"/>
    </row>
    <row r="303" spans="1:9" ht="15" customHeight="1" x14ac:dyDescent="0.3">
      <c r="A303" s="33"/>
      <c r="D303" s="34"/>
      <c r="E303" s="34"/>
      <c r="F303" s="33"/>
      <c r="H303" s="33"/>
      <c r="I303" s="33"/>
    </row>
    <row r="304" spans="1:9" ht="15" customHeight="1" x14ac:dyDescent="0.3">
      <c r="A304" s="33"/>
      <c r="D304" s="34"/>
      <c r="E304" s="34"/>
      <c r="F304" s="33"/>
      <c r="H304" s="33"/>
      <c r="I304" s="33"/>
    </row>
    <row r="305" spans="1:9" ht="15" customHeight="1" x14ac:dyDescent="0.3">
      <c r="A305" s="33"/>
      <c r="D305" s="34"/>
      <c r="E305" s="34"/>
      <c r="F305" s="33"/>
      <c r="H305" s="33"/>
      <c r="I305" s="33"/>
    </row>
    <row r="306" spans="1:9" ht="15" customHeight="1" x14ac:dyDescent="0.3">
      <c r="A306" s="33"/>
      <c r="D306" s="34"/>
      <c r="E306" s="34"/>
      <c r="F306" s="33"/>
      <c r="H306" s="33"/>
      <c r="I306" s="33"/>
    </row>
    <row r="307" spans="1:9" ht="15" customHeight="1" x14ac:dyDescent="0.3">
      <c r="A307" s="33"/>
      <c r="D307" s="34"/>
      <c r="E307" s="34"/>
      <c r="F307" s="33"/>
      <c r="H307" s="33"/>
      <c r="I307" s="33"/>
    </row>
    <row r="308" spans="1:9" ht="15" customHeight="1" x14ac:dyDescent="0.3">
      <c r="A308" s="33"/>
      <c r="D308" s="34"/>
      <c r="E308" s="34"/>
      <c r="F308" s="33"/>
      <c r="H308" s="33"/>
      <c r="I308" s="33"/>
    </row>
    <row r="309" spans="1:9" ht="15" customHeight="1" x14ac:dyDescent="0.3">
      <c r="A309" s="33"/>
      <c r="D309" s="34"/>
      <c r="E309" s="34"/>
      <c r="F309" s="33"/>
      <c r="H309" s="33"/>
      <c r="I309" s="33"/>
    </row>
    <row r="310" spans="1:9" ht="15" customHeight="1" x14ac:dyDescent="0.3">
      <c r="A310" s="33"/>
      <c r="D310" s="34"/>
      <c r="E310" s="34"/>
      <c r="F310" s="33"/>
      <c r="H310" s="33"/>
      <c r="I310" s="33"/>
    </row>
    <row r="311" spans="1:9" ht="15" customHeight="1" x14ac:dyDescent="0.3">
      <c r="A311" s="33"/>
      <c r="D311" s="34"/>
      <c r="E311" s="34"/>
      <c r="F311" s="33"/>
      <c r="H311" s="33"/>
      <c r="I311" s="33"/>
    </row>
    <row r="312" spans="1:9" ht="15" customHeight="1" x14ac:dyDescent="0.3">
      <c r="A312" s="33"/>
      <c r="D312" s="34"/>
      <c r="E312" s="34"/>
      <c r="F312" s="33"/>
      <c r="H312" s="33"/>
      <c r="I312" s="33"/>
    </row>
    <row r="313" spans="1:9" ht="15" customHeight="1" x14ac:dyDescent="0.3">
      <c r="A313" s="33"/>
      <c r="D313" s="34"/>
      <c r="E313" s="34"/>
      <c r="F313" s="33"/>
      <c r="H313" s="33"/>
      <c r="I313" s="33"/>
    </row>
    <row r="314" spans="1:9" ht="15" customHeight="1" x14ac:dyDescent="0.3">
      <c r="A314" s="33"/>
      <c r="D314" s="34"/>
      <c r="E314" s="34"/>
      <c r="F314" s="33"/>
      <c r="H314" s="33"/>
      <c r="I314" s="33"/>
    </row>
    <row r="315" spans="1:9" ht="15" customHeight="1" x14ac:dyDescent="0.3">
      <c r="A315" s="33"/>
      <c r="D315" s="34"/>
      <c r="E315" s="34"/>
      <c r="F315" s="33"/>
      <c r="H315" s="33"/>
      <c r="I315" s="33"/>
    </row>
    <row r="316" spans="1:9" ht="15" customHeight="1" x14ac:dyDescent="0.3">
      <c r="A316" s="33"/>
      <c r="D316" s="34"/>
      <c r="E316" s="34"/>
      <c r="F316" s="33"/>
    </row>
    <row r="317" spans="1:9" ht="15" customHeight="1" x14ac:dyDescent="0.3">
      <c r="A317" s="33"/>
      <c r="D317" s="34"/>
      <c r="E317" s="34"/>
      <c r="F317" s="33"/>
    </row>
    <row r="318" spans="1:9" ht="15" customHeight="1" x14ac:dyDescent="0.3">
      <c r="A318" s="33"/>
      <c r="D318" s="34"/>
      <c r="E318" s="34"/>
      <c r="F318" s="33"/>
    </row>
    <row r="319" spans="1:9" ht="15" customHeight="1" x14ac:dyDescent="0.3">
      <c r="A319" s="33"/>
      <c r="D319" s="34"/>
      <c r="E319" s="34"/>
      <c r="F319" s="33"/>
    </row>
    <row r="320" spans="1:9" ht="15" customHeight="1" x14ac:dyDescent="0.3">
      <c r="A320" s="33"/>
      <c r="D320" s="34"/>
      <c r="E320" s="34"/>
      <c r="F320" s="33"/>
    </row>
    <row r="321" spans="1:6" ht="15" customHeight="1" x14ac:dyDescent="0.3">
      <c r="A321" s="33"/>
      <c r="D321" s="34"/>
      <c r="E321" s="34"/>
      <c r="F321" s="33"/>
    </row>
    <row r="322" spans="1:6" ht="15" customHeight="1" x14ac:dyDescent="0.3">
      <c r="A322" s="33"/>
      <c r="D322" s="34"/>
      <c r="E322" s="34"/>
      <c r="F322" s="33"/>
    </row>
    <row r="323" spans="1:6" ht="15" customHeight="1" x14ac:dyDescent="0.3">
      <c r="A323" s="33"/>
      <c r="D323" s="34"/>
      <c r="E323" s="34"/>
      <c r="F323" s="33"/>
    </row>
    <row r="324" spans="1:6" ht="15" customHeight="1" x14ac:dyDescent="0.3">
      <c r="A324" s="33"/>
      <c r="D324" s="34"/>
      <c r="E324" s="34"/>
      <c r="F324" s="33"/>
    </row>
    <row r="325" spans="1:6" ht="15" customHeight="1" x14ac:dyDescent="0.3">
      <c r="A325" s="33"/>
      <c r="D325" s="34"/>
      <c r="E325" s="34"/>
      <c r="F325" s="33"/>
    </row>
    <row r="326" spans="1:6" ht="15" customHeight="1" x14ac:dyDescent="0.3">
      <c r="A326" s="33"/>
      <c r="D326" s="34"/>
      <c r="E326" s="34"/>
      <c r="F326" s="33"/>
    </row>
    <row r="327" spans="1:6" ht="15" customHeight="1" x14ac:dyDescent="0.3">
      <c r="A327" s="33"/>
      <c r="D327" s="34"/>
      <c r="E327" s="34"/>
      <c r="F327" s="33"/>
    </row>
    <row r="328" spans="1:6" ht="15" customHeight="1" x14ac:dyDescent="0.3">
      <c r="A328" s="33"/>
      <c r="D328" s="34"/>
      <c r="E328" s="34"/>
      <c r="F328" s="33"/>
    </row>
    <row r="329" spans="1:6" ht="15" customHeight="1" x14ac:dyDescent="0.3">
      <c r="A329" s="33"/>
      <c r="D329" s="34"/>
      <c r="E329" s="34"/>
      <c r="F329" s="33"/>
    </row>
    <row r="330" spans="1:6" ht="15" customHeight="1" x14ac:dyDescent="0.3">
      <c r="A330" s="33"/>
      <c r="D330" s="34"/>
      <c r="E330" s="34"/>
      <c r="F330" s="33"/>
    </row>
    <row r="331" spans="1:6" ht="15" customHeight="1" x14ac:dyDescent="0.3">
      <c r="A331" s="33"/>
      <c r="D331" s="34"/>
      <c r="E331" s="34"/>
      <c r="F331" s="33"/>
    </row>
    <row r="332" spans="1:6" ht="15" customHeight="1" x14ac:dyDescent="0.3">
      <c r="A332" s="33"/>
      <c r="D332" s="34"/>
      <c r="E332" s="34"/>
      <c r="F332" s="33"/>
    </row>
    <row r="333" spans="1:6" ht="15" customHeight="1" x14ac:dyDescent="0.3">
      <c r="A333" s="33"/>
      <c r="D333" s="34"/>
      <c r="E333" s="34"/>
      <c r="F333" s="33"/>
    </row>
    <row r="334" spans="1:6" ht="15" customHeight="1" x14ac:dyDescent="0.3">
      <c r="A334" s="33"/>
      <c r="D334" s="34"/>
      <c r="E334" s="34"/>
      <c r="F334" s="33"/>
    </row>
    <row r="335" spans="1:6" ht="15" customHeight="1" x14ac:dyDescent="0.3">
      <c r="A335" s="33"/>
      <c r="D335" s="34"/>
      <c r="E335" s="34"/>
      <c r="F335" s="33"/>
    </row>
    <row r="336" spans="1:6" ht="15" customHeight="1" x14ac:dyDescent="0.3">
      <c r="A336" s="33"/>
      <c r="D336" s="34"/>
      <c r="E336" s="34"/>
      <c r="F336" s="33"/>
    </row>
    <row r="337" spans="1:6" ht="15" customHeight="1" x14ac:dyDescent="0.3">
      <c r="A337" s="33"/>
      <c r="D337" s="34"/>
      <c r="E337" s="34"/>
      <c r="F337" s="33"/>
    </row>
    <row r="338" spans="1:6" ht="15" customHeight="1" x14ac:dyDescent="0.3">
      <c r="A338" s="33"/>
      <c r="D338" s="34"/>
      <c r="E338" s="34"/>
      <c r="F338" s="33"/>
    </row>
    <row r="339" spans="1:6" ht="15" customHeight="1" x14ac:dyDescent="0.3">
      <c r="A339" s="33"/>
      <c r="D339" s="34"/>
      <c r="E339" s="34"/>
      <c r="F339" s="33"/>
    </row>
    <row r="340" spans="1:6" ht="15" customHeight="1" x14ac:dyDescent="0.3">
      <c r="A340" s="33"/>
      <c r="D340" s="34"/>
      <c r="E340" s="34"/>
      <c r="F340" s="33"/>
    </row>
    <row r="341" spans="1:6" ht="15" customHeight="1" x14ac:dyDescent="0.3">
      <c r="A341" s="33"/>
      <c r="D341" s="34"/>
      <c r="E341" s="34"/>
      <c r="F341" s="33"/>
    </row>
    <row r="342" spans="1:6" ht="15" customHeight="1" x14ac:dyDescent="0.3">
      <c r="A342" s="33"/>
      <c r="D342" s="34"/>
      <c r="E342" s="34"/>
      <c r="F342" s="33"/>
    </row>
    <row r="343" spans="1:6" ht="15" customHeight="1" x14ac:dyDescent="0.3">
      <c r="A343" s="33"/>
      <c r="D343" s="34"/>
      <c r="E343" s="34"/>
      <c r="F343" s="33"/>
    </row>
    <row r="344" spans="1:6" ht="15" customHeight="1" x14ac:dyDescent="0.3">
      <c r="A344" s="33"/>
      <c r="D344" s="34"/>
      <c r="E344" s="34"/>
      <c r="F344" s="33"/>
    </row>
    <row r="345" spans="1:6" ht="15" customHeight="1" x14ac:dyDescent="0.3">
      <c r="A345" s="33"/>
      <c r="D345" s="34"/>
      <c r="E345" s="34"/>
      <c r="F345" s="33"/>
    </row>
    <row r="346" spans="1:6" ht="15" customHeight="1" x14ac:dyDescent="0.3">
      <c r="A346" s="33"/>
      <c r="D346" s="34"/>
      <c r="E346" s="34"/>
      <c r="F346" s="33"/>
    </row>
    <row r="347" spans="1:6" ht="15" customHeight="1" x14ac:dyDescent="0.3">
      <c r="A347" s="33"/>
      <c r="D347" s="34"/>
      <c r="E347" s="34"/>
      <c r="F347" s="33"/>
    </row>
    <row r="348" spans="1:6" ht="15" customHeight="1" x14ac:dyDescent="0.3">
      <c r="A348" s="33"/>
      <c r="D348" s="34"/>
      <c r="E348" s="34"/>
      <c r="F348" s="33"/>
    </row>
    <row r="349" spans="1:6" ht="15" customHeight="1" x14ac:dyDescent="0.3">
      <c r="A349" s="33"/>
      <c r="D349" s="34"/>
      <c r="E349" s="34"/>
      <c r="F349" s="33"/>
    </row>
    <row r="350" spans="1:6" ht="15" customHeight="1" x14ac:dyDescent="0.3">
      <c r="A350" s="33"/>
      <c r="D350" s="34"/>
      <c r="E350" s="34"/>
      <c r="F350" s="33"/>
    </row>
    <row r="351" spans="1:6" ht="15" customHeight="1" x14ac:dyDescent="0.3">
      <c r="A351" s="33"/>
      <c r="D351" s="34"/>
      <c r="E351" s="34"/>
      <c r="F351" s="33"/>
    </row>
    <row r="352" spans="1:6" ht="15" customHeight="1" x14ac:dyDescent="0.3">
      <c r="A352" s="33"/>
      <c r="D352" s="34"/>
      <c r="E352" s="34"/>
      <c r="F352" s="33"/>
    </row>
    <row r="353" spans="1:6" ht="15" customHeight="1" x14ac:dyDescent="0.3">
      <c r="A353" s="33"/>
      <c r="D353" s="34"/>
      <c r="E353" s="34"/>
      <c r="F353" s="33"/>
    </row>
    <row r="354" spans="1:6" ht="15" customHeight="1" x14ac:dyDescent="0.3">
      <c r="A354" s="33"/>
      <c r="D354" s="34"/>
      <c r="E354" s="34"/>
      <c r="F354" s="33"/>
    </row>
    <row r="355" spans="1:6" ht="15" customHeight="1" x14ac:dyDescent="0.3">
      <c r="A355" s="33"/>
      <c r="D355" s="34"/>
      <c r="E355" s="34"/>
      <c r="F355" s="33"/>
    </row>
    <row r="356" spans="1:6" ht="15" customHeight="1" x14ac:dyDescent="0.3">
      <c r="A356" s="33"/>
      <c r="D356" s="34"/>
      <c r="E356" s="34"/>
      <c r="F356" s="33"/>
    </row>
    <row r="357" spans="1:6" ht="15" customHeight="1" x14ac:dyDescent="0.3">
      <c r="A357" s="33"/>
      <c r="D357" s="34"/>
      <c r="E357" s="34"/>
      <c r="F357" s="33"/>
    </row>
    <row r="358" spans="1:6" ht="15" customHeight="1" x14ac:dyDescent="0.3">
      <c r="A358" s="33"/>
      <c r="D358" s="34"/>
      <c r="E358" s="34"/>
      <c r="F358" s="33"/>
    </row>
    <row r="359" spans="1:6" ht="15" customHeight="1" x14ac:dyDescent="0.3">
      <c r="A359" s="33"/>
      <c r="D359" s="34"/>
      <c r="E359" s="34"/>
      <c r="F359" s="33"/>
    </row>
    <row r="360" spans="1:6" ht="15" customHeight="1" x14ac:dyDescent="0.3">
      <c r="A360" s="33"/>
      <c r="D360" s="34"/>
      <c r="E360" s="34"/>
      <c r="F360" s="33"/>
    </row>
    <row r="361" spans="1:6" ht="15" customHeight="1" x14ac:dyDescent="0.3">
      <c r="A361" s="33"/>
      <c r="D361" s="34"/>
      <c r="E361" s="34"/>
      <c r="F361" s="33"/>
    </row>
    <row r="362" spans="1:6" ht="15" customHeight="1" x14ac:dyDescent="0.3">
      <c r="A362" s="33"/>
      <c r="D362" s="34"/>
      <c r="E362" s="34"/>
      <c r="F362" s="33"/>
    </row>
    <row r="363" spans="1:6" ht="15" customHeight="1" x14ac:dyDescent="0.3">
      <c r="A363" s="33"/>
      <c r="D363" s="34"/>
      <c r="E363" s="34"/>
      <c r="F363" s="33"/>
    </row>
    <row r="364" spans="1:6" ht="15" customHeight="1" x14ac:dyDescent="0.3">
      <c r="A364" s="33"/>
      <c r="D364" s="34"/>
      <c r="E364" s="34"/>
      <c r="F364" s="33"/>
    </row>
    <row r="365" spans="1:6" ht="15" customHeight="1" x14ac:dyDescent="0.3">
      <c r="A365" s="33"/>
      <c r="D365" s="34"/>
      <c r="E365" s="34"/>
      <c r="F365" s="33"/>
    </row>
    <row r="366" spans="1:6" ht="15" customHeight="1" x14ac:dyDescent="0.3">
      <c r="A366" s="33"/>
      <c r="D366" s="34"/>
      <c r="E366" s="34"/>
      <c r="F366" s="33"/>
    </row>
    <row r="367" spans="1:6" ht="15" customHeight="1" x14ac:dyDescent="0.3">
      <c r="A367" s="33"/>
      <c r="D367" s="34"/>
      <c r="E367" s="34"/>
      <c r="F367" s="33"/>
    </row>
    <row r="368" spans="1:6" ht="15" customHeight="1" x14ac:dyDescent="0.3">
      <c r="A368" s="33"/>
      <c r="D368" s="34"/>
      <c r="E368" s="34"/>
      <c r="F368" s="33"/>
    </row>
    <row r="369" spans="1:6" ht="15" customHeight="1" x14ac:dyDescent="0.3">
      <c r="A369" s="33"/>
      <c r="D369" s="34"/>
      <c r="E369" s="34"/>
      <c r="F369" s="33"/>
    </row>
    <row r="370" spans="1:6" ht="15" customHeight="1" x14ac:dyDescent="0.3">
      <c r="A370" s="33"/>
      <c r="D370" s="34"/>
      <c r="E370" s="34"/>
      <c r="F370" s="33"/>
    </row>
    <row r="371" spans="1:6" ht="15" customHeight="1" x14ac:dyDescent="0.3">
      <c r="A371" s="33"/>
      <c r="D371" s="34"/>
      <c r="E371" s="34"/>
      <c r="F371" s="33"/>
    </row>
    <row r="372" spans="1:6" ht="15" customHeight="1" x14ac:dyDescent="0.3">
      <c r="A372" s="33"/>
      <c r="D372" s="34"/>
      <c r="E372" s="34"/>
      <c r="F372" s="33"/>
    </row>
    <row r="373" spans="1:6" ht="15" customHeight="1" x14ac:dyDescent="0.3">
      <c r="A373" s="33"/>
      <c r="D373" s="34"/>
      <c r="E373" s="34"/>
      <c r="F373" s="33"/>
    </row>
    <row r="374" spans="1:6" ht="15" customHeight="1" x14ac:dyDescent="0.3">
      <c r="A374" s="33"/>
      <c r="D374" s="34"/>
      <c r="E374" s="34"/>
      <c r="F374" s="33"/>
    </row>
    <row r="375" spans="1:6" ht="15" customHeight="1" x14ac:dyDescent="0.3">
      <c r="A375" s="33"/>
      <c r="D375" s="34"/>
      <c r="E375" s="34"/>
      <c r="F375" s="33"/>
    </row>
    <row r="376" spans="1:6" ht="15" customHeight="1" x14ac:dyDescent="0.3">
      <c r="A376" s="33"/>
      <c r="D376" s="34"/>
      <c r="E376" s="34"/>
      <c r="F376" s="33"/>
    </row>
    <row r="377" spans="1:6" ht="15" customHeight="1" x14ac:dyDescent="0.3">
      <c r="A377" s="33"/>
      <c r="D377" s="34"/>
      <c r="E377" s="34"/>
      <c r="F377" s="33"/>
    </row>
    <row r="378" spans="1:6" ht="15" customHeight="1" x14ac:dyDescent="0.3">
      <c r="A378" s="33"/>
      <c r="D378" s="34"/>
      <c r="E378" s="34"/>
      <c r="F378" s="33"/>
    </row>
    <row r="379" spans="1:6" ht="15" customHeight="1" x14ac:dyDescent="0.3">
      <c r="A379" s="33"/>
      <c r="D379" s="34"/>
      <c r="E379" s="34"/>
      <c r="F379" s="33"/>
    </row>
    <row r="380" spans="1:6" ht="15" customHeight="1" x14ac:dyDescent="0.3">
      <c r="A380" s="33"/>
      <c r="D380" s="34"/>
      <c r="E380" s="34"/>
      <c r="F380" s="33"/>
    </row>
    <row r="381" spans="1:6" ht="15" customHeight="1" x14ac:dyDescent="0.3">
      <c r="A381" s="33"/>
      <c r="D381" s="34"/>
      <c r="E381" s="34"/>
      <c r="F381" s="33"/>
    </row>
    <row r="382" spans="1:6" ht="15" customHeight="1" x14ac:dyDescent="0.3">
      <c r="A382" s="33"/>
      <c r="D382" s="34"/>
      <c r="E382" s="34"/>
      <c r="F382" s="33"/>
    </row>
    <row r="383" spans="1:6" ht="15" customHeight="1" x14ac:dyDescent="0.3">
      <c r="A383" s="33"/>
      <c r="D383" s="34"/>
      <c r="E383" s="34"/>
      <c r="F383" s="33"/>
    </row>
    <row r="384" spans="1:6" ht="15" customHeight="1" x14ac:dyDescent="0.3">
      <c r="A384" s="33"/>
      <c r="D384" s="34"/>
      <c r="E384" s="34"/>
      <c r="F384" s="33"/>
    </row>
    <row r="385" spans="1:6" ht="15" customHeight="1" x14ac:dyDescent="0.3">
      <c r="A385" s="33"/>
      <c r="D385" s="34"/>
      <c r="E385" s="34"/>
      <c r="F385" s="33"/>
    </row>
    <row r="386" spans="1:6" ht="15" customHeight="1" x14ac:dyDescent="0.3">
      <c r="A386" s="33"/>
      <c r="D386" s="34"/>
      <c r="E386" s="34"/>
      <c r="F386" s="33"/>
    </row>
    <row r="387" spans="1:6" ht="15" customHeight="1" x14ac:dyDescent="0.3">
      <c r="A387" s="33"/>
      <c r="D387" s="34"/>
      <c r="E387" s="34"/>
      <c r="F387" s="33"/>
    </row>
    <row r="388" spans="1:6" ht="15" customHeight="1" x14ac:dyDescent="0.3">
      <c r="A388" s="33"/>
      <c r="D388" s="34"/>
      <c r="E388" s="34"/>
      <c r="F388" s="33"/>
    </row>
    <row r="389" spans="1:6" ht="15" customHeight="1" x14ac:dyDescent="0.3">
      <c r="A389" s="33"/>
      <c r="D389" s="34"/>
      <c r="E389" s="34"/>
      <c r="F389" s="33"/>
    </row>
    <row r="390" spans="1:6" ht="15" customHeight="1" x14ac:dyDescent="0.3">
      <c r="A390" s="33"/>
      <c r="D390" s="34"/>
      <c r="E390" s="34"/>
      <c r="F390" s="33"/>
    </row>
    <row r="391" spans="1:6" ht="15" customHeight="1" x14ac:dyDescent="0.3">
      <c r="A391" s="33"/>
      <c r="D391" s="34"/>
      <c r="E391" s="34"/>
      <c r="F391" s="33"/>
    </row>
    <row r="392" spans="1:6" ht="15" customHeight="1" x14ac:dyDescent="0.3">
      <c r="A392" s="33"/>
      <c r="D392" s="34"/>
      <c r="E392" s="34"/>
      <c r="F392" s="33"/>
    </row>
    <row r="393" spans="1:6" ht="15" customHeight="1" x14ac:dyDescent="0.3">
      <c r="A393" s="33"/>
      <c r="D393" s="34"/>
      <c r="E393" s="34"/>
      <c r="F393" s="33"/>
    </row>
    <row r="394" spans="1:6" ht="15" customHeight="1" x14ac:dyDescent="0.3">
      <c r="A394" s="33"/>
      <c r="D394" s="34"/>
      <c r="E394" s="34"/>
      <c r="F394" s="33"/>
    </row>
    <row r="395" spans="1:6" ht="15" customHeight="1" x14ac:dyDescent="0.3">
      <c r="A395" s="33"/>
      <c r="D395" s="34"/>
      <c r="E395" s="34"/>
      <c r="F395" s="33"/>
    </row>
    <row r="396" spans="1:6" ht="15" customHeight="1" x14ac:dyDescent="0.3">
      <c r="A396" s="33"/>
      <c r="D396" s="34"/>
      <c r="E396" s="34"/>
      <c r="F396" s="33"/>
    </row>
    <row r="397" spans="1:6" ht="15" customHeight="1" x14ac:dyDescent="0.3">
      <c r="A397" s="33"/>
      <c r="D397" s="34"/>
      <c r="E397" s="34"/>
      <c r="F397" s="33"/>
    </row>
    <row r="398" spans="1:6" ht="15" customHeight="1" x14ac:dyDescent="0.3">
      <c r="A398" s="33"/>
      <c r="D398" s="34"/>
      <c r="E398" s="34"/>
      <c r="F398" s="33"/>
    </row>
    <row r="399" spans="1:6" ht="15" customHeight="1" x14ac:dyDescent="0.3">
      <c r="A399" s="33"/>
      <c r="D399" s="34"/>
      <c r="E399" s="34"/>
      <c r="F399" s="33"/>
    </row>
    <row r="400" spans="1:6" ht="15" customHeight="1" x14ac:dyDescent="0.3">
      <c r="A400" s="33"/>
      <c r="D400" s="34"/>
      <c r="E400" s="34"/>
      <c r="F400" s="33"/>
    </row>
    <row r="401" spans="1:6" ht="15" customHeight="1" x14ac:dyDescent="0.3">
      <c r="A401" s="33"/>
      <c r="D401" s="34"/>
      <c r="E401" s="34"/>
      <c r="F401" s="33"/>
    </row>
    <row r="402" spans="1:6" ht="15" customHeight="1" x14ac:dyDescent="0.3">
      <c r="A402" s="33"/>
      <c r="D402" s="34"/>
      <c r="E402" s="34"/>
      <c r="F402" s="33"/>
    </row>
    <row r="403" spans="1:6" ht="15" customHeight="1" x14ac:dyDescent="0.3">
      <c r="A403" s="33"/>
      <c r="D403" s="34"/>
      <c r="E403" s="34"/>
      <c r="F403" s="33"/>
    </row>
    <row r="404" spans="1:6" ht="15" customHeight="1" x14ac:dyDescent="0.3">
      <c r="A404" s="33"/>
      <c r="D404" s="34"/>
      <c r="E404" s="34"/>
      <c r="F404" s="33"/>
    </row>
    <row r="405" spans="1:6" ht="15" customHeight="1" x14ac:dyDescent="0.3">
      <c r="A405" s="33"/>
      <c r="D405" s="34"/>
      <c r="E405" s="34"/>
      <c r="F405" s="33"/>
    </row>
    <row r="406" spans="1:6" ht="15" customHeight="1" x14ac:dyDescent="0.3">
      <c r="A406" s="33"/>
      <c r="D406" s="34"/>
      <c r="E406" s="34"/>
      <c r="F406" s="33"/>
    </row>
    <row r="407" spans="1:6" ht="15" customHeight="1" x14ac:dyDescent="0.3">
      <c r="A407" s="33"/>
      <c r="D407" s="34"/>
      <c r="E407" s="34"/>
      <c r="F407" s="33"/>
    </row>
    <row r="408" spans="1:6" ht="15" customHeight="1" x14ac:dyDescent="0.3">
      <c r="A408" s="33"/>
      <c r="D408" s="34"/>
      <c r="E408" s="34"/>
      <c r="F408" s="33"/>
    </row>
    <row r="409" spans="1:6" ht="15" customHeight="1" x14ac:dyDescent="0.3">
      <c r="A409" s="33"/>
      <c r="D409" s="34"/>
      <c r="E409" s="34"/>
      <c r="F409" s="33"/>
    </row>
    <row r="410" spans="1:6" ht="15" customHeight="1" x14ac:dyDescent="0.3">
      <c r="A410" s="33"/>
      <c r="D410" s="34"/>
      <c r="E410" s="34"/>
      <c r="F410" s="33"/>
    </row>
    <row r="411" spans="1:6" ht="15" customHeight="1" x14ac:dyDescent="0.3">
      <c r="A411" s="33"/>
      <c r="D411" s="34"/>
      <c r="E411" s="34"/>
      <c r="F411" s="33"/>
    </row>
    <row r="412" spans="1:6" ht="15" customHeight="1" x14ac:dyDescent="0.3">
      <c r="A412" s="33"/>
      <c r="D412" s="34"/>
      <c r="E412" s="34"/>
      <c r="F412" s="33"/>
    </row>
    <row r="413" spans="1:6" ht="15" customHeight="1" x14ac:dyDescent="0.3">
      <c r="A413" s="33"/>
      <c r="D413" s="34"/>
      <c r="E413" s="34"/>
      <c r="F413" s="33"/>
    </row>
    <row r="414" spans="1:6" ht="15" customHeight="1" x14ac:dyDescent="0.3">
      <c r="A414" s="33"/>
      <c r="D414" s="34"/>
      <c r="E414" s="34"/>
      <c r="F414" s="33"/>
    </row>
    <row r="415" spans="1:6" ht="15" customHeight="1" x14ac:dyDescent="0.3">
      <c r="A415" s="33"/>
      <c r="D415" s="34"/>
      <c r="E415" s="34"/>
      <c r="F415" s="33"/>
    </row>
    <row r="416" spans="1:6" ht="15" customHeight="1" x14ac:dyDescent="0.3">
      <c r="A416" s="33"/>
      <c r="D416" s="34"/>
      <c r="E416" s="34"/>
      <c r="F416" s="33"/>
    </row>
    <row r="417" spans="1:6" ht="15" customHeight="1" x14ac:dyDescent="0.3">
      <c r="A417" s="33"/>
      <c r="D417" s="34"/>
      <c r="E417" s="34"/>
      <c r="F417" s="33"/>
    </row>
    <row r="418" spans="1:6" ht="15" customHeight="1" x14ac:dyDescent="0.3">
      <c r="A418" s="33"/>
      <c r="D418" s="34"/>
      <c r="E418" s="34"/>
      <c r="F418" s="33"/>
    </row>
    <row r="419" spans="1:6" ht="15" customHeight="1" x14ac:dyDescent="0.3">
      <c r="A419" s="33"/>
      <c r="D419" s="34"/>
      <c r="E419" s="34"/>
      <c r="F419" s="33"/>
    </row>
    <row r="420" spans="1:6" ht="15" customHeight="1" x14ac:dyDescent="0.3">
      <c r="A420" s="33"/>
      <c r="D420" s="34"/>
      <c r="E420" s="34"/>
      <c r="F420" s="33"/>
    </row>
    <row r="421" spans="1:6" ht="15" customHeight="1" x14ac:dyDescent="0.3">
      <c r="A421" s="33"/>
      <c r="D421" s="34"/>
      <c r="E421" s="34"/>
      <c r="F421" s="33"/>
    </row>
    <row r="422" spans="1:6" ht="15" customHeight="1" x14ac:dyDescent="0.3">
      <c r="A422" s="33"/>
      <c r="D422" s="34"/>
      <c r="E422" s="34"/>
      <c r="F422" s="33"/>
    </row>
    <row r="423" spans="1:6" ht="15" customHeight="1" x14ac:dyDescent="0.3">
      <c r="A423" s="33"/>
      <c r="D423" s="34"/>
      <c r="E423" s="34"/>
      <c r="F423" s="33"/>
    </row>
    <row r="424" spans="1:6" ht="15" customHeight="1" x14ac:dyDescent="0.3">
      <c r="A424" s="33"/>
      <c r="D424" s="34"/>
      <c r="E424" s="34"/>
      <c r="F424" s="33"/>
    </row>
    <row r="425" spans="1:6" ht="15" customHeight="1" x14ac:dyDescent="0.3">
      <c r="A425" s="33"/>
      <c r="D425" s="34"/>
      <c r="E425" s="34"/>
      <c r="F425" s="33"/>
    </row>
    <row r="426" spans="1:6" ht="15" customHeight="1" x14ac:dyDescent="0.3">
      <c r="A426" s="33"/>
      <c r="D426" s="34"/>
      <c r="E426" s="34"/>
      <c r="F426" s="33"/>
    </row>
    <row r="427" spans="1:6" ht="15" customHeight="1" x14ac:dyDescent="0.3">
      <c r="A427" s="33"/>
      <c r="D427" s="34"/>
      <c r="E427" s="34"/>
      <c r="F427" s="33"/>
    </row>
    <row r="428" spans="1:6" ht="15" customHeight="1" x14ac:dyDescent="0.3">
      <c r="A428" s="33"/>
      <c r="D428" s="34"/>
      <c r="E428" s="34"/>
      <c r="F428" s="33"/>
    </row>
    <row r="429" spans="1:6" ht="15" customHeight="1" x14ac:dyDescent="0.3">
      <c r="A429" s="33"/>
      <c r="D429" s="34"/>
      <c r="E429" s="34"/>
      <c r="F429" s="33"/>
    </row>
    <row r="430" spans="1:6" ht="15" customHeight="1" x14ac:dyDescent="0.3">
      <c r="A430" s="33"/>
      <c r="D430" s="34"/>
      <c r="E430" s="34"/>
      <c r="F430" s="33"/>
    </row>
    <row r="431" spans="1:6" ht="15" customHeight="1" x14ac:dyDescent="0.3">
      <c r="A431" s="33"/>
      <c r="D431" s="34"/>
      <c r="E431" s="34"/>
      <c r="F431" s="33"/>
    </row>
    <row r="432" spans="1:6" ht="15" customHeight="1" x14ac:dyDescent="0.3">
      <c r="A432" s="33"/>
      <c r="D432" s="34"/>
      <c r="E432" s="34"/>
      <c r="F432" s="33"/>
    </row>
    <row r="433" spans="1:6" ht="15" customHeight="1" x14ac:dyDescent="0.3">
      <c r="A433" s="33"/>
      <c r="D433" s="34"/>
      <c r="E433" s="34"/>
      <c r="F433" s="33"/>
    </row>
    <row r="434" spans="1:6" ht="15" customHeight="1" x14ac:dyDescent="0.3">
      <c r="A434" s="33"/>
      <c r="D434" s="34"/>
      <c r="E434" s="34"/>
      <c r="F434" s="33"/>
    </row>
    <row r="435" spans="1:6" ht="15" customHeight="1" x14ac:dyDescent="0.3">
      <c r="A435" s="33"/>
      <c r="D435" s="34"/>
      <c r="E435" s="34"/>
      <c r="F435" s="33"/>
    </row>
    <row r="436" spans="1:6" ht="15" customHeight="1" x14ac:dyDescent="0.3">
      <c r="A436" s="33"/>
      <c r="D436" s="34"/>
      <c r="E436" s="34"/>
      <c r="F436" s="33"/>
    </row>
    <row r="437" spans="1:6" ht="15" customHeight="1" x14ac:dyDescent="0.3">
      <c r="A437" s="33"/>
      <c r="D437" s="34"/>
      <c r="E437" s="34"/>
      <c r="F437" s="33"/>
    </row>
    <row r="438" spans="1:6" ht="15" customHeight="1" x14ac:dyDescent="0.3">
      <c r="A438" s="33"/>
      <c r="D438" s="34"/>
      <c r="E438" s="34"/>
      <c r="F438" s="33"/>
    </row>
    <row r="439" spans="1:6" ht="15" customHeight="1" x14ac:dyDescent="0.3">
      <c r="A439" s="33"/>
      <c r="D439" s="34"/>
      <c r="E439" s="34"/>
      <c r="F439" s="33"/>
    </row>
    <row r="440" spans="1:6" ht="15" customHeight="1" x14ac:dyDescent="0.3">
      <c r="A440" s="33"/>
      <c r="D440" s="34"/>
      <c r="E440" s="34"/>
      <c r="F440" s="33"/>
    </row>
    <row r="441" spans="1:6" ht="15" customHeight="1" x14ac:dyDescent="0.3">
      <c r="A441" s="33"/>
      <c r="D441" s="34"/>
      <c r="E441" s="34"/>
      <c r="F441" s="33"/>
    </row>
    <row r="442" spans="1:6" ht="15" customHeight="1" x14ac:dyDescent="0.3">
      <c r="A442" s="33"/>
      <c r="D442" s="34"/>
      <c r="E442" s="34"/>
      <c r="F442" s="33"/>
    </row>
    <row r="443" spans="1:6" ht="15" customHeight="1" x14ac:dyDescent="0.3">
      <c r="A443" s="33"/>
      <c r="D443" s="34"/>
      <c r="E443" s="34"/>
      <c r="F443" s="33"/>
    </row>
    <row r="444" spans="1:6" ht="15" customHeight="1" x14ac:dyDescent="0.3">
      <c r="A444" s="33"/>
      <c r="D444" s="34"/>
      <c r="E444" s="34"/>
      <c r="F444" s="33"/>
    </row>
    <row r="445" spans="1:6" ht="15" customHeight="1" x14ac:dyDescent="0.3">
      <c r="A445" s="33"/>
      <c r="D445" s="34"/>
      <c r="E445" s="34"/>
      <c r="F445" s="33"/>
    </row>
    <row r="446" spans="1:6" ht="15" customHeight="1" x14ac:dyDescent="0.3">
      <c r="A446" s="33"/>
      <c r="D446" s="34"/>
      <c r="E446" s="34"/>
      <c r="F446" s="33"/>
    </row>
    <row r="447" spans="1:6" ht="15" customHeight="1" x14ac:dyDescent="0.3">
      <c r="A447" s="33"/>
      <c r="D447" s="34"/>
      <c r="E447" s="34"/>
      <c r="F447" s="33"/>
    </row>
    <row r="448" spans="1:6" ht="15" customHeight="1" x14ac:dyDescent="0.3">
      <c r="A448" s="33"/>
      <c r="D448" s="34"/>
      <c r="E448" s="34"/>
      <c r="F448" s="33"/>
    </row>
    <row r="449" spans="1:6" ht="15" customHeight="1" x14ac:dyDescent="0.3">
      <c r="A449" s="33"/>
      <c r="D449" s="34"/>
      <c r="E449" s="34"/>
      <c r="F449" s="33"/>
    </row>
    <row r="450" spans="1:6" ht="15" customHeight="1" x14ac:dyDescent="0.3">
      <c r="A450" s="33"/>
      <c r="D450" s="34"/>
      <c r="E450" s="34"/>
      <c r="F450" s="33"/>
    </row>
    <row r="451" spans="1:6" ht="15" customHeight="1" x14ac:dyDescent="0.3">
      <c r="A451" s="33"/>
      <c r="D451" s="34"/>
      <c r="E451" s="34"/>
      <c r="F451" s="33"/>
    </row>
    <row r="452" spans="1:6" ht="15" customHeight="1" x14ac:dyDescent="0.3">
      <c r="A452" s="33"/>
      <c r="D452" s="34"/>
      <c r="E452" s="34"/>
      <c r="F452" s="33"/>
    </row>
    <row r="453" spans="1:6" ht="15" customHeight="1" x14ac:dyDescent="0.3">
      <c r="A453" s="33"/>
      <c r="D453" s="34"/>
      <c r="E453" s="34"/>
      <c r="F453" s="33"/>
    </row>
    <row r="454" spans="1:6" ht="15" customHeight="1" x14ac:dyDescent="0.3">
      <c r="A454" s="33"/>
      <c r="D454" s="34"/>
      <c r="E454" s="34"/>
      <c r="F454" s="33"/>
    </row>
    <row r="455" spans="1:6" ht="15" customHeight="1" x14ac:dyDescent="0.3">
      <c r="A455" s="33"/>
      <c r="D455" s="34"/>
      <c r="E455" s="34"/>
      <c r="F455" s="33"/>
    </row>
    <row r="456" spans="1:6" ht="15" customHeight="1" x14ac:dyDescent="0.3">
      <c r="A456" s="33"/>
      <c r="D456" s="34"/>
      <c r="E456" s="34"/>
      <c r="F456" s="33"/>
    </row>
    <row r="457" spans="1:6" ht="15" customHeight="1" x14ac:dyDescent="0.3">
      <c r="A457" s="33"/>
      <c r="D457" s="34"/>
      <c r="E457" s="34"/>
      <c r="F457" s="33"/>
    </row>
    <row r="458" spans="1:6" ht="15" customHeight="1" x14ac:dyDescent="0.3">
      <c r="A458" s="33"/>
      <c r="D458" s="34"/>
      <c r="E458" s="34"/>
      <c r="F458" s="33"/>
    </row>
    <row r="459" spans="1:6" ht="15" customHeight="1" x14ac:dyDescent="0.3">
      <c r="A459" s="33"/>
      <c r="D459" s="34"/>
      <c r="E459" s="34"/>
      <c r="F459" s="33"/>
    </row>
    <row r="460" spans="1:6" ht="15" customHeight="1" x14ac:dyDescent="0.3">
      <c r="A460" s="33"/>
      <c r="D460" s="34"/>
      <c r="E460" s="34"/>
      <c r="F460" s="33"/>
    </row>
    <row r="461" spans="1:6" ht="15" customHeight="1" x14ac:dyDescent="0.3">
      <c r="A461" s="33"/>
      <c r="D461" s="34"/>
      <c r="E461" s="34"/>
      <c r="F461" s="33"/>
    </row>
    <row r="462" spans="1:6" ht="15" customHeight="1" x14ac:dyDescent="0.3">
      <c r="A462" s="33"/>
      <c r="D462" s="34"/>
      <c r="E462" s="34"/>
      <c r="F462" s="33"/>
    </row>
    <row r="463" spans="1:6" ht="15" customHeight="1" x14ac:dyDescent="0.3">
      <c r="A463" s="33"/>
      <c r="D463" s="34"/>
      <c r="E463" s="34"/>
      <c r="F463" s="33"/>
    </row>
    <row r="464" spans="1:6" ht="15" customHeight="1" x14ac:dyDescent="0.3">
      <c r="A464" s="33"/>
      <c r="D464" s="34"/>
      <c r="E464" s="34"/>
      <c r="F464" s="33"/>
    </row>
    <row r="465" spans="1:6" ht="15" customHeight="1" x14ac:dyDescent="0.3">
      <c r="A465" s="33"/>
      <c r="D465" s="34"/>
      <c r="E465" s="34"/>
      <c r="F465" s="33"/>
    </row>
    <row r="466" spans="1:6" ht="15" customHeight="1" x14ac:dyDescent="0.3">
      <c r="A466" s="33"/>
      <c r="D466" s="34"/>
      <c r="E466" s="34"/>
      <c r="F466" s="33"/>
    </row>
    <row r="467" spans="1:6" ht="15" customHeight="1" x14ac:dyDescent="0.3">
      <c r="A467" s="33"/>
      <c r="D467" s="34"/>
      <c r="E467" s="34"/>
      <c r="F467" s="33"/>
    </row>
    <row r="468" spans="1:6" ht="15" customHeight="1" x14ac:dyDescent="0.3">
      <c r="A468" s="33"/>
      <c r="D468" s="34"/>
      <c r="E468" s="34"/>
      <c r="F468" s="33"/>
    </row>
    <row r="469" spans="1:6" ht="15" customHeight="1" x14ac:dyDescent="0.3">
      <c r="A469" s="33"/>
      <c r="D469" s="34"/>
      <c r="E469" s="34"/>
      <c r="F469" s="33"/>
    </row>
    <row r="470" spans="1:6" ht="15" customHeight="1" x14ac:dyDescent="0.3">
      <c r="A470" s="33"/>
      <c r="D470" s="34"/>
      <c r="E470" s="34"/>
      <c r="F470" s="33"/>
    </row>
    <row r="471" spans="1:6" ht="15" customHeight="1" x14ac:dyDescent="0.3">
      <c r="A471" s="33"/>
      <c r="D471" s="34"/>
      <c r="E471" s="34"/>
      <c r="F471" s="33"/>
    </row>
    <row r="472" spans="1:6" ht="15" customHeight="1" x14ac:dyDescent="0.3">
      <c r="A472" s="33"/>
      <c r="D472" s="34"/>
      <c r="E472" s="34"/>
      <c r="F472" s="33"/>
    </row>
    <row r="473" spans="1:6" ht="15" customHeight="1" x14ac:dyDescent="0.3">
      <c r="A473" s="33"/>
      <c r="D473" s="34"/>
      <c r="E473" s="34"/>
      <c r="F473" s="33"/>
    </row>
    <row r="474" spans="1:6" ht="15" customHeight="1" x14ac:dyDescent="0.3">
      <c r="A474" s="33"/>
      <c r="D474" s="34"/>
      <c r="E474" s="34"/>
      <c r="F474" s="33"/>
    </row>
    <row r="475" spans="1:6" ht="15" customHeight="1" x14ac:dyDescent="0.3">
      <c r="A475" s="33"/>
      <c r="D475" s="34"/>
      <c r="E475" s="34"/>
      <c r="F475" s="33"/>
    </row>
    <row r="476" spans="1:6" ht="15" customHeight="1" x14ac:dyDescent="0.3">
      <c r="A476" s="33"/>
      <c r="D476" s="34"/>
      <c r="E476" s="34"/>
      <c r="F476" s="33"/>
    </row>
    <row r="477" spans="1:6" ht="15" customHeight="1" x14ac:dyDescent="0.3">
      <c r="A477" s="33"/>
      <c r="D477" s="34"/>
      <c r="E477" s="34"/>
      <c r="F477" s="33"/>
    </row>
    <row r="478" spans="1:6" ht="15" customHeight="1" x14ac:dyDescent="0.3">
      <c r="A478" s="33"/>
      <c r="D478" s="34"/>
      <c r="E478" s="34"/>
      <c r="F478" s="33"/>
    </row>
    <row r="479" spans="1:6" ht="15" customHeight="1" x14ac:dyDescent="0.3">
      <c r="A479" s="33"/>
      <c r="D479" s="34"/>
      <c r="E479" s="34"/>
      <c r="F479" s="33"/>
    </row>
    <row r="480" spans="1:6" ht="15" customHeight="1" x14ac:dyDescent="0.3">
      <c r="A480" s="33"/>
      <c r="D480" s="34"/>
      <c r="E480" s="34"/>
      <c r="F480" s="33"/>
    </row>
    <row r="481" spans="1:6" ht="15" customHeight="1" x14ac:dyDescent="0.3">
      <c r="A481" s="33"/>
      <c r="D481" s="34"/>
      <c r="E481" s="34"/>
      <c r="F481" s="33"/>
    </row>
    <row r="482" spans="1:6" ht="15" customHeight="1" x14ac:dyDescent="0.3">
      <c r="A482" s="33"/>
      <c r="D482" s="34"/>
      <c r="E482" s="34"/>
      <c r="F482" s="33"/>
    </row>
    <row r="483" spans="1:6" ht="15" customHeight="1" x14ac:dyDescent="0.3">
      <c r="A483" s="33"/>
      <c r="D483" s="34"/>
      <c r="E483" s="34"/>
      <c r="F483" s="33"/>
    </row>
    <row r="484" spans="1:6" ht="15" customHeight="1" x14ac:dyDescent="0.3">
      <c r="A484" s="33"/>
      <c r="D484" s="34"/>
      <c r="E484" s="34"/>
      <c r="F484" s="33"/>
    </row>
    <row r="485" spans="1:6" ht="15" customHeight="1" x14ac:dyDescent="0.3">
      <c r="A485" s="33"/>
      <c r="D485" s="34"/>
      <c r="E485" s="34"/>
      <c r="F485" s="33"/>
    </row>
    <row r="486" spans="1:6" ht="15" customHeight="1" x14ac:dyDescent="0.3">
      <c r="A486" s="33"/>
      <c r="D486" s="34"/>
      <c r="E486" s="34"/>
      <c r="F486" s="33"/>
    </row>
    <row r="487" spans="1:6" ht="15" customHeight="1" x14ac:dyDescent="0.3">
      <c r="A487" s="33"/>
      <c r="D487" s="34"/>
      <c r="E487" s="34"/>
      <c r="F487" s="33"/>
    </row>
    <row r="488" spans="1:6" ht="15" customHeight="1" x14ac:dyDescent="0.3">
      <c r="A488" s="33"/>
      <c r="D488" s="34"/>
      <c r="E488" s="34"/>
      <c r="F488" s="33"/>
    </row>
    <row r="489" spans="1:6" ht="15" customHeight="1" x14ac:dyDescent="0.3">
      <c r="A489" s="33"/>
      <c r="D489" s="34"/>
      <c r="E489" s="34"/>
      <c r="F489" s="33"/>
    </row>
    <row r="490" spans="1:6" ht="15" customHeight="1" x14ac:dyDescent="0.3">
      <c r="A490" s="33"/>
      <c r="D490" s="34"/>
      <c r="E490" s="34"/>
      <c r="F490" s="33"/>
    </row>
    <row r="491" spans="1:6" ht="15" customHeight="1" x14ac:dyDescent="0.3">
      <c r="A491" s="33"/>
      <c r="D491" s="34"/>
      <c r="E491" s="34"/>
      <c r="F491" s="33"/>
    </row>
    <row r="492" spans="1:6" ht="15" customHeight="1" x14ac:dyDescent="0.3">
      <c r="A492" s="33"/>
      <c r="D492" s="34"/>
      <c r="E492" s="34"/>
      <c r="F492" s="33"/>
    </row>
    <row r="493" spans="1:6" ht="15" customHeight="1" x14ac:dyDescent="0.3">
      <c r="A493" s="33"/>
      <c r="D493" s="34"/>
      <c r="E493" s="34"/>
      <c r="F493" s="33"/>
    </row>
    <row r="494" spans="1:6" ht="15" customHeight="1" x14ac:dyDescent="0.3">
      <c r="A494" s="33"/>
      <c r="D494" s="34"/>
      <c r="E494" s="34"/>
      <c r="F494" s="33"/>
    </row>
    <row r="495" spans="1:6" ht="15" customHeight="1" x14ac:dyDescent="0.3">
      <c r="A495" s="33"/>
      <c r="D495" s="34"/>
      <c r="E495" s="34"/>
      <c r="F495" s="33"/>
    </row>
    <row r="496" spans="1:6" ht="15" customHeight="1" x14ac:dyDescent="0.3">
      <c r="A496" s="33"/>
      <c r="D496" s="34"/>
      <c r="E496" s="34"/>
      <c r="F496" s="33"/>
    </row>
    <row r="497" spans="1:6" ht="15" customHeight="1" x14ac:dyDescent="0.3">
      <c r="A497" s="33"/>
      <c r="D497" s="34"/>
      <c r="E497" s="34"/>
      <c r="F497" s="33"/>
    </row>
    <row r="498" spans="1:6" ht="15" customHeight="1" x14ac:dyDescent="0.3">
      <c r="A498" s="33"/>
      <c r="D498" s="34"/>
      <c r="E498" s="34"/>
      <c r="F498" s="33"/>
    </row>
    <row r="499" spans="1:6" ht="15" customHeight="1" x14ac:dyDescent="0.3">
      <c r="A499" s="33"/>
      <c r="D499" s="34"/>
      <c r="E499" s="34"/>
      <c r="F499" s="33"/>
    </row>
    <row r="500" spans="1:6" ht="15" customHeight="1" x14ac:dyDescent="0.3">
      <c r="A500" s="33"/>
      <c r="D500" s="34"/>
      <c r="E500" s="34"/>
      <c r="F500" s="33"/>
    </row>
    <row r="501" spans="1:6" ht="15" customHeight="1" x14ac:dyDescent="0.3">
      <c r="A501" s="33"/>
      <c r="D501" s="34"/>
      <c r="E501" s="34"/>
      <c r="F501" s="33"/>
    </row>
    <row r="502" spans="1:6" ht="15" customHeight="1" x14ac:dyDescent="0.3">
      <c r="A502" s="33"/>
      <c r="D502" s="34"/>
      <c r="E502" s="34"/>
      <c r="F502" s="33"/>
    </row>
    <row r="503" spans="1:6" ht="15" customHeight="1" x14ac:dyDescent="0.3">
      <c r="A503" s="33"/>
      <c r="D503" s="34"/>
      <c r="E503" s="34"/>
      <c r="F503" s="33"/>
    </row>
    <row r="504" spans="1:6" ht="15" customHeight="1" x14ac:dyDescent="0.3">
      <c r="A504" s="33"/>
      <c r="D504" s="34"/>
      <c r="E504" s="34"/>
      <c r="F504" s="33"/>
    </row>
    <row r="505" spans="1:6" ht="15" customHeight="1" x14ac:dyDescent="0.3">
      <c r="A505" s="33"/>
      <c r="D505" s="34"/>
      <c r="E505" s="34"/>
      <c r="F505" s="33"/>
    </row>
    <row r="506" spans="1:6" ht="15" customHeight="1" x14ac:dyDescent="0.3">
      <c r="A506" s="33"/>
      <c r="D506" s="34"/>
      <c r="E506" s="34"/>
      <c r="F506" s="33"/>
    </row>
    <row r="507" spans="1:6" ht="15" customHeight="1" x14ac:dyDescent="0.3">
      <c r="A507" s="33"/>
      <c r="D507" s="34"/>
      <c r="E507" s="34"/>
      <c r="F507" s="33"/>
    </row>
    <row r="508" spans="1:6" ht="15" customHeight="1" x14ac:dyDescent="0.3">
      <c r="A508" s="33"/>
      <c r="D508" s="34"/>
      <c r="E508" s="34"/>
      <c r="F508" s="33"/>
    </row>
    <row r="509" spans="1:6" ht="15" customHeight="1" x14ac:dyDescent="0.3">
      <c r="A509" s="33"/>
      <c r="D509" s="34"/>
      <c r="E509" s="34"/>
      <c r="F509" s="33"/>
    </row>
    <row r="510" spans="1:6" ht="15" customHeight="1" x14ac:dyDescent="0.3">
      <c r="A510" s="33"/>
      <c r="D510" s="34"/>
      <c r="E510" s="34"/>
      <c r="F510" s="33"/>
    </row>
    <row r="511" spans="1:6" ht="15" customHeight="1" x14ac:dyDescent="0.3">
      <c r="A511" s="33"/>
      <c r="D511" s="34"/>
      <c r="E511" s="34"/>
      <c r="F511" s="33"/>
    </row>
    <row r="512" spans="1:6" ht="15" customHeight="1" x14ac:dyDescent="0.3">
      <c r="A512" s="33"/>
      <c r="D512" s="34"/>
      <c r="E512" s="34"/>
      <c r="F512" s="33"/>
    </row>
    <row r="513" spans="1:6" ht="15" customHeight="1" x14ac:dyDescent="0.3">
      <c r="A513" s="33"/>
      <c r="D513" s="34"/>
      <c r="E513" s="34"/>
      <c r="F513" s="33"/>
    </row>
    <row r="514" spans="1:6" ht="15" customHeight="1" x14ac:dyDescent="0.3">
      <c r="A514" s="33"/>
      <c r="D514" s="34"/>
      <c r="E514" s="34"/>
      <c r="F514" s="33"/>
    </row>
    <row r="515" spans="1:6" ht="15" customHeight="1" x14ac:dyDescent="0.3">
      <c r="A515" s="33"/>
      <c r="D515" s="34"/>
      <c r="E515" s="34"/>
      <c r="F515" s="33"/>
    </row>
    <row r="516" spans="1:6" ht="15" customHeight="1" x14ac:dyDescent="0.3">
      <c r="A516" s="33"/>
      <c r="D516" s="34"/>
      <c r="E516" s="34"/>
      <c r="F516" s="33"/>
    </row>
    <row r="517" spans="1:6" ht="15" customHeight="1" x14ac:dyDescent="0.3">
      <c r="A517" s="33"/>
      <c r="D517" s="34"/>
      <c r="E517" s="34"/>
      <c r="F517" s="33"/>
    </row>
    <row r="518" spans="1:6" ht="15" customHeight="1" x14ac:dyDescent="0.3">
      <c r="A518" s="33"/>
      <c r="D518" s="34"/>
      <c r="E518" s="34"/>
      <c r="F518" s="33"/>
    </row>
    <row r="519" spans="1:6" ht="15" customHeight="1" x14ac:dyDescent="0.3">
      <c r="A519" s="33"/>
      <c r="D519" s="34"/>
      <c r="E519" s="34"/>
      <c r="F519" s="33"/>
    </row>
    <row r="520" spans="1:6" ht="15" customHeight="1" x14ac:dyDescent="0.3">
      <c r="A520" s="33"/>
      <c r="D520" s="34"/>
      <c r="E520" s="34"/>
      <c r="F520" s="33"/>
    </row>
    <row r="521" spans="1:6" ht="15" customHeight="1" x14ac:dyDescent="0.3">
      <c r="A521" s="33"/>
      <c r="D521" s="34"/>
      <c r="E521" s="34"/>
      <c r="F521" s="33"/>
    </row>
    <row r="522" spans="1:6" ht="15" customHeight="1" x14ac:dyDescent="0.3">
      <c r="A522" s="33"/>
      <c r="D522" s="34"/>
      <c r="E522" s="34"/>
      <c r="F522" s="33"/>
    </row>
    <row r="523" spans="1:6" ht="15" customHeight="1" x14ac:dyDescent="0.3">
      <c r="A523" s="33"/>
      <c r="D523" s="34"/>
      <c r="E523" s="34"/>
      <c r="F523" s="33"/>
    </row>
    <row r="524" spans="1:6" ht="15" customHeight="1" x14ac:dyDescent="0.3">
      <c r="A524" s="33"/>
      <c r="D524" s="34"/>
      <c r="E524" s="34"/>
      <c r="F524" s="33"/>
    </row>
    <row r="525" spans="1:6" ht="15" customHeight="1" x14ac:dyDescent="0.3">
      <c r="A525" s="33"/>
      <c r="D525" s="34"/>
      <c r="E525" s="34"/>
      <c r="F525" s="33"/>
    </row>
    <row r="526" spans="1:6" ht="15" customHeight="1" x14ac:dyDescent="0.3">
      <c r="A526" s="33"/>
      <c r="D526" s="34"/>
      <c r="E526" s="34"/>
      <c r="F526" s="33"/>
    </row>
    <row r="527" spans="1:6" ht="15" customHeight="1" x14ac:dyDescent="0.3">
      <c r="A527" s="33"/>
      <c r="D527" s="34"/>
      <c r="E527" s="34"/>
      <c r="F527" s="33"/>
    </row>
    <row r="528" spans="1:6" ht="15" customHeight="1" x14ac:dyDescent="0.3">
      <c r="A528" s="33"/>
      <c r="D528" s="34"/>
      <c r="E528" s="34"/>
      <c r="F528" s="33"/>
    </row>
    <row r="529" spans="1:6" ht="15" customHeight="1" x14ac:dyDescent="0.3">
      <c r="A529" s="33"/>
      <c r="D529" s="34"/>
      <c r="E529" s="34"/>
      <c r="F529" s="33"/>
    </row>
    <row r="530" spans="1:6" ht="15" customHeight="1" x14ac:dyDescent="0.3">
      <c r="A530" s="33"/>
      <c r="D530" s="34"/>
      <c r="E530" s="34"/>
      <c r="F530" s="33"/>
    </row>
    <row r="531" spans="1:6" ht="15" customHeight="1" x14ac:dyDescent="0.3">
      <c r="A531" s="33"/>
      <c r="D531" s="34"/>
      <c r="E531" s="34"/>
      <c r="F531" s="33"/>
    </row>
    <row r="532" spans="1:6" ht="15" customHeight="1" x14ac:dyDescent="0.3">
      <c r="A532" s="33"/>
      <c r="D532" s="34"/>
      <c r="E532" s="34"/>
      <c r="F532" s="33"/>
    </row>
    <row r="533" spans="1:6" ht="15" customHeight="1" x14ac:dyDescent="0.3">
      <c r="A533" s="33"/>
      <c r="D533" s="34"/>
      <c r="E533" s="34"/>
      <c r="F533" s="33"/>
    </row>
    <row r="534" spans="1:6" ht="15" customHeight="1" x14ac:dyDescent="0.3">
      <c r="A534" s="33"/>
      <c r="D534" s="34"/>
      <c r="E534" s="34"/>
      <c r="F534" s="33"/>
    </row>
    <row r="535" spans="1:6" ht="15" customHeight="1" x14ac:dyDescent="0.3">
      <c r="A535" s="33"/>
      <c r="D535" s="34"/>
      <c r="E535" s="34"/>
      <c r="F535" s="33"/>
    </row>
    <row r="536" spans="1:6" ht="15" customHeight="1" x14ac:dyDescent="0.3">
      <c r="A536" s="33"/>
      <c r="D536" s="34"/>
      <c r="E536" s="34"/>
      <c r="F536" s="33"/>
    </row>
    <row r="537" spans="1:6" ht="15" customHeight="1" x14ac:dyDescent="0.3">
      <c r="A537" s="33"/>
      <c r="D537" s="34"/>
      <c r="E537" s="34"/>
      <c r="F537" s="33"/>
    </row>
    <row r="538" spans="1:6" ht="15" customHeight="1" x14ac:dyDescent="0.3">
      <c r="A538" s="33"/>
      <c r="D538" s="34"/>
      <c r="E538" s="34"/>
      <c r="F538" s="33"/>
    </row>
    <row r="539" spans="1:6" ht="15" customHeight="1" x14ac:dyDescent="0.3">
      <c r="A539" s="33"/>
      <c r="D539" s="34"/>
      <c r="E539" s="34"/>
      <c r="F539" s="33"/>
    </row>
    <row r="540" spans="1:6" ht="15" customHeight="1" x14ac:dyDescent="0.3">
      <c r="A540" s="33"/>
      <c r="D540" s="34"/>
      <c r="E540" s="34"/>
      <c r="F540" s="33"/>
    </row>
    <row r="541" spans="1:6" ht="15" customHeight="1" x14ac:dyDescent="0.3">
      <c r="A541" s="33"/>
      <c r="D541" s="34"/>
      <c r="E541" s="34"/>
      <c r="F541" s="33"/>
    </row>
    <row r="542" spans="1:6" ht="15" customHeight="1" x14ac:dyDescent="0.3">
      <c r="A542" s="33"/>
      <c r="D542" s="34"/>
      <c r="E542" s="34"/>
      <c r="F542" s="33"/>
    </row>
    <row r="543" spans="1:6" ht="15" customHeight="1" x14ac:dyDescent="0.3">
      <c r="A543" s="33"/>
      <c r="D543" s="34"/>
      <c r="E543" s="34"/>
      <c r="F543" s="33"/>
    </row>
    <row r="544" spans="1:6" ht="15" customHeight="1" x14ac:dyDescent="0.3">
      <c r="A544" s="33"/>
      <c r="D544" s="34"/>
      <c r="E544" s="34"/>
      <c r="F544" s="33"/>
    </row>
    <row r="545" spans="1:6" ht="15" customHeight="1" x14ac:dyDescent="0.3">
      <c r="A545" s="33"/>
      <c r="D545" s="34"/>
      <c r="E545" s="34"/>
      <c r="F545" s="33"/>
    </row>
    <row r="546" spans="1:6" ht="15" customHeight="1" x14ac:dyDescent="0.3">
      <c r="A546" s="33"/>
      <c r="D546" s="34"/>
      <c r="E546" s="34"/>
      <c r="F546" s="33"/>
    </row>
    <row r="547" spans="1:6" ht="15" customHeight="1" x14ac:dyDescent="0.3">
      <c r="A547" s="33"/>
      <c r="D547" s="34"/>
      <c r="E547" s="34"/>
      <c r="F547" s="33"/>
    </row>
    <row r="548" spans="1:6" ht="15" customHeight="1" x14ac:dyDescent="0.3">
      <c r="A548" s="33"/>
      <c r="D548" s="34"/>
      <c r="E548" s="34"/>
      <c r="F548" s="33"/>
    </row>
    <row r="549" spans="1:6" ht="15" customHeight="1" x14ac:dyDescent="0.3">
      <c r="A549" s="33"/>
      <c r="D549" s="34"/>
      <c r="E549" s="34"/>
      <c r="F549" s="33"/>
    </row>
    <row r="550" spans="1:6" ht="15" customHeight="1" x14ac:dyDescent="0.3">
      <c r="A550" s="33"/>
      <c r="D550" s="34"/>
      <c r="E550" s="34"/>
      <c r="F550" s="33"/>
    </row>
    <row r="551" spans="1:6" ht="15" customHeight="1" x14ac:dyDescent="0.3">
      <c r="A551" s="33"/>
      <c r="D551" s="34"/>
      <c r="E551" s="34"/>
      <c r="F551" s="33"/>
    </row>
    <row r="552" spans="1:6" ht="15" customHeight="1" x14ac:dyDescent="0.3">
      <c r="A552" s="33"/>
      <c r="D552" s="34"/>
      <c r="E552" s="34"/>
      <c r="F552" s="33"/>
    </row>
    <row r="553" spans="1:6" ht="15" customHeight="1" x14ac:dyDescent="0.3">
      <c r="A553" s="33"/>
      <c r="D553" s="34"/>
      <c r="E553" s="34"/>
      <c r="F553" s="33"/>
    </row>
    <row r="554" spans="1:6" ht="15" customHeight="1" x14ac:dyDescent="0.3">
      <c r="A554" s="33"/>
      <c r="D554" s="34"/>
      <c r="E554" s="34"/>
      <c r="F554" s="33"/>
    </row>
    <row r="555" spans="1:6" ht="15" customHeight="1" x14ac:dyDescent="0.3">
      <c r="A555" s="33"/>
      <c r="D555" s="34"/>
      <c r="E555" s="34"/>
      <c r="F555" s="33"/>
    </row>
    <row r="556" spans="1:6" ht="15" customHeight="1" x14ac:dyDescent="0.3">
      <c r="A556" s="33"/>
      <c r="D556" s="34"/>
      <c r="E556" s="34"/>
      <c r="F556" s="33"/>
    </row>
    <row r="557" spans="1:6" ht="15" customHeight="1" x14ac:dyDescent="0.3">
      <c r="A557" s="33"/>
      <c r="D557" s="34"/>
      <c r="E557" s="34"/>
      <c r="F557" s="33"/>
    </row>
    <row r="558" spans="1:6" ht="15" customHeight="1" x14ac:dyDescent="0.3">
      <c r="A558" s="33"/>
      <c r="D558" s="34"/>
      <c r="E558" s="34"/>
      <c r="F558" s="33"/>
    </row>
    <row r="559" spans="1:6" ht="15" customHeight="1" x14ac:dyDescent="0.3">
      <c r="A559" s="33"/>
      <c r="D559" s="34"/>
      <c r="E559" s="34"/>
      <c r="F559" s="33"/>
    </row>
    <row r="560" spans="1:6" ht="15" customHeight="1" x14ac:dyDescent="0.3">
      <c r="A560" s="33"/>
      <c r="D560" s="34"/>
      <c r="E560" s="34"/>
      <c r="F560" s="33"/>
    </row>
    <row r="561" spans="1:6" ht="15" customHeight="1" x14ac:dyDescent="0.3">
      <c r="A561" s="33"/>
      <c r="D561" s="34"/>
      <c r="E561" s="34"/>
      <c r="F561" s="33"/>
    </row>
    <row r="562" spans="1:6" ht="15" customHeight="1" x14ac:dyDescent="0.3">
      <c r="A562" s="33"/>
      <c r="D562" s="34"/>
      <c r="E562" s="34"/>
      <c r="F562" s="33"/>
    </row>
    <row r="563" spans="1:6" ht="15" customHeight="1" x14ac:dyDescent="0.3">
      <c r="A563" s="33"/>
      <c r="D563" s="34"/>
      <c r="E563" s="34"/>
      <c r="F563" s="33"/>
    </row>
    <row r="564" spans="1:6" ht="15" customHeight="1" x14ac:dyDescent="0.3">
      <c r="A564" s="33"/>
      <c r="D564" s="34"/>
      <c r="E564" s="34"/>
      <c r="F564" s="33"/>
    </row>
    <row r="565" spans="1:6" ht="15" customHeight="1" x14ac:dyDescent="0.3">
      <c r="A565" s="33"/>
      <c r="D565" s="34"/>
      <c r="E565" s="34"/>
      <c r="F565" s="33"/>
    </row>
    <row r="566" spans="1:6" ht="15" customHeight="1" x14ac:dyDescent="0.3">
      <c r="A566" s="33"/>
      <c r="D566" s="34"/>
      <c r="E566" s="34"/>
      <c r="F566" s="33"/>
    </row>
    <row r="567" spans="1:6" ht="15" customHeight="1" x14ac:dyDescent="0.3">
      <c r="A567" s="33"/>
      <c r="D567" s="34"/>
      <c r="E567" s="34"/>
      <c r="F567" s="33"/>
    </row>
    <row r="568" spans="1:6" ht="15" customHeight="1" x14ac:dyDescent="0.3">
      <c r="A568" s="33"/>
      <c r="D568" s="34"/>
      <c r="E568" s="34"/>
      <c r="F568" s="33"/>
    </row>
    <row r="569" spans="1:6" ht="15" customHeight="1" x14ac:dyDescent="0.3">
      <c r="A569" s="33"/>
      <c r="D569" s="34"/>
      <c r="E569" s="34"/>
      <c r="F569" s="33"/>
    </row>
    <row r="570" spans="1:6" ht="15" customHeight="1" x14ac:dyDescent="0.3">
      <c r="A570" s="33"/>
      <c r="D570" s="34"/>
      <c r="E570" s="34"/>
      <c r="F570" s="33"/>
    </row>
    <row r="571" spans="1:6" ht="15" customHeight="1" x14ac:dyDescent="0.3">
      <c r="A571" s="33"/>
      <c r="D571" s="34"/>
      <c r="E571" s="34"/>
      <c r="F571" s="33"/>
    </row>
    <row r="572" spans="1:6" ht="15" customHeight="1" x14ac:dyDescent="0.3">
      <c r="A572" s="33"/>
      <c r="D572" s="34"/>
      <c r="E572" s="34"/>
      <c r="F572" s="33"/>
    </row>
    <row r="573" spans="1:6" ht="15" customHeight="1" x14ac:dyDescent="0.3">
      <c r="A573" s="33"/>
      <c r="D573" s="34"/>
      <c r="E573" s="34"/>
      <c r="F573" s="33"/>
    </row>
    <row r="574" spans="1:6" ht="15" customHeight="1" x14ac:dyDescent="0.3">
      <c r="A574" s="33"/>
      <c r="D574" s="34"/>
      <c r="E574" s="34"/>
      <c r="F574" s="33"/>
    </row>
    <row r="575" spans="1:6" ht="15" customHeight="1" x14ac:dyDescent="0.3">
      <c r="A575" s="33"/>
      <c r="D575" s="34"/>
      <c r="E575" s="34"/>
      <c r="F575" s="33"/>
    </row>
    <row r="576" spans="1:6" ht="15" customHeight="1" x14ac:dyDescent="0.3">
      <c r="A576" s="33"/>
      <c r="D576" s="34"/>
      <c r="E576" s="34"/>
      <c r="F576" s="33"/>
    </row>
    <row r="577" spans="1:6" ht="15" customHeight="1" x14ac:dyDescent="0.3">
      <c r="A577" s="33"/>
      <c r="D577" s="34"/>
      <c r="E577" s="34"/>
      <c r="F577" s="33"/>
    </row>
    <row r="578" spans="1:6" ht="15" customHeight="1" x14ac:dyDescent="0.3">
      <c r="A578" s="33"/>
      <c r="D578" s="34"/>
      <c r="E578" s="34"/>
      <c r="F578" s="33"/>
    </row>
    <row r="579" spans="1:6" ht="15" customHeight="1" x14ac:dyDescent="0.3">
      <c r="A579" s="33"/>
      <c r="D579" s="34"/>
      <c r="E579" s="34"/>
      <c r="F579" s="33"/>
    </row>
    <row r="580" spans="1:6" ht="15" customHeight="1" x14ac:dyDescent="0.3">
      <c r="A580" s="33"/>
      <c r="D580" s="34"/>
      <c r="E580" s="34"/>
      <c r="F580" s="33"/>
    </row>
    <row r="581" spans="1:6" ht="15" customHeight="1" x14ac:dyDescent="0.3">
      <c r="A581" s="33"/>
      <c r="D581" s="34"/>
      <c r="E581" s="34"/>
      <c r="F581" s="33"/>
    </row>
    <row r="582" spans="1:6" ht="15" customHeight="1" x14ac:dyDescent="0.3">
      <c r="A582" s="33"/>
      <c r="D582" s="34"/>
      <c r="E582" s="34"/>
      <c r="F582" s="33"/>
    </row>
    <row r="583" spans="1:6" ht="15" customHeight="1" x14ac:dyDescent="0.3">
      <c r="A583" s="33"/>
      <c r="D583" s="34"/>
      <c r="E583" s="34"/>
      <c r="F583" s="33"/>
    </row>
    <row r="584" spans="1:6" ht="15" customHeight="1" x14ac:dyDescent="0.3">
      <c r="A584" s="33"/>
      <c r="D584" s="34"/>
      <c r="E584" s="34"/>
      <c r="F584" s="33"/>
    </row>
    <row r="585" spans="1:6" ht="15" customHeight="1" x14ac:dyDescent="0.3">
      <c r="A585" s="33"/>
      <c r="D585" s="34"/>
      <c r="E585" s="34"/>
      <c r="F585" s="33"/>
    </row>
    <row r="586" spans="1:6" ht="15" customHeight="1" x14ac:dyDescent="0.3">
      <c r="A586" s="33"/>
      <c r="D586" s="34"/>
      <c r="E586" s="34"/>
      <c r="F586" s="33"/>
    </row>
    <row r="587" spans="1:6" ht="15" customHeight="1" x14ac:dyDescent="0.3">
      <c r="A587" s="33"/>
      <c r="D587" s="34"/>
      <c r="E587" s="34"/>
      <c r="F587" s="33"/>
    </row>
    <row r="588" spans="1:6" ht="15" customHeight="1" x14ac:dyDescent="0.3">
      <c r="A588" s="33"/>
      <c r="D588" s="34"/>
      <c r="E588" s="34"/>
      <c r="F588" s="33"/>
    </row>
    <row r="589" spans="1:6" ht="15" customHeight="1" x14ac:dyDescent="0.3">
      <c r="A589" s="33"/>
      <c r="D589" s="34"/>
      <c r="E589" s="34"/>
      <c r="F589" s="33"/>
    </row>
    <row r="590" spans="1:6" ht="15" customHeight="1" x14ac:dyDescent="0.3">
      <c r="A590" s="33"/>
      <c r="D590" s="34"/>
      <c r="E590" s="34"/>
      <c r="F590" s="33"/>
    </row>
    <row r="591" spans="1:6" ht="15" customHeight="1" x14ac:dyDescent="0.3">
      <c r="A591" s="33"/>
      <c r="D591" s="34"/>
      <c r="E591" s="34"/>
      <c r="F591" s="33"/>
    </row>
    <row r="592" spans="1:6" ht="15" customHeight="1" x14ac:dyDescent="0.3">
      <c r="A592" s="33"/>
      <c r="D592" s="34"/>
      <c r="E592" s="34"/>
      <c r="F592" s="33"/>
    </row>
    <row r="593" spans="1:6" ht="15" customHeight="1" x14ac:dyDescent="0.3">
      <c r="A593" s="33"/>
      <c r="D593" s="34"/>
      <c r="E593" s="34"/>
      <c r="F593" s="33"/>
    </row>
    <row r="594" spans="1:6" ht="15" customHeight="1" x14ac:dyDescent="0.3">
      <c r="A594" s="33"/>
      <c r="D594" s="34"/>
      <c r="E594" s="34"/>
      <c r="F594" s="33"/>
    </row>
    <row r="595" spans="1:6" ht="15" customHeight="1" x14ac:dyDescent="0.3">
      <c r="A595" s="33"/>
      <c r="D595" s="34"/>
      <c r="E595" s="34"/>
      <c r="F595" s="33"/>
    </row>
    <row r="596" spans="1:6" ht="15" customHeight="1" x14ac:dyDescent="0.3">
      <c r="A596" s="33"/>
      <c r="D596" s="34"/>
      <c r="E596" s="34"/>
      <c r="F596" s="33"/>
    </row>
    <row r="597" spans="1:6" ht="15" customHeight="1" x14ac:dyDescent="0.3">
      <c r="A597" s="33"/>
      <c r="D597" s="34"/>
      <c r="E597" s="34"/>
      <c r="F597" s="33"/>
    </row>
    <row r="598" spans="1:6" ht="15" customHeight="1" x14ac:dyDescent="0.3">
      <c r="A598" s="33"/>
      <c r="D598" s="34"/>
      <c r="E598" s="34"/>
      <c r="F598" s="33"/>
    </row>
    <row r="599" spans="1:6" ht="15" customHeight="1" x14ac:dyDescent="0.3">
      <c r="A599" s="33"/>
      <c r="D599" s="34"/>
      <c r="E599" s="34"/>
      <c r="F599" s="33"/>
    </row>
    <row r="600" spans="1:6" ht="15" customHeight="1" x14ac:dyDescent="0.3">
      <c r="A600" s="33"/>
      <c r="D600" s="34"/>
      <c r="E600" s="34"/>
      <c r="F600" s="33"/>
    </row>
    <row r="601" spans="1:6" ht="15" customHeight="1" x14ac:dyDescent="0.3">
      <c r="A601" s="33"/>
      <c r="D601" s="34"/>
      <c r="E601" s="34"/>
      <c r="F601" s="33"/>
    </row>
    <row r="602" spans="1:6" ht="15" customHeight="1" x14ac:dyDescent="0.3">
      <c r="A602" s="33"/>
      <c r="D602" s="34"/>
      <c r="E602" s="34"/>
      <c r="F602" s="33"/>
    </row>
    <row r="603" spans="1:6" ht="15" customHeight="1" x14ac:dyDescent="0.3">
      <c r="A603" s="33"/>
      <c r="D603" s="34"/>
      <c r="E603" s="34"/>
      <c r="F603" s="33"/>
    </row>
    <row r="604" spans="1:6" ht="15" customHeight="1" x14ac:dyDescent="0.3">
      <c r="A604" s="33"/>
      <c r="D604" s="34"/>
      <c r="E604" s="34"/>
      <c r="F604" s="33"/>
    </row>
    <row r="605" spans="1:6" ht="15" customHeight="1" x14ac:dyDescent="0.3">
      <c r="A605" s="33"/>
      <c r="D605" s="34"/>
      <c r="E605" s="34"/>
      <c r="F605" s="33"/>
    </row>
    <row r="606" spans="1:6" ht="15" customHeight="1" x14ac:dyDescent="0.3">
      <c r="A606" s="33"/>
      <c r="D606" s="34"/>
      <c r="E606" s="34"/>
      <c r="F606" s="33"/>
    </row>
    <row r="607" spans="1:6" ht="15" customHeight="1" x14ac:dyDescent="0.3">
      <c r="A607" s="33"/>
      <c r="D607" s="34"/>
      <c r="E607" s="34"/>
      <c r="F607" s="33"/>
    </row>
    <row r="608" spans="1:6" ht="15" customHeight="1" x14ac:dyDescent="0.3">
      <c r="A608" s="33"/>
      <c r="D608" s="34"/>
      <c r="E608" s="34"/>
      <c r="F608" s="33"/>
    </row>
    <row r="609" spans="1:6" ht="15" customHeight="1" x14ac:dyDescent="0.3">
      <c r="A609" s="33"/>
      <c r="D609" s="34"/>
      <c r="E609" s="34"/>
      <c r="F609" s="33"/>
    </row>
    <row r="610" spans="1:6" ht="15" customHeight="1" x14ac:dyDescent="0.3">
      <c r="A610" s="33"/>
      <c r="D610" s="34"/>
      <c r="E610" s="34"/>
      <c r="F610" s="33"/>
    </row>
    <row r="611" spans="1:6" ht="15" customHeight="1" x14ac:dyDescent="0.3">
      <c r="A611" s="33"/>
      <c r="D611" s="34"/>
      <c r="E611" s="34"/>
      <c r="F611" s="33"/>
    </row>
    <row r="612" spans="1:6" ht="15" customHeight="1" x14ac:dyDescent="0.3">
      <c r="A612" s="33"/>
      <c r="D612" s="34"/>
      <c r="E612" s="34"/>
      <c r="F612" s="33"/>
    </row>
    <row r="613" spans="1:6" ht="15" customHeight="1" x14ac:dyDescent="0.3">
      <c r="A613" s="33"/>
      <c r="D613" s="34"/>
      <c r="E613" s="34"/>
      <c r="F613" s="33"/>
    </row>
    <row r="614" spans="1:6" ht="15" customHeight="1" x14ac:dyDescent="0.3">
      <c r="A614" s="33"/>
      <c r="D614" s="34"/>
      <c r="E614" s="34"/>
      <c r="F614" s="33"/>
    </row>
    <row r="615" spans="1:6" ht="15" customHeight="1" x14ac:dyDescent="0.3">
      <c r="A615" s="33"/>
      <c r="D615" s="34"/>
      <c r="E615" s="34"/>
      <c r="F615" s="33"/>
    </row>
    <row r="616" spans="1:6" ht="15" customHeight="1" x14ac:dyDescent="0.3">
      <c r="A616" s="33"/>
      <c r="D616" s="34"/>
      <c r="E616" s="34"/>
      <c r="F616" s="33"/>
    </row>
    <row r="617" spans="1:6" ht="15" customHeight="1" x14ac:dyDescent="0.3">
      <c r="A617" s="33"/>
      <c r="D617" s="34"/>
      <c r="E617" s="34"/>
      <c r="F617" s="33"/>
    </row>
    <row r="618" spans="1:6" ht="15" customHeight="1" x14ac:dyDescent="0.3">
      <c r="A618" s="33"/>
      <c r="D618" s="34"/>
      <c r="E618" s="34"/>
      <c r="F618" s="33"/>
    </row>
    <row r="619" spans="1:6" ht="15" customHeight="1" x14ac:dyDescent="0.3">
      <c r="A619" s="33"/>
      <c r="D619" s="34"/>
      <c r="E619" s="34"/>
      <c r="F619" s="33"/>
    </row>
    <row r="620" spans="1:6" ht="15" customHeight="1" x14ac:dyDescent="0.3">
      <c r="A620" s="33"/>
      <c r="D620" s="34"/>
      <c r="E620" s="34"/>
      <c r="F620" s="33"/>
    </row>
    <row r="621" spans="1:6" ht="15" customHeight="1" x14ac:dyDescent="0.3">
      <c r="A621" s="33"/>
      <c r="D621" s="34"/>
      <c r="E621" s="34"/>
      <c r="F621" s="33"/>
    </row>
    <row r="622" spans="1:6" ht="15" customHeight="1" x14ac:dyDescent="0.3">
      <c r="A622" s="33"/>
      <c r="D622" s="34"/>
      <c r="E622" s="34"/>
      <c r="F622" s="33"/>
    </row>
    <row r="623" spans="1:6" ht="15" customHeight="1" x14ac:dyDescent="0.3">
      <c r="A623" s="33"/>
      <c r="D623" s="34"/>
      <c r="E623" s="34"/>
      <c r="F623" s="33"/>
    </row>
    <row r="624" spans="1:6" ht="15" customHeight="1" x14ac:dyDescent="0.3">
      <c r="A624" s="33"/>
      <c r="D624" s="34"/>
      <c r="E624" s="34"/>
      <c r="F624" s="33"/>
    </row>
    <row r="625" spans="1:6" ht="15" customHeight="1" x14ac:dyDescent="0.3">
      <c r="A625" s="33"/>
      <c r="D625" s="34"/>
      <c r="E625" s="34"/>
      <c r="F625" s="33"/>
    </row>
    <row r="626" spans="1:6" ht="15" customHeight="1" x14ac:dyDescent="0.3">
      <c r="A626" s="33"/>
      <c r="D626" s="34"/>
      <c r="E626" s="34"/>
      <c r="F626" s="33"/>
    </row>
    <row r="627" spans="1:6" ht="15" customHeight="1" x14ac:dyDescent="0.3">
      <c r="A627" s="33"/>
      <c r="D627" s="34"/>
      <c r="E627" s="34"/>
      <c r="F627" s="33"/>
    </row>
    <row r="628" spans="1:6" ht="15" customHeight="1" x14ac:dyDescent="0.3">
      <c r="A628" s="33"/>
      <c r="D628" s="34"/>
      <c r="E628" s="34"/>
      <c r="F628" s="33"/>
    </row>
    <row r="629" spans="1:6" ht="15" customHeight="1" x14ac:dyDescent="0.3">
      <c r="A629" s="33"/>
      <c r="D629" s="34"/>
      <c r="E629" s="34"/>
      <c r="F629" s="33"/>
    </row>
    <row r="630" spans="1:6" ht="15" customHeight="1" x14ac:dyDescent="0.3">
      <c r="A630" s="33"/>
      <c r="D630" s="34"/>
      <c r="E630" s="34"/>
      <c r="F630" s="33"/>
    </row>
    <row r="631" spans="1:6" ht="15" customHeight="1" x14ac:dyDescent="0.3">
      <c r="A631" s="33"/>
      <c r="D631" s="34"/>
      <c r="E631" s="34"/>
      <c r="F631" s="33"/>
    </row>
    <row r="632" spans="1:6" ht="15" customHeight="1" x14ac:dyDescent="0.3">
      <c r="A632" s="33"/>
      <c r="D632" s="34"/>
      <c r="E632" s="34"/>
      <c r="F632" s="33"/>
    </row>
    <row r="633" spans="1:6" ht="15" customHeight="1" x14ac:dyDescent="0.3">
      <c r="A633" s="33"/>
      <c r="D633" s="34"/>
      <c r="E633" s="34"/>
      <c r="F633" s="33"/>
    </row>
    <row r="634" spans="1:6" ht="15" customHeight="1" x14ac:dyDescent="0.3">
      <c r="A634" s="33"/>
      <c r="D634" s="34"/>
      <c r="E634" s="34"/>
      <c r="F634" s="33"/>
    </row>
    <row r="635" spans="1:6" ht="15" customHeight="1" x14ac:dyDescent="0.3">
      <c r="A635" s="33"/>
      <c r="D635" s="34"/>
      <c r="E635" s="34"/>
      <c r="F635" s="33"/>
    </row>
    <row r="636" spans="1:6" ht="15" customHeight="1" x14ac:dyDescent="0.3">
      <c r="A636" s="33"/>
      <c r="D636" s="34"/>
      <c r="E636" s="34"/>
      <c r="F636" s="33"/>
    </row>
    <row r="637" spans="1:6" ht="15" customHeight="1" x14ac:dyDescent="0.3">
      <c r="A637" s="33"/>
      <c r="D637" s="34"/>
      <c r="E637" s="34"/>
      <c r="F637" s="33"/>
    </row>
    <row r="638" spans="1:6" ht="15" customHeight="1" x14ac:dyDescent="0.3">
      <c r="A638" s="33"/>
      <c r="D638" s="34"/>
      <c r="E638" s="34"/>
      <c r="F638" s="33"/>
    </row>
    <row r="639" spans="1:6" ht="15" customHeight="1" x14ac:dyDescent="0.3">
      <c r="A639" s="33"/>
      <c r="D639" s="34"/>
      <c r="E639" s="34"/>
      <c r="F639" s="33"/>
    </row>
    <row r="640" spans="1:6" ht="15" customHeight="1" x14ac:dyDescent="0.3">
      <c r="A640" s="33"/>
      <c r="D640" s="34"/>
      <c r="E640" s="34"/>
      <c r="F640" s="33"/>
    </row>
    <row r="641" spans="1:6" ht="15" customHeight="1" x14ac:dyDescent="0.3">
      <c r="A641" s="33"/>
      <c r="D641" s="34"/>
      <c r="E641" s="34"/>
      <c r="F641" s="33"/>
    </row>
    <row r="642" spans="1:6" ht="15" customHeight="1" x14ac:dyDescent="0.3">
      <c r="A642" s="33"/>
      <c r="D642" s="34"/>
      <c r="E642" s="34"/>
      <c r="F642" s="33"/>
    </row>
    <row r="643" spans="1:6" ht="15" customHeight="1" x14ac:dyDescent="0.3">
      <c r="A643" s="33"/>
      <c r="D643" s="34"/>
      <c r="E643" s="34"/>
      <c r="F643" s="33"/>
    </row>
    <row r="644" spans="1:6" ht="15" customHeight="1" x14ac:dyDescent="0.3">
      <c r="A644" s="33"/>
      <c r="D644" s="34"/>
      <c r="E644" s="34"/>
      <c r="F644" s="33"/>
    </row>
    <row r="645" spans="1:6" ht="15" customHeight="1" x14ac:dyDescent="0.3">
      <c r="A645" s="33"/>
      <c r="D645" s="34"/>
      <c r="E645" s="34"/>
      <c r="F645" s="33"/>
    </row>
    <row r="646" spans="1:6" ht="15" customHeight="1" x14ac:dyDescent="0.3">
      <c r="A646" s="33"/>
      <c r="D646" s="34"/>
      <c r="E646" s="34"/>
      <c r="F646" s="33"/>
    </row>
    <row r="647" spans="1:6" ht="15" customHeight="1" x14ac:dyDescent="0.3">
      <c r="A647" s="33"/>
      <c r="D647" s="34"/>
      <c r="E647" s="34"/>
      <c r="F647" s="33"/>
    </row>
    <row r="648" spans="1:6" ht="15" customHeight="1" x14ac:dyDescent="0.3">
      <c r="A648" s="33"/>
      <c r="D648" s="34"/>
      <c r="E648" s="34"/>
      <c r="F648" s="33"/>
    </row>
    <row r="649" spans="1:6" ht="15" customHeight="1" x14ac:dyDescent="0.3">
      <c r="A649" s="33"/>
      <c r="D649" s="34"/>
      <c r="E649" s="34"/>
      <c r="F649" s="33"/>
    </row>
    <row r="650" spans="1:6" ht="15" customHeight="1" x14ac:dyDescent="0.3">
      <c r="A650" s="33"/>
      <c r="D650" s="34"/>
      <c r="E650" s="34"/>
      <c r="F650" s="33"/>
    </row>
    <row r="651" spans="1:6" ht="15" customHeight="1" x14ac:dyDescent="0.3">
      <c r="A651" s="33"/>
      <c r="D651" s="34"/>
      <c r="E651" s="34"/>
      <c r="F651" s="33"/>
    </row>
    <row r="652" spans="1:6" ht="15" customHeight="1" x14ac:dyDescent="0.3">
      <c r="A652" s="33"/>
      <c r="D652" s="34"/>
      <c r="E652" s="34"/>
      <c r="F652" s="33"/>
    </row>
    <row r="653" spans="1:6" ht="15" customHeight="1" x14ac:dyDescent="0.3">
      <c r="A653" s="33"/>
      <c r="D653" s="34"/>
      <c r="E653" s="34"/>
      <c r="F653" s="33"/>
    </row>
    <row r="654" spans="1:6" ht="15" customHeight="1" x14ac:dyDescent="0.3">
      <c r="A654" s="33"/>
      <c r="D654" s="34"/>
      <c r="E654" s="34"/>
      <c r="F654" s="33"/>
    </row>
    <row r="655" spans="1:6" ht="15" customHeight="1" x14ac:dyDescent="0.3">
      <c r="A655" s="33"/>
      <c r="D655" s="34"/>
      <c r="E655" s="34"/>
      <c r="F655" s="33"/>
    </row>
    <row r="656" spans="1:6" ht="15" customHeight="1" x14ac:dyDescent="0.3">
      <c r="A656" s="33"/>
      <c r="D656" s="34"/>
      <c r="E656" s="34"/>
      <c r="F656" s="33"/>
    </row>
    <row r="657" spans="1:6" ht="15" customHeight="1" x14ac:dyDescent="0.3">
      <c r="A657" s="33"/>
      <c r="D657" s="34"/>
      <c r="E657" s="34"/>
      <c r="F657" s="33"/>
    </row>
    <row r="658" spans="1:6" ht="15" customHeight="1" x14ac:dyDescent="0.3">
      <c r="A658" s="33"/>
      <c r="D658" s="34"/>
      <c r="E658" s="34"/>
      <c r="F658" s="33"/>
    </row>
    <row r="659" spans="1:6" ht="15" customHeight="1" x14ac:dyDescent="0.3">
      <c r="A659" s="33"/>
      <c r="D659" s="34"/>
      <c r="E659" s="34"/>
      <c r="F659" s="33"/>
    </row>
    <row r="660" spans="1:6" ht="15" customHeight="1" x14ac:dyDescent="0.3">
      <c r="A660" s="33"/>
      <c r="D660" s="34"/>
      <c r="E660" s="34"/>
      <c r="F660" s="33"/>
    </row>
    <row r="661" spans="1:6" ht="15" customHeight="1" x14ac:dyDescent="0.3">
      <c r="A661" s="33"/>
      <c r="D661" s="34"/>
      <c r="E661" s="34"/>
      <c r="F661" s="33"/>
    </row>
    <row r="662" spans="1:6" ht="15" customHeight="1" x14ac:dyDescent="0.3">
      <c r="A662" s="33"/>
      <c r="D662" s="34"/>
      <c r="E662" s="34"/>
      <c r="F662" s="33"/>
    </row>
    <row r="663" spans="1:6" ht="15" customHeight="1" x14ac:dyDescent="0.3">
      <c r="A663" s="33"/>
      <c r="D663" s="34"/>
      <c r="E663" s="34"/>
      <c r="F663" s="33"/>
    </row>
    <row r="664" spans="1:6" ht="15" customHeight="1" x14ac:dyDescent="0.3">
      <c r="A664" s="33"/>
      <c r="D664" s="34"/>
      <c r="E664" s="34"/>
      <c r="F664" s="33"/>
    </row>
    <row r="665" spans="1:6" ht="15" customHeight="1" x14ac:dyDescent="0.3">
      <c r="A665" s="33"/>
      <c r="D665" s="34"/>
      <c r="E665" s="34"/>
      <c r="F665" s="33"/>
    </row>
    <row r="666" spans="1:6" ht="15" customHeight="1" x14ac:dyDescent="0.3">
      <c r="A666" s="33"/>
      <c r="D666" s="34"/>
      <c r="E666" s="34"/>
      <c r="F666" s="33"/>
    </row>
    <row r="667" spans="1:6" ht="15" customHeight="1" x14ac:dyDescent="0.3">
      <c r="A667" s="33"/>
      <c r="D667" s="34"/>
      <c r="E667" s="34"/>
      <c r="F667" s="33"/>
    </row>
    <row r="668" spans="1:6" ht="15" customHeight="1" x14ac:dyDescent="0.3">
      <c r="A668" s="33"/>
      <c r="D668" s="34"/>
      <c r="E668" s="34"/>
      <c r="F668" s="33"/>
    </row>
    <row r="669" spans="1:6" ht="15" customHeight="1" x14ac:dyDescent="0.3">
      <c r="A669" s="33"/>
      <c r="D669" s="34"/>
      <c r="E669" s="34"/>
      <c r="F669" s="33"/>
    </row>
    <row r="670" spans="1:6" ht="15" customHeight="1" x14ac:dyDescent="0.3">
      <c r="A670" s="33"/>
      <c r="D670" s="34"/>
      <c r="E670" s="34"/>
      <c r="F670" s="33"/>
    </row>
    <row r="671" spans="1:6" ht="15" customHeight="1" x14ac:dyDescent="0.3">
      <c r="A671" s="33"/>
      <c r="D671" s="34"/>
      <c r="E671" s="34"/>
      <c r="F671" s="33"/>
    </row>
    <row r="672" spans="1:6" ht="15" customHeight="1" x14ac:dyDescent="0.3">
      <c r="A672" s="33"/>
      <c r="D672" s="34"/>
      <c r="E672" s="34"/>
      <c r="F672" s="33"/>
    </row>
    <row r="673" spans="1:6" ht="15" customHeight="1" x14ac:dyDescent="0.3">
      <c r="A673" s="33"/>
      <c r="D673" s="34"/>
      <c r="E673" s="34"/>
      <c r="F673" s="33"/>
    </row>
    <row r="674" spans="1:6" ht="15" customHeight="1" x14ac:dyDescent="0.3">
      <c r="A674" s="33"/>
      <c r="D674" s="34"/>
      <c r="E674" s="34"/>
      <c r="F674" s="33"/>
    </row>
    <row r="675" spans="1:6" ht="15" customHeight="1" x14ac:dyDescent="0.3">
      <c r="A675" s="33"/>
      <c r="D675" s="34"/>
      <c r="E675" s="34"/>
      <c r="F675" s="33"/>
    </row>
    <row r="676" spans="1:6" ht="15" customHeight="1" x14ac:dyDescent="0.3">
      <c r="A676" s="33"/>
      <c r="D676" s="34"/>
      <c r="E676" s="34"/>
      <c r="F676" s="33"/>
    </row>
    <row r="677" spans="1:6" ht="15" customHeight="1" x14ac:dyDescent="0.3">
      <c r="A677" s="33"/>
      <c r="D677" s="34"/>
      <c r="E677" s="34"/>
      <c r="F677" s="33"/>
    </row>
    <row r="678" spans="1:6" ht="15" customHeight="1" x14ac:dyDescent="0.3">
      <c r="A678" s="33"/>
      <c r="D678" s="34"/>
      <c r="E678" s="34"/>
      <c r="F678" s="33"/>
    </row>
    <row r="679" spans="1:6" ht="15" customHeight="1" x14ac:dyDescent="0.3">
      <c r="A679" s="33"/>
      <c r="D679" s="34"/>
      <c r="E679" s="34"/>
      <c r="F679" s="33"/>
    </row>
    <row r="680" spans="1:6" ht="15" customHeight="1" x14ac:dyDescent="0.3">
      <c r="A680" s="33"/>
      <c r="D680" s="34"/>
      <c r="E680" s="34"/>
      <c r="F680" s="33"/>
    </row>
    <row r="681" spans="1:6" ht="15" customHeight="1" x14ac:dyDescent="0.3">
      <c r="A681" s="33"/>
      <c r="D681" s="34"/>
      <c r="E681" s="34"/>
      <c r="F681" s="33"/>
    </row>
    <row r="682" spans="1:6" ht="15" customHeight="1" x14ac:dyDescent="0.3">
      <c r="A682" s="33"/>
      <c r="D682" s="34"/>
      <c r="E682" s="34"/>
      <c r="F682" s="33"/>
    </row>
    <row r="683" spans="1:6" ht="15" customHeight="1" x14ac:dyDescent="0.3">
      <c r="A683" s="33"/>
      <c r="D683" s="34"/>
      <c r="E683" s="34"/>
      <c r="F683" s="33"/>
    </row>
    <row r="684" spans="1:6" ht="15" customHeight="1" x14ac:dyDescent="0.3">
      <c r="A684" s="33"/>
      <c r="D684" s="34"/>
      <c r="E684" s="34"/>
      <c r="F684" s="33"/>
    </row>
    <row r="685" spans="1:6" ht="15" customHeight="1" x14ac:dyDescent="0.3">
      <c r="A685" s="33"/>
      <c r="D685" s="34"/>
      <c r="E685" s="34"/>
      <c r="F685" s="33"/>
    </row>
    <row r="686" spans="1:6" ht="15" customHeight="1" x14ac:dyDescent="0.3">
      <c r="A686" s="33"/>
      <c r="D686" s="34"/>
      <c r="E686" s="34"/>
      <c r="F686" s="33"/>
    </row>
    <row r="687" spans="1:6" ht="15" customHeight="1" x14ac:dyDescent="0.3">
      <c r="A687" s="33"/>
      <c r="D687" s="34"/>
      <c r="E687" s="34"/>
      <c r="F687" s="33"/>
    </row>
    <row r="688" spans="1:6" ht="15" customHeight="1" x14ac:dyDescent="0.3">
      <c r="A688" s="33"/>
      <c r="D688" s="34"/>
      <c r="E688" s="34"/>
      <c r="F688" s="33"/>
    </row>
    <row r="689" spans="1:6" ht="15" customHeight="1" x14ac:dyDescent="0.3">
      <c r="A689" s="33"/>
      <c r="D689" s="34"/>
      <c r="E689" s="34"/>
      <c r="F689" s="33"/>
    </row>
    <row r="690" spans="1:6" ht="15" customHeight="1" x14ac:dyDescent="0.3">
      <c r="A690" s="33"/>
      <c r="D690" s="34"/>
      <c r="E690" s="34"/>
      <c r="F690" s="33"/>
    </row>
    <row r="691" spans="1:6" ht="15" customHeight="1" x14ac:dyDescent="0.3">
      <c r="A691" s="33"/>
      <c r="D691" s="34"/>
      <c r="E691" s="34"/>
      <c r="F691" s="33"/>
    </row>
    <row r="692" spans="1:6" ht="15" customHeight="1" x14ac:dyDescent="0.3">
      <c r="A692" s="33"/>
      <c r="D692" s="34"/>
      <c r="E692" s="34"/>
      <c r="F692" s="33"/>
    </row>
    <row r="693" spans="1:6" ht="15" customHeight="1" x14ac:dyDescent="0.3">
      <c r="A693" s="33"/>
      <c r="D693" s="34"/>
      <c r="E693" s="34"/>
      <c r="F693" s="33"/>
    </row>
    <row r="694" spans="1:6" ht="15" customHeight="1" x14ac:dyDescent="0.3">
      <c r="A694" s="33"/>
      <c r="D694" s="34"/>
      <c r="E694" s="34"/>
      <c r="F694" s="33"/>
    </row>
    <row r="695" spans="1:6" ht="15" customHeight="1" x14ac:dyDescent="0.3">
      <c r="A695" s="33"/>
      <c r="D695" s="34"/>
      <c r="E695" s="34"/>
      <c r="F695" s="33"/>
    </row>
    <row r="696" spans="1:6" ht="15" customHeight="1" x14ac:dyDescent="0.3">
      <c r="A696" s="33"/>
      <c r="D696" s="34"/>
      <c r="E696" s="34"/>
      <c r="F696" s="33"/>
    </row>
    <row r="697" spans="1:6" ht="15" customHeight="1" x14ac:dyDescent="0.3">
      <c r="A697" s="33"/>
      <c r="D697" s="34"/>
      <c r="E697" s="34"/>
      <c r="F697" s="33"/>
    </row>
    <row r="698" spans="1:6" ht="15" customHeight="1" x14ac:dyDescent="0.3">
      <c r="A698" s="33"/>
      <c r="D698" s="34"/>
      <c r="E698" s="34"/>
      <c r="F698" s="33"/>
    </row>
    <row r="699" spans="1:6" ht="15" customHeight="1" x14ac:dyDescent="0.3">
      <c r="A699" s="33"/>
      <c r="D699" s="34"/>
      <c r="E699" s="34"/>
      <c r="F699" s="33"/>
    </row>
    <row r="700" spans="1:6" ht="15" customHeight="1" x14ac:dyDescent="0.3">
      <c r="A700" s="33"/>
      <c r="D700" s="34"/>
      <c r="E700" s="34"/>
      <c r="F700" s="33"/>
    </row>
    <row r="701" spans="1:6" ht="15" customHeight="1" x14ac:dyDescent="0.3">
      <c r="A701" s="33"/>
      <c r="D701" s="34"/>
      <c r="E701" s="34"/>
      <c r="F701" s="33"/>
    </row>
    <row r="702" spans="1:6" ht="15" customHeight="1" x14ac:dyDescent="0.3">
      <c r="A702" s="33"/>
      <c r="D702" s="34"/>
      <c r="E702" s="34"/>
      <c r="F702" s="33"/>
    </row>
    <row r="703" spans="1:6" ht="15" customHeight="1" x14ac:dyDescent="0.3">
      <c r="A703" s="33"/>
      <c r="D703" s="34"/>
      <c r="E703" s="34"/>
      <c r="F703" s="33"/>
    </row>
    <row r="704" spans="1:6" ht="15" customHeight="1" x14ac:dyDescent="0.3">
      <c r="A704" s="33"/>
      <c r="D704" s="34"/>
      <c r="E704" s="34"/>
      <c r="F704" s="33"/>
    </row>
    <row r="705" spans="1:6" ht="15" customHeight="1" x14ac:dyDescent="0.3">
      <c r="A705" s="33"/>
      <c r="D705" s="34"/>
      <c r="E705" s="34"/>
      <c r="F705" s="33"/>
    </row>
    <row r="706" spans="1:6" ht="15" customHeight="1" x14ac:dyDescent="0.3">
      <c r="A706" s="33"/>
      <c r="D706" s="34"/>
      <c r="E706" s="34"/>
      <c r="F706" s="33"/>
    </row>
    <row r="707" spans="1:6" ht="15" customHeight="1" x14ac:dyDescent="0.3">
      <c r="A707" s="33"/>
      <c r="D707" s="34"/>
      <c r="E707" s="34"/>
      <c r="F707" s="33"/>
    </row>
    <row r="708" spans="1:6" ht="15" customHeight="1" x14ac:dyDescent="0.3">
      <c r="A708" s="33"/>
      <c r="D708" s="34"/>
      <c r="E708" s="34"/>
      <c r="F708" s="33"/>
    </row>
    <row r="709" spans="1:6" ht="15" customHeight="1" x14ac:dyDescent="0.3">
      <c r="A709" s="33"/>
      <c r="D709" s="34"/>
      <c r="E709" s="34"/>
      <c r="F709" s="33"/>
    </row>
    <row r="710" spans="1:6" ht="15" customHeight="1" x14ac:dyDescent="0.3">
      <c r="A710" s="33"/>
      <c r="D710" s="34"/>
      <c r="E710" s="34"/>
      <c r="F710" s="33"/>
    </row>
    <row r="711" spans="1:6" ht="15" customHeight="1" x14ac:dyDescent="0.3">
      <c r="A711" s="33"/>
      <c r="D711" s="34"/>
      <c r="E711" s="34"/>
      <c r="F711" s="33"/>
    </row>
    <row r="712" spans="1:6" ht="15" customHeight="1" x14ac:dyDescent="0.3">
      <c r="A712" s="33"/>
      <c r="D712" s="34"/>
      <c r="E712" s="34"/>
      <c r="F712" s="33"/>
    </row>
    <row r="713" spans="1:6" ht="15" customHeight="1" x14ac:dyDescent="0.3">
      <c r="A713" s="33"/>
      <c r="D713" s="34"/>
      <c r="E713" s="34"/>
      <c r="F713" s="33"/>
    </row>
    <row r="714" spans="1:6" ht="15" customHeight="1" x14ac:dyDescent="0.3">
      <c r="A714" s="33"/>
      <c r="D714" s="34"/>
      <c r="E714" s="34"/>
      <c r="F714" s="33"/>
    </row>
    <row r="715" spans="1:6" ht="15" customHeight="1" x14ac:dyDescent="0.3">
      <c r="A715" s="33"/>
      <c r="D715" s="34"/>
      <c r="E715" s="34"/>
      <c r="F715" s="33"/>
    </row>
    <row r="716" spans="1:6" ht="15" customHeight="1" x14ac:dyDescent="0.3">
      <c r="A716" s="33"/>
      <c r="D716" s="34"/>
      <c r="E716" s="34"/>
      <c r="F716" s="33"/>
    </row>
    <row r="717" spans="1:6" ht="15" customHeight="1" x14ac:dyDescent="0.3">
      <c r="A717" s="33"/>
      <c r="D717" s="34"/>
      <c r="E717" s="34"/>
      <c r="F717" s="33"/>
    </row>
    <row r="718" spans="1:6" ht="15" customHeight="1" x14ac:dyDescent="0.3">
      <c r="A718" s="33"/>
      <c r="D718" s="34"/>
      <c r="E718" s="34"/>
      <c r="F718" s="33"/>
    </row>
    <row r="719" spans="1:6" ht="15" customHeight="1" x14ac:dyDescent="0.3">
      <c r="A719" s="33"/>
      <c r="D719" s="34"/>
      <c r="E719" s="34"/>
      <c r="F719" s="33"/>
    </row>
    <row r="720" spans="1:6" ht="15" customHeight="1" x14ac:dyDescent="0.3">
      <c r="A720" s="33"/>
      <c r="D720" s="34"/>
      <c r="E720" s="34"/>
      <c r="F720" s="33"/>
    </row>
    <row r="721" spans="1:6" ht="15" customHeight="1" x14ac:dyDescent="0.3">
      <c r="A721" s="33"/>
      <c r="D721" s="34"/>
      <c r="E721" s="34"/>
      <c r="F721" s="33"/>
    </row>
    <row r="722" spans="1:6" ht="15" customHeight="1" x14ac:dyDescent="0.3">
      <c r="A722" s="33"/>
      <c r="D722" s="34"/>
      <c r="E722" s="34"/>
      <c r="F722" s="33"/>
    </row>
    <row r="723" spans="1:6" ht="15" customHeight="1" x14ac:dyDescent="0.3">
      <c r="A723" s="33"/>
      <c r="D723" s="34"/>
      <c r="E723" s="34"/>
      <c r="F723" s="33"/>
    </row>
    <row r="724" spans="1:6" ht="15" customHeight="1" x14ac:dyDescent="0.3">
      <c r="A724" s="33"/>
      <c r="D724" s="34"/>
      <c r="E724" s="34"/>
      <c r="F724" s="33"/>
    </row>
    <row r="725" spans="1:6" ht="15" customHeight="1" x14ac:dyDescent="0.3">
      <c r="A725" s="33"/>
      <c r="D725" s="34"/>
      <c r="E725" s="34"/>
      <c r="F725" s="33"/>
    </row>
    <row r="726" spans="1:6" ht="15" customHeight="1" x14ac:dyDescent="0.3">
      <c r="A726" s="33"/>
      <c r="D726" s="34"/>
      <c r="E726" s="34"/>
      <c r="F726" s="33"/>
    </row>
    <row r="727" spans="1:6" ht="15" customHeight="1" x14ac:dyDescent="0.3">
      <c r="A727" s="33"/>
      <c r="D727" s="34"/>
      <c r="E727" s="34"/>
      <c r="F727" s="33"/>
    </row>
    <row r="728" spans="1:6" ht="15" customHeight="1" x14ac:dyDescent="0.3">
      <c r="A728" s="33"/>
      <c r="D728" s="34"/>
      <c r="E728" s="34"/>
      <c r="F728" s="33"/>
    </row>
    <row r="729" spans="1:6" ht="15" customHeight="1" x14ac:dyDescent="0.3">
      <c r="A729" s="33"/>
      <c r="D729" s="34"/>
      <c r="E729" s="34"/>
      <c r="F729" s="33"/>
    </row>
    <row r="730" spans="1:6" ht="15" customHeight="1" x14ac:dyDescent="0.3">
      <c r="A730" s="33"/>
      <c r="D730" s="34"/>
      <c r="E730" s="34"/>
      <c r="F730" s="33"/>
    </row>
    <row r="731" spans="1:6" ht="15" customHeight="1" x14ac:dyDescent="0.3">
      <c r="A731" s="33"/>
      <c r="D731" s="34"/>
      <c r="E731" s="34"/>
      <c r="F731" s="33"/>
    </row>
    <row r="732" spans="1:6" ht="15" customHeight="1" x14ac:dyDescent="0.3">
      <c r="A732" s="33"/>
      <c r="D732" s="34"/>
      <c r="E732" s="34"/>
      <c r="F732" s="33"/>
    </row>
    <row r="733" spans="1:6" ht="15" customHeight="1" x14ac:dyDescent="0.3">
      <c r="A733" s="33"/>
      <c r="D733" s="34"/>
      <c r="E733" s="34"/>
      <c r="F733" s="33"/>
    </row>
    <row r="734" spans="1:6" ht="15" customHeight="1" x14ac:dyDescent="0.3">
      <c r="A734" s="33"/>
      <c r="D734" s="34"/>
      <c r="E734" s="34"/>
      <c r="F734" s="33"/>
    </row>
    <row r="735" spans="1:6" ht="15" customHeight="1" x14ac:dyDescent="0.3">
      <c r="A735" s="33"/>
      <c r="D735" s="34"/>
      <c r="E735" s="34"/>
      <c r="F735" s="33"/>
    </row>
    <row r="736" spans="1:6" ht="15" customHeight="1" x14ac:dyDescent="0.3">
      <c r="A736" s="33"/>
      <c r="D736" s="34"/>
      <c r="E736" s="34"/>
      <c r="F736" s="33"/>
    </row>
    <row r="737" spans="1:6" ht="15" customHeight="1" x14ac:dyDescent="0.3">
      <c r="A737" s="33"/>
      <c r="D737" s="34"/>
      <c r="E737" s="34"/>
      <c r="F737" s="33"/>
    </row>
    <row r="738" spans="1:6" ht="15" customHeight="1" x14ac:dyDescent="0.3">
      <c r="A738" s="33"/>
      <c r="D738" s="34"/>
      <c r="E738" s="34"/>
      <c r="F738" s="33"/>
    </row>
    <row r="739" spans="1:6" ht="15" customHeight="1" x14ac:dyDescent="0.3">
      <c r="A739" s="33"/>
      <c r="D739" s="34"/>
      <c r="E739" s="34"/>
      <c r="F739" s="33"/>
    </row>
    <row r="740" spans="1:6" ht="15" customHeight="1" x14ac:dyDescent="0.3">
      <c r="A740" s="33"/>
      <c r="D740" s="34"/>
      <c r="E740" s="34"/>
      <c r="F740" s="33"/>
    </row>
    <row r="741" spans="1:6" ht="15" customHeight="1" x14ac:dyDescent="0.3">
      <c r="A741" s="33"/>
      <c r="D741" s="34"/>
      <c r="E741" s="34"/>
      <c r="F741" s="33"/>
    </row>
    <row r="742" spans="1:6" ht="15" customHeight="1" x14ac:dyDescent="0.3">
      <c r="A742" s="33"/>
      <c r="D742" s="34"/>
      <c r="E742" s="34"/>
      <c r="F742" s="33"/>
    </row>
    <row r="743" spans="1:6" ht="15" customHeight="1" x14ac:dyDescent="0.3">
      <c r="A743" s="33"/>
      <c r="D743" s="34"/>
      <c r="E743" s="34"/>
      <c r="F743" s="33"/>
    </row>
    <row r="744" spans="1:6" ht="15" customHeight="1" x14ac:dyDescent="0.3">
      <c r="A744" s="33"/>
      <c r="D744" s="34"/>
      <c r="E744" s="34"/>
      <c r="F744" s="33"/>
    </row>
    <row r="745" spans="1:6" ht="15" customHeight="1" x14ac:dyDescent="0.3">
      <c r="A745" s="33"/>
      <c r="D745" s="34"/>
      <c r="E745" s="34"/>
      <c r="F745" s="33"/>
    </row>
    <row r="746" spans="1:6" ht="15" customHeight="1" x14ac:dyDescent="0.3">
      <c r="A746" s="33"/>
      <c r="D746" s="34"/>
      <c r="E746" s="34"/>
      <c r="F746" s="33"/>
    </row>
    <row r="747" spans="1:6" ht="15" customHeight="1" x14ac:dyDescent="0.3">
      <c r="A747" s="33"/>
      <c r="D747" s="34"/>
      <c r="E747" s="34"/>
      <c r="F747" s="33"/>
    </row>
    <row r="748" spans="1:6" ht="15" customHeight="1" x14ac:dyDescent="0.3">
      <c r="A748" s="33"/>
      <c r="D748" s="34"/>
      <c r="E748" s="34"/>
      <c r="F748" s="33"/>
    </row>
    <row r="749" spans="1:6" ht="15" customHeight="1" x14ac:dyDescent="0.3">
      <c r="A749" s="33"/>
      <c r="D749" s="34"/>
      <c r="E749" s="34"/>
      <c r="F749" s="33"/>
    </row>
    <row r="750" spans="1:6" ht="15" customHeight="1" x14ac:dyDescent="0.3">
      <c r="A750" s="33"/>
      <c r="D750" s="34"/>
      <c r="E750" s="34"/>
      <c r="F750" s="33"/>
    </row>
    <row r="751" spans="1:6" ht="15" customHeight="1" x14ac:dyDescent="0.3">
      <c r="A751" s="33"/>
      <c r="D751" s="34"/>
      <c r="E751" s="34"/>
      <c r="F751" s="33"/>
    </row>
    <row r="752" spans="1:6" ht="15" customHeight="1" x14ac:dyDescent="0.3">
      <c r="A752" s="33"/>
      <c r="D752" s="34"/>
      <c r="E752" s="34"/>
      <c r="F752" s="33"/>
    </row>
    <row r="753" spans="1:6" ht="15" customHeight="1" x14ac:dyDescent="0.3">
      <c r="A753" s="33"/>
      <c r="D753" s="34"/>
      <c r="E753" s="34"/>
      <c r="F753" s="33"/>
    </row>
    <row r="754" spans="1:6" ht="15" customHeight="1" x14ac:dyDescent="0.3">
      <c r="A754" s="33"/>
      <c r="D754" s="34"/>
      <c r="E754" s="34"/>
      <c r="F754" s="33"/>
    </row>
    <row r="755" spans="1:6" ht="15" customHeight="1" x14ac:dyDescent="0.3">
      <c r="A755" s="33"/>
      <c r="D755" s="34"/>
      <c r="E755" s="34"/>
      <c r="F755" s="33"/>
    </row>
    <row r="756" spans="1:6" ht="15" customHeight="1" x14ac:dyDescent="0.3">
      <c r="A756" s="33"/>
      <c r="D756" s="34"/>
      <c r="E756" s="34"/>
      <c r="F756" s="33"/>
    </row>
    <row r="757" spans="1:6" ht="15" customHeight="1" x14ac:dyDescent="0.3">
      <c r="A757" s="33"/>
      <c r="D757" s="34"/>
      <c r="E757" s="34"/>
      <c r="F757" s="33"/>
    </row>
    <row r="758" spans="1:6" ht="15" customHeight="1" x14ac:dyDescent="0.3">
      <c r="A758" s="33"/>
      <c r="D758" s="34"/>
      <c r="E758" s="34"/>
      <c r="F758" s="33"/>
    </row>
    <row r="759" spans="1:6" ht="15" customHeight="1" x14ac:dyDescent="0.3">
      <c r="A759" s="33"/>
      <c r="D759" s="34"/>
      <c r="E759" s="34"/>
      <c r="F759" s="33"/>
    </row>
    <row r="760" spans="1:6" ht="15" customHeight="1" x14ac:dyDescent="0.3">
      <c r="A760" s="33"/>
      <c r="D760" s="34"/>
      <c r="E760" s="34"/>
      <c r="F760" s="33"/>
    </row>
    <row r="761" spans="1:6" ht="15" customHeight="1" x14ac:dyDescent="0.3">
      <c r="A761" s="33"/>
      <c r="D761" s="34"/>
      <c r="E761" s="34"/>
      <c r="F761" s="33"/>
    </row>
    <row r="762" spans="1:6" ht="15" customHeight="1" x14ac:dyDescent="0.3">
      <c r="A762" s="33"/>
      <c r="D762" s="34"/>
      <c r="E762" s="34"/>
      <c r="F762" s="33"/>
    </row>
    <row r="763" spans="1:6" ht="15" customHeight="1" x14ac:dyDescent="0.3">
      <c r="A763" s="33"/>
      <c r="D763" s="34"/>
      <c r="E763" s="34"/>
      <c r="F763" s="33"/>
    </row>
    <row r="764" spans="1:6" ht="15" customHeight="1" x14ac:dyDescent="0.3">
      <c r="A764" s="33"/>
      <c r="D764" s="34"/>
      <c r="E764" s="34"/>
      <c r="F764" s="33"/>
    </row>
    <row r="765" spans="1:6" ht="15" customHeight="1" x14ac:dyDescent="0.3">
      <c r="A765" s="33"/>
      <c r="D765" s="34"/>
      <c r="E765" s="34"/>
      <c r="F765" s="33"/>
    </row>
    <row r="766" spans="1:6" ht="15" customHeight="1" x14ac:dyDescent="0.3">
      <c r="A766" s="33"/>
      <c r="D766" s="34"/>
      <c r="E766" s="34"/>
      <c r="F766" s="33"/>
    </row>
    <row r="767" spans="1:6" ht="15" customHeight="1" x14ac:dyDescent="0.3">
      <c r="A767" s="33"/>
      <c r="D767" s="34"/>
      <c r="E767" s="34"/>
      <c r="F767" s="33"/>
    </row>
    <row r="768" spans="1:6" ht="15" customHeight="1" x14ac:dyDescent="0.3">
      <c r="A768" s="33"/>
      <c r="D768" s="34"/>
      <c r="E768" s="34"/>
      <c r="F768" s="33"/>
    </row>
    <row r="769" spans="1:6" ht="15" customHeight="1" x14ac:dyDescent="0.3">
      <c r="A769" s="33"/>
      <c r="D769" s="34"/>
      <c r="E769" s="34"/>
      <c r="F769" s="33"/>
    </row>
    <row r="770" spans="1:6" ht="15" customHeight="1" x14ac:dyDescent="0.3">
      <c r="A770" s="33"/>
      <c r="D770" s="34"/>
      <c r="E770" s="34"/>
      <c r="F770" s="33"/>
    </row>
    <row r="771" spans="1:6" ht="15" customHeight="1" x14ac:dyDescent="0.3">
      <c r="A771" s="33"/>
      <c r="D771" s="34"/>
      <c r="E771" s="34"/>
      <c r="F771" s="33"/>
    </row>
    <row r="772" spans="1:6" ht="15" customHeight="1" x14ac:dyDescent="0.3">
      <c r="A772" s="33"/>
      <c r="D772" s="34"/>
      <c r="E772" s="34"/>
      <c r="F772" s="33"/>
    </row>
    <row r="773" spans="1:6" ht="15" customHeight="1" x14ac:dyDescent="0.3">
      <c r="A773" s="33"/>
      <c r="D773" s="34"/>
      <c r="E773" s="34"/>
      <c r="F773" s="33"/>
    </row>
    <row r="774" spans="1:6" ht="15" customHeight="1" x14ac:dyDescent="0.3">
      <c r="A774" s="33"/>
      <c r="D774" s="34"/>
      <c r="E774" s="34"/>
      <c r="F774" s="33"/>
    </row>
    <row r="775" spans="1:6" ht="15" customHeight="1" x14ac:dyDescent="0.3">
      <c r="A775" s="33"/>
      <c r="D775" s="34"/>
      <c r="E775" s="34"/>
      <c r="F775" s="33"/>
    </row>
    <row r="776" spans="1:6" ht="15" customHeight="1" x14ac:dyDescent="0.3">
      <c r="A776" s="33"/>
      <c r="D776" s="34"/>
      <c r="E776" s="34"/>
      <c r="F776" s="33"/>
    </row>
    <row r="777" spans="1:6" ht="15" customHeight="1" x14ac:dyDescent="0.3">
      <c r="A777" s="33"/>
      <c r="D777" s="34"/>
      <c r="E777" s="34"/>
      <c r="F777" s="33"/>
    </row>
    <row r="778" spans="1:6" ht="15" customHeight="1" x14ac:dyDescent="0.3">
      <c r="A778" s="33"/>
      <c r="D778" s="34"/>
      <c r="E778" s="34"/>
      <c r="F778" s="33"/>
    </row>
    <row r="779" spans="1:6" ht="15" customHeight="1" x14ac:dyDescent="0.3">
      <c r="A779" s="33"/>
      <c r="D779" s="34"/>
      <c r="E779" s="34"/>
      <c r="F779" s="33"/>
    </row>
    <row r="780" spans="1:6" ht="15" customHeight="1" x14ac:dyDescent="0.3">
      <c r="A780" s="33"/>
      <c r="D780" s="34"/>
      <c r="E780" s="34"/>
      <c r="F780" s="33"/>
    </row>
    <row r="781" spans="1:6" ht="15" customHeight="1" x14ac:dyDescent="0.3">
      <c r="A781" s="33"/>
      <c r="D781" s="34"/>
      <c r="E781" s="34"/>
      <c r="F781" s="33"/>
    </row>
    <row r="782" spans="1:6" ht="15" customHeight="1" x14ac:dyDescent="0.3">
      <c r="A782" s="33"/>
      <c r="D782" s="34"/>
      <c r="E782" s="34"/>
      <c r="F782" s="33"/>
    </row>
    <row r="783" spans="1:6" ht="15" customHeight="1" x14ac:dyDescent="0.3">
      <c r="A783" s="33"/>
      <c r="D783" s="34"/>
      <c r="E783" s="34"/>
      <c r="F783" s="33"/>
    </row>
    <row r="784" spans="1:6" ht="15" customHeight="1" x14ac:dyDescent="0.3">
      <c r="A784" s="33"/>
      <c r="D784" s="34"/>
      <c r="E784" s="34"/>
      <c r="F784" s="33"/>
    </row>
    <row r="785" spans="1:6" ht="15" customHeight="1" x14ac:dyDescent="0.3">
      <c r="A785" s="33"/>
      <c r="D785" s="34"/>
      <c r="E785" s="34"/>
      <c r="F785" s="33"/>
    </row>
    <row r="786" spans="1:6" ht="15" customHeight="1" x14ac:dyDescent="0.3">
      <c r="A786" s="33"/>
      <c r="D786" s="34"/>
      <c r="E786" s="34"/>
      <c r="F786" s="33"/>
    </row>
    <row r="787" spans="1:6" ht="15" customHeight="1" x14ac:dyDescent="0.3">
      <c r="A787" s="33"/>
      <c r="D787" s="34"/>
      <c r="E787" s="34"/>
      <c r="F787" s="33"/>
    </row>
    <row r="788" spans="1:6" ht="15" customHeight="1" x14ac:dyDescent="0.3">
      <c r="A788" s="33"/>
      <c r="D788" s="34"/>
      <c r="E788" s="34"/>
      <c r="F788" s="33"/>
    </row>
    <row r="789" spans="1:6" ht="15" customHeight="1" x14ac:dyDescent="0.3">
      <c r="A789" s="33"/>
      <c r="D789" s="34"/>
      <c r="E789" s="34"/>
      <c r="F789" s="33"/>
    </row>
    <row r="790" spans="1:6" ht="15" customHeight="1" x14ac:dyDescent="0.3">
      <c r="A790" s="33"/>
      <c r="D790" s="34"/>
      <c r="E790" s="34"/>
      <c r="F790" s="33"/>
    </row>
    <row r="791" spans="1:6" ht="15" customHeight="1" x14ac:dyDescent="0.3">
      <c r="A791" s="33"/>
      <c r="D791" s="34"/>
      <c r="E791" s="34"/>
      <c r="F791" s="33"/>
    </row>
    <row r="792" spans="1:6" ht="15" customHeight="1" x14ac:dyDescent="0.3">
      <c r="A792" s="33"/>
      <c r="D792" s="34"/>
      <c r="E792" s="34"/>
      <c r="F792" s="33"/>
    </row>
    <row r="793" spans="1:6" ht="15" customHeight="1" x14ac:dyDescent="0.3">
      <c r="A793" s="33"/>
      <c r="D793" s="34"/>
      <c r="E793" s="34"/>
      <c r="F793" s="33"/>
    </row>
    <row r="794" spans="1:6" ht="15" customHeight="1" x14ac:dyDescent="0.3">
      <c r="A794" s="33"/>
      <c r="D794" s="34"/>
      <c r="E794" s="34"/>
      <c r="F794" s="33"/>
    </row>
    <row r="795" spans="1:6" ht="15" customHeight="1" x14ac:dyDescent="0.3">
      <c r="A795" s="33"/>
      <c r="D795" s="34"/>
      <c r="E795" s="34"/>
      <c r="F795" s="33"/>
    </row>
    <row r="796" spans="1:6" ht="15" customHeight="1" x14ac:dyDescent="0.3">
      <c r="A796" s="33"/>
      <c r="D796" s="34"/>
      <c r="E796" s="34"/>
      <c r="F796" s="33"/>
    </row>
    <row r="797" spans="1:6" ht="15" customHeight="1" x14ac:dyDescent="0.3">
      <c r="A797" s="33"/>
      <c r="D797" s="34"/>
      <c r="E797" s="34"/>
      <c r="F797" s="33"/>
    </row>
    <row r="798" spans="1:6" ht="15" customHeight="1" x14ac:dyDescent="0.3">
      <c r="A798" s="33"/>
      <c r="D798" s="34"/>
      <c r="E798" s="34"/>
      <c r="F798" s="33"/>
    </row>
    <row r="799" spans="1:6" ht="15" customHeight="1" x14ac:dyDescent="0.3">
      <c r="A799" s="33"/>
      <c r="D799" s="34"/>
      <c r="E799" s="34"/>
      <c r="F799" s="33"/>
    </row>
    <row r="800" spans="1:6" ht="15" customHeight="1" x14ac:dyDescent="0.3">
      <c r="A800" s="33"/>
      <c r="D800" s="34"/>
      <c r="E800" s="34"/>
      <c r="F800" s="33"/>
    </row>
    <row r="801" spans="1:6" ht="15" customHeight="1" x14ac:dyDescent="0.3">
      <c r="A801" s="33"/>
      <c r="D801" s="34"/>
      <c r="E801" s="34"/>
      <c r="F801" s="33"/>
    </row>
    <row r="802" spans="1:6" ht="15" customHeight="1" x14ac:dyDescent="0.3">
      <c r="A802" s="33"/>
      <c r="D802" s="34"/>
      <c r="E802" s="34"/>
      <c r="F802" s="33"/>
    </row>
    <row r="803" spans="1:6" ht="15" customHeight="1" x14ac:dyDescent="0.3">
      <c r="A803" s="33"/>
      <c r="D803" s="34"/>
      <c r="E803" s="34"/>
      <c r="F803" s="33"/>
    </row>
    <row r="804" spans="1:6" ht="15" customHeight="1" x14ac:dyDescent="0.3">
      <c r="A804" s="33"/>
      <c r="D804" s="34"/>
      <c r="E804" s="34"/>
      <c r="F804" s="33"/>
    </row>
    <row r="805" spans="1:6" ht="15" customHeight="1" x14ac:dyDescent="0.3">
      <c r="A805" s="33"/>
      <c r="D805" s="34"/>
      <c r="E805" s="34"/>
      <c r="F805" s="33"/>
    </row>
    <row r="806" spans="1:6" ht="15" customHeight="1" x14ac:dyDescent="0.3">
      <c r="A806" s="33"/>
      <c r="D806" s="34"/>
      <c r="E806" s="34"/>
      <c r="F806" s="33"/>
    </row>
    <row r="807" spans="1:6" ht="15" customHeight="1" x14ac:dyDescent="0.3">
      <c r="A807" s="33"/>
      <c r="D807" s="34"/>
      <c r="E807" s="34"/>
      <c r="F807" s="33"/>
    </row>
    <row r="808" spans="1:6" ht="15" customHeight="1" x14ac:dyDescent="0.3">
      <c r="A808" s="33"/>
      <c r="D808" s="34"/>
      <c r="E808" s="34"/>
      <c r="F808" s="33"/>
    </row>
    <row r="809" spans="1:6" ht="15" customHeight="1" x14ac:dyDescent="0.3">
      <c r="A809" s="33"/>
      <c r="D809" s="34"/>
      <c r="E809" s="34"/>
      <c r="F809" s="33"/>
    </row>
    <row r="810" spans="1:6" ht="15" customHeight="1" x14ac:dyDescent="0.3">
      <c r="A810" s="33"/>
      <c r="D810" s="34"/>
      <c r="E810" s="34"/>
      <c r="F810" s="33"/>
    </row>
    <row r="811" spans="1:6" ht="15" customHeight="1" x14ac:dyDescent="0.3">
      <c r="A811" s="33"/>
      <c r="D811" s="34"/>
      <c r="E811" s="34"/>
      <c r="F811" s="33"/>
    </row>
    <row r="812" spans="1:6" ht="15" customHeight="1" x14ac:dyDescent="0.3">
      <c r="A812" s="33"/>
      <c r="D812" s="34"/>
      <c r="E812" s="34"/>
      <c r="F812" s="33"/>
    </row>
    <row r="813" spans="1:6" ht="15" customHeight="1" x14ac:dyDescent="0.3">
      <c r="A813" s="33"/>
      <c r="D813" s="34"/>
      <c r="E813" s="34"/>
      <c r="F813" s="33"/>
    </row>
    <row r="814" spans="1:6" ht="15" customHeight="1" x14ac:dyDescent="0.3">
      <c r="A814" s="33"/>
      <c r="D814" s="34"/>
      <c r="E814" s="34"/>
      <c r="F814" s="33"/>
    </row>
    <row r="815" spans="1:6" ht="15" customHeight="1" x14ac:dyDescent="0.3">
      <c r="A815" s="33"/>
      <c r="D815" s="34"/>
      <c r="E815" s="34"/>
      <c r="F815" s="33"/>
    </row>
    <row r="816" spans="1:6" ht="15" customHeight="1" x14ac:dyDescent="0.3">
      <c r="A816" s="33"/>
      <c r="D816" s="34"/>
      <c r="E816" s="34"/>
      <c r="F816" s="33"/>
    </row>
    <row r="817" spans="1:6" ht="15" customHeight="1" x14ac:dyDescent="0.3">
      <c r="A817" s="33"/>
      <c r="D817" s="34"/>
      <c r="E817" s="34"/>
      <c r="F817" s="33"/>
    </row>
    <row r="818" spans="1:6" ht="15" customHeight="1" x14ac:dyDescent="0.3">
      <c r="A818" s="33"/>
      <c r="D818" s="34"/>
      <c r="E818" s="34"/>
      <c r="F818" s="33"/>
    </row>
    <row r="819" spans="1:6" ht="15" customHeight="1" x14ac:dyDescent="0.3">
      <c r="A819" s="33"/>
      <c r="D819" s="34"/>
      <c r="E819" s="34"/>
      <c r="F819" s="33"/>
    </row>
    <row r="820" spans="1:6" ht="15" customHeight="1" x14ac:dyDescent="0.3">
      <c r="A820" s="33"/>
      <c r="D820" s="34"/>
      <c r="E820" s="34"/>
      <c r="F820" s="33"/>
    </row>
    <row r="821" spans="1:6" ht="15" customHeight="1" x14ac:dyDescent="0.3">
      <c r="A821" s="33"/>
      <c r="D821" s="34"/>
      <c r="E821" s="34"/>
      <c r="F821" s="33"/>
    </row>
    <row r="822" spans="1:6" ht="15" customHeight="1" x14ac:dyDescent="0.3">
      <c r="A822" s="33"/>
      <c r="D822" s="34"/>
      <c r="E822" s="34"/>
      <c r="F822" s="33"/>
    </row>
    <row r="823" spans="1:6" ht="15" customHeight="1" x14ac:dyDescent="0.3">
      <c r="A823" s="33"/>
      <c r="D823" s="34"/>
      <c r="E823" s="34"/>
      <c r="F823" s="33"/>
    </row>
    <row r="824" spans="1:6" ht="15" customHeight="1" x14ac:dyDescent="0.3">
      <c r="A824" s="33"/>
      <c r="D824" s="34"/>
      <c r="E824" s="34"/>
      <c r="F824" s="33"/>
    </row>
    <row r="825" spans="1:6" ht="15" customHeight="1" x14ac:dyDescent="0.3">
      <c r="A825" s="33"/>
      <c r="D825" s="34"/>
      <c r="E825" s="34"/>
      <c r="F825" s="33"/>
    </row>
    <row r="826" spans="1:6" ht="15" customHeight="1" x14ac:dyDescent="0.3">
      <c r="A826" s="33"/>
      <c r="D826" s="34"/>
      <c r="E826" s="34"/>
      <c r="F826" s="33"/>
    </row>
    <row r="827" spans="1:6" ht="15" customHeight="1" x14ac:dyDescent="0.3">
      <c r="A827" s="33"/>
      <c r="D827" s="34"/>
      <c r="E827" s="34"/>
      <c r="F827" s="33"/>
    </row>
    <row r="828" spans="1:6" ht="15" customHeight="1" x14ac:dyDescent="0.3">
      <c r="A828" s="33"/>
      <c r="D828" s="34"/>
      <c r="E828" s="34"/>
      <c r="F828" s="33"/>
    </row>
    <row r="829" spans="1:6" ht="15" customHeight="1" x14ac:dyDescent="0.3">
      <c r="A829" s="33"/>
      <c r="D829" s="34"/>
      <c r="E829" s="34"/>
      <c r="F829" s="33"/>
    </row>
    <row r="830" spans="1:6" ht="15" customHeight="1" x14ac:dyDescent="0.3">
      <c r="A830" s="33"/>
      <c r="D830" s="34"/>
      <c r="E830" s="34"/>
      <c r="F830" s="33"/>
    </row>
    <row r="831" spans="1:6" ht="15" customHeight="1" x14ac:dyDescent="0.3">
      <c r="A831" s="33"/>
      <c r="D831" s="34"/>
      <c r="E831" s="34"/>
      <c r="F831" s="33"/>
    </row>
    <row r="832" spans="1:6" ht="15" customHeight="1" x14ac:dyDescent="0.3">
      <c r="A832" s="33"/>
      <c r="D832" s="34"/>
      <c r="E832" s="34"/>
      <c r="F832" s="33"/>
    </row>
    <row r="833" spans="1:6" ht="15" customHeight="1" x14ac:dyDescent="0.3">
      <c r="A833" s="33"/>
      <c r="D833" s="34"/>
      <c r="E833" s="34"/>
      <c r="F833" s="33"/>
    </row>
    <row r="834" spans="1:6" ht="15" customHeight="1" x14ac:dyDescent="0.3">
      <c r="A834" s="33"/>
      <c r="D834" s="34"/>
      <c r="E834" s="34"/>
      <c r="F834" s="33"/>
    </row>
    <row r="835" spans="1:6" ht="15" customHeight="1" x14ac:dyDescent="0.3">
      <c r="A835" s="33"/>
      <c r="D835" s="34"/>
      <c r="E835" s="34"/>
      <c r="F835" s="33"/>
    </row>
    <row r="836" spans="1:6" ht="15" customHeight="1" x14ac:dyDescent="0.3">
      <c r="A836" s="33"/>
      <c r="D836" s="34"/>
      <c r="E836" s="34"/>
      <c r="F836" s="33"/>
    </row>
    <row r="837" spans="1:6" ht="15" customHeight="1" x14ac:dyDescent="0.3">
      <c r="A837" s="33"/>
      <c r="D837" s="34"/>
      <c r="E837" s="34"/>
      <c r="F837" s="33"/>
    </row>
    <row r="838" spans="1:6" ht="15" customHeight="1" x14ac:dyDescent="0.3">
      <c r="A838" s="33"/>
      <c r="D838" s="34"/>
      <c r="E838" s="34"/>
      <c r="F838" s="33"/>
    </row>
    <row r="839" spans="1:6" ht="15" customHeight="1" x14ac:dyDescent="0.3">
      <c r="A839" s="33"/>
      <c r="D839" s="34"/>
      <c r="E839" s="34"/>
      <c r="F839" s="33"/>
    </row>
    <row r="840" spans="1:6" ht="15" customHeight="1" x14ac:dyDescent="0.3">
      <c r="A840" s="33"/>
      <c r="D840" s="34"/>
      <c r="E840" s="34"/>
      <c r="F840" s="33"/>
    </row>
    <row r="841" spans="1:6" ht="15" customHeight="1" x14ac:dyDescent="0.3">
      <c r="A841" s="33"/>
      <c r="D841" s="34"/>
      <c r="E841" s="34"/>
      <c r="F841" s="33"/>
    </row>
    <row r="842" spans="1:6" ht="15" customHeight="1" x14ac:dyDescent="0.3">
      <c r="A842" s="33"/>
      <c r="D842" s="34"/>
      <c r="E842" s="34"/>
      <c r="F842" s="33"/>
    </row>
    <row r="843" spans="1:6" ht="15" customHeight="1" x14ac:dyDescent="0.3">
      <c r="A843" s="33"/>
      <c r="D843" s="34"/>
      <c r="E843" s="34"/>
      <c r="F843" s="33"/>
    </row>
    <row r="844" spans="1:6" ht="15" customHeight="1" x14ac:dyDescent="0.3">
      <c r="A844" s="33"/>
      <c r="D844" s="34"/>
      <c r="E844" s="34"/>
      <c r="F844" s="33"/>
    </row>
    <row r="845" spans="1:6" ht="15" customHeight="1" x14ac:dyDescent="0.3">
      <c r="A845" s="33"/>
      <c r="D845" s="34"/>
      <c r="E845" s="34"/>
      <c r="F845" s="33"/>
    </row>
    <row r="846" spans="1:6" ht="15" customHeight="1" x14ac:dyDescent="0.3">
      <c r="A846" s="33"/>
      <c r="D846" s="34"/>
      <c r="E846" s="34"/>
      <c r="F846" s="33"/>
    </row>
    <row r="847" spans="1:6" ht="15" customHeight="1" x14ac:dyDescent="0.3">
      <c r="A847" s="33"/>
      <c r="D847" s="34"/>
      <c r="E847" s="34"/>
      <c r="F847" s="33"/>
    </row>
    <row r="848" spans="1:6" ht="15" customHeight="1" x14ac:dyDescent="0.3">
      <c r="A848" s="33"/>
      <c r="D848" s="34"/>
      <c r="E848" s="34"/>
      <c r="F848" s="33"/>
    </row>
    <row r="849" spans="1:6" ht="15" customHeight="1" x14ac:dyDescent="0.3">
      <c r="A849" s="33"/>
      <c r="D849" s="34"/>
      <c r="E849" s="34"/>
      <c r="F849" s="33"/>
    </row>
    <row r="850" spans="1:6" ht="15" customHeight="1" x14ac:dyDescent="0.3">
      <c r="A850" s="33"/>
      <c r="D850" s="34"/>
      <c r="E850" s="34"/>
      <c r="F850" s="33"/>
    </row>
    <row r="851" spans="1:6" ht="15" customHeight="1" x14ac:dyDescent="0.3">
      <c r="A851" s="33"/>
      <c r="D851" s="34"/>
      <c r="E851" s="34"/>
      <c r="F851" s="33"/>
    </row>
    <row r="852" spans="1:6" ht="15" customHeight="1" x14ac:dyDescent="0.3">
      <c r="A852" s="33"/>
      <c r="D852" s="34"/>
      <c r="E852" s="34"/>
      <c r="F852" s="33"/>
    </row>
    <row r="853" spans="1:6" ht="15" customHeight="1" x14ac:dyDescent="0.3">
      <c r="A853" s="33"/>
      <c r="D853" s="34"/>
      <c r="E853" s="34"/>
      <c r="F853" s="33"/>
    </row>
    <row r="854" spans="1:6" ht="15" customHeight="1" x14ac:dyDescent="0.3">
      <c r="A854" s="33"/>
      <c r="D854" s="34"/>
      <c r="E854" s="34"/>
      <c r="F854" s="33"/>
    </row>
    <row r="855" spans="1:6" ht="15" customHeight="1" x14ac:dyDescent="0.3">
      <c r="A855" s="33"/>
      <c r="D855" s="34"/>
      <c r="E855" s="34"/>
      <c r="F855" s="33"/>
    </row>
    <row r="856" spans="1:6" ht="15" customHeight="1" x14ac:dyDescent="0.3">
      <c r="A856" s="33"/>
      <c r="D856" s="34"/>
      <c r="E856" s="34"/>
      <c r="F856" s="33"/>
    </row>
    <row r="857" spans="1:6" ht="15" customHeight="1" x14ac:dyDescent="0.3">
      <c r="A857" s="33"/>
      <c r="D857" s="34"/>
      <c r="E857" s="34"/>
      <c r="F857" s="33"/>
    </row>
    <row r="858" spans="1:6" ht="15" customHeight="1" x14ac:dyDescent="0.3">
      <c r="A858" s="33"/>
      <c r="D858" s="34"/>
      <c r="E858" s="34"/>
      <c r="F858" s="33"/>
    </row>
    <row r="859" spans="1:6" ht="15" customHeight="1" x14ac:dyDescent="0.3">
      <c r="A859" s="33"/>
      <c r="D859" s="34"/>
      <c r="E859" s="34"/>
      <c r="F859" s="33"/>
    </row>
    <row r="860" spans="1:6" ht="15" customHeight="1" x14ac:dyDescent="0.3">
      <c r="A860" s="33"/>
      <c r="D860" s="34"/>
      <c r="E860" s="34"/>
      <c r="F860" s="33"/>
    </row>
    <row r="861" spans="1:6" ht="15" customHeight="1" x14ac:dyDescent="0.3">
      <c r="A861" s="33"/>
      <c r="D861" s="34"/>
      <c r="E861" s="34"/>
      <c r="F861" s="33"/>
    </row>
    <row r="862" spans="1:6" ht="15" customHeight="1" x14ac:dyDescent="0.3">
      <c r="A862" s="33"/>
      <c r="D862" s="34"/>
      <c r="E862" s="34"/>
      <c r="F862" s="33"/>
    </row>
    <row r="863" spans="1:6" ht="15" customHeight="1" x14ac:dyDescent="0.3">
      <c r="A863" s="33"/>
      <c r="D863" s="34"/>
      <c r="E863" s="34"/>
      <c r="F863" s="33"/>
    </row>
    <row r="864" spans="1:6" ht="15" customHeight="1" x14ac:dyDescent="0.3">
      <c r="A864" s="33"/>
      <c r="D864" s="34"/>
      <c r="E864" s="34"/>
      <c r="F864" s="33"/>
    </row>
    <row r="865" spans="1:6" ht="15" customHeight="1" x14ac:dyDescent="0.3">
      <c r="A865" s="33"/>
      <c r="D865" s="34"/>
      <c r="E865" s="34"/>
      <c r="F865" s="33"/>
    </row>
    <row r="866" spans="1:6" ht="15" customHeight="1" x14ac:dyDescent="0.3">
      <c r="A866" s="33"/>
      <c r="D866" s="34"/>
      <c r="E866" s="34"/>
      <c r="F866" s="33"/>
    </row>
    <row r="867" spans="1:6" ht="15" customHeight="1" x14ac:dyDescent="0.3">
      <c r="A867" s="33"/>
      <c r="D867" s="34"/>
      <c r="E867" s="34"/>
      <c r="F867" s="33"/>
    </row>
    <row r="868" spans="1:6" ht="15" customHeight="1" x14ac:dyDescent="0.3">
      <c r="A868" s="33"/>
      <c r="D868" s="34"/>
      <c r="E868" s="34"/>
      <c r="F868" s="33"/>
    </row>
    <row r="869" spans="1:6" ht="15" customHeight="1" x14ac:dyDescent="0.3">
      <c r="A869" s="33"/>
      <c r="D869" s="34"/>
      <c r="E869" s="34"/>
      <c r="F869" s="33"/>
    </row>
    <row r="870" spans="1:6" ht="15" customHeight="1" x14ac:dyDescent="0.3">
      <c r="A870" s="33"/>
      <c r="D870" s="34"/>
      <c r="E870" s="34"/>
      <c r="F870" s="33"/>
    </row>
    <row r="871" spans="1:6" ht="15" customHeight="1" x14ac:dyDescent="0.3">
      <c r="A871" s="33"/>
      <c r="D871" s="34"/>
      <c r="E871" s="34"/>
      <c r="F871" s="33"/>
    </row>
    <row r="872" spans="1:6" ht="15" customHeight="1" x14ac:dyDescent="0.3">
      <c r="A872" s="33"/>
      <c r="D872" s="34"/>
      <c r="E872" s="34"/>
      <c r="F872" s="33"/>
    </row>
    <row r="873" spans="1:6" ht="15" customHeight="1" x14ac:dyDescent="0.3">
      <c r="A873" s="33"/>
      <c r="D873" s="34"/>
      <c r="E873" s="34"/>
      <c r="F873" s="33"/>
    </row>
    <row r="874" spans="1:6" ht="15" customHeight="1" x14ac:dyDescent="0.3">
      <c r="A874" s="33"/>
      <c r="D874" s="34"/>
      <c r="E874" s="34"/>
      <c r="F874" s="33"/>
    </row>
    <row r="875" spans="1:6" ht="15" customHeight="1" x14ac:dyDescent="0.3">
      <c r="A875" s="33"/>
      <c r="D875" s="34"/>
      <c r="E875" s="34"/>
      <c r="F875" s="33"/>
    </row>
    <row r="876" spans="1:6" ht="15" customHeight="1" x14ac:dyDescent="0.3">
      <c r="A876" s="33"/>
      <c r="D876" s="34"/>
      <c r="E876" s="34"/>
      <c r="F876" s="33"/>
    </row>
    <row r="877" spans="1:6" ht="15" customHeight="1" x14ac:dyDescent="0.3">
      <c r="A877" s="33"/>
      <c r="D877" s="34"/>
      <c r="E877" s="34"/>
      <c r="F877" s="33"/>
    </row>
    <row r="878" spans="1:6" ht="15" customHeight="1" x14ac:dyDescent="0.3">
      <c r="A878" s="33"/>
      <c r="D878" s="34"/>
      <c r="E878" s="34"/>
      <c r="F878" s="33"/>
    </row>
    <row r="879" spans="1:6" ht="15" customHeight="1" x14ac:dyDescent="0.3">
      <c r="A879" s="33"/>
      <c r="D879" s="34"/>
      <c r="E879" s="34"/>
      <c r="F879" s="33"/>
    </row>
    <row r="880" spans="1:6" ht="15" customHeight="1" x14ac:dyDescent="0.3">
      <c r="A880" s="33"/>
      <c r="D880" s="34"/>
      <c r="E880" s="34"/>
      <c r="F880" s="33"/>
    </row>
    <row r="881" spans="1:6" ht="15" customHeight="1" x14ac:dyDescent="0.3">
      <c r="A881" s="33"/>
      <c r="D881" s="34"/>
      <c r="E881" s="34"/>
      <c r="F881" s="33"/>
    </row>
    <row r="882" spans="1:6" ht="15" customHeight="1" x14ac:dyDescent="0.3">
      <c r="A882" s="33"/>
      <c r="D882" s="34"/>
      <c r="E882" s="34"/>
      <c r="F882" s="33"/>
    </row>
    <row r="883" spans="1:6" ht="15" customHeight="1" x14ac:dyDescent="0.3">
      <c r="A883" s="33"/>
      <c r="D883" s="34"/>
      <c r="E883" s="34"/>
      <c r="F883" s="33"/>
    </row>
    <row r="884" spans="1:6" ht="15" customHeight="1" x14ac:dyDescent="0.3">
      <c r="A884" s="33"/>
      <c r="D884" s="34"/>
      <c r="E884" s="34"/>
      <c r="F884" s="33"/>
    </row>
    <row r="885" spans="1:6" ht="15" customHeight="1" x14ac:dyDescent="0.3">
      <c r="A885" s="33"/>
      <c r="D885" s="34"/>
      <c r="E885" s="34"/>
      <c r="F885" s="33"/>
    </row>
    <row r="886" spans="1:6" ht="15" customHeight="1" x14ac:dyDescent="0.3">
      <c r="A886" s="33"/>
      <c r="D886" s="34"/>
      <c r="E886" s="34"/>
      <c r="F886" s="33"/>
    </row>
    <row r="887" spans="1:6" ht="15" customHeight="1" x14ac:dyDescent="0.3">
      <c r="A887" s="33"/>
      <c r="D887" s="34"/>
      <c r="E887" s="34"/>
      <c r="F887" s="33"/>
    </row>
    <row r="888" spans="1:6" ht="15" customHeight="1" x14ac:dyDescent="0.3">
      <c r="A888" s="33"/>
      <c r="D888" s="34"/>
      <c r="E888" s="34"/>
      <c r="F888" s="33"/>
    </row>
    <row r="889" spans="1:6" ht="15" customHeight="1" x14ac:dyDescent="0.3">
      <c r="A889" s="33"/>
      <c r="D889" s="34"/>
      <c r="E889" s="34"/>
      <c r="F889" s="33"/>
    </row>
    <row r="890" spans="1:6" ht="15" customHeight="1" x14ac:dyDescent="0.3">
      <c r="A890" s="33"/>
      <c r="D890" s="34"/>
      <c r="E890" s="34"/>
      <c r="F890" s="33"/>
    </row>
    <row r="891" spans="1:6" ht="15" customHeight="1" x14ac:dyDescent="0.3">
      <c r="A891" s="33"/>
      <c r="D891" s="34"/>
      <c r="E891" s="34"/>
      <c r="F891" s="33"/>
    </row>
    <row r="892" spans="1:6" ht="15" customHeight="1" x14ac:dyDescent="0.3">
      <c r="A892" s="33"/>
      <c r="D892" s="34"/>
      <c r="E892" s="34"/>
      <c r="F892" s="33"/>
    </row>
    <row r="893" spans="1:6" ht="15" customHeight="1" x14ac:dyDescent="0.3">
      <c r="A893" s="33"/>
      <c r="D893" s="34"/>
      <c r="E893" s="34"/>
      <c r="F893" s="33"/>
    </row>
    <row r="894" spans="1:6" ht="15" customHeight="1" x14ac:dyDescent="0.3">
      <c r="A894" s="33"/>
      <c r="D894" s="34"/>
      <c r="E894" s="34"/>
      <c r="F894" s="33"/>
    </row>
    <row r="895" spans="1:6" ht="15" customHeight="1" x14ac:dyDescent="0.3">
      <c r="A895" s="33"/>
      <c r="D895" s="34"/>
      <c r="E895" s="34"/>
      <c r="F895" s="33"/>
    </row>
    <row r="896" spans="1:6" ht="15" customHeight="1" x14ac:dyDescent="0.3">
      <c r="A896" s="33"/>
      <c r="D896" s="34"/>
      <c r="E896" s="34"/>
      <c r="F896" s="33"/>
    </row>
    <row r="897" spans="1:6" ht="15" customHeight="1" x14ac:dyDescent="0.3">
      <c r="A897" s="33"/>
      <c r="D897" s="34"/>
      <c r="E897" s="34"/>
      <c r="F897" s="33"/>
    </row>
    <row r="898" spans="1:6" ht="15" customHeight="1" x14ac:dyDescent="0.3">
      <c r="A898" s="33"/>
      <c r="D898" s="34"/>
      <c r="E898" s="34"/>
      <c r="F898" s="33"/>
    </row>
    <row r="899" spans="1:6" ht="15" customHeight="1" x14ac:dyDescent="0.3">
      <c r="A899" s="33"/>
      <c r="D899" s="34"/>
      <c r="E899" s="34"/>
      <c r="F899" s="33"/>
    </row>
    <row r="900" spans="1:6" ht="15" customHeight="1" x14ac:dyDescent="0.3">
      <c r="A900" s="33"/>
      <c r="D900" s="34"/>
      <c r="E900" s="34"/>
      <c r="F900" s="33"/>
    </row>
    <row r="901" spans="1:6" ht="15" customHeight="1" x14ac:dyDescent="0.3">
      <c r="A901" s="33"/>
      <c r="D901" s="34"/>
      <c r="E901" s="34"/>
      <c r="F901" s="33"/>
    </row>
    <row r="902" spans="1:6" ht="15" customHeight="1" x14ac:dyDescent="0.3">
      <c r="A902" s="33"/>
      <c r="D902" s="34"/>
      <c r="E902" s="34"/>
      <c r="F902" s="33"/>
    </row>
    <row r="903" spans="1:6" ht="15" customHeight="1" x14ac:dyDescent="0.3">
      <c r="A903" s="33"/>
      <c r="D903" s="34"/>
      <c r="E903" s="34"/>
      <c r="F903" s="33"/>
    </row>
    <row r="904" spans="1:6" ht="15" customHeight="1" x14ac:dyDescent="0.3">
      <c r="A904" s="33"/>
      <c r="D904" s="34"/>
      <c r="E904" s="34"/>
      <c r="F904" s="33"/>
    </row>
    <row r="905" spans="1:6" ht="15" customHeight="1" x14ac:dyDescent="0.3">
      <c r="A905" s="33"/>
      <c r="D905" s="34"/>
      <c r="E905" s="34"/>
      <c r="F905" s="33"/>
    </row>
    <row r="906" spans="1:6" ht="15" customHeight="1" x14ac:dyDescent="0.3">
      <c r="A906" s="33"/>
      <c r="D906" s="34"/>
      <c r="E906" s="34"/>
      <c r="F906" s="33"/>
    </row>
    <row r="907" spans="1:6" ht="15" customHeight="1" x14ac:dyDescent="0.3">
      <c r="A907" s="33"/>
      <c r="D907" s="34"/>
      <c r="E907" s="34"/>
      <c r="F907" s="33"/>
    </row>
    <row r="908" spans="1:6" ht="15" customHeight="1" x14ac:dyDescent="0.3">
      <c r="A908" s="33"/>
      <c r="D908" s="34"/>
      <c r="E908" s="34"/>
      <c r="F908" s="33"/>
    </row>
    <row r="909" spans="1:6" ht="15" customHeight="1" x14ac:dyDescent="0.3">
      <c r="A909" s="33"/>
      <c r="D909" s="34"/>
      <c r="E909" s="34"/>
      <c r="F909" s="33"/>
    </row>
    <row r="910" spans="1:6" ht="15" customHeight="1" x14ac:dyDescent="0.3">
      <c r="A910" s="33"/>
      <c r="D910" s="34"/>
      <c r="E910" s="34"/>
      <c r="F910" s="33"/>
    </row>
    <row r="911" spans="1:6" ht="15" customHeight="1" x14ac:dyDescent="0.3">
      <c r="A911" s="33"/>
      <c r="D911" s="34"/>
      <c r="E911" s="34"/>
      <c r="F911" s="33"/>
    </row>
    <row r="912" spans="1:6" ht="15" customHeight="1" x14ac:dyDescent="0.3">
      <c r="A912" s="33"/>
      <c r="D912" s="34"/>
      <c r="E912" s="34"/>
      <c r="F912" s="33"/>
    </row>
    <row r="913" spans="1:6" ht="15" customHeight="1" x14ac:dyDescent="0.3">
      <c r="A913" s="33"/>
      <c r="D913" s="34"/>
      <c r="E913" s="34"/>
      <c r="F913" s="33"/>
    </row>
    <row r="914" spans="1:6" ht="15" customHeight="1" x14ac:dyDescent="0.3">
      <c r="A914" s="33"/>
      <c r="D914" s="34"/>
      <c r="E914" s="34"/>
      <c r="F914" s="33"/>
    </row>
    <row r="915" spans="1:6" ht="15" customHeight="1" x14ac:dyDescent="0.3">
      <c r="A915" s="33"/>
      <c r="D915" s="34"/>
      <c r="E915" s="34"/>
      <c r="F915" s="33"/>
    </row>
    <row r="916" spans="1:6" ht="15" customHeight="1" x14ac:dyDescent="0.3">
      <c r="A916" s="33"/>
      <c r="D916" s="34"/>
      <c r="E916" s="34"/>
      <c r="F916" s="33"/>
    </row>
    <row r="917" spans="1:6" ht="15" customHeight="1" x14ac:dyDescent="0.3">
      <c r="A917" s="33"/>
      <c r="D917" s="34"/>
      <c r="E917" s="34"/>
      <c r="F917" s="33"/>
    </row>
    <row r="918" spans="1:6" ht="15" customHeight="1" x14ac:dyDescent="0.3">
      <c r="A918" s="33"/>
      <c r="D918" s="34"/>
      <c r="E918" s="34"/>
      <c r="F918" s="33"/>
    </row>
    <row r="919" spans="1:6" ht="15" customHeight="1" x14ac:dyDescent="0.3">
      <c r="A919" s="33"/>
      <c r="D919" s="34"/>
      <c r="E919" s="34"/>
      <c r="F919" s="33"/>
    </row>
    <row r="920" spans="1:6" ht="15" customHeight="1" x14ac:dyDescent="0.3">
      <c r="A920" s="33"/>
      <c r="D920" s="34"/>
      <c r="E920" s="34"/>
      <c r="F920" s="33"/>
    </row>
    <row r="921" spans="1:6" ht="15" customHeight="1" x14ac:dyDescent="0.3">
      <c r="A921" s="33"/>
      <c r="D921" s="34"/>
      <c r="E921" s="34"/>
      <c r="F921" s="33"/>
    </row>
    <row r="922" spans="1:6" ht="15" customHeight="1" x14ac:dyDescent="0.3">
      <c r="A922" s="33"/>
      <c r="D922" s="34"/>
      <c r="E922" s="34"/>
      <c r="F922" s="33"/>
    </row>
    <row r="923" spans="1:6" ht="15" customHeight="1" x14ac:dyDescent="0.3">
      <c r="A923" s="33"/>
      <c r="D923" s="34"/>
      <c r="E923" s="34"/>
      <c r="F923" s="33"/>
    </row>
    <row r="924" spans="1:6" ht="15" customHeight="1" x14ac:dyDescent="0.3">
      <c r="A924" s="33"/>
      <c r="D924" s="34"/>
      <c r="E924" s="34"/>
      <c r="F924" s="33"/>
    </row>
    <row r="925" spans="1:6" ht="15" customHeight="1" x14ac:dyDescent="0.3">
      <c r="A925" s="33"/>
      <c r="D925" s="34"/>
      <c r="E925" s="34"/>
      <c r="F925" s="33"/>
    </row>
    <row r="926" spans="1:6" ht="15" customHeight="1" x14ac:dyDescent="0.3">
      <c r="A926" s="33"/>
      <c r="D926" s="34"/>
      <c r="E926" s="34"/>
      <c r="F926" s="33"/>
    </row>
    <row r="927" spans="1:6" ht="15" customHeight="1" x14ac:dyDescent="0.3">
      <c r="A927" s="33"/>
      <c r="D927" s="34"/>
      <c r="E927" s="34"/>
      <c r="F927" s="33"/>
    </row>
    <row r="928" spans="1:6" ht="15" customHeight="1" x14ac:dyDescent="0.3">
      <c r="A928" s="33"/>
      <c r="D928" s="34"/>
      <c r="E928" s="34"/>
      <c r="F928" s="33"/>
    </row>
    <row r="929" spans="1:6" ht="15" customHeight="1" x14ac:dyDescent="0.3">
      <c r="A929" s="33"/>
      <c r="D929" s="34"/>
      <c r="E929" s="34"/>
      <c r="F929" s="33"/>
    </row>
    <row r="930" spans="1:6" ht="15" customHeight="1" x14ac:dyDescent="0.3">
      <c r="A930" s="33"/>
      <c r="D930" s="34"/>
      <c r="E930" s="34"/>
      <c r="F930" s="33"/>
    </row>
    <row r="931" spans="1:6" ht="15" customHeight="1" x14ac:dyDescent="0.3">
      <c r="A931" s="33"/>
      <c r="D931" s="34"/>
      <c r="E931" s="34"/>
      <c r="F931" s="33"/>
    </row>
    <row r="932" spans="1:6" ht="15" customHeight="1" x14ac:dyDescent="0.3">
      <c r="A932" s="33"/>
      <c r="D932" s="34"/>
      <c r="E932" s="34"/>
      <c r="F932" s="33"/>
    </row>
    <row r="933" spans="1:6" ht="15" customHeight="1" x14ac:dyDescent="0.3">
      <c r="A933" s="33"/>
      <c r="D933" s="34"/>
      <c r="E933" s="34"/>
      <c r="F933" s="33"/>
    </row>
    <row r="934" spans="1:6" ht="15" customHeight="1" x14ac:dyDescent="0.3">
      <c r="A934" s="33"/>
      <c r="D934" s="34"/>
      <c r="E934" s="34"/>
      <c r="F934" s="33"/>
    </row>
    <row r="935" spans="1:6" ht="15" customHeight="1" x14ac:dyDescent="0.3">
      <c r="A935" s="33"/>
      <c r="D935" s="34"/>
      <c r="E935" s="34"/>
      <c r="F935" s="33"/>
    </row>
    <row r="936" spans="1:6" ht="15" customHeight="1" x14ac:dyDescent="0.3">
      <c r="A936" s="33"/>
      <c r="D936" s="34"/>
      <c r="E936" s="34"/>
      <c r="F936" s="33"/>
    </row>
    <row r="937" spans="1:6" ht="15" customHeight="1" x14ac:dyDescent="0.3">
      <c r="A937" s="33"/>
      <c r="D937" s="34"/>
      <c r="E937" s="34"/>
      <c r="F937" s="33"/>
    </row>
    <row r="938" spans="1:6" ht="15" customHeight="1" x14ac:dyDescent="0.3">
      <c r="A938" s="33"/>
      <c r="D938" s="34"/>
      <c r="E938" s="34"/>
      <c r="F938" s="33"/>
    </row>
    <row r="939" spans="1:6" ht="15" customHeight="1" x14ac:dyDescent="0.3">
      <c r="A939" s="33"/>
      <c r="D939" s="34"/>
      <c r="E939" s="34"/>
      <c r="F939" s="33"/>
    </row>
    <row r="940" spans="1:6" ht="15" customHeight="1" x14ac:dyDescent="0.3">
      <c r="A940" s="33"/>
      <c r="D940" s="34"/>
      <c r="E940" s="34"/>
      <c r="F940" s="33"/>
    </row>
    <row r="941" spans="1:6" ht="15" customHeight="1" x14ac:dyDescent="0.3">
      <c r="A941" s="33"/>
      <c r="D941" s="34"/>
      <c r="E941" s="34"/>
      <c r="F941" s="33"/>
    </row>
    <row r="942" spans="1:6" ht="15" customHeight="1" x14ac:dyDescent="0.3">
      <c r="A942" s="33"/>
      <c r="D942" s="34"/>
      <c r="E942" s="34"/>
      <c r="F942" s="33"/>
    </row>
    <row r="943" spans="1:6" ht="15" customHeight="1" x14ac:dyDescent="0.3">
      <c r="A943" s="33"/>
      <c r="D943" s="34"/>
      <c r="E943" s="34"/>
      <c r="F943" s="33"/>
    </row>
    <row r="944" spans="1:6" ht="15" customHeight="1" x14ac:dyDescent="0.3">
      <c r="A944" s="33"/>
      <c r="D944" s="34"/>
      <c r="E944" s="34"/>
      <c r="F944" s="33"/>
    </row>
    <row r="945" spans="1:6" ht="15" customHeight="1" x14ac:dyDescent="0.3">
      <c r="A945" s="33"/>
      <c r="D945" s="34"/>
      <c r="E945" s="34"/>
      <c r="F945" s="33"/>
    </row>
    <row r="946" spans="1:6" ht="15" customHeight="1" x14ac:dyDescent="0.3">
      <c r="A946" s="33"/>
      <c r="D946" s="34"/>
      <c r="E946" s="34"/>
      <c r="F946" s="33"/>
    </row>
    <row r="947" spans="1:6" ht="15" customHeight="1" x14ac:dyDescent="0.3">
      <c r="A947" s="33"/>
      <c r="D947" s="34"/>
      <c r="E947" s="34"/>
      <c r="F947" s="33"/>
    </row>
    <row r="948" spans="1:6" ht="15" customHeight="1" x14ac:dyDescent="0.3">
      <c r="A948" s="33"/>
      <c r="D948" s="34"/>
      <c r="E948" s="34"/>
      <c r="F948" s="33"/>
    </row>
    <row r="949" spans="1:6" ht="15" customHeight="1" x14ac:dyDescent="0.3">
      <c r="A949" s="33"/>
      <c r="D949" s="34"/>
      <c r="E949" s="34"/>
      <c r="F949" s="33"/>
    </row>
    <row r="950" spans="1:6" ht="15" customHeight="1" x14ac:dyDescent="0.3">
      <c r="A950" s="33"/>
      <c r="D950" s="34"/>
      <c r="E950" s="34"/>
      <c r="F950" s="33"/>
    </row>
    <row r="951" spans="1:6" ht="15" customHeight="1" x14ac:dyDescent="0.3">
      <c r="A951" s="33"/>
      <c r="D951" s="34"/>
      <c r="E951" s="34"/>
      <c r="F951" s="33"/>
    </row>
    <row r="952" spans="1:6" ht="15" customHeight="1" x14ac:dyDescent="0.3">
      <c r="A952" s="33"/>
      <c r="D952" s="34"/>
      <c r="E952" s="34"/>
      <c r="F952" s="33"/>
    </row>
    <row r="953" spans="1:6" ht="15" customHeight="1" x14ac:dyDescent="0.3">
      <c r="A953" s="33"/>
      <c r="D953" s="34"/>
      <c r="E953" s="34"/>
      <c r="F953" s="33"/>
    </row>
    <row r="954" spans="1:6" ht="15" customHeight="1" x14ac:dyDescent="0.3">
      <c r="A954" s="33"/>
      <c r="D954" s="34"/>
      <c r="E954" s="34"/>
      <c r="F954" s="33"/>
    </row>
    <row r="955" spans="1:6" ht="15" customHeight="1" x14ac:dyDescent="0.3">
      <c r="A955" s="33"/>
      <c r="D955" s="34"/>
      <c r="E955" s="34"/>
      <c r="F955" s="33"/>
    </row>
    <row r="956" spans="1:6" ht="15" customHeight="1" x14ac:dyDescent="0.3">
      <c r="A956" s="33"/>
      <c r="D956" s="34"/>
      <c r="E956" s="34"/>
      <c r="F956" s="33"/>
    </row>
    <row r="957" spans="1:6" ht="15" customHeight="1" x14ac:dyDescent="0.3">
      <c r="A957" s="33"/>
      <c r="D957" s="34"/>
      <c r="E957" s="34"/>
      <c r="F957" s="33"/>
    </row>
    <row r="958" spans="1:6" ht="15" customHeight="1" x14ac:dyDescent="0.3">
      <c r="A958" s="33"/>
      <c r="D958" s="34"/>
      <c r="E958" s="34"/>
      <c r="F958" s="33"/>
    </row>
    <row r="959" spans="1:6" ht="15" customHeight="1" x14ac:dyDescent="0.3">
      <c r="A959" s="33"/>
      <c r="D959" s="34"/>
      <c r="E959" s="34"/>
      <c r="F959" s="33"/>
    </row>
    <row r="960" spans="1:6" ht="15" customHeight="1" x14ac:dyDescent="0.3">
      <c r="A960" s="33"/>
      <c r="D960" s="34"/>
      <c r="E960" s="34"/>
      <c r="F960" s="33"/>
    </row>
    <row r="961" spans="1:6" ht="15" customHeight="1" x14ac:dyDescent="0.3">
      <c r="A961" s="33"/>
      <c r="D961" s="34"/>
      <c r="E961" s="34"/>
      <c r="F961" s="33"/>
    </row>
    <row r="962" spans="1:6" ht="15" customHeight="1" x14ac:dyDescent="0.3">
      <c r="A962" s="33"/>
      <c r="D962" s="34"/>
      <c r="E962" s="34"/>
      <c r="F962" s="33"/>
    </row>
    <row r="963" spans="1:6" ht="15" customHeight="1" x14ac:dyDescent="0.3">
      <c r="A963" s="33"/>
      <c r="D963" s="34"/>
      <c r="E963" s="34"/>
      <c r="F963" s="33"/>
    </row>
    <row r="964" spans="1:6" ht="15" customHeight="1" x14ac:dyDescent="0.3">
      <c r="A964" s="33"/>
      <c r="D964" s="34"/>
      <c r="E964" s="34"/>
      <c r="F964" s="33"/>
    </row>
    <row r="965" spans="1:6" ht="15" customHeight="1" x14ac:dyDescent="0.3">
      <c r="A965" s="33"/>
      <c r="D965" s="34"/>
      <c r="E965" s="34"/>
      <c r="F965" s="33"/>
    </row>
    <row r="966" spans="1:6" ht="15" customHeight="1" x14ac:dyDescent="0.3">
      <c r="A966" s="33"/>
      <c r="D966" s="34"/>
      <c r="E966" s="34"/>
      <c r="F966" s="33"/>
    </row>
    <row r="967" spans="1:6" ht="15" customHeight="1" x14ac:dyDescent="0.3">
      <c r="A967" s="33"/>
      <c r="D967" s="34"/>
      <c r="E967" s="34"/>
      <c r="F967" s="33"/>
    </row>
    <row r="968" spans="1:6" ht="15" customHeight="1" x14ac:dyDescent="0.3">
      <c r="A968" s="33"/>
      <c r="D968" s="34"/>
      <c r="E968" s="34"/>
      <c r="F968" s="33"/>
    </row>
    <row r="969" spans="1:6" ht="15" customHeight="1" x14ac:dyDescent="0.3">
      <c r="A969" s="33"/>
      <c r="D969" s="34"/>
      <c r="E969" s="34"/>
      <c r="F969" s="33"/>
    </row>
    <row r="970" spans="1:6" ht="15" customHeight="1" x14ac:dyDescent="0.3">
      <c r="A970" s="33"/>
      <c r="D970" s="34"/>
      <c r="E970" s="34"/>
      <c r="F970" s="33"/>
    </row>
    <row r="971" spans="1:6" ht="15" customHeight="1" x14ac:dyDescent="0.3">
      <c r="A971" s="33"/>
      <c r="D971" s="34"/>
      <c r="E971" s="34"/>
      <c r="F971" s="33"/>
    </row>
    <row r="972" spans="1:6" ht="15" customHeight="1" x14ac:dyDescent="0.3">
      <c r="A972" s="33"/>
      <c r="D972" s="34"/>
      <c r="E972" s="34"/>
      <c r="F972" s="33"/>
    </row>
    <row r="973" spans="1:6" ht="15" customHeight="1" x14ac:dyDescent="0.3">
      <c r="A973" s="33"/>
      <c r="D973" s="34"/>
      <c r="E973" s="34"/>
      <c r="F973" s="33"/>
    </row>
    <row r="974" spans="1:6" ht="15" customHeight="1" x14ac:dyDescent="0.3">
      <c r="A974" s="33"/>
      <c r="D974" s="34"/>
      <c r="E974" s="34"/>
      <c r="F974" s="33"/>
    </row>
    <row r="975" spans="1:6" ht="15" customHeight="1" x14ac:dyDescent="0.3">
      <c r="A975" s="33"/>
      <c r="D975" s="34"/>
      <c r="E975" s="34"/>
      <c r="F975" s="33"/>
    </row>
    <row r="976" spans="1:6" ht="15" customHeight="1" x14ac:dyDescent="0.3">
      <c r="A976" s="33"/>
      <c r="D976" s="34"/>
      <c r="E976" s="34"/>
      <c r="F976" s="33"/>
    </row>
    <row r="977" spans="1:6" ht="15" customHeight="1" x14ac:dyDescent="0.3">
      <c r="A977" s="33"/>
      <c r="D977" s="34"/>
      <c r="E977" s="34"/>
      <c r="F977" s="33"/>
    </row>
    <row r="978" spans="1:6" ht="15" customHeight="1" x14ac:dyDescent="0.3">
      <c r="A978" s="33"/>
      <c r="D978" s="34"/>
      <c r="E978" s="34"/>
      <c r="F978" s="33"/>
    </row>
    <row r="979" spans="1:6" ht="15" customHeight="1" x14ac:dyDescent="0.3">
      <c r="A979" s="33"/>
      <c r="D979" s="34"/>
      <c r="E979" s="34"/>
      <c r="F979" s="33"/>
    </row>
    <row r="980" spans="1:6" ht="15" customHeight="1" x14ac:dyDescent="0.3">
      <c r="A980" s="33"/>
      <c r="D980" s="34"/>
      <c r="E980" s="34"/>
      <c r="F980" s="33"/>
    </row>
    <row r="981" spans="1:6" ht="15" customHeight="1" x14ac:dyDescent="0.3">
      <c r="A981" s="33"/>
      <c r="D981" s="34"/>
      <c r="E981" s="34"/>
      <c r="F981" s="33"/>
    </row>
    <row r="982" spans="1:6" ht="15" customHeight="1" x14ac:dyDescent="0.3">
      <c r="A982" s="33"/>
      <c r="D982" s="34"/>
      <c r="E982" s="34"/>
      <c r="F982" s="33"/>
    </row>
    <row r="983" spans="1:6" ht="15" customHeight="1" x14ac:dyDescent="0.3">
      <c r="A983" s="33"/>
      <c r="D983" s="34"/>
      <c r="E983" s="34"/>
      <c r="F983" s="33"/>
    </row>
    <row r="984" spans="1:6" ht="15" customHeight="1" x14ac:dyDescent="0.3">
      <c r="A984" s="33"/>
      <c r="D984" s="34"/>
      <c r="E984" s="34"/>
      <c r="F984" s="33"/>
    </row>
    <row r="985" spans="1:6" ht="15" customHeight="1" x14ac:dyDescent="0.3">
      <c r="A985" s="33"/>
      <c r="D985" s="34"/>
      <c r="E985" s="34"/>
      <c r="F985" s="33"/>
    </row>
    <row r="986" spans="1:6" ht="15" customHeight="1" x14ac:dyDescent="0.3">
      <c r="A986" s="33"/>
      <c r="D986" s="34"/>
      <c r="E986" s="34"/>
      <c r="F986" s="33"/>
    </row>
    <row r="987" spans="1:6" ht="15" customHeight="1" x14ac:dyDescent="0.3">
      <c r="A987" s="33"/>
      <c r="D987" s="34"/>
      <c r="E987" s="34"/>
      <c r="F987" s="33"/>
    </row>
    <row r="988" spans="1:6" ht="15" customHeight="1" x14ac:dyDescent="0.3">
      <c r="A988" s="33"/>
      <c r="D988" s="34"/>
      <c r="E988" s="34"/>
      <c r="F988" s="33"/>
    </row>
    <row r="989" spans="1:6" ht="15" customHeight="1" x14ac:dyDescent="0.3">
      <c r="A989" s="33"/>
      <c r="D989" s="34"/>
      <c r="E989" s="34"/>
      <c r="F989" s="33"/>
    </row>
    <row r="990" spans="1:6" ht="15" customHeight="1" x14ac:dyDescent="0.3">
      <c r="A990" s="33"/>
      <c r="D990" s="34"/>
      <c r="E990" s="34"/>
      <c r="F990" s="33"/>
    </row>
    <row r="991" spans="1:6" ht="15" customHeight="1" x14ac:dyDescent="0.3">
      <c r="A991" s="33"/>
      <c r="D991" s="34"/>
      <c r="E991" s="34"/>
      <c r="F991" s="33"/>
    </row>
    <row r="992" spans="1:6" ht="15" customHeight="1" x14ac:dyDescent="0.3">
      <c r="A992" s="33"/>
      <c r="D992" s="34"/>
      <c r="E992" s="34"/>
      <c r="F992" s="33"/>
    </row>
    <row r="993" spans="1:6" ht="15" customHeight="1" x14ac:dyDescent="0.3">
      <c r="A993" s="33"/>
      <c r="D993" s="34"/>
      <c r="E993" s="34"/>
      <c r="F993" s="33"/>
    </row>
    <row r="994" spans="1:6" ht="15" customHeight="1" x14ac:dyDescent="0.3">
      <c r="A994" s="33"/>
      <c r="D994" s="34"/>
      <c r="E994" s="34"/>
      <c r="F994" s="33"/>
    </row>
    <row r="995" spans="1:6" ht="15" customHeight="1" x14ac:dyDescent="0.3">
      <c r="A995" s="33"/>
      <c r="D995" s="34"/>
      <c r="E995" s="34"/>
      <c r="F995" s="33"/>
    </row>
    <row r="996" spans="1:6" ht="15" customHeight="1" x14ac:dyDescent="0.3">
      <c r="A996" s="33"/>
      <c r="D996" s="34"/>
      <c r="E996" s="34"/>
      <c r="F996" s="33"/>
    </row>
    <row r="997" spans="1:6" ht="15" customHeight="1" x14ac:dyDescent="0.3"/>
    <row r="998" spans="1:6" ht="15" customHeight="1" x14ac:dyDescent="0.3"/>
    <row r="999" spans="1:6" ht="15" customHeight="1" x14ac:dyDescent="0.3"/>
    <row r="1000" spans="1:6" ht="15" customHeight="1" x14ac:dyDescent="0.3"/>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workbookViewId="0">
      <pane ySplit="1" topLeftCell="A143" activePane="bottomLeft" state="frozen"/>
      <selection pane="bottomLeft" activeCell="B131" sqref="B131"/>
    </sheetView>
  </sheetViews>
  <sheetFormatPr defaultRowHeight="13.8" x14ac:dyDescent="0.3"/>
  <cols>
    <col min="1" max="1" width="24.33203125" style="1" bestFit="1" customWidth="1"/>
    <col min="2" max="2" width="23.21875" style="13" bestFit="1" customWidth="1"/>
    <col min="3" max="3" width="5.5546875" style="1" bestFit="1" customWidth="1"/>
    <col min="4" max="4" width="4.5546875" style="1" bestFit="1" customWidth="1"/>
    <col min="5" max="6" width="4.5546875" style="13" bestFit="1" customWidth="1"/>
    <col min="7" max="7" width="4.88671875" style="1" customWidth="1"/>
    <col min="8" max="8" width="21.33203125" style="1" customWidth="1"/>
    <col min="9" max="9" width="19.109375" style="1" customWidth="1"/>
    <col min="10" max="10" width="15.21875" style="1" customWidth="1"/>
    <col min="11" max="14" width="14.44140625" style="1" customWidth="1"/>
    <col min="15" max="17" width="13.33203125" style="1" customWidth="1"/>
    <col min="18" max="18" width="22.21875" style="1" customWidth="1"/>
    <col min="19" max="30" width="10.21875" style="1" customWidth="1"/>
    <col min="31" max="16384" width="8.88671875" style="1"/>
  </cols>
  <sheetData>
    <row r="1" spans="1:30" ht="24" customHeight="1" x14ac:dyDescent="0.3">
      <c r="A1" s="20" t="s">
        <v>343</v>
      </c>
      <c r="B1" s="20" t="s">
        <v>344</v>
      </c>
      <c r="C1" s="20" t="s">
        <v>653</v>
      </c>
      <c r="D1" s="20" t="s">
        <v>654</v>
      </c>
      <c r="E1" s="20" t="s">
        <v>400</v>
      </c>
      <c r="F1" s="20" t="s">
        <v>397</v>
      </c>
      <c r="G1" s="20" t="s">
        <v>401</v>
      </c>
      <c r="H1" s="20" t="s">
        <v>476</v>
      </c>
      <c r="I1" s="20" t="s">
        <v>404</v>
      </c>
      <c r="J1" s="20" t="s">
        <v>346</v>
      </c>
      <c r="K1" s="20" t="s">
        <v>347</v>
      </c>
      <c r="L1" s="20" t="s">
        <v>348</v>
      </c>
      <c r="M1" s="20" t="s">
        <v>349</v>
      </c>
      <c r="N1" s="20" t="s">
        <v>350</v>
      </c>
      <c r="O1" s="20" t="s">
        <v>351</v>
      </c>
      <c r="P1" s="20" t="s">
        <v>352</v>
      </c>
      <c r="Q1" s="20" t="s">
        <v>353</v>
      </c>
      <c r="R1" s="20" t="s">
        <v>354</v>
      </c>
      <c r="S1" s="20" t="s">
        <v>355</v>
      </c>
      <c r="T1" s="20" t="s">
        <v>356</v>
      </c>
      <c r="U1" s="20" t="s">
        <v>357</v>
      </c>
      <c r="V1" s="20" t="s">
        <v>358</v>
      </c>
      <c r="W1" s="20" t="s">
        <v>359</v>
      </c>
      <c r="X1" s="20" t="s">
        <v>360</v>
      </c>
      <c r="Y1" s="20" t="s">
        <v>361</v>
      </c>
      <c r="Z1" s="20" t="s">
        <v>362</v>
      </c>
      <c r="AA1" s="20" t="s">
        <v>398</v>
      </c>
      <c r="AB1" s="20" t="s">
        <v>402</v>
      </c>
      <c r="AC1" s="20" t="s">
        <v>399</v>
      </c>
      <c r="AD1" s="20" t="s">
        <v>403</v>
      </c>
    </row>
    <row r="2" spans="1:30" x14ac:dyDescent="0.3">
      <c r="A2" s="7" t="s">
        <v>6630</v>
      </c>
      <c r="B2" s="12" t="s">
        <v>1338</v>
      </c>
      <c r="C2" s="10">
        <v>3.8333333333333299</v>
      </c>
      <c r="D2" s="10">
        <v>3.3333333333333299</v>
      </c>
      <c r="E2" s="9">
        <v>6</v>
      </c>
      <c r="F2" s="9">
        <v>6</v>
      </c>
      <c r="G2" s="9">
        <v>12</v>
      </c>
      <c r="H2" s="10">
        <v>1.3333333333333299</v>
      </c>
      <c r="I2" s="10">
        <v>2.5</v>
      </c>
      <c r="J2" s="11">
        <v>0.16666666666666699</v>
      </c>
      <c r="K2" s="11">
        <v>1</v>
      </c>
      <c r="L2" s="11">
        <v>0.91666666666666696</v>
      </c>
      <c r="M2" s="11">
        <v>0.58333333333333304</v>
      </c>
      <c r="N2" s="11">
        <v>0.41666666666666702</v>
      </c>
      <c r="O2" s="11">
        <v>0.83333333333333304</v>
      </c>
      <c r="P2" s="10">
        <v>0.72222222222222199</v>
      </c>
      <c r="Q2" s="10">
        <v>0.84983658559879705</v>
      </c>
      <c r="R2" s="8" t="s">
        <v>10653</v>
      </c>
      <c r="S2" s="10">
        <v>10</v>
      </c>
      <c r="T2" s="10">
        <v>6</v>
      </c>
      <c r="U2" s="10">
        <v>16</v>
      </c>
      <c r="V2" s="10">
        <v>1.3333333333333299</v>
      </c>
      <c r="W2" s="10">
        <v>13</v>
      </c>
      <c r="X2" s="10">
        <v>14</v>
      </c>
      <c r="Y2" s="10">
        <v>27</v>
      </c>
      <c r="Z2" s="10">
        <v>2.25</v>
      </c>
      <c r="AA2" s="10">
        <v>1.6666666666666701</v>
      </c>
      <c r="AB2" s="10">
        <v>2.1666666666666701</v>
      </c>
      <c r="AC2" s="10">
        <v>1</v>
      </c>
      <c r="AD2" s="10">
        <v>2.3333333333333299</v>
      </c>
    </row>
    <row r="3" spans="1:30" x14ac:dyDescent="0.3">
      <c r="A3" s="7" t="s">
        <v>190</v>
      </c>
      <c r="B3" s="12" t="s">
        <v>1332</v>
      </c>
      <c r="C3" s="10">
        <v>3.8333333333333299</v>
      </c>
      <c r="D3" s="10">
        <v>4.1666666666666696</v>
      </c>
      <c r="E3" s="9">
        <v>6</v>
      </c>
      <c r="F3" s="9">
        <v>6</v>
      </c>
      <c r="G3" s="9">
        <v>12</v>
      </c>
      <c r="H3" s="10">
        <v>1.8333333333333299</v>
      </c>
      <c r="I3" s="10">
        <v>3.62</v>
      </c>
      <c r="J3" s="11">
        <v>8.3333333333333301E-2</v>
      </c>
      <c r="K3" s="11">
        <v>1</v>
      </c>
      <c r="L3" s="11">
        <v>0.91666666666666696</v>
      </c>
      <c r="M3" s="11">
        <v>0.83333333333333304</v>
      </c>
      <c r="N3" s="11">
        <v>0.75</v>
      </c>
      <c r="O3" s="11">
        <v>0.91666666666666696</v>
      </c>
      <c r="P3" s="10">
        <v>1.30555555555556</v>
      </c>
      <c r="Q3" s="10">
        <v>1.1426091000668399</v>
      </c>
      <c r="R3" s="8" t="s">
        <v>10653</v>
      </c>
      <c r="S3" s="10">
        <v>14</v>
      </c>
      <c r="T3" s="10">
        <v>8</v>
      </c>
      <c r="U3" s="10">
        <v>22</v>
      </c>
      <c r="V3" s="10">
        <v>1.8333333333333299</v>
      </c>
      <c r="W3" s="10">
        <v>9</v>
      </c>
      <c r="X3" s="10">
        <v>17</v>
      </c>
      <c r="Y3" s="10">
        <v>26</v>
      </c>
      <c r="Z3" s="10">
        <v>2.1666666666666701</v>
      </c>
      <c r="AA3" s="10">
        <v>2.3333333333333299</v>
      </c>
      <c r="AB3" s="10">
        <v>1.5</v>
      </c>
      <c r="AC3" s="10">
        <v>1.3333333333333299</v>
      </c>
      <c r="AD3" s="10">
        <v>2.8333333333333299</v>
      </c>
    </row>
    <row r="4" spans="1:30" x14ac:dyDescent="0.3">
      <c r="A4" s="7" t="s">
        <v>2701</v>
      </c>
      <c r="B4" s="12" t="s">
        <v>994</v>
      </c>
      <c r="C4" s="10">
        <v>1.8571428571428601</v>
      </c>
      <c r="D4" s="10">
        <v>2.4</v>
      </c>
      <c r="E4" s="9">
        <v>7</v>
      </c>
      <c r="F4" s="9">
        <v>5</v>
      </c>
      <c r="G4" s="9">
        <v>12</v>
      </c>
      <c r="H4" s="10">
        <v>0.83333333333333304</v>
      </c>
      <c r="I4" s="10">
        <v>2.6</v>
      </c>
      <c r="J4" s="11">
        <v>0.33333333333333298</v>
      </c>
      <c r="K4" s="11">
        <v>0.91666666666666696</v>
      </c>
      <c r="L4" s="11">
        <v>0.58333333333333304</v>
      </c>
      <c r="M4" s="11">
        <v>0.33333333333333298</v>
      </c>
      <c r="N4" s="11">
        <v>8.3333333333333301E-2</v>
      </c>
      <c r="O4" s="11">
        <v>0.41666666666666702</v>
      </c>
      <c r="P4" s="10">
        <v>0.47222222222222199</v>
      </c>
      <c r="Q4" s="10">
        <v>0.68718427093627699</v>
      </c>
      <c r="R4" s="8" t="s">
        <v>10653</v>
      </c>
      <c r="S4" s="10">
        <v>7</v>
      </c>
      <c r="T4" s="10">
        <v>3</v>
      </c>
      <c r="U4" s="10">
        <v>10</v>
      </c>
      <c r="V4" s="10">
        <v>0.83333333333333304</v>
      </c>
      <c r="W4" s="10">
        <v>6</v>
      </c>
      <c r="X4" s="10">
        <v>9</v>
      </c>
      <c r="Y4" s="10">
        <v>15</v>
      </c>
      <c r="Z4" s="10">
        <v>1.25</v>
      </c>
      <c r="AA4" s="10">
        <v>1</v>
      </c>
      <c r="AB4" s="10">
        <v>0.85714285714285698</v>
      </c>
      <c r="AC4" s="10">
        <v>0.6</v>
      </c>
      <c r="AD4" s="10">
        <v>1.8</v>
      </c>
    </row>
    <row r="5" spans="1:30" x14ac:dyDescent="0.3">
      <c r="A5" s="7" t="s">
        <v>1285</v>
      </c>
      <c r="B5" s="12" t="s">
        <v>973</v>
      </c>
      <c r="C5" s="10">
        <v>2.8571428571428599</v>
      </c>
      <c r="D5" s="10">
        <v>1.6</v>
      </c>
      <c r="E5" s="9">
        <v>7</v>
      </c>
      <c r="F5" s="9">
        <v>5</v>
      </c>
      <c r="G5" s="9">
        <v>12</v>
      </c>
      <c r="H5" s="10">
        <v>1.8333333333333299</v>
      </c>
      <c r="I5" s="10">
        <v>3.7</v>
      </c>
      <c r="J5" s="11">
        <v>0.16666666666666699</v>
      </c>
      <c r="K5" s="11">
        <v>0.83333333333333304</v>
      </c>
      <c r="L5" s="11">
        <v>0.58333333333333304</v>
      </c>
      <c r="M5" s="11">
        <v>0.5</v>
      </c>
      <c r="N5" s="11">
        <v>0.33333333333333298</v>
      </c>
      <c r="O5" s="11">
        <v>0.33333333333333298</v>
      </c>
      <c r="P5" s="10">
        <v>1.6388888888888899</v>
      </c>
      <c r="Q5" s="10">
        <v>1.2801909579780999</v>
      </c>
      <c r="R5" s="8" t="s">
        <v>10653</v>
      </c>
      <c r="S5" s="10">
        <v>15</v>
      </c>
      <c r="T5" s="10">
        <v>7</v>
      </c>
      <c r="U5" s="10">
        <v>22</v>
      </c>
      <c r="V5" s="10">
        <v>1.8333333333333299</v>
      </c>
      <c r="W5" s="10">
        <v>5</v>
      </c>
      <c r="X5" s="10">
        <v>1</v>
      </c>
      <c r="Y5" s="10">
        <v>6</v>
      </c>
      <c r="Z5" s="10">
        <v>0.5</v>
      </c>
      <c r="AA5" s="10">
        <v>2.1428571428571401</v>
      </c>
      <c r="AB5" s="10">
        <v>0.71428571428571397</v>
      </c>
      <c r="AC5" s="10">
        <v>1.4</v>
      </c>
      <c r="AD5" s="10">
        <v>0.2</v>
      </c>
    </row>
    <row r="6" spans="1:30" x14ac:dyDescent="0.3">
      <c r="A6" s="7" t="s">
        <v>975</v>
      </c>
      <c r="B6" s="12" t="s">
        <v>973</v>
      </c>
      <c r="C6" s="10">
        <v>2.8333333333333299</v>
      </c>
      <c r="D6" s="10">
        <v>2</v>
      </c>
      <c r="E6" s="9">
        <v>6</v>
      </c>
      <c r="F6" s="9">
        <v>6</v>
      </c>
      <c r="G6" s="9">
        <v>12</v>
      </c>
      <c r="H6" s="10">
        <v>1.0833333333333299</v>
      </c>
      <c r="I6" s="10">
        <v>3.7</v>
      </c>
      <c r="J6" s="11">
        <v>0.41666666666666702</v>
      </c>
      <c r="K6" s="11">
        <v>0.83333333333333304</v>
      </c>
      <c r="L6" s="11">
        <v>0.5</v>
      </c>
      <c r="M6" s="11">
        <v>0.41666666666666702</v>
      </c>
      <c r="N6" s="11">
        <v>0.41666666666666702</v>
      </c>
      <c r="O6" s="11">
        <v>0.41666666666666702</v>
      </c>
      <c r="P6" s="10">
        <v>1.5763888888888899</v>
      </c>
      <c r="Q6" s="10">
        <v>1.25554326444328</v>
      </c>
      <c r="R6" s="8" t="s">
        <v>10653</v>
      </c>
      <c r="S6" s="10">
        <v>9</v>
      </c>
      <c r="T6" s="10">
        <v>4</v>
      </c>
      <c r="U6" s="10">
        <v>13</v>
      </c>
      <c r="V6" s="10">
        <v>1.0833333333333299</v>
      </c>
      <c r="W6" s="10">
        <v>8</v>
      </c>
      <c r="X6" s="10">
        <v>8</v>
      </c>
      <c r="Y6" s="10">
        <v>16</v>
      </c>
      <c r="Z6" s="10">
        <v>1.3333333333333299</v>
      </c>
      <c r="AA6" s="10">
        <v>1.5</v>
      </c>
      <c r="AB6" s="10">
        <v>1.3333333333333299</v>
      </c>
      <c r="AC6" s="10">
        <v>0.66666666666666696</v>
      </c>
      <c r="AD6" s="10">
        <v>1.3333333333333299</v>
      </c>
    </row>
    <row r="7" spans="1:30" x14ac:dyDescent="0.3">
      <c r="A7" s="7" t="s">
        <v>1299</v>
      </c>
      <c r="B7" s="12" t="s">
        <v>973</v>
      </c>
      <c r="C7" s="10">
        <v>2.4285714285714302</v>
      </c>
      <c r="D7" s="10">
        <v>2.6</v>
      </c>
      <c r="E7" s="9">
        <v>7</v>
      </c>
      <c r="F7" s="9">
        <v>5</v>
      </c>
      <c r="G7" s="9">
        <v>12</v>
      </c>
      <c r="H7" s="10">
        <v>1.4166666666666701</v>
      </c>
      <c r="I7" s="10">
        <v>3.7</v>
      </c>
      <c r="J7" s="11">
        <v>0.33333333333333298</v>
      </c>
      <c r="K7" s="11">
        <v>0.75</v>
      </c>
      <c r="L7" s="11">
        <v>0.75</v>
      </c>
      <c r="M7" s="11">
        <v>0.41666666666666702</v>
      </c>
      <c r="N7" s="11">
        <v>0.25</v>
      </c>
      <c r="O7" s="11">
        <v>0.41666666666666702</v>
      </c>
      <c r="P7" s="10">
        <v>2.0763888888888902</v>
      </c>
      <c r="Q7" s="10">
        <v>1.4409680388158801</v>
      </c>
      <c r="R7" s="8" t="s">
        <v>10653</v>
      </c>
      <c r="S7" s="10">
        <v>11</v>
      </c>
      <c r="T7" s="10">
        <v>6</v>
      </c>
      <c r="U7" s="10">
        <v>17</v>
      </c>
      <c r="V7" s="10">
        <v>1.4166666666666701</v>
      </c>
      <c r="W7" s="10">
        <v>6</v>
      </c>
      <c r="X7" s="10">
        <v>7</v>
      </c>
      <c r="Y7" s="10">
        <v>13</v>
      </c>
      <c r="Z7" s="10">
        <v>1.0833333333333299</v>
      </c>
      <c r="AA7" s="10">
        <v>1.5714285714285701</v>
      </c>
      <c r="AB7" s="10">
        <v>0.85714285714285698</v>
      </c>
      <c r="AC7" s="10">
        <v>1.2</v>
      </c>
      <c r="AD7" s="10">
        <v>1.4</v>
      </c>
    </row>
    <row r="8" spans="1:30" x14ac:dyDescent="0.3">
      <c r="A8" s="7" t="s">
        <v>96</v>
      </c>
      <c r="B8" s="12" t="s">
        <v>4291</v>
      </c>
      <c r="C8" s="10">
        <v>3.8333333333333299</v>
      </c>
      <c r="D8" s="10">
        <v>5.1666666666666696</v>
      </c>
      <c r="E8" s="9">
        <v>6</v>
      </c>
      <c r="F8" s="9">
        <v>6</v>
      </c>
      <c r="G8" s="9">
        <v>12</v>
      </c>
      <c r="H8" s="10">
        <v>1.25</v>
      </c>
      <c r="I8" s="10">
        <v>3.55</v>
      </c>
      <c r="J8" s="11">
        <v>0.33333333333333298</v>
      </c>
      <c r="K8" s="11">
        <v>0.91666666666666696</v>
      </c>
      <c r="L8" s="11">
        <v>0.83333333333333304</v>
      </c>
      <c r="M8" s="11">
        <v>0.75</v>
      </c>
      <c r="N8" s="11">
        <v>0.66666666666666696</v>
      </c>
      <c r="O8" s="11">
        <v>0.66666666666666696</v>
      </c>
      <c r="P8" s="10">
        <v>1.1875</v>
      </c>
      <c r="Q8" s="10">
        <v>1.08972473588517</v>
      </c>
      <c r="R8" s="8" t="s">
        <v>10653</v>
      </c>
      <c r="S8" s="10">
        <v>6</v>
      </c>
      <c r="T8" s="10">
        <v>9</v>
      </c>
      <c r="U8" s="10">
        <v>15</v>
      </c>
      <c r="V8" s="10">
        <v>1.25</v>
      </c>
      <c r="W8" s="10">
        <v>17</v>
      </c>
      <c r="X8" s="10">
        <v>22</v>
      </c>
      <c r="Y8" s="10">
        <v>39</v>
      </c>
      <c r="Z8" s="10">
        <v>3.25</v>
      </c>
      <c r="AA8" s="10">
        <v>1</v>
      </c>
      <c r="AB8" s="10">
        <v>2.8333333333333299</v>
      </c>
      <c r="AC8" s="10">
        <v>1.5</v>
      </c>
      <c r="AD8" s="10">
        <v>3.6666666666666701</v>
      </c>
    </row>
    <row r="9" spans="1:30" x14ac:dyDescent="0.3">
      <c r="A9" s="7" t="s">
        <v>278</v>
      </c>
      <c r="B9" s="12" t="s">
        <v>966</v>
      </c>
      <c r="C9" s="10">
        <v>2</v>
      </c>
      <c r="D9" s="10">
        <v>3.5</v>
      </c>
      <c r="E9" s="9">
        <v>6</v>
      </c>
      <c r="F9" s="9">
        <v>6</v>
      </c>
      <c r="G9" s="9">
        <v>12</v>
      </c>
      <c r="H9" s="10">
        <v>1.5833333333333299</v>
      </c>
      <c r="I9" s="10">
        <v>2.5</v>
      </c>
      <c r="J9" s="11">
        <v>0.25</v>
      </c>
      <c r="K9" s="11">
        <v>0.91666666666666696</v>
      </c>
      <c r="L9" s="11">
        <v>0.75</v>
      </c>
      <c r="M9" s="11">
        <v>0.58333333333333304</v>
      </c>
      <c r="N9" s="11">
        <v>0.33333333333333298</v>
      </c>
      <c r="O9" s="11">
        <v>0.5</v>
      </c>
      <c r="P9" s="10">
        <v>1.5763888888888899</v>
      </c>
      <c r="Q9" s="10">
        <v>1.25554326444328</v>
      </c>
      <c r="R9" s="8" t="s">
        <v>10653</v>
      </c>
      <c r="S9" s="10">
        <v>5</v>
      </c>
      <c r="T9" s="10">
        <v>14</v>
      </c>
      <c r="U9" s="10">
        <v>19</v>
      </c>
      <c r="V9" s="10">
        <v>1.5833333333333299</v>
      </c>
      <c r="W9" s="10">
        <v>7</v>
      </c>
      <c r="X9" s="10">
        <v>7</v>
      </c>
      <c r="Y9" s="10">
        <v>14</v>
      </c>
      <c r="Z9" s="10">
        <v>1.1666666666666701</v>
      </c>
      <c r="AA9" s="10">
        <v>0.83333333333333304</v>
      </c>
      <c r="AB9" s="10">
        <v>1.1666666666666701</v>
      </c>
      <c r="AC9" s="10">
        <v>2.3333333333333299</v>
      </c>
      <c r="AD9" s="10">
        <v>1.1666666666666701</v>
      </c>
    </row>
    <row r="10" spans="1:30" x14ac:dyDescent="0.3">
      <c r="A10" s="7" t="s">
        <v>10395</v>
      </c>
      <c r="B10" s="12" t="s">
        <v>1339</v>
      </c>
      <c r="C10" s="10">
        <v>3.1428571428571401</v>
      </c>
      <c r="D10" s="10">
        <v>3.6</v>
      </c>
      <c r="E10" s="9">
        <v>7</v>
      </c>
      <c r="F10" s="9">
        <v>5</v>
      </c>
      <c r="G10" s="9">
        <v>12</v>
      </c>
      <c r="H10" s="10">
        <v>2.25</v>
      </c>
      <c r="I10" s="10">
        <v>2.5</v>
      </c>
      <c r="J10" s="11">
        <v>8.3333333333333301E-2</v>
      </c>
      <c r="K10" s="11">
        <v>1</v>
      </c>
      <c r="L10" s="11">
        <v>0.83333333333333304</v>
      </c>
      <c r="M10" s="11">
        <v>0.75</v>
      </c>
      <c r="N10" s="11">
        <v>0.41666666666666702</v>
      </c>
      <c r="O10" s="11">
        <v>0.58333333333333304</v>
      </c>
      <c r="P10" s="10">
        <v>1.6875</v>
      </c>
      <c r="Q10" s="10">
        <v>1.29903810567666</v>
      </c>
      <c r="R10" s="8" t="s">
        <v>10653</v>
      </c>
      <c r="S10" s="10">
        <v>12</v>
      </c>
      <c r="T10" s="10">
        <v>15</v>
      </c>
      <c r="U10" s="10">
        <v>27</v>
      </c>
      <c r="V10" s="10">
        <v>2.25</v>
      </c>
      <c r="W10" s="10">
        <v>10</v>
      </c>
      <c r="X10" s="10">
        <v>3</v>
      </c>
      <c r="Y10" s="10">
        <v>13</v>
      </c>
      <c r="Z10" s="10">
        <v>1.0833333333333299</v>
      </c>
      <c r="AA10" s="10">
        <v>1.71428571428571</v>
      </c>
      <c r="AB10" s="10">
        <v>1.4285714285714299</v>
      </c>
      <c r="AC10" s="10">
        <v>3</v>
      </c>
      <c r="AD10" s="10">
        <v>0.6</v>
      </c>
    </row>
    <row r="11" spans="1:30" x14ac:dyDescent="0.3">
      <c r="A11" s="7" t="s">
        <v>126</v>
      </c>
      <c r="B11" s="12" t="s">
        <v>4291</v>
      </c>
      <c r="C11" s="10">
        <v>5.6666666666666696</v>
      </c>
      <c r="D11" s="10">
        <v>3.6666666666666701</v>
      </c>
      <c r="E11" s="9">
        <v>6</v>
      </c>
      <c r="F11" s="9">
        <v>6</v>
      </c>
      <c r="G11" s="9">
        <v>12</v>
      </c>
      <c r="H11" s="10">
        <v>3.1666666666666701</v>
      </c>
      <c r="I11" s="10">
        <v>3.55</v>
      </c>
      <c r="J11" s="11">
        <v>8.3333333333333301E-2</v>
      </c>
      <c r="K11" s="11">
        <v>1</v>
      </c>
      <c r="L11" s="11">
        <v>0.91666666666666696</v>
      </c>
      <c r="M11" s="11">
        <v>0.75</v>
      </c>
      <c r="N11" s="11">
        <v>0.66666666666666696</v>
      </c>
      <c r="O11" s="11">
        <v>0.75</v>
      </c>
      <c r="P11" s="10">
        <v>5.1388888888888902</v>
      </c>
      <c r="Q11" s="10">
        <v>2.2669117514559098</v>
      </c>
      <c r="R11" s="8" t="s">
        <v>10653</v>
      </c>
      <c r="S11" s="10">
        <v>26</v>
      </c>
      <c r="T11" s="10">
        <v>12</v>
      </c>
      <c r="U11" s="10">
        <v>38</v>
      </c>
      <c r="V11" s="10">
        <v>3.1666666666666701</v>
      </c>
      <c r="W11" s="10">
        <v>8</v>
      </c>
      <c r="X11" s="10">
        <v>10</v>
      </c>
      <c r="Y11" s="10">
        <v>18</v>
      </c>
      <c r="Z11" s="10">
        <v>1.5</v>
      </c>
      <c r="AA11" s="10">
        <v>4.3333333333333304</v>
      </c>
      <c r="AB11" s="10">
        <v>1.3333333333333299</v>
      </c>
      <c r="AC11" s="10">
        <v>2</v>
      </c>
      <c r="AD11" s="10">
        <v>1.6666666666666701</v>
      </c>
    </row>
    <row r="12" spans="1:30" x14ac:dyDescent="0.3">
      <c r="A12" s="7" t="s">
        <v>6166</v>
      </c>
      <c r="B12" s="12" t="s">
        <v>6105</v>
      </c>
      <c r="C12" s="10">
        <v>3.4</v>
      </c>
      <c r="D12" s="10">
        <v>3.1428571428571401</v>
      </c>
      <c r="E12" s="9">
        <v>5</v>
      </c>
      <c r="F12" s="9">
        <v>7</v>
      </c>
      <c r="G12" s="9">
        <v>12</v>
      </c>
      <c r="H12" s="10">
        <v>2.1666666666666701</v>
      </c>
      <c r="I12" s="10">
        <v>2.5</v>
      </c>
      <c r="J12" s="11">
        <v>8.3333333333333301E-2</v>
      </c>
      <c r="K12" s="11">
        <v>0.91666666666666696</v>
      </c>
      <c r="L12" s="11">
        <v>0.91666666666666696</v>
      </c>
      <c r="M12" s="11">
        <v>0.58333333333333304</v>
      </c>
      <c r="N12" s="11">
        <v>0.5</v>
      </c>
      <c r="O12" s="11">
        <v>0.58333333333333304</v>
      </c>
      <c r="P12" s="10">
        <v>1.9722222222222201</v>
      </c>
      <c r="Q12" s="10">
        <v>1.4043582955293901</v>
      </c>
      <c r="R12" s="8" t="s">
        <v>10653</v>
      </c>
      <c r="S12" s="10">
        <v>11</v>
      </c>
      <c r="T12" s="10">
        <v>15</v>
      </c>
      <c r="U12" s="10">
        <v>26</v>
      </c>
      <c r="V12" s="10">
        <v>2.1666666666666701</v>
      </c>
      <c r="W12" s="10">
        <v>6</v>
      </c>
      <c r="X12" s="10">
        <v>7</v>
      </c>
      <c r="Y12" s="10">
        <v>13</v>
      </c>
      <c r="Z12" s="10">
        <v>1.0833333333333299</v>
      </c>
      <c r="AA12" s="10">
        <v>2.2000000000000002</v>
      </c>
      <c r="AB12" s="10">
        <v>1.2</v>
      </c>
      <c r="AC12" s="10">
        <v>2.1428571428571401</v>
      </c>
      <c r="AD12" s="10">
        <v>1</v>
      </c>
    </row>
    <row r="13" spans="1:30" x14ac:dyDescent="0.3">
      <c r="A13" s="7" t="s">
        <v>1457</v>
      </c>
      <c r="B13" s="12" t="s">
        <v>882</v>
      </c>
      <c r="C13" s="10">
        <v>2.6666666666666701</v>
      </c>
      <c r="D13" s="10">
        <v>3.1666666666666701</v>
      </c>
      <c r="E13" s="9">
        <v>6</v>
      </c>
      <c r="F13" s="9">
        <v>6</v>
      </c>
      <c r="G13" s="9">
        <v>12</v>
      </c>
      <c r="H13" s="10">
        <v>2</v>
      </c>
      <c r="I13" s="10">
        <v>3.56</v>
      </c>
      <c r="J13" s="11">
        <v>0.16666666666666699</v>
      </c>
      <c r="K13" s="11">
        <v>1</v>
      </c>
      <c r="L13" s="11">
        <v>0.75</v>
      </c>
      <c r="M13" s="11">
        <v>0.5</v>
      </c>
      <c r="N13" s="11">
        <v>0.25</v>
      </c>
      <c r="O13" s="11">
        <v>0.66666666666666696</v>
      </c>
      <c r="P13" s="10">
        <v>2.6666666666666701</v>
      </c>
      <c r="Q13" s="10">
        <v>1.6329931618554501</v>
      </c>
      <c r="R13" s="8" t="s">
        <v>10653</v>
      </c>
      <c r="S13" s="10">
        <v>10</v>
      </c>
      <c r="T13" s="10">
        <v>14</v>
      </c>
      <c r="U13" s="10">
        <v>24</v>
      </c>
      <c r="V13" s="10">
        <v>2</v>
      </c>
      <c r="W13" s="10">
        <v>6</v>
      </c>
      <c r="X13" s="10">
        <v>5</v>
      </c>
      <c r="Y13" s="10">
        <v>11</v>
      </c>
      <c r="Z13" s="10">
        <v>0.91666666666666696</v>
      </c>
      <c r="AA13" s="10">
        <v>1.6666666666666701</v>
      </c>
      <c r="AB13" s="10">
        <v>1</v>
      </c>
      <c r="AC13" s="10">
        <v>2.3333333333333299</v>
      </c>
      <c r="AD13" s="10">
        <v>0.83333333333333304</v>
      </c>
    </row>
    <row r="14" spans="1:30" x14ac:dyDescent="0.3">
      <c r="A14" s="7" t="s">
        <v>72</v>
      </c>
      <c r="B14" s="12" t="s">
        <v>1000</v>
      </c>
      <c r="C14" s="10">
        <v>3</v>
      </c>
      <c r="D14" s="10">
        <v>2.8571428571428599</v>
      </c>
      <c r="E14" s="9">
        <v>5</v>
      </c>
      <c r="F14" s="9">
        <v>7</v>
      </c>
      <c r="G14" s="9">
        <v>12</v>
      </c>
      <c r="H14" s="10">
        <v>1.3333333333333299</v>
      </c>
      <c r="I14" s="10">
        <v>2.5</v>
      </c>
      <c r="J14" s="11">
        <v>0.33333333333333298</v>
      </c>
      <c r="K14" s="11">
        <v>0.91666666666666696</v>
      </c>
      <c r="L14" s="11">
        <v>0.83333333333333304</v>
      </c>
      <c r="M14" s="11">
        <v>0.58333333333333304</v>
      </c>
      <c r="N14" s="11">
        <v>0.16666666666666699</v>
      </c>
      <c r="O14" s="11">
        <v>0.58333333333333304</v>
      </c>
      <c r="P14" s="10">
        <v>1.3888888888888899</v>
      </c>
      <c r="Q14" s="10">
        <v>1.1785113019775799</v>
      </c>
      <c r="R14" s="8" t="s">
        <v>10653</v>
      </c>
      <c r="S14" s="10">
        <v>4</v>
      </c>
      <c r="T14" s="10">
        <v>12</v>
      </c>
      <c r="U14" s="10">
        <v>16</v>
      </c>
      <c r="V14" s="10">
        <v>1.3333333333333299</v>
      </c>
      <c r="W14" s="10">
        <v>11</v>
      </c>
      <c r="X14" s="10">
        <v>8</v>
      </c>
      <c r="Y14" s="10">
        <v>19</v>
      </c>
      <c r="Z14" s="10">
        <v>1.5833333333333299</v>
      </c>
      <c r="AA14" s="10">
        <v>0.8</v>
      </c>
      <c r="AB14" s="10">
        <v>2.2000000000000002</v>
      </c>
      <c r="AC14" s="10">
        <v>1.71428571428571</v>
      </c>
      <c r="AD14" s="10">
        <v>1.1428571428571399</v>
      </c>
    </row>
    <row r="15" spans="1:30" x14ac:dyDescent="0.3">
      <c r="A15" s="7" t="s">
        <v>4400</v>
      </c>
      <c r="B15" s="12" t="s">
        <v>4290</v>
      </c>
      <c r="C15" s="10">
        <v>3.1428571428571401</v>
      </c>
      <c r="D15" s="10">
        <v>4.8</v>
      </c>
      <c r="E15" s="9">
        <v>7</v>
      </c>
      <c r="F15" s="9">
        <v>5</v>
      </c>
      <c r="G15" s="9">
        <v>12</v>
      </c>
      <c r="H15" s="10">
        <v>1.9166666666666701</v>
      </c>
      <c r="I15" s="10">
        <v>2.5</v>
      </c>
      <c r="J15" s="11">
        <v>8.3333333333333301E-2</v>
      </c>
      <c r="K15" s="11">
        <v>1</v>
      </c>
      <c r="L15" s="11">
        <v>0.83333333333333304</v>
      </c>
      <c r="M15" s="11">
        <v>0.66666666666666696</v>
      </c>
      <c r="N15" s="11">
        <v>0.5</v>
      </c>
      <c r="O15" s="11">
        <v>0.66666666666666696</v>
      </c>
      <c r="P15" s="10">
        <v>1.4097222222222201</v>
      </c>
      <c r="Q15" s="10">
        <v>1.1873172373979199</v>
      </c>
      <c r="R15" s="8" t="s">
        <v>10653</v>
      </c>
      <c r="S15" s="10">
        <v>13</v>
      </c>
      <c r="T15" s="10">
        <v>10</v>
      </c>
      <c r="U15" s="10">
        <v>23</v>
      </c>
      <c r="V15" s="10">
        <v>1.9166666666666701</v>
      </c>
      <c r="W15" s="10">
        <v>9</v>
      </c>
      <c r="X15" s="10">
        <v>14</v>
      </c>
      <c r="Y15" s="10">
        <v>23</v>
      </c>
      <c r="Z15" s="10">
        <v>1.9166666666666701</v>
      </c>
      <c r="AA15" s="10">
        <v>1.8571428571428601</v>
      </c>
      <c r="AB15" s="10">
        <v>1.28571428571429</v>
      </c>
      <c r="AC15" s="10">
        <v>2</v>
      </c>
      <c r="AD15" s="10">
        <v>2.8</v>
      </c>
    </row>
    <row r="16" spans="1:30" x14ac:dyDescent="0.3">
      <c r="A16" s="7" t="s">
        <v>2384</v>
      </c>
      <c r="B16" s="12" t="s">
        <v>1330</v>
      </c>
      <c r="C16" s="10">
        <v>2</v>
      </c>
      <c r="D16" s="10">
        <v>3.5</v>
      </c>
      <c r="E16" s="9">
        <v>6</v>
      </c>
      <c r="F16" s="9">
        <v>6</v>
      </c>
      <c r="G16" s="9">
        <v>12</v>
      </c>
      <c r="H16" s="10">
        <v>1.1666666666666701</v>
      </c>
      <c r="I16" s="10">
        <v>2.5</v>
      </c>
      <c r="J16" s="11">
        <v>0.25</v>
      </c>
      <c r="K16" s="11">
        <v>0.91666666666666696</v>
      </c>
      <c r="L16" s="11">
        <v>0.75</v>
      </c>
      <c r="M16" s="11">
        <v>0.5</v>
      </c>
      <c r="N16" s="11">
        <v>0.33333333333333298</v>
      </c>
      <c r="O16" s="11">
        <v>0.5</v>
      </c>
      <c r="P16" s="10">
        <v>0.97222222222222199</v>
      </c>
      <c r="Q16" s="10">
        <v>0.98601329718326902</v>
      </c>
      <c r="R16" s="8" t="s">
        <v>10653</v>
      </c>
      <c r="S16" s="10">
        <v>3</v>
      </c>
      <c r="T16" s="10">
        <v>11</v>
      </c>
      <c r="U16" s="10">
        <v>14</v>
      </c>
      <c r="V16" s="10">
        <v>1.1666666666666701</v>
      </c>
      <c r="W16" s="10">
        <v>9</v>
      </c>
      <c r="X16" s="10">
        <v>10</v>
      </c>
      <c r="Y16" s="10">
        <v>19</v>
      </c>
      <c r="Z16" s="10">
        <v>1.5833333333333299</v>
      </c>
      <c r="AA16" s="10">
        <v>0.5</v>
      </c>
      <c r="AB16" s="10">
        <v>1.5</v>
      </c>
      <c r="AC16" s="10">
        <v>1.8333333333333299</v>
      </c>
      <c r="AD16" s="10">
        <v>1.6666666666666701</v>
      </c>
    </row>
    <row r="17" spans="1:30" x14ac:dyDescent="0.3">
      <c r="A17" s="7" t="s">
        <v>661</v>
      </c>
      <c r="B17" s="12" t="s">
        <v>1332</v>
      </c>
      <c r="C17" s="10">
        <v>2.5</v>
      </c>
      <c r="D17" s="10">
        <v>3</v>
      </c>
      <c r="E17" s="9">
        <v>6</v>
      </c>
      <c r="F17" s="9">
        <v>6</v>
      </c>
      <c r="G17" s="9">
        <v>12</v>
      </c>
      <c r="H17" s="10">
        <v>2.1666666666666701</v>
      </c>
      <c r="I17" s="10">
        <v>3.62</v>
      </c>
      <c r="J17" s="11">
        <v>0.25</v>
      </c>
      <c r="K17" s="11">
        <v>0.83333333333333304</v>
      </c>
      <c r="L17" s="11">
        <v>0.58333333333333304</v>
      </c>
      <c r="M17" s="11">
        <v>0.58333333333333304</v>
      </c>
      <c r="N17" s="11">
        <v>0.5</v>
      </c>
      <c r="O17" s="11">
        <v>0.41666666666666702</v>
      </c>
      <c r="P17" s="10">
        <v>3.1388888888888902</v>
      </c>
      <c r="Q17" s="10">
        <v>1.77169096878911</v>
      </c>
      <c r="R17" s="8" t="s">
        <v>10653</v>
      </c>
      <c r="S17" s="10">
        <v>12</v>
      </c>
      <c r="T17" s="10">
        <v>14</v>
      </c>
      <c r="U17" s="10">
        <v>26</v>
      </c>
      <c r="V17" s="10">
        <v>2.1666666666666701</v>
      </c>
      <c r="W17" s="10">
        <v>3</v>
      </c>
      <c r="X17" s="10">
        <v>4</v>
      </c>
      <c r="Y17" s="10">
        <v>7</v>
      </c>
      <c r="Z17" s="10">
        <v>0.58333333333333304</v>
      </c>
      <c r="AA17" s="10">
        <v>2</v>
      </c>
      <c r="AB17" s="10">
        <v>0.5</v>
      </c>
      <c r="AC17" s="10">
        <v>2.3333333333333299</v>
      </c>
      <c r="AD17" s="10">
        <v>0.66666666666666696</v>
      </c>
    </row>
    <row r="18" spans="1:30" x14ac:dyDescent="0.3">
      <c r="A18" s="7" t="s">
        <v>4575</v>
      </c>
      <c r="B18" s="12" t="s">
        <v>4657</v>
      </c>
      <c r="C18" s="10">
        <v>2</v>
      </c>
      <c r="D18" s="10">
        <v>3.1666666666666701</v>
      </c>
      <c r="E18" s="9">
        <v>6</v>
      </c>
      <c r="F18" s="9">
        <v>6</v>
      </c>
      <c r="G18" s="9">
        <v>12</v>
      </c>
      <c r="H18" s="10">
        <v>0.91666666666666696</v>
      </c>
      <c r="I18" s="10">
        <v>2.09</v>
      </c>
      <c r="J18" s="11">
        <v>0.41666666666666702</v>
      </c>
      <c r="K18" s="11">
        <v>1</v>
      </c>
      <c r="L18" s="11">
        <v>0.75</v>
      </c>
      <c r="M18" s="11">
        <v>0.5</v>
      </c>
      <c r="N18" s="11">
        <v>0.16666666666666699</v>
      </c>
      <c r="O18" s="11">
        <v>0.41666666666666702</v>
      </c>
      <c r="P18" s="10">
        <v>0.90972222222222199</v>
      </c>
      <c r="Q18" s="10">
        <v>0.95379359518829998</v>
      </c>
      <c r="R18" s="8" t="s">
        <v>10653</v>
      </c>
      <c r="S18" s="10">
        <v>5</v>
      </c>
      <c r="T18" s="10">
        <v>6</v>
      </c>
      <c r="U18" s="10">
        <v>11</v>
      </c>
      <c r="V18" s="10">
        <v>0.91666666666666696</v>
      </c>
      <c r="W18" s="10">
        <v>7</v>
      </c>
      <c r="X18" s="10">
        <v>13</v>
      </c>
      <c r="Y18" s="10">
        <v>20</v>
      </c>
      <c r="Z18" s="10">
        <v>1.6666666666666701</v>
      </c>
      <c r="AA18" s="10">
        <v>0.83333333333333304</v>
      </c>
      <c r="AB18" s="10">
        <v>1.1666666666666701</v>
      </c>
      <c r="AC18" s="10">
        <v>1</v>
      </c>
      <c r="AD18" s="10">
        <v>2.1666666666666701</v>
      </c>
    </row>
    <row r="19" spans="1:30" x14ac:dyDescent="0.3">
      <c r="A19" s="7" t="s">
        <v>1843</v>
      </c>
      <c r="B19" s="12" t="s">
        <v>1334</v>
      </c>
      <c r="C19" s="10">
        <v>2</v>
      </c>
      <c r="D19" s="10">
        <v>2.3333333333333299</v>
      </c>
      <c r="E19" s="9">
        <v>6</v>
      </c>
      <c r="F19" s="9">
        <v>6</v>
      </c>
      <c r="G19" s="9">
        <v>12</v>
      </c>
      <c r="H19" s="10">
        <v>0.83333333333333304</v>
      </c>
      <c r="I19" s="10">
        <v>2.31</v>
      </c>
      <c r="J19" s="11">
        <v>0.33333333333333298</v>
      </c>
      <c r="K19" s="11">
        <v>1</v>
      </c>
      <c r="L19" s="11">
        <v>0.66666666666666696</v>
      </c>
      <c r="M19" s="11">
        <v>0.5</v>
      </c>
      <c r="N19" s="11">
        <v>0</v>
      </c>
      <c r="O19" s="11">
        <v>0.5</v>
      </c>
      <c r="P19" s="10">
        <v>0.63888888888888895</v>
      </c>
      <c r="Q19" s="10">
        <v>0.79930525388545304</v>
      </c>
      <c r="R19" s="8" t="s">
        <v>10653</v>
      </c>
      <c r="S19" s="10">
        <v>5</v>
      </c>
      <c r="T19" s="10">
        <v>5</v>
      </c>
      <c r="U19" s="10">
        <v>10</v>
      </c>
      <c r="V19" s="10">
        <v>0.83333333333333304</v>
      </c>
      <c r="W19" s="10">
        <v>7</v>
      </c>
      <c r="X19" s="10">
        <v>9</v>
      </c>
      <c r="Y19" s="10">
        <v>16</v>
      </c>
      <c r="Z19" s="10">
        <v>1.3333333333333299</v>
      </c>
      <c r="AA19" s="10">
        <v>0.83333333333333304</v>
      </c>
      <c r="AB19" s="10">
        <v>1.1666666666666701</v>
      </c>
      <c r="AC19" s="10">
        <v>0.83333333333333304</v>
      </c>
      <c r="AD19" s="10">
        <v>1.5</v>
      </c>
    </row>
    <row r="20" spans="1:30" x14ac:dyDescent="0.3">
      <c r="A20" s="7" t="s">
        <v>4556</v>
      </c>
      <c r="B20" s="12" t="s">
        <v>4657</v>
      </c>
      <c r="C20" s="10">
        <v>1.6666666666666701</v>
      </c>
      <c r="D20" s="10">
        <v>2.1666666666666701</v>
      </c>
      <c r="E20" s="9">
        <v>6</v>
      </c>
      <c r="F20" s="9">
        <v>6</v>
      </c>
      <c r="G20" s="9">
        <v>12</v>
      </c>
      <c r="H20" s="10">
        <v>0.91666666666666696</v>
      </c>
      <c r="I20" s="10">
        <v>2.09</v>
      </c>
      <c r="J20" s="11">
        <v>0.5</v>
      </c>
      <c r="K20" s="11">
        <v>0.91666666666666696</v>
      </c>
      <c r="L20" s="11">
        <v>0.58333333333333304</v>
      </c>
      <c r="M20" s="11">
        <v>0.25</v>
      </c>
      <c r="N20" s="11">
        <v>8.3333333333333301E-2</v>
      </c>
      <c r="O20" s="11">
        <v>0.41666666666666702</v>
      </c>
      <c r="P20" s="10">
        <v>1.4097222222222201</v>
      </c>
      <c r="Q20" s="10">
        <v>1.1873172373979199</v>
      </c>
      <c r="R20" s="8" t="s">
        <v>10653</v>
      </c>
      <c r="S20" s="10">
        <v>5</v>
      </c>
      <c r="T20" s="10">
        <v>6</v>
      </c>
      <c r="U20" s="10">
        <v>11</v>
      </c>
      <c r="V20" s="10">
        <v>0.91666666666666696</v>
      </c>
      <c r="W20" s="10">
        <v>5</v>
      </c>
      <c r="X20" s="10">
        <v>7</v>
      </c>
      <c r="Y20" s="10">
        <v>12</v>
      </c>
      <c r="Z20" s="10">
        <v>1</v>
      </c>
      <c r="AA20" s="10">
        <v>0.83333333333333304</v>
      </c>
      <c r="AB20" s="10">
        <v>0.83333333333333304</v>
      </c>
      <c r="AC20" s="10">
        <v>1</v>
      </c>
      <c r="AD20" s="10">
        <v>1.1666666666666701</v>
      </c>
    </row>
    <row r="21" spans="1:30" x14ac:dyDescent="0.3">
      <c r="A21" s="7" t="s">
        <v>5289</v>
      </c>
      <c r="B21" s="12" t="s">
        <v>1339</v>
      </c>
      <c r="C21" s="10">
        <v>3.4</v>
      </c>
      <c r="D21" s="10">
        <v>3.1428571428571401</v>
      </c>
      <c r="E21" s="9">
        <v>5</v>
      </c>
      <c r="F21" s="9">
        <v>7</v>
      </c>
      <c r="G21" s="9">
        <v>12</v>
      </c>
      <c r="H21" s="10">
        <v>1.75</v>
      </c>
      <c r="I21" s="10">
        <v>2.5</v>
      </c>
      <c r="J21" s="11">
        <v>0.25</v>
      </c>
      <c r="K21" s="11">
        <v>1</v>
      </c>
      <c r="L21" s="11">
        <v>0.83333333333333304</v>
      </c>
      <c r="M21" s="11">
        <v>0.58333333333333304</v>
      </c>
      <c r="N21" s="11">
        <v>0.41666666666666702</v>
      </c>
      <c r="O21" s="11">
        <v>0.66666666666666696</v>
      </c>
      <c r="P21" s="10">
        <v>2.8541666666666701</v>
      </c>
      <c r="Q21" s="10">
        <v>1.6894279110594399</v>
      </c>
      <c r="R21" s="8" t="s">
        <v>10653</v>
      </c>
      <c r="S21" s="10">
        <v>9</v>
      </c>
      <c r="T21" s="10">
        <v>12</v>
      </c>
      <c r="U21" s="10">
        <v>21</v>
      </c>
      <c r="V21" s="10">
        <v>1.75</v>
      </c>
      <c r="W21" s="10">
        <v>8</v>
      </c>
      <c r="X21" s="10">
        <v>10</v>
      </c>
      <c r="Y21" s="10">
        <v>18</v>
      </c>
      <c r="Z21" s="10">
        <v>1.5</v>
      </c>
      <c r="AA21" s="10">
        <v>1.8</v>
      </c>
      <c r="AB21" s="10">
        <v>1.6</v>
      </c>
      <c r="AC21" s="10">
        <v>1.71428571428571</v>
      </c>
      <c r="AD21" s="10">
        <v>1.4285714285714299</v>
      </c>
    </row>
    <row r="22" spans="1:30" x14ac:dyDescent="0.3">
      <c r="A22" s="7" t="s">
        <v>265</v>
      </c>
      <c r="B22" s="12" t="s">
        <v>2230</v>
      </c>
      <c r="C22" s="10">
        <v>2.8</v>
      </c>
      <c r="D22" s="10">
        <v>3.71428571428571</v>
      </c>
      <c r="E22" s="9">
        <v>5</v>
      </c>
      <c r="F22" s="9">
        <v>7</v>
      </c>
      <c r="G22" s="9">
        <v>12</v>
      </c>
      <c r="H22" s="10">
        <v>2.1666666666666701</v>
      </c>
      <c r="I22" s="10">
        <v>2.72</v>
      </c>
      <c r="J22" s="11">
        <v>0.16666666666666699</v>
      </c>
      <c r="K22" s="11">
        <v>0.91666666666666696</v>
      </c>
      <c r="L22" s="11">
        <v>0.91666666666666696</v>
      </c>
      <c r="M22" s="11">
        <v>0.58333333333333304</v>
      </c>
      <c r="N22" s="11">
        <v>0.41666666666666702</v>
      </c>
      <c r="O22" s="11">
        <v>0.66666666666666696</v>
      </c>
      <c r="P22" s="10">
        <v>1.9722222222222201</v>
      </c>
      <c r="Q22" s="10">
        <v>1.4043582955293901</v>
      </c>
      <c r="R22" s="8" t="s">
        <v>10653</v>
      </c>
      <c r="S22" s="10">
        <v>9</v>
      </c>
      <c r="T22" s="10">
        <v>17</v>
      </c>
      <c r="U22" s="10">
        <v>26</v>
      </c>
      <c r="V22" s="10">
        <v>2.1666666666666701</v>
      </c>
      <c r="W22" s="10">
        <v>5</v>
      </c>
      <c r="X22" s="10">
        <v>9</v>
      </c>
      <c r="Y22" s="10">
        <v>14</v>
      </c>
      <c r="Z22" s="10">
        <v>1.1666666666666701</v>
      </c>
      <c r="AA22" s="10">
        <v>1.8</v>
      </c>
      <c r="AB22" s="10">
        <v>1</v>
      </c>
      <c r="AC22" s="10">
        <v>2.4285714285714302</v>
      </c>
      <c r="AD22" s="10">
        <v>1.28571428571429</v>
      </c>
    </row>
    <row r="23" spans="1:30" x14ac:dyDescent="0.3">
      <c r="A23" s="7" t="s">
        <v>1383</v>
      </c>
      <c r="B23" s="12" t="s">
        <v>1405</v>
      </c>
      <c r="C23" s="10">
        <v>5</v>
      </c>
      <c r="D23" s="10">
        <v>3.3333333333333299</v>
      </c>
      <c r="E23" s="9">
        <v>6</v>
      </c>
      <c r="F23" s="9">
        <v>6</v>
      </c>
      <c r="G23" s="9">
        <v>12</v>
      </c>
      <c r="H23" s="10">
        <v>1.9166666666666701</v>
      </c>
      <c r="I23" s="10">
        <v>3.31</v>
      </c>
      <c r="J23" s="11">
        <v>0.16666666666666699</v>
      </c>
      <c r="K23" s="11">
        <v>1</v>
      </c>
      <c r="L23" s="11">
        <v>0.91666666666666696</v>
      </c>
      <c r="M23" s="11">
        <v>0.83333333333333304</v>
      </c>
      <c r="N23" s="11">
        <v>0.66666666666666696</v>
      </c>
      <c r="O23" s="11">
        <v>0.66666666666666696</v>
      </c>
      <c r="P23" s="10">
        <v>1.9097222222222201</v>
      </c>
      <c r="Q23" s="10">
        <v>1.38192699598142</v>
      </c>
      <c r="R23" s="8" t="s">
        <v>10653</v>
      </c>
      <c r="S23" s="10">
        <v>12</v>
      </c>
      <c r="T23" s="10">
        <v>11</v>
      </c>
      <c r="U23" s="10">
        <v>23</v>
      </c>
      <c r="V23" s="10">
        <v>1.9166666666666701</v>
      </c>
      <c r="W23" s="10">
        <v>18</v>
      </c>
      <c r="X23" s="10">
        <v>9</v>
      </c>
      <c r="Y23" s="10">
        <v>27</v>
      </c>
      <c r="Z23" s="10">
        <v>2.25</v>
      </c>
      <c r="AA23" s="10">
        <v>2</v>
      </c>
      <c r="AB23" s="10">
        <v>3</v>
      </c>
      <c r="AC23" s="10">
        <v>1.8333333333333299</v>
      </c>
      <c r="AD23" s="10">
        <v>1.5</v>
      </c>
    </row>
    <row r="24" spans="1:30" x14ac:dyDescent="0.3">
      <c r="A24" s="7" t="s">
        <v>6946</v>
      </c>
      <c r="B24" s="12" t="s">
        <v>987</v>
      </c>
      <c r="C24" s="10">
        <v>3.28571428571429</v>
      </c>
      <c r="D24" s="10">
        <v>4</v>
      </c>
      <c r="E24" s="9">
        <v>7</v>
      </c>
      <c r="F24" s="9">
        <v>5</v>
      </c>
      <c r="G24" s="9">
        <v>12</v>
      </c>
      <c r="H24" s="10">
        <v>1.5833333333333299</v>
      </c>
      <c r="I24" s="10">
        <v>2.5</v>
      </c>
      <c r="J24" s="11">
        <v>0.16666666666666699</v>
      </c>
      <c r="K24" s="11">
        <v>1</v>
      </c>
      <c r="L24" s="11">
        <v>0.91666666666666696</v>
      </c>
      <c r="M24" s="11">
        <v>0.75</v>
      </c>
      <c r="N24" s="11">
        <v>0.33333333333333298</v>
      </c>
      <c r="O24" s="11">
        <v>0.58333333333333304</v>
      </c>
      <c r="P24" s="10">
        <v>1.0763888888888899</v>
      </c>
      <c r="Q24" s="10">
        <v>1.03749163316573</v>
      </c>
      <c r="R24" s="8" t="s">
        <v>10653</v>
      </c>
      <c r="S24" s="10">
        <v>14</v>
      </c>
      <c r="T24" s="10">
        <v>5</v>
      </c>
      <c r="U24" s="10">
        <v>19</v>
      </c>
      <c r="V24" s="10">
        <v>1.5833333333333299</v>
      </c>
      <c r="W24" s="10">
        <v>9</v>
      </c>
      <c r="X24" s="10">
        <v>15</v>
      </c>
      <c r="Y24" s="10">
        <v>24</v>
      </c>
      <c r="Z24" s="10">
        <v>2</v>
      </c>
      <c r="AA24" s="10">
        <v>2</v>
      </c>
      <c r="AB24" s="10">
        <v>1.28571428571429</v>
      </c>
      <c r="AC24" s="10">
        <v>1</v>
      </c>
      <c r="AD24" s="10">
        <v>3</v>
      </c>
    </row>
    <row r="25" spans="1:30" x14ac:dyDescent="0.3">
      <c r="A25" s="7" t="s">
        <v>5557</v>
      </c>
      <c r="B25" s="12" t="s">
        <v>966</v>
      </c>
      <c r="C25" s="10">
        <v>4.8333333333333304</v>
      </c>
      <c r="D25" s="10">
        <v>2.5</v>
      </c>
      <c r="E25" s="9">
        <v>6</v>
      </c>
      <c r="F25" s="9">
        <v>6</v>
      </c>
      <c r="G25" s="9">
        <v>12</v>
      </c>
      <c r="H25" s="10">
        <v>1.75</v>
      </c>
      <c r="I25" s="10">
        <v>2.5</v>
      </c>
      <c r="J25" s="11">
        <v>0.33333333333333298</v>
      </c>
      <c r="K25" s="11">
        <v>0.91666666666666696</v>
      </c>
      <c r="L25" s="11">
        <v>0.83333333333333304</v>
      </c>
      <c r="M25" s="11">
        <v>0.66666666666666696</v>
      </c>
      <c r="N25" s="11">
        <v>0.58333333333333304</v>
      </c>
      <c r="O25" s="11">
        <v>0.5</v>
      </c>
      <c r="P25" s="10">
        <v>2.0208333333333299</v>
      </c>
      <c r="Q25" s="10">
        <v>1.4215601757693299</v>
      </c>
      <c r="R25" s="8" t="s">
        <v>10653</v>
      </c>
      <c r="S25" s="10">
        <v>16</v>
      </c>
      <c r="T25" s="10">
        <v>5</v>
      </c>
      <c r="U25" s="10">
        <v>21</v>
      </c>
      <c r="V25" s="10">
        <v>1.75</v>
      </c>
      <c r="W25" s="10">
        <v>13</v>
      </c>
      <c r="X25" s="10">
        <v>10</v>
      </c>
      <c r="Y25" s="10">
        <v>23</v>
      </c>
      <c r="Z25" s="10">
        <v>1.9166666666666701</v>
      </c>
      <c r="AA25" s="10">
        <v>2.6666666666666701</v>
      </c>
      <c r="AB25" s="10">
        <v>2.1666666666666701</v>
      </c>
      <c r="AC25" s="10">
        <v>0.83333333333333304</v>
      </c>
      <c r="AD25" s="10">
        <v>1.6666666666666701</v>
      </c>
    </row>
    <row r="26" spans="1:30" x14ac:dyDescent="0.3">
      <c r="A26" s="7" t="s">
        <v>6391</v>
      </c>
      <c r="B26" s="12" t="s">
        <v>960</v>
      </c>
      <c r="C26" s="10">
        <v>2.1666666666666701</v>
      </c>
      <c r="D26" s="10">
        <v>3.8333333333333299</v>
      </c>
      <c r="E26" s="9">
        <v>6</v>
      </c>
      <c r="F26" s="9">
        <v>6</v>
      </c>
      <c r="G26" s="9">
        <v>12</v>
      </c>
      <c r="H26" s="10">
        <v>1.1666666666666701</v>
      </c>
      <c r="I26" s="10">
        <v>2.5</v>
      </c>
      <c r="J26" s="11">
        <v>0.33333333333333298</v>
      </c>
      <c r="K26" s="11">
        <v>1</v>
      </c>
      <c r="L26" s="11">
        <v>1</v>
      </c>
      <c r="M26" s="11">
        <v>0.58333333333333304</v>
      </c>
      <c r="N26" s="11">
        <v>0.25</v>
      </c>
      <c r="O26" s="11">
        <v>0.66666666666666696</v>
      </c>
      <c r="P26" s="10">
        <v>1.30555555555556</v>
      </c>
      <c r="Q26" s="10">
        <v>1.1426091000668399</v>
      </c>
      <c r="R26" s="8" t="s">
        <v>10653</v>
      </c>
      <c r="S26" s="10">
        <v>3</v>
      </c>
      <c r="T26" s="10">
        <v>11</v>
      </c>
      <c r="U26" s="10">
        <v>14</v>
      </c>
      <c r="V26" s="10">
        <v>1.1666666666666701</v>
      </c>
      <c r="W26" s="10">
        <v>10</v>
      </c>
      <c r="X26" s="10">
        <v>12</v>
      </c>
      <c r="Y26" s="10">
        <v>22</v>
      </c>
      <c r="Z26" s="10">
        <v>1.8333333333333299</v>
      </c>
      <c r="AA26" s="10">
        <v>0.5</v>
      </c>
      <c r="AB26" s="10">
        <v>1.6666666666666701</v>
      </c>
      <c r="AC26" s="10">
        <v>1.8333333333333299</v>
      </c>
      <c r="AD26" s="10">
        <v>2</v>
      </c>
    </row>
    <row r="27" spans="1:30" x14ac:dyDescent="0.3">
      <c r="A27" s="7" t="s">
        <v>102</v>
      </c>
      <c r="B27" s="12" t="s">
        <v>1334</v>
      </c>
      <c r="C27" s="10">
        <v>1.6666666666666701</v>
      </c>
      <c r="D27" s="10">
        <v>1.5</v>
      </c>
      <c r="E27" s="9">
        <v>6</v>
      </c>
      <c r="F27" s="9">
        <v>6</v>
      </c>
      <c r="G27" s="9">
        <v>12</v>
      </c>
      <c r="H27" s="10">
        <v>0.91666666666666696</v>
      </c>
      <c r="I27" s="10">
        <v>2.31</v>
      </c>
      <c r="J27" s="11">
        <v>0.33333333333333298</v>
      </c>
      <c r="K27" s="11">
        <v>0.83333333333333304</v>
      </c>
      <c r="L27" s="11">
        <v>0.58333333333333304</v>
      </c>
      <c r="M27" s="11">
        <v>0.16666666666666699</v>
      </c>
      <c r="N27" s="11">
        <v>0</v>
      </c>
      <c r="O27" s="11">
        <v>0.41666666666666702</v>
      </c>
      <c r="P27" s="10">
        <v>0.57638888888888895</v>
      </c>
      <c r="Q27" s="10">
        <v>0.75920279826202497</v>
      </c>
      <c r="R27" s="8" t="s">
        <v>10653</v>
      </c>
      <c r="S27" s="10">
        <v>7</v>
      </c>
      <c r="T27" s="10">
        <v>4</v>
      </c>
      <c r="U27" s="10">
        <v>11</v>
      </c>
      <c r="V27" s="10">
        <v>0.91666666666666696</v>
      </c>
      <c r="W27" s="10">
        <v>3</v>
      </c>
      <c r="X27" s="10">
        <v>5</v>
      </c>
      <c r="Y27" s="10">
        <v>8</v>
      </c>
      <c r="Z27" s="10">
        <v>0.66666666666666696</v>
      </c>
      <c r="AA27" s="10">
        <v>1.1666666666666701</v>
      </c>
      <c r="AB27" s="10">
        <v>0.5</v>
      </c>
      <c r="AC27" s="10">
        <v>0.66666666666666696</v>
      </c>
      <c r="AD27" s="10">
        <v>0.83333333333333304</v>
      </c>
    </row>
    <row r="28" spans="1:30" x14ac:dyDescent="0.3">
      <c r="A28" s="7" t="s">
        <v>502</v>
      </c>
      <c r="B28" s="12" t="s">
        <v>1333</v>
      </c>
      <c r="C28" s="10">
        <v>1.8333333333333299</v>
      </c>
      <c r="D28" s="10">
        <v>1.8333333333333299</v>
      </c>
      <c r="E28" s="9">
        <v>6</v>
      </c>
      <c r="F28" s="9">
        <v>6</v>
      </c>
      <c r="G28" s="9">
        <v>12</v>
      </c>
      <c r="H28" s="10">
        <v>1.1666666666666701</v>
      </c>
      <c r="I28" s="10">
        <v>2.59</v>
      </c>
      <c r="J28" s="11">
        <v>0.33333333333333298</v>
      </c>
      <c r="K28" s="11">
        <v>0.83333333333333304</v>
      </c>
      <c r="L28" s="11">
        <v>0.58333333333333304</v>
      </c>
      <c r="M28" s="11">
        <v>0.33333333333333298</v>
      </c>
      <c r="N28" s="11">
        <v>8.3333333333333301E-2</v>
      </c>
      <c r="O28" s="11">
        <v>0.41666666666666702</v>
      </c>
      <c r="P28" s="10">
        <v>0.97222222222222199</v>
      </c>
      <c r="Q28" s="10">
        <v>0.98601329718326902</v>
      </c>
      <c r="R28" s="8" t="s">
        <v>10653</v>
      </c>
      <c r="S28" s="10">
        <v>9</v>
      </c>
      <c r="T28" s="10">
        <v>5</v>
      </c>
      <c r="U28" s="10">
        <v>14</v>
      </c>
      <c r="V28" s="10">
        <v>1.1666666666666701</v>
      </c>
      <c r="W28" s="10">
        <v>2</v>
      </c>
      <c r="X28" s="10">
        <v>6</v>
      </c>
      <c r="Y28" s="10">
        <v>8</v>
      </c>
      <c r="Z28" s="10">
        <v>0.66666666666666696</v>
      </c>
      <c r="AA28" s="10">
        <v>1.5</v>
      </c>
      <c r="AB28" s="10">
        <v>0.33333333333333298</v>
      </c>
      <c r="AC28" s="10">
        <v>0.83333333333333304</v>
      </c>
      <c r="AD28" s="10">
        <v>1</v>
      </c>
    </row>
    <row r="29" spans="1:30" x14ac:dyDescent="0.3">
      <c r="A29" s="7" t="s">
        <v>3669</v>
      </c>
      <c r="B29" s="12" t="s">
        <v>3662</v>
      </c>
      <c r="C29" s="10">
        <v>3</v>
      </c>
      <c r="D29" s="10">
        <v>2.875</v>
      </c>
      <c r="E29" s="9">
        <v>4</v>
      </c>
      <c r="F29" s="9">
        <v>8</v>
      </c>
      <c r="G29" s="9">
        <v>12</v>
      </c>
      <c r="H29" s="10">
        <v>1.0833333333333299</v>
      </c>
      <c r="I29" s="10">
        <v>2.5</v>
      </c>
      <c r="J29" s="11">
        <v>0.33333333333333298</v>
      </c>
      <c r="K29" s="11">
        <v>1</v>
      </c>
      <c r="L29" s="11">
        <v>0.83333333333333304</v>
      </c>
      <c r="M29" s="11">
        <v>0.58333333333333304</v>
      </c>
      <c r="N29" s="11">
        <v>0.33333333333333298</v>
      </c>
      <c r="O29" s="11">
        <v>0.66666666666666696</v>
      </c>
      <c r="P29" s="10">
        <v>0.90972222222222299</v>
      </c>
      <c r="Q29" s="10">
        <v>0.95379359518829998</v>
      </c>
      <c r="R29" s="8" t="s">
        <v>10653</v>
      </c>
      <c r="S29" s="10">
        <v>5</v>
      </c>
      <c r="T29" s="10">
        <v>8</v>
      </c>
      <c r="U29" s="10">
        <v>13</v>
      </c>
      <c r="V29" s="10">
        <v>1.0833333333333299</v>
      </c>
      <c r="W29" s="10">
        <v>7</v>
      </c>
      <c r="X29" s="10">
        <v>15</v>
      </c>
      <c r="Y29" s="10">
        <v>22</v>
      </c>
      <c r="Z29" s="10">
        <v>1.8333333333333299</v>
      </c>
      <c r="AA29" s="10">
        <v>1.25</v>
      </c>
      <c r="AB29" s="10">
        <v>1.75</v>
      </c>
      <c r="AC29" s="10">
        <v>1</v>
      </c>
      <c r="AD29" s="10">
        <v>1.875</v>
      </c>
    </row>
    <row r="30" spans="1:30" x14ac:dyDescent="0.3">
      <c r="A30" s="7" t="s">
        <v>2984</v>
      </c>
      <c r="B30" s="12" t="s">
        <v>1336</v>
      </c>
      <c r="C30" s="10">
        <v>6.8333333333333304</v>
      </c>
      <c r="D30" s="10">
        <v>5</v>
      </c>
      <c r="E30" s="9">
        <v>6</v>
      </c>
      <c r="F30" s="9">
        <v>6</v>
      </c>
      <c r="G30" s="9">
        <v>12</v>
      </c>
      <c r="H30" s="10">
        <v>3.6666666666666701</v>
      </c>
      <c r="I30" s="10">
        <v>3.79</v>
      </c>
      <c r="J30" s="11">
        <v>8.3333333333333301E-2</v>
      </c>
      <c r="K30" s="11">
        <v>1</v>
      </c>
      <c r="L30" s="11">
        <v>0.91666666666666696</v>
      </c>
      <c r="M30" s="11">
        <v>0.91666666666666696</v>
      </c>
      <c r="N30" s="11">
        <v>0.83333333333333304</v>
      </c>
      <c r="O30" s="11">
        <v>0.83333333333333304</v>
      </c>
      <c r="P30" s="10">
        <v>4.0555555555555598</v>
      </c>
      <c r="Q30" s="10">
        <v>2.0138409955991001</v>
      </c>
      <c r="R30" s="8" t="s">
        <v>10653</v>
      </c>
      <c r="S30" s="10">
        <v>28</v>
      </c>
      <c r="T30" s="10">
        <v>16</v>
      </c>
      <c r="U30" s="10">
        <v>44</v>
      </c>
      <c r="V30" s="10">
        <v>3.6666666666666701</v>
      </c>
      <c r="W30" s="10">
        <v>13</v>
      </c>
      <c r="X30" s="10">
        <v>14</v>
      </c>
      <c r="Y30" s="10">
        <v>27</v>
      </c>
      <c r="Z30" s="10">
        <v>2.25</v>
      </c>
      <c r="AA30" s="10">
        <v>4.6666666666666696</v>
      </c>
      <c r="AB30" s="10">
        <v>2.1666666666666701</v>
      </c>
      <c r="AC30" s="10">
        <v>2.6666666666666701</v>
      </c>
      <c r="AD30" s="10">
        <v>2.3333333333333299</v>
      </c>
    </row>
    <row r="31" spans="1:30" x14ac:dyDescent="0.3">
      <c r="A31" s="7" t="s">
        <v>231</v>
      </c>
      <c r="B31" s="12" t="s">
        <v>2574</v>
      </c>
      <c r="C31" s="10">
        <v>3.5714285714285698</v>
      </c>
      <c r="D31" s="10">
        <v>4</v>
      </c>
      <c r="E31" s="9">
        <v>7</v>
      </c>
      <c r="F31" s="9">
        <v>5</v>
      </c>
      <c r="G31" s="9">
        <v>12</v>
      </c>
      <c r="H31" s="10">
        <v>1.8333333333333299</v>
      </c>
      <c r="I31" s="10">
        <v>2.5</v>
      </c>
      <c r="J31" s="11">
        <v>8.3333333333333301E-2</v>
      </c>
      <c r="K31" s="11">
        <v>1</v>
      </c>
      <c r="L31" s="11">
        <v>0.91666666666666696</v>
      </c>
      <c r="M31" s="11">
        <v>0.83333333333333304</v>
      </c>
      <c r="N31" s="11">
        <v>0.5</v>
      </c>
      <c r="O31" s="11">
        <v>0.83333333333333304</v>
      </c>
      <c r="P31" s="10">
        <v>1.6388888888888899</v>
      </c>
      <c r="Q31" s="10">
        <v>1.2801909579780999</v>
      </c>
      <c r="R31" s="8" t="s">
        <v>10653</v>
      </c>
      <c r="S31" s="10">
        <v>14</v>
      </c>
      <c r="T31" s="10">
        <v>8</v>
      </c>
      <c r="U31" s="10">
        <v>22</v>
      </c>
      <c r="V31" s="10">
        <v>1.8333333333333299</v>
      </c>
      <c r="W31" s="10">
        <v>11</v>
      </c>
      <c r="X31" s="10">
        <v>12</v>
      </c>
      <c r="Y31" s="10">
        <v>23</v>
      </c>
      <c r="Z31" s="10">
        <v>1.9166666666666701</v>
      </c>
      <c r="AA31" s="10">
        <v>2</v>
      </c>
      <c r="AB31" s="10">
        <v>1.5714285714285701</v>
      </c>
      <c r="AC31" s="10">
        <v>1.6</v>
      </c>
      <c r="AD31" s="10">
        <v>2.4</v>
      </c>
    </row>
    <row r="32" spans="1:30" x14ac:dyDescent="0.3">
      <c r="A32" s="7" t="s">
        <v>88</v>
      </c>
      <c r="B32" s="12" t="s">
        <v>1334</v>
      </c>
      <c r="C32" s="10">
        <v>2.28571428571429</v>
      </c>
      <c r="D32" s="10">
        <v>2.2000000000000002</v>
      </c>
      <c r="E32" s="9">
        <v>7</v>
      </c>
      <c r="F32" s="9">
        <v>5</v>
      </c>
      <c r="G32" s="9">
        <v>12</v>
      </c>
      <c r="H32" s="10">
        <v>1.25</v>
      </c>
      <c r="I32" s="10">
        <v>2.31</v>
      </c>
      <c r="J32" s="11">
        <v>0.25</v>
      </c>
      <c r="K32" s="11">
        <v>0.91666666666666696</v>
      </c>
      <c r="L32" s="11">
        <v>0.66666666666666696</v>
      </c>
      <c r="M32" s="11">
        <v>0.33333333333333298</v>
      </c>
      <c r="N32" s="11">
        <v>0.16666666666666699</v>
      </c>
      <c r="O32" s="11">
        <v>0.5</v>
      </c>
      <c r="P32" s="10">
        <v>1.0208333333333299</v>
      </c>
      <c r="Q32" s="10">
        <v>1.01036297108185</v>
      </c>
      <c r="R32" s="8" t="s">
        <v>10653</v>
      </c>
      <c r="S32" s="10">
        <v>10</v>
      </c>
      <c r="T32" s="10">
        <v>5</v>
      </c>
      <c r="U32" s="10">
        <v>15</v>
      </c>
      <c r="V32" s="10">
        <v>1.25</v>
      </c>
      <c r="W32" s="10">
        <v>6</v>
      </c>
      <c r="X32" s="10">
        <v>6</v>
      </c>
      <c r="Y32" s="10">
        <v>12</v>
      </c>
      <c r="Z32" s="10">
        <v>1</v>
      </c>
      <c r="AA32" s="10">
        <v>1.4285714285714299</v>
      </c>
      <c r="AB32" s="10">
        <v>0.85714285714285698</v>
      </c>
      <c r="AC32" s="10">
        <v>1</v>
      </c>
      <c r="AD32" s="10">
        <v>1.2</v>
      </c>
    </row>
    <row r="33" spans="1:30" x14ac:dyDescent="0.3">
      <c r="A33" s="7" t="s">
        <v>493</v>
      </c>
      <c r="B33" s="12" t="s">
        <v>1333</v>
      </c>
      <c r="C33" s="10">
        <v>3</v>
      </c>
      <c r="D33" s="10">
        <v>2.28571428571429</v>
      </c>
      <c r="E33" s="9">
        <v>5</v>
      </c>
      <c r="F33" s="9">
        <v>7</v>
      </c>
      <c r="G33" s="9">
        <v>12</v>
      </c>
      <c r="H33" s="10">
        <v>1.4166666666666701</v>
      </c>
      <c r="I33" s="10">
        <v>2.59</v>
      </c>
      <c r="J33" s="11">
        <v>0.33333333333333298</v>
      </c>
      <c r="K33" s="11">
        <v>1</v>
      </c>
      <c r="L33" s="11">
        <v>0.75</v>
      </c>
      <c r="M33" s="11">
        <v>0.5</v>
      </c>
      <c r="N33" s="11">
        <v>0.33333333333333298</v>
      </c>
      <c r="O33" s="11">
        <v>0.5</v>
      </c>
      <c r="P33" s="10">
        <v>1.74305555555556</v>
      </c>
      <c r="Q33" s="10">
        <v>1.32024829314624</v>
      </c>
      <c r="R33" s="8" t="s">
        <v>10653</v>
      </c>
      <c r="S33" s="10">
        <v>7</v>
      </c>
      <c r="T33" s="10">
        <v>10</v>
      </c>
      <c r="U33" s="10">
        <v>17</v>
      </c>
      <c r="V33" s="10">
        <v>1.4166666666666701</v>
      </c>
      <c r="W33" s="10">
        <v>8</v>
      </c>
      <c r="X33" s="10">
        <v>6</v>
      </c>
      <c r="Y33" s="10">
        <v>14</v>
      </c>
      <c r="Z33" s="10">
        <v>1.1666666666666701</v>
      </c>
      <c r="AA33" s="10">
        <v>1.4</v>
      </c>
      <c r="AB33" s="10">
        <v>1.6</v>
      </c>
      <c r="AC33" s="10">
        <v>1.4285714285714299</v>
      </c>
      <c r="AD33" s="10">
        <v>0.85714285714285698</v>
      </c>
    </row>
    <row r="34" spans="1:30" x14ac:dyDescent="0.3">
      <c r="A34" s="7" t="s">
        <v>5331</v>
      </c>
      <c r="B34" s="12" t="s">
        <v>1339</v>
      </c>
      <c r="C34" s="10">
        <v>4.2</v>
      </c>
      <c r="D34" s="10">
        <v>3.28571428571429</v>
      </c>
      <c r="E34" s="9">
        <v>5</v>
      </c>
      <c r="F34" s="9">
        <v>7</v>
      </c>
      <c r="G34" s="9">
        <v>12</v>
      </c>
      <c r="H34" s="10">
        <v>2.1666666666666701</v>
      </c>
      <c r="I34" s="10">
        <v>2.5</v>
      </c>
      <c r="J34" s="11">
        <v>0.16666666666666699</v>
      </c>
      <c r="K34" s="11">
        <v>0.91666666666666696</v>
      </c>
      <c r="L34" s="11">
        <v>0.91666666666666696</v>
      </c>
      <c r="M34" s="11">
        <v>0.83333333333333304</v>
      </c>
      <c r="N34" s="11">
        <v>0.58333333333333304</v>
      </c>
      <c r="O34" s="11">
        <v>0.66666666666666696</v>
      </c>
      <c r="P34" s="10">
        <v>1.4722222222222201</v>
      </c>
      <c r="Q34" s="10">
        <v>1.2133516482134199</v>
      </c>
      <c r="R34" s="8" t="s">
        <v>10653</v>
      </c>
      <c r="S34" s="10">
        <v>13</v>
      </c>
      <c r="T34" s="10">
        <v>13</v>
      </c>
      <c r="U34" s="10">
        <v>26</v>
      </c>
      <c r="V34" s="10">
        <v>2.1666666666666701</v>
      </c>
      <c r="W34" s="10">
        <v>8</v>
      </c>
      <c r="X34" s="10">
        <v>10</v>
      </c>
      <c r="Y34" s="10">
        <v>18</v>
      </c>
      <c r="Z34" s="10">
        <v>1.5</v>
      </c>
      <c r="AA34" s="10">
        <v>2.6</v>
      </c>
      <c r="AB34" s="10">
        <v>1.6</v>
      </c>
      <c r="AC34" s="10">
        <v>1.8571428571428601</v>
      </c>
      <c r="AD34" s="10">
        <v>1.4285714285714299</v>
      </c>
    </row>
    <row r="35" spans="1:30" x14ac:dyDescent="0.3">
      <c r="A35" s="7" t="s">
        <v>4074</v>
      </c>
      <c r="B35" s="12" t="s">
        <v>4055</v>
      </c>
      <c r="C35" s="10">
        <v>3.1666666666666701</v>
      </c>
      <c r="D35" s="10">
        <v>1.6666666666666701</v>
      </c>
      <c r="E35" s="9">
        <v>6</v>
      </c>
      <c r="F35" s="9">
        <v>6</v>
      </c>
      <c r="G35" s="9">
        <v>12</v>
      </c>
      <c r="H35" s="10">
        <v>1.25</v>
      </c>
      <c r="I35" s="10">
        <v>2.5</v>
      </c>
      <c r="J35" s="11">
        <v>0.25</v>
      </c>
      <c r="K35" s="11">
        <v>0.91666666666666696</v>
      </c>
      <c r="L35" s="11">
        <v>0.66666666666666696</v>
      </c>
      <c r="M35" s="11">
        <v>0.58333333333333304</v>
      </c>
      <c r="N35" s="11">
        <v>0.16666666666666699</v>
      </c>
      <c r="O35" s="11">
        <v>0.33333333333333298</v>
      </c>
      <c r="P35" s="10">
        <v>1.0208333333333299</v>
      </c>
      <c r="Q35" s="10">
        <v>1.01036297108185</v>
      </c>
      <c r="R35" s="8" t="s">
        <v>10653</v>
      </c>
      <c r="S35" s="10">
        <v>10</v>
      </c>
      <c r="T35" s="10">
        <v>5</v>
      </c>
      <c r="U35" s="10">
        <v>15</v>
      </c>
      <c r="V35" s="10">
        <v>1.25</v>
      </c>
      <c r="W35" s="10">
        <v>9</v>
      </c>
      <c r="X35" s="10">
        <v>5</v>
      </c>
      <c r="Y35" s="10">
        <v>14</v>
      </c>
      <c r="Z35" s="10">
        <v>1.1666666666666701</v>
      </c>
      <c r="AA35" s="10">
        <v>1.6666666666666701</v>
      </c>
      <c r="AB35" s="10">
        <v>1.5</v>
      </c>
      <c r="AC35" s="10">
        <v>0.83333333333333304</v>
      </c>
      <c r="AD35" s="10">
        <v>0.83333333333333304</v>
      </c>
    </row>
    <row r="36" spans="1:30" x14ac:dyDescent="0.3">
      <c r="A36" s="7" t="s">
        <v>3388</v>
      </c>
      <c r="B36" s="12" t="s">
        <v>3426</v>
      </c>
      <c r="C36" s="10">
        <v>3.71428571428571</v>
      </c>
      <c r="D36" s="10">
        <v>2.4</v>
      </c>
      <c r="E36" s="9">
        <v>7</v>
      </c>
      <c r="F36" s="9">
        <v>5</v>
      </c>
      <c r="G36" s="9">
        <v>12</v>
      </c>
      <c r="H36" s="10">
        <v>1.5</v>
      </c>
      <c r="I36" s="10">
        <v>2.5</v>
      </c>
      <c r="J36" s="11">
        <v>0.16666666666666699</v>
      </c>
      <c r="K36" s="11">
        <v>0.91666666666666696</v>
      </c>
      <c r="L36" s="11">
        <v>0.83333333333333304</v>
      </c>
      <c r="M36" s="11">
        <v>0.75</v>
      </c>
      <c r="N36" s="11">
        <v>0.33333333333333298</v>
      </c>
      <c r="O36" s="11">
        <v>0.66666666666666696</v>
      </c>
      <c r="P36" s="10">
        <v>0.91666666666666696</v>
      </c>
      <c r="Q36" s="10">
        <v>0.95742710775633799</v>
      </c>
      <c r="R36" s="8" t="s">
        <v>10653</v>
      </c>
      <c r="S36" s="10">
        <v>14</v>
      </c>
      <c r="T36" s="10">
        <v>4</v>
      </c>
      <c r="U36" s="10">
        <v>18</v>
      </c>
      <c r="V36" s="10">
        <v>1.5</v>
      </c>
      <c r="W36" s="10">
        <v>12</v>
      </c>
      <c r="X36" s="10">
        <v>8</v>
      </c>
      <c r="Y36" s="10">
        <v>20</v>
      </c>
      <c r="Z36" s="10">
        <v>1.6666666666666701</v>
      </c>
      <c r="AA36" s="10">
        <v>2</v>
      </c>
      <c r="AB36" s="10">
        <v>1.71428571428571</v>
      </c>
      <c r="AC36" s="10">
        <v>0.8</v>
      </c>
      <c r="AD36" s="10">
        <v>1.6</v>
      </c>
    </row>
    <row r="37" spans="1:30" x14ac:dyDescent="0.3">
      <c r="A37" s="7" t="s">
        <v>3893</v>
      </c>
      <c r="B37" s="12" t="s">
        <v>3663</v>
      </c>
      <c r="C37" s="10">
        <v>2.75</v>
      </c>
      <c r="D37" s="10">
        <v>4</v>
      </c>
      <c r="E37" s="9">
        <v>4</v>
      </c>
      <c r="F37" s="9">
        <v>8</v>
      </c>
      <c r="G37" s="9">
        <v>12</v>
      </c>
      <c r="H37" s="10">
        <v>1.3333333333333299</v>
      </c>
      <c r="I37" s="10">
        <v>2.5</v>
      </c>
      <c r="J37" s="11">
        <v>0.33333333333333298</v>
      </c>
      <c r="K37" s="11">
        <v>1</v>
      </c>
      <c r="L37" s="11">
        <v>0.91666666666666696</v>
      </c>
      <c r="M37" s="11">
        <v>0.75</v>
      </c>
      <c r="N37" s="11">
        <v>0.5</v>
      </c>
      <c r="O37" s="11">
        <v>0.5</v>
      </c>
      <c r="P37" s="10">
        <v>1.2222222222222201</v>
      </c>
      <c r="Q37" s="10">
        <v>1.1055415967851301</v>
      </c>
      <c r="R37" s="8" t="s">
        <v>10653</v>
      </c>
      <c r="S37" s="10">
        <v>8</v>
      </c>
      <c r="T37" s="10">
        <v>8</v>
      </c>
      <c r="U37" s="10">
        <v>16</v>
      </c>
      <c r="V37" s="10">
        <v>1.3333333333333299</v>
      </c>
      <c r="W37" s="10">
        <v>3</v>
      </c>
      <c r="X37" s="10">
        <v>24</v>
      </c>
      <c r="Y37" s="10">
        <v>27</v>
      </c>
      <c r="Z37" s="10">
        <v>2.25</v>
      </c>
      <c r="AA37" s="10">
        <v>2</v>
      </c>
      <c r="AB37" s="10">
        <v>0.75</v>
      </c>
      <c r="AC37" s="10">
        <v>1</v>
      </c>
      <c r="AD37" s="10">
        <v>3</v>
      </c>
    </row>
    <row r="38" spans="1:30" x14ac:dyDescent="0.3">
      <c r="A38" s="7" t="s">
        <v>107</v>
      </c>
      <c r="B38" s="12" t="s">
        <v>1334</v>
      </c>
      <c r="C38" s="10">
        <v>2</v>
      </c>
      <c r="D38" s="10">
        <v>2.6666666666666701</v>
      </c>
      <c r="E38" s="9">
        <v>6</v>
      </c>
      <c r="F38" s="9">
        <v>6</v>
      </c>
      <c r="G38" s="9">
        <v>12</v>
      </c>
      <c r="H38" s="10">
        <v>0.91666666666666696</v>
      </c>
      <c r="I38" s="10">
        <v>2.31</v>
      </c>
      <c r="J38" s="11">
        <v>0.33333333333333298</v>
      </c>
      <c r="K38" s="11">
        <v>1</v>
      </c>
      <c r="L38" s="11">
        <v>0.66666666666666696</v>
      </c>
      <c r="M38" s="11">
        <v>0.41666666666666702</v>
      </c>
      <c r="N38" s="11">
        <v>0.16666666666666699</v>
      </c>
      <c r="O38" s="11">
        <v>0.5</v>
      </c>
      <c r="P38" s="10">
        <v>0.57638888888888895</v>
      </c>
      <c r="Q38" s="10">
        <v>0.75920279826202497</v>
      </c>
      <c r="R38" s="8" t="s">
        <v>10653</v>
      </c>
      <c r="S38" s="10">
        <v>6</v>
      </c>
      <c r="T38" s="10">
        <v>5</v>
      </c>
      <c r="U38" s="10">
        <v>11</v>
      </c>
      <c r="V38" s="10">
        <v>0.91666666666666696</v>
      </c>
      <c r="W38" s="10">
        <v>6</v>
      </c>
      <c r="X38" s="10">
        <v>11</v>
      </c>
      <c r="Y38" s="10">
        <v>17</v>
      </c>
      <c r="Z38" s="10">
        <v>1.4166666666666701</v>
      </c>
      <c r="AA38" s="10">
        <v>1</v>
      </c>
      <c r="AB38" s="10">
        <v>1</v>
      </c>
      <c r="AC38" s="10">
        <v>0.83333333333333304</v>
      </c>
      <c r="AD38" s="10">
        <v>1.8333333333333299</v>
      </c>
    </row>
    <row r="39" spans="1:30" x14ac:dyDescent="0.3">
      <c r="A39" s="7" t="s">
        <v>2380</v>
      </c>
      <c r="B39" s="12" t="s">
        <v>1330</v>
      </c>
      <c r="C39" s="10">
        <v>5.1666666666666696</v>
      </c>
      <c r="D39" s="10">
        <v>3.3333333333333299</v>
      </c>
      <c r="E39" s="9">
        <v>6</v>
      </c>
      <c r="F39" s="9">
        <v>6</v>
      </c>
      <c r="G39" s="9">
        <v>12</v>
      </c>
      <c r="H39" s="10">
        <v>2.9166666666666701</v>
      </c>
      <c r="I39" s="10">
        <v>2.5</v>
      </c>
      <c r="J39" s="11">
        <v>0.16666666666666699</v>
      </c>
      <c r="K39" s="11">
        <v>1</v>
      </c>
      <c r="L39" s="11">
        <v>1</v>
      </c>
      <c r="M39" s="11">
        <v>0.75</v>
      </c>
      <c r="N39" s="11">
        <v>0.58333333333333304</v>
      </c>
      <c r="O39" s="11">
        <v>0.5</v>
      </c>
      <c r="P39" s="10">
        <v>8.2430555555555607</v>
      </c>
      <c r="Q39" s="10">
        <v>2.8710721961586998</v>
      </c>
      <c r="R39" s="8" t="s">
        <v>1541</v>
      </c>
      <c r="S39" s="10">
        <v>25</v>
      </c>
      <c r="T39" s="10">
        <v>10</v>
      </c>
      <c r="U39" s="10">
        <v>35</v>
      </c>
      <c r="V39" s="10">
        <v>2.9166666666666701</v>
      </c>
      <c r="W39" s="10">
        <v>6</v>
      </c>
      <c r="X39" s="10">
        <v>10</v>
      </c>
      <c r="Y39" s="10">
        <v>16</v>
      </c>
      <c r="Z39" s="10">
        <v>1.3333333333333299</v>
      </c>
      <c r="AA39" s="10">
        <v>4.1666666666666696</v>
      </c>
      <c r="AB39" s="10">
        <v>1</v>
      </c>
      <c r="AC39" s="10">
        <v>1.6666666666666701</v>
      </c>
      <c r="AD39" s="10">
        <v>1.6666666666666701</v>
      </c>
    </row>
    <row r="40" spans="1:30" x14ac:dyDescent="0.3">
      <c r="A40" s="7" t="s">
        <v>161</v>
      </c>
      <c r="B40" s="12" t="s">
        <v>1333</v>
      </c>
      <c r="C40" s="10">
        <v>2.6666666666666701</v>
      </c>
      <c r="D40" s="10">
        <v>2.6666666666666701</v>
      </c>
      <c r="E40" s="9">
        <v>6</v>
      </c>
      <c r="F40" s="9">
        <v>6</v>
      </c>
      <c r="G40" s="9">
        <v>12</v>
      </c>
      <c r="H40" s="10">
        <v>1.3333333333333299</v>
      </c>
      <c r="I40" s="10">
        <v>2.59</v>
      </c>
      <c r="J40" s="11">
        <v>0.16666666666666699</v>
      </c>
      <c r="K40" s="11">
        <v>0.91666666666666696</v>
      </c>
      <c r="L40" s="11">
        <v>0.91666666666666696</v>
      </c>
      <c r="M40" s="11">
        <v>0.5</v>
      </c>
      <c r="N40" s="11">
        <v>0.25</v>
      </c>
      <c r="O40" s="11">
        <v>0.75</v>
      </c>
      <c r="P40" s="10">
        <v>0.55555555555555602</v>
      </c>
      <c r="Q40" s="10">
        <v>0.74535599249993001</v>
      </c>
      <c r="R40" s="8" t="s">
        <v>10653</v>
      </c>
      <c r="S40" s="10">
        <v>9</v>
      </c>
      <c r="T40" s="10">
        <v>7</v>
      </c>
      <c r="U40" s="10">
        <v>16</v>
      </c>
      <c r="V40" s="10">
        <v>1.3333333333333299</v>
      </c>
      <c r="W40" s="10">
        <v>7</v>
      </c>
      <c r="X40" s="10">
        <v>9</v>
      </c>
      <c r="Y40" s="10">
        <v>16</v>
      </c>
      <c r="Z40" s="10">
        <v>1.3333333333333299</v>
      </c>
      <c r="AA40" s="10">
        <v>1.5</v>
      </c>
      <c r="AB40" s="10">
        <v>1.1666666666666701</v>
      </c>
      <c r="AC40" s="10">
        <v>1.1666666666666701</v>
      </c>
      <c r="AD40" s="10">
        <v>1.5</v>
      </c>
    </row>
    <row r="41" spans="1:30" x14ac:dyDescent="0.3">
      <c r="A41" s="7" t="s">
        <v>1381</v>
      </c>
      <c r="B41" s="12" t="s">
        <v>1405</v>
      </c>
      <c r="C41" s="10">
        <v>2.6</v>
      </c>
      <c r="D41" s="10">
        <v>4.8571428571428603</v>
      </c>
      <c r="E41" s="9">
        <v>5</v>
      </c>
      <c r="F41" s="9">
        <v>7</v>
      </c>
      <c r="G41" s="9">
        <v>12</v>
      </c>
      <c r="H41" s="10">
        <v>1.5833333333333299</v>
      </c>
      <c r="I41" s="10">
        <v>3.31</v>
      </c>
      <c r="J41" s="11">
        <v>0.33333333333333298</v>
      </c>
      <c r="K41" s="11">
        <v>0.83333333333333304</v>
      </c>
      <c r="L41" s="11">
        <v>0.83333333333333304</v>
      </c>
      <c r="M41" s="11">
        <v>0.66666666666666696</v>
      </c>
      <c r="N41" s="11">
        <v>0.58333333333333304</v>
      </c>
      <c r="O41" s="11">
        <v>0.58333333333333304</v>
      </c>
      <c r="P41" s="10">
        <v>1.9097222222222201</v>
      </c>
      <c r="Q41" s="10">
        <v>1.38192699598142</v>
      </c>
      <c r="R41" s="8" t="s">
        <v>10653</v>
      </c>
      <c r="S41" s="10">
        <v>6</v>
      </c>
      <c r="T41" s="10">
        <v>13</v>
      </c>
      <c r="U41" s="10">
        <v>19</v>
      </c>
      <c r="V41" s="10">
        <v>1.5833333333333299</v>
      </c>
      <c r="W41" s="10">
        <v>7</v>
      </c>
      <c r="X41" s="10">
        <v>21</v>
      </c>
      <c r="Y41" s="10">
        <v>28</v>
      </c>
      <c r="Z41" s="10">
        <v>2.3333333333333299</v>
      </c>
      <c r="AA41" s="10">
        <v>1.2</v>
      </c>
      <c r="AB41" s="10">
        <v>1.4</v>
      </c>
      <c r="AC41" s="10">
        <v>1.8571428571428601</v>
      </c>
      <c r="AD41" s="10">
        <v>3</v>
      </c>
    </row>
    <row r="42" spans="1:30" x14ac:dyDescent="0.3">
      <c r="A42" s="7" t="s">
        <v>4087</v>
      </c>
      <c r="B42" s="12" t="s">
        <v>4055</v>
      </c>
      <c r="C42" s="10">
        <v>2</v>
      </c>
      <c r="D42" s="10">
        <v>1.6666666666666701</v>
      </c>
      <c r="E42" s="9">
        <v>6</v>
      </c>
      <c r="F42" s="9">
        <v>6</v>
      </c>
      <c r="G42" s="9">
        <v>12</v>
      </c>
      <c r="H42" s="10">
        <v>1</v>
      </c>
      <c r="I42" s="10">
        <v>2.5</v>
      </c>
      <c r="J42" s="11">
        <v>0.33333333333333298</v>
      </c>
      <c r="K42" s="11">
        <v>0.91666666666666696</v>
      </c>
      <c r="L42" s="11">
        <v>0.58333333333333304</v>
      </c>
      <c r="M42" s="11">
        <v>0.33333333333333298</v>
      </c>
      <c r="N42" s="11">
        <v>0</v>
      </c>
      <c r="O42" s="11">
        <v>0.41666666666666702</v>
      </c>
      <c r="P42" s="10">
        <v>0.83333333333333304</v>
      </c>
      <c r="Q42" s="10">
        <v>0.91287092917527701</v>
      </c>
      <c r="R42" s="8" t="s">
        <v>10653</v>
      </c>
      <c r="S42" s="10">
        <v>8</v>
      </c>
      <c r="T42" s="10">
        <v>4</v>
      </c>
      <c r="U42" s="10">
        <v>12</v>
      </c>
      <c r="V42" s="10">
        <v>1</v>
      </c>
      <c r="W42" s="10">
        <v>4</v>
      </c>
      <c r="X42" s="10">
        <v>6</v>
      </c>
      <c r="Y42" s="10">
        <v>10</v>
      </c>
      <c r="Z42" s="10">
        <v>0.83333333333333304</v>
      </c>
      <c r="AA42" s="10">
        <v>1.3333333333333299</v>
      </c>
      <c r="AB42" s="10">
        <v>0.66666666666666696</v>
      </c>
      <c r="AC42" s="10">
        <v>0.66666666666666696</v>
      </c>
      <c r="AD42" s="10">
        <v>1</v>
      </c>
    </row>
    <row r="43" spans="1:30" x14ac:dyDescent="0.3">
      <c r="A43" s="7" t="s">
        <v>4566</v>
      </c>
      <c r="B43" s="12" t="s">
        <v>4657</v>
      </c>
      <c r="C43" s="10">
        <v>2.2000000000000002</v>
      </c>
      <c r="D43" s="10">
        <v>2.28571428571429</v>
      </c>
      <c r="E43" s="9">
        <v>5</v>
      </c>
      <c r="F43" s="9">
        <v>7</v>
      </c>
      <c r="G43" s="9">
        <v>12</v>
      </c>
      <c r="H43" s="10">
        <v>1</v>
      </c>
      <c r="I43" s="10">
        <v>2.09</v>
      </c>
      <c r="J43" s="11">
        <v>0.41666666666666702</v>
      </c>
      <c r="K43" s="11">
        <v>0.91666666666666696</v>
      </c>
      <c r="L43" s="11">
        <v>0.75</v>
      </c>
      <c r="M43" s="11">
        <v>0.41666666666666702</v>
      </c>
      <c r="N43" s="11">
        <v>0.16666666666666699</v>
      </c>
      <c r="O43" s="11">
        <v>0.5</v>
      </c>
      <c r="P43" s="10">
        <v>1.1666666666666701</v>
      </c>
      <c r="Q43" s="10">
        <v>1.0801234497346399</v>
      </c>
      <c r="R43" s="8" t="s">
        <v>10653</v>
      </c>
      <c r="S43" s="10">
        <v>4</v>
      </c>
      <c r="T43" s="10">
        <v>8</v>
      </c>
      <c r="U43" s="10">
        <v>12</v>
      </c>
      <c r="V43" s="10">
        <v>1</v>
      </c>
      <c r="W43" s="10">
        <v>7</v>
      </c>
      <c r="X43" s="10">
        <v>8</v>
      </c>
      <c r="Y43" s="10">
        <v>15</v>
      </c>
      <c r="Z43" s="10">
        <v>1.25</v>
      </c>
      <c r="AA43" s="10">
        <v>0.8</v>
      </c>
      <c r="AB43" s="10">
        <v>1.4</v>
      </c>
      <c r="AC43" s="10">
        <v>1.1428571428571399</v>
      </c>
      <c r="AD43" s="10">
        <v>1.1428571428571399</v>
      </c>
    </row>
    <row r="44" spans="1:30" x14ac:dyDescent="0.3">
      <c r="A44" s="7" t="s">
        <v>1377</v>
      </c>
      <c r="B44" s="12" t="s">
        <v>1405</v>
      </c>
      <c r="C44" s="10">
        <v>5.75</v>
      </c>
      <c r="D44" s="10">
        <v>3.25</v>
      </c>
      <c r="E44" s="9">
        <v>4</v>
      </c>
      <c r="F44" s="9">
        <v>8</v>
      </c>
      <c r="G44" s="9">
        <v>12</v>
      </c>
      <c r="H44" s="10">
        <v>2.8333333333333299</v>
      </c>
      <c r="I44" s="10">
        <v>3.31</v>
      </c>
      <c r="J44" s="11">
        <v>8.3333333333333301E-2</v>
      </c>
      <c r="K44" s="11">
        <v>1</v>
      </c>
      <c r="L44" s="11">
        <v>0.91666666666666696</v>
      </c>
      <c r="M44" s="11">
        <v>0.66666666666666696</v>
      </c>
      <c r="N44" s="11">
        <v>0.41666666666666702</v>
      </c>
      <c r="O44" s="11">
        <v>0.66666666666666696</v>
      </c>
      <c r="P44" s="10">
        <v>3.4722222222222201</v>
      </c>
      <c r="Q44" s="10">
        <v>1.86338998124982</v>
      </c>
      <c r="R44" s="8" t="s">
        <v>10653</v>
      </c>
      <c r="S44" s="10">
        <v>17</v>
      </c>
      <c r="T44" s="10">
        <v>17</v>
      </c>
      <c r="U44" s="10">
        <v>34</v>
      </c>
      <c r="V44" s="10">
        <v>2.8333333333333299</v>
      </c>
      <c r="W44" s="10">
        <v>6</v>
      </c>
      <c r="X44" s="10">
        <v>9</v>
      </c>
      <c r="Y44" s="10">
        <v>15</v>
      </c>
      <c r="Z44" s="10">
        <v>1.25</v>
      </c>
      <c r="AA44" s="10">
        <v>4.25</v>
      </c>
      <c r="AB44" s="10">
        <v>1.5</v>
      </c>
      <c r="AC44" s="10">
        <v>2.125</v>
      </c>
      <c r="AD44" s="10">
        <v>1.125</v>
      </c>
    </row>
    <row r="45" spans="1:30" x14ac:dyDescent="0.3">
      <c r="A45" s="7" t="s">
        <v>891</v>
      </c>
      <c r="B45" s="12" t="s">
        <v>847</v>
      </c>
      <c r="C45" s="10">
        <v>3.1111111111111098</v>
      </c>
      <c r="D45" s="10">
        <v>3.6666666666666701</v>
      </c>
      <c r="E45" s="9">
        <v>9</v>
      </c>
      <c r="F45" s="9">
        <v>3</v>
      </c>
      <c r="G45" s="9">
        <v>12</v>
      </c>
      <c r="H45" s="10">
        <v>2.1666666666666701</v>
      </c>
      <c r="I45" s="10">
        <v>2.5</v>
      </c>
      <c r="J45" s="11">
        <v>0</v>
      </c>
      <c r="K45" s="11">
        <v>1</v>
      </c>
      <c r="L45" s="11">
        <v>0.91666666666666696</v>
      </c>
      <c r="M45" s="11">
        <v>0.66666666666666696</v>
      </c>
      <c r="N45" s="11">
        <v>0.41666666666666702</v>
      </c>
      <c r="O45" s="11">
        <v>0.66666666666666696</v>
      </c>
      <c r="P45" s="10">
        <v>1.1388888888888899</v>
      </c>
      <c r="Q45" s="10">
        <v>1.0671873729054799</v>
      </c>
      <c r="R45" s="8" t="s">
        <v>10653</v>
      </c>
      <c r="S45" s="10">
        <v>20</v>
      </c>
      <c r="T45" s="10">
        <v>6</v>
      </c>
      <c r="U45" s="10">
        <v>26</v>
      </c>
      <c r="V45" s="10">
        <v>2.1666666666666701</v>
      </c>
      <c r="W45" s="10">
        <v>8</v>
      </c>
      <c r="X45" s="10">
        <v>5</v>
      </c>
      <c r="Y45" s="10">
        <v>13</v>
      </c>
      <c r="Z45" s="10">
        <v>1.0833333333333299</v>
      </c>
      <c r="AA45" s="10">
        <v>2.2222222222222201</v>
      </c>
      <c r="AB45" s="10">
        <v>0.88888888888888895</v>
      </c>
      <c r="AC45" s="10">
        <v>2</v>
      </c>
      <c r="AD45" s="10">
        <v>1.6666666666666701</v>
      </c>
    </row>
    <row r="46" spans="1:30" x14ac:dyDescent="0.3">
      <c r="A46" s="7" t="s">
        <v>2378</v>
      </c>
      <c r="B46" s="12" t="s">
        <v>1330</v>
      </c>
      <c r="C46" s="10">
        <v>3.375</v>
      </c>
      <c r="D46" s="10">
        <v>2.75</v>
      </c>
      <c r="E46" s="9">
        <v>8</v>
      </c>
      <c r="F46" s="9">
        <v>4</v>
      </c>
      <c r="G46" s="9">
        <v>12</v>
      </c>
      <c r="H46" s="10">
        <v>0.58333333333333304</v>
      </c>
      <c r="I46" s="10">
        <v>2.5</v>
      </c>
      <c r="J46" s="11">
        <v>0.58333333333333304</v>
      </c>
      <c r="K46" s="11">
        <v>0.83333333333333304</v>
      </c>
      <c r="L46" s="11">
        <v>0.66666666666666696</v>
      </c>
      <c r="M46" s="11">
        <v>0.66666666666666696</v>
      </c>
      <c r="N46" s="11">
        <v>0.41666666666666702</v>
      </c>
      <c r="O46" s="11">
        <v>0.41666666666666702</v>
      </c>
      <c r="P46" s="10">
        <v>0.57638888888888895</v>
      </c>
      <c r="Q46" s="10">
        <v>0.75920279826202497</v>
      </c>
      <c r="R46" s="8" t="s">
        <v>10653</v>
      </c>
      <c r="S46" s="10">
        <v>6</v>
      </c>
      <c r="T46" s="10">
        <v>1</v>
      </c>
      <c r="U46" s="10">
        <v>7</v>
      </c>
      <c r="V46" s="10">
        <v>0.58333333333333304</v>
      </c>
      <c r="W46" s="10">
        <v>21</v>
      </c>
      <c r="X46" s="10">
        <v>10</v>
      </c>
      <c r="Y46" s="10">
        <v>31</v>
      </c>
      <c r="Z46" s="10">
        <v>2.5833333333333299</v>
      </c>
      <c r="AA46" s="10">
        <v>0.75</v>
      </c>
      <c r="AB46" s="10">
        <v>2.625</v>
      </c>
      <c r="AC46" s="10">
        <v>0.25</v>
      </c>
      <c r="AD46" s="10">
        <v>2.5</v>
      </c>
    </row>
    <row r="47" spans="1:30" x14ac:dyDescent="0.3">
      <c r="A47" s="7" t="s">
        <v>273</v>
      </c>
      <c r="B47" s="12" t="s">
        <v>960</v>
      </c>
      <c r="C47" s="10">
        <v>3.3333333333333299</v>
      </c>
      <c r="D47" s="10">
        <v>3.6666666666666701</v>
      </c>
      <c r="E47" s="9">
        <v>6</v>
      </c>
      <c r="F47" s="9">
        <v>6</v>
      </c>
      <c r="G47" s="9">
        <v>12</v>
      </c>
      <c r="H47" s="10">
        <v>0.75</v>
      </c>
      <c r="I47" s="10">
        <v>2.5</v>
      </c>
      <c r="J47" s="11">
        <v>0.5</v>
      </c>
      <c r="K47" s="11">
        <v>0.91666666666666696</v>
      </c>
      <c r="L47" s="11">
        <v>0.91666666666666696</v>
      </c>
      <c r="M47" s="11">
        <v>0.75</v>
      </c>
      <c r="N47" s="11">
        <v>0.41666666666666702</v>
      </c>
      <c r="O47" s="11">
        <v>0.5</v>
      </c>
      <c r="P47" s="10">
        <v>0.85416666666666696</v>
      </c>
      <c r="Q47" s="10">
        <v>0.92421137553411803</v>
      </c>
      <c r="R47" s="8" t="s">
        <v>10653</v>
      </c>
      <c r="S47" s="10">
        <v>4</v>
      </c>
      <c r="T47" s="10">
        <v>5</v>
      </c>
      <c r="U47" s="10">
        <v>9</v>
      </c>
      <c r="V47" s="10">
        <v>0.75</v>
      </c>
      <c r="W47" s="10">
        <v>16</v>
      </c>
      <c r="X47" s="10">
        <v>17</v>
      </c>
      <c r="Y47" s="10">
        <v>33</v>
      </c>
      <c r="Z47" s="10">
        <v>2.75</v>
      </c>
      <c r="AA47" s="10">
        <v>0.66666666666666696</v>
      </c>
      <c r="AB47" s="10">
        <v>2.6666666666666701</v>
      </c>
      <c r="AC47" s="10">
        <v>0.83333333333333304</v>
      </c>
      <c r="AD47" s="10">
        <v>2.8333333333333299</v>
      </c>
    </row>
    <row r="48" spans="1:30" x14ac:dyDescent="0.3">
      <c r="A48" s="7" t="s">
        <v>71</v>
      </c>
      <c r="B48" s="12" t="s">
        <v>1000</v>
      </c>
      <c r="C48" s="10">
        <v>3.6666666666666701</v>
      </c>
      <c r="D48" s="10">
        <v>2.8333333333333299</v>
      </c>
      <c r="E48" s="9">
        <v>6</v>
      </c>
      <c r="F48" s="9">
        <v>6</v>
      </c>
      <c r="G48" s="9">
        <v>12</v>
      </c>
      <c r="H48" s="10">
        <v>1.5833333333333299</v>
      </c>
      <c r="I48" s="10">
        <v>2.5</v>
      </c>
      <c r="J48" s="11">
        <v>0.16666666666666699</v>
      </c>
      <c r="K48" s="11">
        <v>0.91666666666666696</v>
      </c>
      <c r="L48" s="11">
        <v>0.83333333333333304</v>
      </c>
      <c r="M48" s="11">
        <v>0.5</v>
      </c>
      <c r="N48" s="11">
        <v>0.41666666666666702</v>
      </c>
      <c r="O48" s="11">
        <v>0.66666666666666696</v>
      </c>
      <c r="P48" s="10">
        <v>1.0763888888888899</v>
      </c>
      <c r="Q48" s="10">
        <v>1.03749163316573</v>
      </c>
      <c r="R48" s="8" t="s">
        <v>10653</v>
      </c>
      <c r="S48" s="10">
        <v>11</v>
      </c>
      <c r="T48" s="10">
        <v>8</v>
      </c>
      <c r="U48" s="10">
        <v>19</v>
      </c>
      <c r="V48" s="10">
        <v>1.5833333333333299</v>
      </c>
      <c r="W48" s="10">
        <v>11</v>
      </c>
      <c r="X48" s="10">
        <v>9</v>
      </c>
      <c r="Y48" s="10">
        <v>20</v>
      </c>
      <c r="Z48" s="10">
        <v>1.6666666666666701</v>
      </c>
      <c r="AA48" s="10">
        <v>1.8333333333333299</v>
      </c>
      <c r="AB48" s="10">
        <v>1.8333333333333299</v>
      </c>
      <c r="AC48" s="10">
        <v>1.3333333333333299</v>
      </c>
      <c r="AD48" s="10">
        <v>1.5</v>
      </c>
    </row>
    <row r="49" spans="1:30" x14ac:dyDescent="0.3">
      <c r="A49" s="7" t="s">
        <v>5292</v>
      </c>
      <c r="B49" s="12" t="s">
        <v>1339</v>
      </c>
      <c r="C49" s="10">
        <v>3.8333333333333299</v>
      </c>
      <c r="D49" s="10">
        <v>2.3333333333333299</v>
      </c>
      <c r="E49" s="9">
        <v>6</v>
      </c>
      <c r="F49" s="9">
        <v>6</v>
      </c>
      <c r="G49" s="9">
        <v>12</v>
      </c>
      <c r="H49" s="10">
        <v>1.5</v>
      </c>
      <c r="I49" s="10">
        <v>2.5</v>
      </c>
      <c r="J49" s="11">
        <v>0.16666666666666699</v>
      </c>
      <c r="K49" s="11">
        <v>1</v>
      </c>
      <c r="L49" s="11">
        <v>0.91666666666666696</v>
      </c>
      <c r="M49" s="11">
        <v>0.66666666666666696</v>
      </c>
      <c r="N49" s="11">
        <v>0.33333333333333298</v>
      </c>
      <c r="O49" s="11">
        <v>0.75</v>
      </c>
      <c r="P49" s="10">
        <v>0.91666666666666696</v>
      </c>
      <c r="Q49" s="10">
        <v>0.95742710775633799</v>
      </c>
      <c r="R49" s="8" t="s">
        <v>10653</v>
      </c>
      <c r="S49" s="10">
        <v>13</v>
      </c>
      <c r="T49" s="10">
        <v>5</v>
      </c>
      <c r="U49" s="10">
        <v>18</v>
      </c>
      <c r="V49" s="10">
        <v>1.5</v>
      </c>
      <c r="W49" s="10">
        <v>10</v>
      </c>
      <c r="X49" s="10">
        <v>9</v>
      </c>
      <c r="Y49" s="10">
        <v>19</v>
      </c>
      <c r="Z49" s="10">
        <v>1.5833333333333299</v>
      </c>
      <c r="AA49" s="10">
        <v>2.1666666666666701</v>
      </c>
      <c r="AB49" s="10">
        <v>1.6666666666666701</v>
      </c>
      <c r="AC49" s="10">
        <v>0.83333333333333304</v>
      </c>
      <c r="AD49" s="10">
        <v>1.5</v>
      </c>
    </row>
    <row r="50" spans="1:30" x14ac:dyDescent="0.3">
      <c r="A50" s="7" t="s">
        <v>248</v>
      </c>
      <c r="B50" s="12" t="s">
        <v>2230</v>
      </c>
      <c r="C50" s="10">
        <v>3</v>
      </c>
      <c r="D50" s="10">
        <v>2.5</v>
      </c>
      <c r="E50" s="9">
        <v>6</v>
      </c>
      <c r="F50" s="9">
        <v>6</v>
      </c>
      <c r="G50" s="9">
        <v>12</v>
      </c>
      <c r="H50" s="10">
        <v>1.4166666666666701</v>
      </c>
      <c r="I50" s="10">
        <v>2.72</v>
      </c>
      <c r="J50" s="11">
        <v>0.33333333333333298</v>
      </c>
      <c r="K50" s="11">
        <v>0.83333333333333304</v>
      </c>
      <c r="L50" s="11">
        <v>0.83333333333333304</v>
      </c>
      <c r="M50" s="11">
        <v>0.58333333333333304</v>
      </c>
      <c r="N50" s="11">
        <v>0.33333333333333298</v>
      </c>
      <c r="O50" s="11">
        <v>0.5</v>
      </c>
      <c r="P50" s="10">
        <v>1.74305555555556</v>
      </c>
      <c r="Q50" s="10">
        <v>1.32024829314624</v>
      </c>
      <c r="R50" s="8" t="s">
        <v>10653</v>
      </c>
      <c r="S50" s="10">
        <v>9</v>
      </c>
      <c r="T50" s="10">
        <v>8</v>
      </c>
      <c r="U50" s="10">
        <v>17</v>
      </c>
      <c r="V50" s="10">
        <v>1.4166666666666701</v>
      </c>
      <c r="W50" s="10">
        <v>9</v>
      </c>
      <c r="X50" s="10">
        <v>7</v>
      </c>
      <c r="Y50" s="10">
        <v>16</v>
      </c>
      <c r="Z50" s="10">
        <v>1.3333333333333299</v>
      </c>
      <c r="AA50" s="10">
        <v>1.5</v>
      </c>
      <c r="AB50" s="10">
        <v>1.5</v>
      </c>
      <c r="AC50" s="10">
        <v>1.3333333333333299</v>
      </c>
      <c r="AD50" s="10">
        <v>1.1666666666666701</v>
      </c>
    </row>
    <row r="51" spans="1:30" x14ac:dyDescent="0.3">
      <c r="A51" s="7" t="s">
        <v>233</v>
      </c>
      <c r="B51" s="12" t="s">
        <v>1332</v>
      </c>
      <c r="C51" s="10">
        <v>1.3333333333333299</v>
      </c>
      <c r="D51" s="10">
        <v>2.6666666666666701</v>
      </c>
      <c r="E51" s="9">
        <v>6</v>
      </c>
      <c r="F51" s="9">
        <v>6</v>
      </c>
      <c r="G51" s="9">
        <v>12</v>
      </c>
      <c r="H51" s="10">
        <v>0.83333333333333304</v>
      </c>
      <c r="I51" s="10">
        <v>3.62</v>
      </c>
      <c r="J51" s="11">
        <v>0.33333333333333298</v>
      </c>
      <c r="K51" s="11">
        <v>0.83333333333333304</v>
      </c>
      <c r="L51" s="11">
        <v>0.66666666666666696</v>
      </c>
      <c r="M51" s="11">
        <v>0.25</v>
      </c>
      <c r="N51" s="11">
        <v>0.16666666666666699</v>
      </c>
      <c r="O51" s="11">
        <v>0.5</v>
      </c>
      <c r="P51" s="10">
        <v>0.47222222222222199</v>
      </c>
      <c r="Q51" s="10">
        <v>0.68718427093627699</v>
      </c>
      <c r="R51" s="8" t="s">
        <v>10653</v>
      </c>
      <c r="S51" s="10">
        <v>5</v>
      </c>
      <c r="T51" s="10">
        <v>5</v>
      </c>
      <c r="U51" s="10">
        <v>10</v>
      </c>
      <c r="V51" s="10">
        <v>0.83333333333333304</v>
      </c>
      <c r="W51" s="10">
        <v>3</v>
      </c>
      <c r="X51" s="10">
        <v>11</v>
      </c>
      <c r="Y51" s="10">
        <v>14</v>
      </c>
      <c r="Z51" s="10">
        <v>1.1666666666666701</v>
      </c>
      <c r="AA51" s="10">
        <v>0.83333333333333304</v>
      </c>
      <c r="AB51" s="10">
        <v>0.5</v>
      </c>
      <c r="AC51" s="10">
        <v>0.83333333333333304</v>
      </c>
      <c r="AD51" s="10">
        <v>1.8333333333333299</v>
      </c>
    </row>
    <row r="52" spans="1:30" x14ac:dyDescent="0.3">
      <c r="A52" s="7" t="s">
        <v>681</v>
      </c>
      <c r="B52" s="12" t="s">
        <v>1332</v>
      </c>
      <c r="C52" s="10">
        <v>3.5</v>
      </c>
      <c r="D52" s="10">
        <v>2.8333333333333299</v>
      </c>
      <c r="E52" s="9">
        <v>6</v>
      </c>
      <c r="F52" s="9">
        <v>6</v>
      </c>
      <c r="G52" s="9">
        <v>12</v>
      </c>
      <c r="H52" s="10">
        <v>2.0833333333333299</v>
      </c>
      <c r="I52" s="10">
        <v>3.62</v>
      </c>
      <c r="J52" s="11">
        <v>0.16666666666666699</v>
      </c>
      <c r="K52" s="11">
        <v>0.91666666666666696</v>
      </c>
      <c r="L52" s="11">
        <v>0.83333333333333304</v>
      </c>
      <c r="M52" s="11">
        <v>0.66666666666666696</v>
      </c>
      <c r="N52" s="11">
        <v>0.33333333333333298</v>
      </c>
      <c r="O52" s="11">
        <v>0.66666666666666696</v>
      </c>
      <c r="P52" s="10">
        <v>2.9097222222222201</v>
      </c>
      <c r="Q52" s="10">
        <v>1.7057907908715599</v>
      </c>
      <c r="R52" s="8" t="s">
        <v>10653</v>
      </c>
      <c r="S52" s="10">
        <v>16</v>
      </c>
      <c r="T52" s="10">
        <v>9</v>
      </c>
      <c r="U52" s="10">
        <v>25</v>
      </c>
      <c r="V52" s="10">
        <v>2.0833333333333299</v>
      </c>
      <c r="W52" s="10">
        <v>5</v>
      </c>
      <c r="X52" s="10">
        <v>8</v>
      </c>
      <c r="Y52" s="10">
        <v>13</v>
      </c>
      <c r="Z52" s="10">
        <v>1.0833333333333299</v>
      </c>
      <c r="AA52" s="10">
        <v>2.6666666666666701</v>
      </c>
      <c r="AB52" s="10">
        <v>0.83333333333333304</v>
      </c>
      <c r="AC52" s="10">
        <v>1.5</v>
      </c>
      <c r="AD52" s="10">
        <v>1.3333333333333299</v>
      </c>
    </row>
    <row r="53" spans="1:30" x14ac:dyDescent="0.3">
      <c r="A53" s="7" t="s">
        <v>124</v>
      </c>
      <c r="B53" s="12" t="s">
        <v>1334</v>
      </c>
      <c r="C53" s="10">
        <v>3.3333333333333299</v>
      </c>
      <c r="D53" s="10">
        <v>1.5</v>
      </c>
      <c r="E53" s="9">
        <v>6</v>
      </c>
      <c r="F53" s="9">
        <v>6</v>
      </c>
      <c r="G53" s="9">
        <v>12</v>
      </c>
      <c r="H53" s="10">
        <v>1.3333333333333299</v>
      </c>
      <c r="I53" s="10">
        <v>2.31</v>
      </c>
      <c r="J53" s="11">
        <v>0.41666666666666702</v>
      </c>
      <c r="K53" s="11">
        <v>0.83333333333333304</v>
      </c>
      <c r="L53" s="11">
        <v>0.5</v>
      </c>
      <c r="M53" s="11">
        <v>0.5</v>
      </c>
      <c r="N53" s="11">
        <v>0.25</v>
      </c>
      <c r="O53" s="11">
        <v>0.5</v>
      </c>
      <c r="P53" s="10">
        <v>1.8888888888888899</v>
      </c>
      <c r="Q53" s="10">
        <v>1.37436854187255</v>
      </c>
      <c r="R53" s="8" t="s">
        <v>10653</v>
      </c>
      <c r="S53" s="10">
        <v>12</v>
      </c>
      <c r="T53" s="10">
        <v>4</v>
      </c>
      <c r="U53" s="10">
        <v>16</v>
      </c>
      <c r="V53" s="10">
        <v>1.3333333333333299</v>
      </c>
      <c r="W53" s="10">
        <v>8</v>
      </c>
      <c r="X53" s="10">
        <v>5</v>
      </c>
      <c r="Y53" s="10">
        <v>13</v>
      </c>
      <c r="Z53" s="10">
        <v>1.0833333333333299</v>
      </c>
      <c r="AA53" s="10">
        <v>2</v>
      </c>
      <c r="AB53" s="10">
        <v>1.3333333333333299</v>
      </c>
      <c r="AC53" s="10">
        <v>0.66666666666666696</v>
      </c>
      <c r="AD53" s="10">
        <v>0.83333333333333304</v>
      </c>
    </row>
    <row r="54" spans="1:30" x14ac:dyDescent="0.3">
      <c r="A54" s="7" t="s">
        <v>4584</v>
      </c>
      <c r="B54" s="12" t="s">
        <v>4657</v>
      </c>
      <c r="C54" s="10">
        <v>2.3333333333333299</v>
      </c>
      <c r="D54" s="10">
        <v>3</v>
      </c>
      <c r="E54" s="9">
        <v>6</v>
      </c>
      <c r="F54" s="9">
        <v>6</v>
      </c>
      <c r="G54" s="9">
        <v>12</v>
      </c>
      <c r="H54" s="10">
        <v>1.5</v>
      </c>
      <c r="I54" s="10">
        <v>2.09</v>
      </c>
      <c r="J54" s="11">
        <v>0.16666666666666699</v>
      </c>
      <c r="K54" s="11">
        <v>1</v>
      </c>
      <c r="L54" s="11">
        <v>0.83333333333333304</v>
      </c>
      <c r="M54" s="11">
        <v>0.41666666666666702</v>
      </c>
      <c r="N54" s="11">
        <v>0.25</v>
      </c>
      <c r="O54" s="11">
        <v>0.5</v>
      </c>
      <c r="P54" s="10">
        <v>0.58333333333333304</v>
      </c>
      <c r="Q54" s="10">
        <v>0.76376261582597305</v>
      </c>
      <c r="R54" s="8" t="s">
        <v>10653</v>
      </c>
      <c r="S54" s="10">
        <v>10</v>
      </c>
      <c r="T54" s="10">
        <v>8</v>
      </c>
      <c r="U54" s="10">
        <v>18</v>
      </c>
      <c r="V54" s="10">
        <v>1.5</v>
      </c>
      <c r="W54" s="10">
        <v>4</v>
      </c>
      <c r="X54" s="10">
        <v>10</v>
      </c>
      <c r="Y54" s="10">
        <v>14</v>
      </c>
      <c r="Z54" s="10">
        <v>1.1666666666666701</v>
      </c>
      <c r="AA54" s="10">
        <v>1.6666666666666701</v>
      </c>
      <c r="AB54" s="10">
        <v>0.66666666666666696</v>
      </c>
      <c r="AC54" s="10">
        <v>1.3333333333333299</v>
      </c>
      <c r="AD54" s="10">
        <v>1.6666666666666701</v>
      </c>
    </row>
    <row r="55" spans="1:30" x14ac:dyDescent="0.3">
      <c r="A55" s="7" t="s">
        <v>522</v>
      </c>
      <c r="B55" s="12" t="s">
        <v>1333</v>
      </c>
      <c r="C55" s="10">
        <v>3</v>
      </c>
      <c r="D55" s="10">
        <v>2.6666666666666701</v>
      </c>
      <c r="E55" s="9">
        <v>6</v>
      </c>
      <c r="F55" s="9">
        <v>6</v>
      </c>
      <c r="G55" s="9">
        <v>12</v>
      </c>
      <c r="H55" s="10">
        <v>1.6666666666666701</v>
      </c>
      <c r="I55" s="10">
        <v>2.59</v>
      </c>
      <c r="J55" s="11">
        <v>8.3333333333333301E-2</v>
      </c>
      <c r="K55" s="11">
        <v>0.91666666666666696</v>
      </c>
      <c r="L55" s="11">
        <v>0.83333333333333304</v>
      </c>
      <c r="M55" s="11">
        <v>0.66666666666666696</v>
      </c>
      <c r="N55" s="11">
        <v>0.33333333333333298</v>
      </c>
      <c r="O55" s="11">
        <v>0.83333333333333304</v>
      </c>
      <c r="P55" s="10">
        <v>1.05555555555556</v>
      </c>
      <c r="Q55" s="10">
        <v>1.0274023338281599</v>
      </c>
      <c r="R55" s="8" t="s">
        <v>10653</v>
      </c>
      <c r="S55" s="10">
        <v>10</v>
      </c>
      <c r="T55" s="10">
        <v>10</v>
      </c>
      <c r="U55" s="10">
        <v>20</v>
      </c>
      <c r="V55" s="10">
        <v>1.6666666666666701</v>
      </c>
      <c r="W55" s="10">
        <v>8</v>
      </c>
      <c r="X55" s="10">
        <v>6</v>
      </c>
      <c r="Y55" s="10">
        <v>14</v>
      </c>
      <c r="Z55" s="10">
        <v>1.1666666666666701</v>
      </c>
      <c r="AA55" s="10">
        <v>1.6666666666666701</v>
      </c>
      <c r="AB55" s="10">
        <v>1.3333333333333299</v>
      </c>
      <c r="AC55" s="10">
        <v>1.6666666666666701</v>
      </c>
      <c r="AD55" s="10">
        <v>1</v>
      </c>
    </row>
    <row r="56" spans="1:30" x14ac:dyDescent="0.3">
      <c r="A56" s="7" t="s">
        <v>77</v>
      </c>
      <c r="B56" s="12" t="s">
        <v>4290</v>
      </c>
      <c r="C56" s="10">
        <v>4.3333333333333304</v>
      </c>
      <c r="D56" s="10">
        <v>4</v>
      </c>
      <c r="E56" s="9">
        <v>6</v>
      </c>
      <c r="F56" s="9">
        <v>6</v>
      </c>
      <c r="G56" s="9">
        <v>12</v>
      </c>
      <c r="H56" s="10">
        <v>2.0833333333333299</v>
      </c>
      <c r="I56" s="10">
        <v>2.5</v>
      </c>
      <c r="J56" s="11">
        <v>0.16666666666666699</v>
      </c>
      <c r="K56" s="11">
        <v>0.91666666666666696</v>
      </c>
      <c r="L56" s="11">
        <v>0.75</v>
      </c>
      <c r="M56" s="11">
        <v>0.75</v>
      </c>
      <c r="N56" s="11">
        <v>0.58333333333333304</v>
      </c>
      <c r="O56" s="11">
        <v>0.75</v>
      </c>
      <c r="P56" s="10">
        <v>2.74305555555555</v>
      </c>
      <c r="Q56" s="10">
        <v>1.65621724286265</v>
      </c>
      <c r="R56" s="8" t="s">
        <v>10653</v>
      </c>
      <c r="S56" s="10">
        <v>14</v>
      </c>
      <c r="T56" s="10">
        <v>11</v>
      </c>
      <c r="U56" s="10">
        <v>25</v>
      </c>
      <c r="V56" s="10">
        <v>2.0833333333333299</v>
      </c>
      <c r="W56" s="10">
        <v>12</v>
      </c>
      <c r="X56" s="10">
        <v>13</v>
      </c>
      <c r="Y56" s="10">
        <v>25</v>
      </c>
      <c r="Z56" s="10">
        <v>2.0833333333333299</v>
      </c>
      <c r="AA56" s="10">
        <v>2.3333333333333299</v>
      </c>
      <c r="AB56" s="10">
        <v>2</v>
      </c>
      <c r="AC56" s="10">
        <v>1.8333333333333299</v>
      </c>
      <c r="AD56" s="10">
        <v>2.1666666666666701</v>
      </c>
    </row>
    <row r="57" spans="1:30" x14ac:dyDescent="0.3">
      <c r="A57" s="7" t="s">
        <v>1121</v>
      </c>
      <c r="B57" s="12" t="s">
        <v>851</v>
      </c>
      <c r="C57" s="10">
        <v>3.25</v>
      </c>
      <c r="D57" s="10">
        <v>4.75</v>
      </c>
      <c r="E57" s="9">
        <v>4</v>
      </c>
      <c r="F57" s="9">
        <v>8</v>
      </c>
      <c r="G57" s="9">
        <v>12</v>
      </c>
      <c r="H57" s="10">
        <v>2.0833333333333299</v>
      </c>
      <c r="I57" s="10">
        <v>3.76</v>
      </c>
      <c r="J57" s="11">
        <v>0.16666666666666699</v>
      </c>
      <c r="K57" s="11">
        <v>0.91666666666666696</v>
      </c>
      <c r="L57" s="11">
        <v>0.91666666666666696</v>
      </c>
      <c r="M57" s="11">
        <v>0.66666666666666696</v>
      </c>
      <c r="N57" s="11">
        <v>0.66666666666666696</v>
      </c>
      <c r="O57" s="11">
        <v>0.66666666666666696</v>
      </c>
      <c r="P57" s="10">
        <v>2.5763888888888902</v>
      </c>
      <c r="Q57" s="10">
        <v>1.6051133570215199</v>
      </c>
      <c r="R57" s="8" t="s">
        <v>10653</v>
      </c>
      <c r="S57" s="10">
        <v>4</v>
      </c>
      <c r="T57" s="10">
        <v>21</v>
      </c>
      <c r="U57" s="10">
        <v>25</v>
      </c>
      <c r="V57" s="10">
        <v>2.0833333333333299</v>
      </c>
      <c r="W57" s="10">
        <v>9</v>
      </c>
      <c r="X57" s="10">
        <v>17</v>
      </c>
      <c r="Y57" s="10">
        <v>26</v>
      </c>
      <c r="Z57" s="10">
        <v>2.1666666666666701</v>
      </c>
      <c r="AA57" s="10">
        <v>1</v>
      </c>
      <c r="AB57" s="10">
        <v>2.25</v>
      </c>
      <c r="AC57" s="10">
        <v>2.625</v>
      </c>
      <c r="AD57" s="10">
        <v>2.125</v>
      </c>
    </row>
    <row r="58" spans="1:30" x14ac:dyDescent="0.3">
      <c r="A58" s="7" t="s">
        <v>257</v>
      </c>
      <c r="B58" s="12" t="s">
        <v>851</v>
      </c>
      <c r="C58" s="10">
        <v>4</v>
      </c>
      <c r="D58" s="10">
        <v>4</v>
      </c>
      <c r="E58" s="9">
        <v>4</v>
      </c>
      <c r="F58" s="9">
        <v>8</v>
      </c>
      <c r="G58" s="9">
        <v>12</v>
      </c>
      <c r="H58" s="10">
        <v>1.5833333333333299</v>
      </c>
      <c r="I58" s="10">
        <v>3.76</v>
      </c>
      <c r="J58" s="11">
        <v>0.16666666666666699</v>
      </c>
      <c r="K58" s="11">
        <v>1</v>
      </c>
      <c r="L58" s="11">
        <v>1</v>
      </c>
      <c r="M58" s="11">
        <v>0.91666666666666696</v>
      </c>
      <c r="N58" s="11">
        <v>0.5</v>
      </c>
      <c r="O58" s="11">
        <v>0.75</v>
      </c>
      <c r="P58" s="10">
        <v>1.0763888888888899</v>
      </c>
      <c r="Q58" s="10">
        <v>1.03749163316573</v>
      </c>
      <c r="R58" s="8" t="s">
        <v>10653</v>
      </c>
      <c r="S58" s="10">
        <v>7</v>
      </c>
      <c r="T58" s="10">
        <v>12</v>
      </c>
      <c r="U58" s="10">
        <v>19</v>
      </c>
      <c r="V58" s="10">
        <v>1.5833333333333299</v>
      </c>
      <c r="W58" s="10">
        <v>9</v>
      </c>
      <c r="X58" s="10">
        <v>20</v>
      </c>
      <c r="Y58" s="10">
        <v>29</v>
      </c>
      <c r="Z58" s="10">
        <v>2.4166666666666701</v>
      </c>
      <c r="AA58" s="10">
        <v>1.75</v>
      </c>
      <c r="AB58" s="10">
        <v>2.25</v>
      </c>
      <c r="AC58" s="10">
        <v>1.5</v>
      </c>
      <c r="AD58" s="10">
        <v>2.5</v>
      </c>
    </row>
    <row r="59" spans="1:30" x14ac:dyDescent="0.3">
      <c r="A59" s="7" t="s">
        <v>260</v>
      </c>
      <c r="B59" s="12" t="s">
        <v>851</v>
      </c>
      <c r="C59" s="10">
        <v>3.4</v>
      </c>
      <c r="D59" s="10">
        <v>4.4285714285714297</v>
      </c>
      <c r="E59" s="9">
        <v>5</v>
      </c>
      <c r="F59" s="9">
        <v>7</v>
      </c>
      <c r="G59" s="9">
        <v>12</v>
      </c>
      <c r="H59" s="10">
        <v>1.6666666666666701</v>
      </c>
      <c r="I59" s="10">
        <v>3.76</v>
      </c>
      <c r="J59" s="11">
        <v>0.16666666666666699</v>
      </c>
      <c r="K59" s="11">
        <v>1</v>
      </c>
      <c r="L59" s="11">
        <v>0.91666666666666696</v>
      </c>
      <c r="M59" s="11">
        <v>0.75</v>
      </c>
      <c r="N59" s="11">
        <v>0.58333333333333304</v>
      </c>
      <c r="O59" s="11">
        <v>0.75</v>
      </c>
      <c r="P59" s="10">
        <v>1.55555555555555</v>
      </c>
      <c r="Q59" s="10">
        <v>1.2472191289246499</v>
      </c>
      <c r="R59" s="8" t="s">
        <v>10653</v>
      </c>
      <c r="S59" s="10">
        <v>9</v>
      </c>
      <c r="T59" s="10">
        <v>11</v>
      </c>
      <c r="U59" s="10">
        <v>20</v>
      </c>
      <c r="V59" s="10">
        <v>1.6666666666666701</v>
      </c>
      <c r="W59" s="10">
        <v>8</v>
      </c>
      <c r="X59" s="10">
        <v>20</v>
      </c>
      <c r="Y59" s="10">
        <v>28</v>
      </c>
      <c r="Z59" s="10">
        <v>2.3333333333333299</v>
      </c>
      <c r="AA59" s="10">
        <v>1.8</v>
      </c>
      <c r="AB59" s="10">
        <v>1.6</v>
      </c>
      <c r="AC59" s="10">
        <v>1.5714285714285701</v>
      </c>
      <c r="AD59" s="10">
        <v>2.8571428571428599</v>
      </c>
    </row>
    <row r="60" spans="1:30" x14ac:dyDescent="0.3">
      <c r="A60" s="7" t="s">
        <v>4569</v>
      </c>
      <c r="B60" s="12" t="s">
        <v>4657</v>
      </c>
      <c r="C60" s="10">
        <v>2.1666666666666701</v>
      </c>
      <c r="D60" s="10">
        <v>2.1666666666666701</v>
      </c>
      <c r="E60" s="9">
        <v>6</v>
      </c>
      <c r="F60" s="9">
        <v>6</v>
      </c>
      <c r="G60" s="9">
        <v>12</v>
      </c>
      <c r="H60" s="10">
        <v>1.1666666666666701</v>
      </c>
      <c r="I60" s="10">
        <v>2.09</v>
      </c>
      <c r="J60" s="11">
        <v>0.33333333333333298</v>
      </c>
      <c r="K60" s="11">
        <v>1</v>
      </c>
      <c r="L60" s="11">
        <v>0.58333333333333304</v>
      </c>
      <c r="M60" s="11">
        <v>0.41666666666666702</v>
      </c>
      <c r="N60" s="11">
        <v>0.16666666666666699</v>
      </c>
      <c r="O60" s="11">
        <v>0.41666666666666702</v>
      </c>
      <c r="P60" s="10">
        <v>1.1388888888888899</v>
      </c>
      <c r="Q60" s="10">
        <v>1.0671873729054699</v>
      </c>
      <c r="R60" s="8" t="s">
        <v>10653</v>
      </c>
      <c r="S60" s="10">
        <v>10</v>
      </c>
      <c r="T60" s="10">
        <v>4</v>
      </c>
      <c r="U60" s="10">
        <v>14</v>
      </c>
      <c r="V60" s="10">
        <v>1.1666666666666701</v>
      </c>
      <c r="W60" s="10">
        <v>3</v>
      </c>
      <c r="X60" s="10">
        <v>9</v>
      </c>
      <c r="Y60" s="10">
        <v>12</v>
      </c>
      <c r="Z60" s="10">
        <v>1</v>
      </c>
      <c r="AA60" s="10">
        <v>1.6666666666666701</v>
      </c>
      <c r="AB60" s="10">
        <v>0.5</v>
      </c>
      <c r="AC60" s="10">
        <v>0.66666666666666696</v>
      </c>
      <c r="AD60" s="10">
        <v>1.5</v>
      </c>
    </row>
    <row r="61" spans="1:30" x14ac:dyDescent="0.3">
      <c r="A61" s="7" t="s">
        <v>6969</v>
      </c>
      <c r="B61" s="12" t="s">
        <v>987</v>
      </c>
      <c r="C61" s="10">
        <v>2.4</v>
      </c>
      <c r="D61" s="10">
        <v>2.71428571428571</v>
      </c>
      <c r="E61" s="9">
        <v>5</v>
      </c>
      <c r="F61" s="9">
        <v>7</v>
      </c>
      <c r="G61" s="9">
        <v>12</v>
      </c>
      <c r="H61" s="10">
        <v>1.4166666666666701</v>
      </c>
      <c r="I61" s="10">
        <v>2.5</v>
      </c>
      <c r="J61" s="11">
        <v>0.33333333333333298</v>
      </c>
      <c r="K61" s="11">
        <v>1</v>
      </c>
      <c r="L61" s="11">
        <v>0.75</v>
      </c>
      <c r="M61" s="11">
        <v>0.41666666666666702</v>
      </c>
      <c r="N61" s="11">
        <v>0.16666666666666699</v>
      </c>
      <c r="O61" s="11">
        <v>0.33333333333333298</v>
      </c>
      <c r="P61" s="10">
        <v>1.74305555555556</v>
      </c>
      <c r="Q61" s="10">
        <v>1.32024829314624</v>
      </c>
      <c r="R61" s="8" t="s">
        <v>10653</v>
      </c>
      <c r="S61" s="10">
        <v>7</v>
      </c>
      <c r="T61" s="10">
        <v>10</v>
      </c>
      <c r="U61" s="10">
        <v>17</v>
      </c>
      <c r="V61" s="10">
        <v>1.4166666666666701</v>
      </c>
      <c r="W61" s="10">
        <v>5</v>
      </c>
      <c r="X61" s="10">
        <v>9</v>
      </c>
      <c r="Y61" s="10">
        <v>14</v>
      </c>
      <c r="Z61" s="10">
        <v>1.1666666666666701</v>
      </c>
      <c r="AA61" s="10">
        <v>1.4</v>
      </c>
      <c r="AB61" s="10">
        <v>1</v>
      </c>
      <c r="AC61" s="10">
        <v>1.4285714285714299</v>
      </c>
      <c r="AD61" s="10">
        <v>1.28571428571429</v>
      </c>
    </row>
    <row r="62" spans="1:30" x14ac:dyDescent="0.3">
      <c r="A62" s="7" t="s">
        <v>1302</v>
      </c>
      <c r="B62" s="12" t="s">
        <v>973</v>
      </c>
      <c r="C62" s="10">
        <v>2.125</v>
      </c>
      <c r="D62" s="10">
        <v>3.25</v>
      </c>
      <c r="E62" s="9">
        <v>8</v>
      </c>
      <c r="F62" s="9">
        <v>4</v>
      </c>
      <c r="G62" s="9">
        <v>12</v>
      </c>
      <c r="H62" s="10">
        <v>1.1666666666666701</v>
      </c>
      <c r="I62" s="10">
        <v>3.7</v>
      </c>
      <c r="J62" s="11">
        <v>0.33333333333333298</v>
      </c>
      <c r="K62" s="11">
        <v>0.83333333333333304</v>
      </c>
      <c r="L62" s="11">
        <v>0.75</v>
      </c>
      <c r="M62" s="11">
        <v>0.5</v>
      </c>
      <c r="N62" s="11">
        <v>0.33333333333333298</v>
      </c>
      <c r="O62" s="11">
        <v>0.25</v>
      </c>
      <c r="P62" s="10">
        <v>0.97222222222222199</v>
      </c>
      <c r="Q62" s="10">
        <v>0.98601329718326902</v>
      </c>
      <c r="R62" s="8" t="s">
        <v>10653</v>
      </c>
      <c r="S62" s="10">
        <v>11</v>
      </c>
      <c r="T62" s="10">
        <v>3</v>
      </c>
      <c r="U62" s="10">
        <v>14</v>
      </c>
      <c r="V62" s="10">
        <v>1.1666666666666701</v>
      </c>
      <c r="W62" s="10">
        <v>6</v>
      </c>
      <c r="X62" s="10">
        <v>10</v>
      </c>
      <c r="Y62" s="10">
        <v>16</v>
      </c>
      <c r="Z62" s="10">
        <v>1.3333333333333299</v>
      </c>
      <c r="AA62" s="10">
        <v>1.375</v>
      </c>
      <c r="AB62" s="10">
        <v>0.75</v>
      </c>
      <c r="AC62" s="10">
        <v>0.75</v>
      </c>
      <c r="AD62" s="10">
        <v>2.5</v>
      </c>
    </row>
    <row r="63" spans="1:30" x14ac:dyDescent="0.3">
      <c r="A63" s="7" t="s">
        <v>2381</v>
      </c>
      <c r="B63" s="12" t="s">
        <v>1330</v>
      </c>
      <c r="C63" s="10">
        <v>2.6666666666666701</v>
      </c>
      <c r="D63" s="10">
        <v>2.5</v>
      </c>
      <c r="E63" s="9">
        <v>6</v>
      </c>
      <c r="F63" s="9">
        <v>6</v>
      </c>
      <c r="G63" s="9">
        <v>12</v>
      </c>
      <c r="H63" s="10">
        <v>1.4166666666666701</v>
      </c>
      <c r="I63" s="10">
        <v>2.5</v>
      </c>
      <c r="J63" s="11">
        <v>0.33333333333333298</v>
      </c>
      <c r="K63" s="11">
        <v>0.75</v>
      </c>
      <c r="L63" s="11">
        <v>0.66666666666666696</v>
      </c>
      <c r="M63" s="11">
        <v>0.41666666666666702</v>
      </c>
      <c r="N63" s="11">
        <v>0.41666666666666702</v>
      </c>
      <c r="O63" s="11">
        <v>0.5</v>
      </c>
      <c r="P63" s="10">
        <v>1.74305555555556</v>
      </c>
      <c r="Q63" s="10">
        <v>1.32024829314624</v>
      </c>
      <c r="R63" s="8" t="s">
        <v>10653</v>
      </c>
      <c r="S63" s="10">
        <v>7</v>
      </c>
      <c r="T63" s="10">
        <v>10</v>
      </c>
      <c r="U63" s="10">
        <v>17</v>
      </c>
      <c r="V63" s="10">
        <v>1.4166666666666701</v>
      </c>
      <c r="W63" s="10">
        <v>9</v>
      </c>
      <c r="X63" s="10">
        <v>5</v>
      </c>
      <c r="Y63" s="10">
        <v>14</v>
      </c>
      <c r="Z63" s="10">
        <v>1.1666666666666701</v>
      </c>
      <c r="AA63" s="10">
        <v>1.1666666666666701</v>
      </c>
      <c r="AB63" s="10">
        <v>1.5</v>
      </c>
      <c r="AC63" s="10">
        <v>1.6666666666666701</v>
      </c>
      <c r="AD63" s="10">
        <v>0.83333333333333304</v>
      </c>
    </row>
    <row r="64" spans="1:30" x14ac:dyDescent="0.3">
      <c r="A64" s="7" t="s">
        <v>118</v>
      </c>
      <c r="B64" s="12" t="s">
        <v>2574</v>
      </c>
      <c r="C64" s="10">
        <v>2.8333333333333299</v>
      </c>
      <c r="D64" s="10">
        <v>2.3333333333333299</v>
      </c>
      <c r="E64" s="9">
        <v>6</v>
      </c>
      <c r="F64" s="9">
        <v>6</v>
      </c>
      <c r="G64" s="9">
        <v>12</v>
      </c>
      <c r="H64" s="10">
        <v>2.0833333333333299</v>
      </c>
      <c r="I64" s="10">
        <v>2.5</v>
      </c>
      <c r="J64" s="11">
        <v>0.16666666666666699</v>
      </c>
      <c r="K64" s="11">
        <v>1</v>
      </c>
      <c r="L64" s="11">
        <v>0.75</v>
      </c>
      <c r="M64" s="11">
        <v>0.41666666666666702</v>
      </c>
      <c r="N64" s="11">
        <v>0.16666666666666699</v>
      </c>
      <c r="O64" s="11">
        <v>0.33333333333333298</v>
      </c>
      <c r="P64" s="10">
        <v>2.5763888888888902</v>
      </c>
      <c r="Q64" s="10">
        <v>1.6051133570215199</v>
      </c>
      <c r="R64" s="8" t="s">
        <v>10653</v>
      </c>
      <c r="S64" s="10">
        <v>14</v>
      </c>
      <c r="T64" s="10">
        <v>11</v>
      </c>
      <c r="U64" s="10">
        <v>25</v>
      </c>
      <c r="V64" s="10">
        <v>2.0833333333333299</v>
      </c>
      <c r="W64" s="10">
        <v>3</v>
      </c>
      <c r="X64" s="10">
        <v>3</v>
      </c>
      <c r="Y64" s="10">
        <v>6</v>
      </c>
      <c r="Z64" s="10">
        <v>0.5</v>
      </c>
      <c r="AA64" s="10">
        <v>2.3333333333333299</v>
      </c>
      <c r="AB64" s="10">
        <v>0.5</v>
      </c>
      <c r="AC64" s="10">
        <v>1.8333333333333299</v>
      </c>
      <c r="AD64" s="10">
        <v>0.5</v>
      </c>
    </row>
    <row r="65" spans="1:30" x14ac:dyDescent="0.3">
      <c r="A65" s="7" t="s">
        <v>4581</v>
      </c>
      <c r="B65" s="12" t="s">
        <v>4657</v>
      </c>
      <c r="C65" s="10">
        <v>2</v>
      </c>
      <c r="D65" s="10">
        <v>1.3333333333333299</v>
      </c>
      <c r="E65" s="9">
        <v>6</v>
      </c>
      <c r="F65" s="9">
        <v>6</v>
      </c>
      <c r="G65" s="9">
        <v>12</v>
      </c>
      <c r="H65" s="10">
        <v>1</v>
      </c>
      <c r="I65" s="10">
        <v>2.09</v>
      </c>
      <c r="J65" s="11">
        <v>0.25</v>
      </c>
      <c r="K65" s="11">
        <v>0.75</v>
      </c>
      <c r="L65" s="11">
        <v>0.66666666666666696</v>
      </c>
      <c r="M65" s="11">
        <v>0.25</v>
      </c>
      <c r="N65" s="11">
        <v>0</v>
      </c>
      <c r="O65" s="11">
        <v>0.5</v>
      </c>
      <c r="P65" s="10">
        <v>0.5</v>
      </c>
      <c r="Q65" s="10">
        <v>0.70710678118654802</v>
      </c>
      <c r="R65" s="8" t="s">
        <v>10653</v>
      </c>
      <c r="S65" s="10">
        <v>7</v>
      </c>
      <c r="T65" s="10">
        <v>5</v>
      </c>
      <c r="U65" s="10">
        <v>12</v>
      </c>
      <c r="V65" s="10">
        <v>1</v>
      </c>
      <c r="W65" s="10">
        <v>5</v>
      </c>
      <c r="X65" s="10">
        <v>3</v>
      </c>
      <c r="Y65" s="10">
        <v>8</v>
      </c>
      <c r="Z65" s="10">
        <v>0.66666666666666696</v>
      </c>
      <c r="AA65" s="10">
        <v>1.1666666666666701</v>
      </c>
      <c r="AB65" s="10">
        <v>0.83333333333333304</v>
      </c>
      <c r="AC65" s="10">
        <v>0.83333333333333304</v>
      </c>
      <c r="AD65" s="10">
        <v>0.5</v>
      </c>
    </row>
    <row r="66" spans="1:30" x14ac:dyDescent="0.3">
      <c r="A66" s="7" t="s">
        <v>1894</v>
      </c>
      <c r="B66" s="12" t="s">
        <v>1334</v>
      </c>
      <c r="C66" s="10">
        <v>1.6666666666666701</v>
      </c>
      <c r="D66" s="10">
        <v>3</v>
      </c>
      <c r="E66" s="9">
        <v>6</v>
      </c>
      <c r="F66" s="9">
        <v>6</v>
      </c>
      <c r="G66" s="9">
        <v>12</v>
      </c>
      <c r="H66" s="10">
        <v>1</v>
      </c>
      <c r="I66" s="10">
        <v>2.31</v>
      </c>
      <c r="J66" s="11">
        <v>0.41666666666666702</v>
      </c>
      <c r="K66" s="11">
        <v>0.91666666666666696</v>
      </c>
      <c r="L66" s="11">
        <v>0.75</v>
      </c>
      <c r="M66" s="11">
        <v>0.33333333333333298</v>
      </c>
      <c r="N66" s="11">
        <v>8.3333333333333301E-2</v>
      </c>
      <c r="O66" s="11">
        <v>0.5</v>
      </c>
      <c r="P66" s="10">
        <v>1.3333333333333299</v>
      </c>
      <c r="Q66" s="10">
        <v>1.1547005383792499</v>
      </c>
      <c r="R66" s="8" t="s">
        <v>10653</v>
      </c>
      <c r="S66" s="10">
        <v>5</v>
      </c>
      <c r="T66" s="10">
        <v>7</v>
      </c>
      <c r="U66" s="10">
        <v>12</v>
      </c>
      <c r="V66" s="10">
        <v>1</v>
      </c>
      <c r="W66" s="10">
        <v>5</v>
      </c>
      <c r="X66" s="10">
        <v>11</v>
      </c>
      <c r="Y66" s="10">
        <v>16</v>
      </c>
      <c r="Z66" s="10">
        <v>1.3333333333333299</v>
      </c>
      <c r="AA66" s="10">
        <v>0.83333333333333304</v>
      </c>
      <c r="AB66" s="10">
        <v>0.83333333333333304</v>
      </c>
      <c r="AC66" s="10">
        <v>1.1666666666666701</v>
      </c>
      <c r="AD66" s="10">
        <v>1.8333333333333299</v>
      </c>
    </row>
    <row r="67" spans="1:30" x14ac:dyDescent="0.3">
      <c r="A67" s="7" t="s">
        <v>3680</v>
      </c>
      <c r="B67" s="12" t="s">
        <v>3662</v>
      </c>
      <c r="C67" s="10">
        <v>2.4444444444444402</v>
      </c>
      <c r="D67" s="10">
        <v>4.3333333333333304</v>
      </c>
      <c r="E67" s="9">
        <v>9</v>
      </c>
      <c r="F67" s="9">
        <v>3</v>
      </c>
      <c r="G67" s="9">
        <v>12</v>
      </c>
      <c r="H67" s="10">
        <v>1.4166666666666701</v>
      </c>
      <c r="I67" s="10">
        <v>2.5</v>
      </c>
      <c r="J67" s="11">
        <v>0.33333333333333298</v>
      </c>
      <c r="K67" s="11">
        <v>0.91666666666666696</v>
      </c>
      <c r="L67" s="11">
        <v>0.66666666666666696</v>
      </c>
      <c r="M67" s="11">
        <v>0.5</v>
      </c>
      <c r="N67" s="11">
        <v>0.41666666666666702</v>
      </c>
      <c r="O67" s="11">
        <v>0.5</v>
      </c>
      <c r="P67" s="10">
        <v>1.9097222222222201</v>
      </c>
      <c r="Q67" s="10">
        <v>1.38192699598142</v>
      </c>
      <c r="R67" s="8" t="s">
        <v>10653</v>
      </c>
      <c r="S67" s="10">
        <v>12</v>
      </c>
      <c r="T67" s="10">
        <v>5</v>
      </c>
      <c r="U67" s="10">
        <v>17</v>
      </c>
      <c r="V67" s="10">
        <v>1.4166666666666701</v>
      </c>
      <c r="W67" s="10">
        <v>10</v>
      </c>
      <c r="X67" s="10">
        <v>8</v>
      </c>
      <c r="Y67" s="10">
        <v>18</v>
      </c>
      <c r="Z67" s="10">
        <v>1.5</v>
      </c>
      <c r="AA67" s="10">
        <v>1.3333333333333299</v>
      </c>
      <c r="AB67" s="10">
        <v>1.1111111111111101</v>
      </c>
      <c r="AC67" s="10">
        <v>1.6666666666666701</v>
      </c>
      <c r="AD67" s="10">
        <v>2.6666666666666701</v>
      </c>
    </row>
    <row r="68" spans="1:30" x14ac:dyDescent="0.3">
      <c r="A68" s="7" t="s">
        <v>7603</v>
      </c>
      <c r="B68" s="12" t="s">
        <v>7895</v>
      </c>
      <c r="C68" s="10">
        <v>3.71428571428571</v>
      </c>
      <c r="D68" s="10">
        <v>4</v>
      </c>
      <c r="E68" s="9">
        <v>7</v>
      </c>
      <c r="F68" s="9">
        <v>5</v>
      </c>
      <c r="G68" s="9">
        <v>12</v>
      </c>
      <c r="H68" s="10">
        <v>1.5833333333333299</v>
      </c>
      <c r="I68" s="10">
        <v>2.5</v>
      </c>
      <c r="J68" s="11">
        <v>8.3333333333333301E-2</v>
      </c>
      <c r="K68" s="11">
        <v>1</v>
      </c>
      <c r="L68" s="11">
        <v>1</v>
      </c>
      <c r="M68" s="11">
        <v>1</v>
      </c>
      <c r="N68" s="11">
        <v>0.58333333333333304</v>
      </c>
      <c r="O68" s="11">
        <v>0.91666666666666696</v>
      </c>
      <c r="P68" s="10">
        <v>0.74305555555555602</v>
      </c>
      <c r="Q68" s="10">
        <v>0.862006702732384</v>
      </c>
      <c r="R68" s="8" t="s">
        <v>10653</v>
      </c>
      <c r="S68" s="10">
        <v>9</v>
      </c>
      <c r="T68" s="10">
        <v>10</v>
      </c>
      <c r="U68" s="10">
        <v>19</v>
      </c>
      <c r="V68" s="10">
        <v>1.5833333333333299</v>
      </c>
      <c r="W68" s="10">
        <v>17</v>
      </c>
      <c r="X68" s="10">
        <v>10</v>
      </c>
      <c r="Y68" s="10">
        <v>27</v>
      </c>
      <c r="Z68" s="10">
        <v>2.25</v>
      </c>
      <c r="AA68" s="10">
        <v>1.28571428571429</v>
      </c>
      <c r="AB68" s="10">
        <v>2.4285714285714302</v>
      </c>
      <c r="AC68" s="10">
        <v>2</v>
      </c>
      <c r="AD68" s="10">
        <v>2</v>
      </c>
    </row>
    <row r="69" spans="1:30" x14ac:dyDescent="0.3">
      <c r="A69" s="7" t="s">
        <v>488</v>
      </c>
      <c r="B69" s="12" t="s">
        <v>1333</v>
      </c>
      <c r="C69" s="10">
        <v>3.8</v>
      </c>
      <c r="D69" s="10">
        <v>2.4285714285714302</v>
      </c>
      <c r="E69" s="9">
        <v>5</v>
      </c>
      <c r="F69" s="9">
        <v>7</v>
      </c>
      <c r="G69" s="9">
        <v>12</v>
      </c>
      <c r="H69" s="10">
        <v>0.83333333333333304</v>
      </c>
      <c r="I69" s="10">
        <v>2.59</v>
      </c>
      <c r="J69" s="11">
        <v>0.33333333333333298</v>
      </c>
      <c r="K69" s="11">
        <v>1</v>
      </c>
      <c r="L69" s="11">
        <v>0.91666666666666696</v>
      </c>
      <c r="M69" s="11">
        <v>0.58333333333333304</v>
      </c>
      <c r="N69" s="11">
        <v>0.33333333333333298</v>
      </c>
      <c r="O69" s="11">
        <v>0.66666666666666696</v>
      </c>
      <c r="P69" s="10">
        <v>0.47222222222222199</v>
      </c>
      <c r="Q69" s="10">
        <v>0.68718427093627699</v>
      </c>
      <c r="R69" s="8" t="s">
        <v>10653</v>
      </c>
      <c r="S69" s="10">
        <v>5</v>
      </c>
      <c r="T69" s="10">
        <v>5</v>
      </c>
      <c r="U69" s="10">
        <v>10</v>
      </c>
      <c r="V69" s="10">
        <v>0.83333333333333304</v>
      </c>
      <c r="W69" s="10">
        <v>14</v>
      </c>
      <c r="X69" s="10">
        <v>12</v>
      </c>
      <c r="Y69" s="10">
        <v>26</v>
      </c>
      <c r="Z69" s="10">
        <v>2.1666666666666701</v>
      </c>
      <c r="AA69" s="10">
        <v>1</v>
      </c>
      <c r="AB69" s="10">
        <v>2.8</v>
      </c>
      <c r="AC69" s="10">
        <v>0.71428571428571397</v>
      </c>
      <c r="AD69" s="10">
        <v>1.71428571428571</v>
      </c>
    </row>
    <row r="70" spans="1:30" x14ac:dyDescent="0.3">
      <c r="A70" s="7" t="s">
        <v>3690</v>
      </c>
      <c r="B70" s="12" t="s">
        <v>3662</v>
      </c>
      <c r="C70" s="10">
        <v>2.8333333333333299</v>
      </c>
      <c r="D70" s="10">
        <v>3.3333333333333299</v>
      </c>
      <c r="E70" s="9">
        <v>6</v>
      </c>
      <c r="F70" s="9">
        <v>6</v>
      </c>
      <c r="G70" s="9">
        <v>12</v>
      </c>
      <c r="H70" s="10">
        <v>1.4166666666666701</v>
      </c>
      <c r="I70" s="10">
        <v>2.5</v>
      </c>
      <c r="J70" s="11">
        <v>0.16666666666666699</v>
      </c>
      <c r="K70" s="11">
        <v>1</v>
      </c>
      <c r="L70" s="11">
        <v>0.75</v>
      </c>
      <c r="M70" s="11">
        <v>0.66666666666666696</v>
      </c>
      <c r="N70" s="11">
        <v>0.41666666666666702</v>
      </c>
      <c r="O70" s="11">
        <v>0.66666666666666696</v>
      </c>
      <c r="P70" s="10">
        <v>0.74305555555555503</v>
      </c>
      <c r="Q70" s="10">
        <v>0.862006702732383</v>
      </c>
      <c r="R70" s="8" t="s">
        <v>10653</v>
      </c>
      <c r="S70" s="10">
        <v>9</v>
      </c>
      <c r="T70" s="10">
        <v>8</v>
      </c>
      <c r="U70" s="10">
        <v>17</v>
      </c>
      <c r="V70" s="10">
        <v>1.4166666666666701</v>
      </c>
      <c r="W70" s="10">
        <v>8</v>
      </c>
      <c r="X70" s="10">
        <v>12</v>
      </c>
      <c r="Y70" s="10">
        <v>20</v>
      </c>
      <c r="Z70" s="10">
        <v>1.6666666666666701</v>
      </c>
      <c r="AA70" s="10">
        <v>1.5</v>
      </c>
      <c r="AB70" s="10">
        <v>1.3333333333333299</v>
      </c>
      <c r="AC70" s="10">
        <v>1.3333333333333299</v>
      </c>
      <c r="AD70" s="10">
        <v>2</v>
      </c>
    </row>
    <row r="71" spans="1:30" x14ac:dyDescent="0.3">
      <c r="A71" s="7" t="s">
        <v>7240</v>
      </c>
      <c r="B71" s="12" t="s">
        <v>847</v>
      </c>
      <c r="C71" s="10">
        <v>2.1666666666666701</v>
      </c>
      <c r="D71" s="10">
        <v>2.5</v>
      </c>
      <c r="E71" s="9">
        <v>6</v>
      </c>
      <c r="F71" s="9">
        <v>6</v>
      </c>
      <c r="G71" s="9">
        <v>12</v>
      </c>
      <c r="H71" s="10">
        <v>1.25</v>
      </c>
      <c r="I71" s="10">
        <v>2.5</v>
      </c>
      <c r="J71" s="11">
        <v>0.25</v>
      </c>
      <c r="K71" s="11">
        <v>1</v>
      </c>
      <c r="L71" s="11">
        <v>0.75</v>
      </c>
      <c r="M71" s="11">
        <v>0.33333333333333298</v>
      </c>
      <c r="N71" s="11">
        <v>0.16666666666666699</v>
      </c>
      <c r="O71" s="11">
        <v>0.58333333333333304</v>
      </c>
      <c r="P71" s="10">
        <v>1.0208333333333299</v>
      </c>
      <c r="Q71" s="10">
        <v>1.01036297108185</v>
      </c>
      <c r="R71" s="8" t="s">
        <v>10653</v>
      </c>
      <c r="S71" s="10">
        <v>8</v>
      </c>
      <c r="T71" s="10">
        <v>7</v>
      </c>
      <c r="U71" s="10">
        <v>15</v>
      </c>
      <c r="V71" s="10">
        <v>1.25</v>
      </c>
      <c r="W71" s="10">
        <v>5</v>
      </c>
      <c r="X71" s="10">
        <v>8</v>
      </c>
      <c r="Y71" s="10">
        <v>13</v>
      </c>
      <c r="Z71" s="10">
        <v>1.0833333333333299</v>
      </c>
      <c r="AA71" s="10">
        <v>1.3333333333333299</v>
      </c>
      <c r="AB71" s="10">
        <v>0.83333333333333304</v>
      </c>
      <c r="AC71" s="10">
        <v>1.1666666666666701</v>
      </c>
      <c r="AD71" s="10">
        <v>1.3333333333333299</v>
      </c>
    </row>
    <row r="72" spans="1:30" x14ac:dyDescent="0.3">
      <c r="A72" s="7" t="s">
        <v>3668</v>
      </c>
      <c r="B72" s="12" t="s">
        <v>3662</v>
      </c>
      <c r="C72" s="10">
        <v>3.1428571428571401</v>
      </c>
      <c r="D72" s="10">
        <v>4.2</v>
      </c>
      <c r="E72" s="9">
        <v>7</v>
      </c>
      <c r="F72" s="9">
        <v>5</v>
      </c>
      <c r="G72" s="9">
        <v>12</v>
      </c>
      <c r="H72" s="10">
        <v>2.0833333333333299</v>
      </c>
      <c r="I72" s="10">
        <v>2.5</v>
      </c>
      <c r="J72" s="11">
        <v>0</v>
      </c>
      <c r="K72" s="11">
        <v>1</v>
      </c>
      <c r="L72" s="11">
        <v>0.83333333333333304</v>
      </c>
      <c r="M72" s="11">
        <v>0.75</v>
      </c>
      <c r="N72" s="11">
        <v>0.58333333333333304</v>
      </c>
      <c r="O72" s="11">
        <v>0.66666666666666696</v>
      </c>
      <c r="P72" s="10">
        <v>1.24305555555555</v>
      </c>
      <c r="Q72" s="10">
        <v>1.11492401335497</v>
      </c>
      <c r="R72" s="8" t="s">
        <v>10653</v>
      </c>
      <c r="S72" s="10">
        <v>14</v>
      </c>
      <c r="T72" s="10">
        <v>11</v>
      </c>
      <c r="U72" s="10">
        <v>25</v>
      </c>
      <c r="V72" s="10">
        <v>2.0833333333333299</v>
      </c>
      <c r="W72" s="10">
        <v>8</v>
      </c>
      <c r="X72" s="10">
        <v>10</v>
      </c>
      <c r="Y72" s="10">
        <v>18</v>
      </c>
      <c r="Z72" s="10">
        <v>1.5</v>
      </c>
      <c r="AA72" s="10">
        <v>2</v>
      </c>
      <c r="AB72" s="10">
        <v>1.1428571428571399</v>
      </c>
      <c r="AC72" s="10">
        <v>2.2000000000000002</v>
      </c>
      <c r="AD72" s="10">
        <v>2</v>
      </c>
    </row>
    <row r="73" spans="1:30" x14ac:dyDescent="0.3">
      <c r="A73" s="7" t="s">
        <v>7255</v>
      </c>
      <c r="B73" s="12" t="s">
        <v>847</v>
      </c>
      <c r="C73" s="10">
        <v>2.6</v>
      </c>
      <c r="D73" s="10">
        <v>2.5714285714285698</v>
      </c>
      <c r="E73" s="9">
        <v>5</v>
      </c>
      <c r="F73" s="9">
        <v>7</v>
      </c>
      <c r="G73" s="9">
        <v>12</v>
      </c>
      <c r="H73" s="10">
        <v>1</v>
      </c>
      <c r="I73" s="10">
        <v>2.5</v>
      </c>
      <c r="J73" s="11">
        <v>0.25</v>
      </c>
      <c r="K73" s="11">
        <v>0.91666666666666696</v>
      </c>
      <c r="L73" s="11">
        <v>0.66666666666666696</v>
      </c>
      <c r="M73" s="11">
        <v>0.41666666666666702</v>
      </c>
      <c r="N73" s="11">
        <v>0.41666666666666702</v>
      </c>
      <c r="O73" s="11">
        <v>0.58333333333333304</v>
      </c>
      <c r="P73" s="10">
        <v>0.5</v>
      </c>
      <c r="Q73" s="10">
        <v>0.70710678118654802</v>
      </c>
      <c r="R73" s="8" t="s">
        <v>10653</v>
      </c>
      <c r="S73" s="10">
        <v>6</v>
      </c>
      <c r="T73" s="10">
        <v>6</v>
      </c>
      <c r="U73" s="10">
        <v>12</v>
      </c>
      <c r="V73" s="10">
        <v>1</v>
      </c>
      <c r="W73" s="10">
        <v>7</v>
      </c>
      <c r="X73" s="10">
        <v>12</v>
      </c>
      <c r="Y73" s="10">
        <v>19</v>
      </c>
      <c r="Z73" s="10">
        <v>1.5833333333333299</v>
      </c>
      <c r="AA73" s="10">
        <v>1.2</v>
      </c>
      <c r="AB73" s="10">
        <v>1.4</v>
      </c>
      <c r="AC73" s="10">
        <v>0.85714285714285698</v>
      </c>
      <c r="AD73" s="10">
        <v>1.71428571428571</v>
      </c>
    </row>
    <row r="74" spans="1:30" x14ac:dyDescent="0.3">
      <c r="A74" s="7" t="s">
        <v>182</v>
      </c>
      <c r="B74" s="12" t="s">
        <v>1332</v>
      </c>
      <c r="C74" s="10">
        <v>4.5</v>
      </c>
      <c r="D74" s="10">
        <v>2.1666666666666701</v>
      </c>
      <c r="E74" s="9">
        <v>6</v>
      </c>
      <c r="F74" s="9">
        <v>6</v>
      </c>
      <c r="G74" s="9">
        <v>12</v>
      </c>
      <c r="H74" s="10">
        <v>1.8333333333333299</v>
      </c>
      <c r="I74" s="10">
        <v>3.62</v>
      </c>
      <c r="J74" s="11">
        <v>8.3333333333333301E-2</v>
      </c>
      <c r="K74" s="11">
        <v>1</v>
      </c>
      <c r="L74" s="11">
        <v>1</v>
      </c>
      <c r="M74" s="11">
        <v>0.5</v>
      </c>
      <c r="N74" s="11">
        <v>0.41666666666666702</v>
      </c>
      <c r="O74" s="11">
        <v>0.83333333333333304</v>
      </c>
      <c r="P74" s="10">
        <v>1.1388888888888899</v>
      </c>
      <c r="Q74" s="10">
        <v>1.0671873729054799</v>
      </c>
      <c r="R74" s="8" t="s">
        <v>10653</v>
      </c>
      <c r="S74" s="10">
        <v>15</v>
      </c>
      <c r="T74" s="10">
        <v>7</v>
      </c>
      <c r="U74" s="10">
        <v>22</v>
      </c>
      <c r="V74" s="10">
        <v>1.8333333333333299</v>
      </c>
      <c r="W74" s="10">
        <v>12</v>
      </c>
      <c r="X74" s="10">
        <v>6</v>
      </c>
      <c r="Y74" s="10">
        <v>18</v>
      </c>
      <c r="Z74" s="10">
        <v>1.5</v>
      </c>
      <c r="AA74" s="10">
        <v>2.5</v>
      </c>
      <c r="AB74" s="10">
        <v>2</v>
      </c>
      <c r="AC74" s="10">
        <v>1.1666666666666701</v>
      </c>
      <c r="AD74" s="10">
        <v>1</v>
      </c>
    </row>
    <row r="75" spans="1:30" x14ac:dyDescent="0.3">
      <c r="A75" s="7" t="s">
        <v>3352</v>
      </c>
      <c r="B75" s="12" t="s">
        <v>3426</v>
      </c>
      <c r="C75" s="10">
        <v>3.6</v>
      </c>
      <c r="D75" s="10">
        <v>3.4285714285714302</v>
      </c>
      <c r="E75" s="9">
        <v>5</v>
      </c>
      <c r="F75" s="9">
        <v>7</v>
      </c>
      <c r="G75" s="9">
        <v>12</v>
      </c>
      <c r="H75" s="10">
        <v>1.3333333333333299</v>
      </c>
      <c r="I75" s="10">
        <v>2.5</v>
      </c>
      <c r="J75" s="11">
        <v>0.33333333333333298</v>
      </c>
      <c r="K75" s="11">
        <v>1</v>
      </c>
      <c r="L75" s="11">
        <v>0.75</v>
      </c>
      <c r="M75" s="11">
        <v>0.66666666666666696</v>
      </c>
      <c r="N75" s="11">
        <v>0.5</v>
      </c>
      <c r="O75" s="11">
        <v>0.5</v>
      </c>
      <c r="P75" s="10">
        <v>1.55555555555556</v>
      </c>
      <c r="Q75" s="10">
        <v>1.2472191289246499</v>
      </c>
      <c r="R75" s="8" t="s">
        <v>10653</v>
      </c>
      <c r="S75" s="10">
        <v>9</v>
      </c>
      <c r="T75" s="10">
        <v>7</v>
      </c>
      <c r="U75" s="10">
        <v>16</v>
      </c>
      <c r="V75" s="10">
        <v>1.3333333333333299</v>
      </c>
      <c r="W75" s="10">
        <v>9</v>
      </c>
      <c r="X75" s="10">
        <v>17</v>
      </c>
      <c r="Y75" s="10">
        <v>26</v>
      </c>
      <c r="Z75" s="10">
        <v>2.1666666666666701</v>
      </c>
      <c r="AA75" s="10">
        <v>1.8</v>
      </c>
      <c r="AB75" s="10">
        <v>1.8</v>
      </c>
      <c r="AC75" s="10">
        <v>1</v>
      </c>
      <c r="AD75" s="10">
        <v>2.4285714285714302</v>
      </c>
    </row>
    <row r="76" spans="1:30" x14ac:dyDescent="0.3">
      <c r="A76" s="7" t="s">
        <v>222</v>
      </c>
      <c r="B76" s="12" t="s">
        <v>3426</v>
      </c>
      <c r="C76" s="10">
        <v>3.6666666666666701</v>
      </c>
      <c r="D76" s="10">
        <v>3.8333333333333299</v>
      </c>
      <c r="E76" s="9">
        <v>6</v>
      </c>
      <c r="F76" s="9">
        <v>6</v>
      </c>
      <c r="G76" s="9">
        <v>12</v>
      </c>
      <c r="H76" s="10">
        <v>2.6666666666666701</v>
      </c>
      <c r="I76" s="10">
        <v>2.5</v>
      </c>
      <c r="J76" s="11">
        <v>8.3333333333333301E-2</v>
      </c>
      <c r="K76" s="11">
        <v>1</v>
      </c>
      <c r="L76" s="11">
        <v>0.83333333333333304</v>
      </c>
      <c r="M76" s="11">
        <v>0.75</v>
      </c>
      <c r="N76" s="11">
        <v>0.41666666666666702</v>
      </c>
      <c r="O76" s="11">
        <v>0.66666666666666696</v>
      </c>
      <c r="P76" s="10">
        <v>2.2222222222222201</v>
      </c>
      <c r="Q76" s="10">
        <v>1.49071198499986</v>
      </c>
      <c r="R76" s="8" t="s">
        <v>10653</v>
      </c>
      <c r="S76" s="10">
        <v>17</v>
      </c>
      <c r="T76" s="10">
        <v>15</v>
      </c>
      <c r="U76" s="10">
        <v>32</v>
      </c>
      <c r="V76" s="10">
        <v>2.6666666666666701</v>
      </c>
      <c r="W76" s="10">
        <v>5</v>
      </c>
      <c r="X76" s="10">
        <v>8</v>
      </c>
      <c r="Y76" s="10">
        <v>13</v>
      </c>
      <c r="Z76" s="10">
        <v>1.0833333333333299</v>
      </c>
      <c r="AA76" s="10">
        <v>2.8333333333333299</v>
      </c>
      <c r="AB76" s="10">
        <v>0.83333333333333304</v>
      </c>
      <c r="AC76" s="10">
        <v>2.5</v>
      </c>
      <c r="AD76" s="10">
        <v>1.3333333333333299</v>
      </c>
    </row>
    <row r="77" spans="1:30" x14ac:dyDescent="0.3">
      <c r="A77" s="7" t="s">
        <v>3826</v>
      </c>
      <c r="B77" s="12" t="s">
        <v>3663</v>
      </c>
      <c r="C77" s="10">
        <v>3.1666666666666701</v>
      </c>
      <c r="D77" s="10">
        <v>1.6666666666666701</v>
      </c>
      <c r="E77" s="9">
        <v>6</v>
      </c>
      <c r="F77" s="9">
        <v>6</v>
      </c>
      <c r="G77" s="9">
        <v>12</v>
      </c>
      <c r="H77" s="10">
        <v>1.1666666666666701</v>
      </c>
      <c r="I77" s="10">
        <v>2.5</v>
      </c>
      <c r="J77" s="11">
        <v>0.33333333333333298</v>
      </c>
      <c r="K77" s="11">
        <v>0.91666666666666696</v>
      </c>
      <c r="L77" s="11">
        <v>0.41666666666666702</v>
      </c>
      <c r="M77" s="11">
        <v>0.41666666666666702</v>
      </c>
      <c r="N77" s="11">
        <v>0.25</v>
      </c>
      <c r="O77" s="11">
        <v>0.41666666666666702</v>
      </c>
      <c r="P77" s="10">
        <v>2.4722222222222201</v>
      </c>
      <c r="Q77" s="10">
        <v>1.5723301886761001</v>
      </c>
      <c r="R77" s="8" t="s">
        <v>1541</v>
      </c>
      <c r="S77" s="10">
        <v>11</v>
      </c>
      <c r="T77" s="10">
        <v>3</v>
      </c>
      <c r="U77" s="10">
        <v>14</v>
      </c>
      <c r="V77" s="10">
        <v>1.1666666666666701</v>
      </c>
      <c r="W77" s="10">
        <v>8</v>
      </c>
      <c r="X77" s="10">
        <v>7</v>
      </c>
      <c r="Y77" s="10">
        <v>15</v>
      </c>
      <c r="Z77" s="10">
        <v>1.25</v>
      </c>
      <c r="AA77" s="10">
        <v>1.8333333333333299</v>
      </c>
      <c r="AB77" s="10">
        <v>1.3333333333333299</v>
      </c>
      <c r="AC77" s="10">
        <v>0.5</v>
      </c>
      <c r="AD77" s="10">
        <v>1.1666666666666701</v>
      </c>
    </row>
    <row r="78" spans="1:30" x14ac:dyDescent="0.3">
      <c r="A78" s="7" t="s">
        <v>235</v>
      </c>
      <c r="B78" s="12" t="s">
        <v>3662</v>
      </c>
      <c r="C78" s="10">
        <v>2.8571428571428599</v>
      </c>
      <c r="D78" s="10">
        <v>3.4</v>
      </c>
      <c r="E78" s="9">
        <v>7</v>
      </c>
      <c r="F78" s="9">
        <v>5</v>
      </c>
      <c r="G78" s="9">
        <v>12</v>
      </c>
      <c r="H78" s="10">
        <v>1.5</v>
      </c>
      <c r="I78" s="10">
        <v>2.5</v>
      </c>
      <c r="J78" s="11">
        <v>8.3333333333333301E-2</v>
      </c>
      <c r="K78" s="11">
        <v>1</v>
      </c>
      <c r="L78" s="11">
        <v>1</v>
      </c>
      <c r="M78" s="11">
        <v>0.66666666666666696</v>
      </c>
      <c r="N78" s="11">
        <v>0.25</v>
      </c>
      <c r="O78" s="11">
        <v>0.75</v>
      </c>
      <c r="P78" s="10">
        <v>0.41666666666666702</v>
      </c>
      <c r="Q78" s="10">
        <v>0.64549722436790302</v>
      </c>
      <c r="R78" s="8" t="s">
        <v>10653</v>
      </c>
      <c r="S78" s="10">
        <v>12</v>
      </c>
      <c r="T78" s="10">
        <v>6</v>
      </c>
      <c r="U78" s="10">
        <v>18</v>
      </c>
      <c r="V78" s="10">
        <v>1.5</v>
      </c>
      <c r="W78" s="10">
        <v>8</v>
      </c>
      <c r="X78" s="10">
        <v>11</v>
      </c>
      <c r="Y78" s="10">
        <v>19</v>
      </c>
      <c r="Z78" s="10">
        <v>1.5833333333333299</v>
      </c>
      <c r="AA78" s="10">
        <v>1.71428571428571</v>
      </c>
      <c r="AB78" s="10">
        <v>1.1428571428571399</v>
      </c>
      <c r="AC78" s="10">
        <v>1.2</v>
      </c>
      <c r="AD78" s="10">
        <v>2.2000000000000002</v>
      </c>
    </row>
    <row r="79" spans="1:30" x14ac:dyDescent="0.3">
      <c r="A79" s="7" t="s">
        <v>4608</v>
      </c>
      <c r="B79" s="12" t="s">
        <v>4657</v>
      </c>
      <c r="C79" s="10">
        <v>2.3333333333333299</v>
      </c>
      <c r="D79" s="10">
        <v>3</v>
      </c>
      <c r="E79" s="9">
        <v>6</v>
      </c>
      <c r="F79" s="9">
        <v>6</v>
      </c>
      <c r="G79" s="9">
        <v>12</v>
      </c>
      <c r="H79" s="10">
        <v>0.91666666666666696</v>
      </c>
      <c r="I79" s="10">
        <v>2.09</v>
      </c>
      <c r="J79" s="11">
        <v>0.25</v>
      </c>
      <c r="K79" s="11">
        <v>1</v>
      </c>
      <c r="L79" s="11">
        <v>0.91666666666666696</v>
      </c>
      <c r="M79" s="11">
        <v>0.5</v>
      </c>
      <c r="N79" s="11">
        <v>0.25</v>
      </c>
      <c r="O79" s="11">
        <v>0.66666666666666696</v>
      </c>
      <c r="P79" s="10">
        <v>0.40972222222222199</v>
      </c>
      <c r="Q79" s="10">
        <v>0.64009547898905095</v>
      </c>
      <c r="R79" s="8" t="s">
        <v>10653</v>
      </c>
      <c r="S79" s="10">
        <v>6</v>
      </c>
      <c r="T79" s="10">
        <v>5</v>
      </c>
      <c r="U79" s="10">
        <v>11</v>
      </c>
      <c r="V79" s="10">
        <v>0.91666666666666696</v>
      </c>
      <c r="W79" s="10">
        <v>8</v>
      </c>
      <c r="X79" s="10">
        <v>13</v>
      </c>
      <c r="Y79" s="10">
        <v>21</v>
      </c>
      <c r="Z79" s="10">
        <v>1.75</v>
      </c>
      <c r="AA79" s="10">
        <v>1</v>
      </c>
      <c r="AB79" s="10">
        <v>1.3333333333333299</v>
      </c>
      <c r="AC79" s="10">
        <v>0.83333333333333304</v>
      </c>
      <c r="AD79" s="10">
        <v>2.1666666666666701</v>
      </c>
    </row>
    <row r="80" spans="1:30" x14ac:dyDescent="0.3">
      <c r="A80" s="7" t="s">
        <v>3368</v>
      </c>
      <c r="B80" s="12" t="s">
        <v>3426</v>
      </c>
      <c r="C80" s="10">
        <v>2.1666666666666701</v>
      </c>
      <c r="D80" s="10">
        <v>3.5</v>
      </c>
      <c r="E80" s="9">
        <v>6</v>
      </c>
      <c r="F80" s="9">
        <v>6</v>
      </c>
      <c r="G80" s="9">
        <v>12</v>
      </c>
      <c r="H80" s="10">
        <v>1.5833333333333299</v>
      </c>
      <c r="I80" s="10">
        <v>2.5</v>
      </c>
      <c r="J80" s="11">
        <v>0.16666666666666699</v>
      </c>
      <c r="K80" s="11">
        <v>0.91666666666666696</v>
      </c>
      <c r="L80" s="11">
        <v>0.83333333333333304</v>
      </c>
      <c r="M80" s="11">
        <v>0.58333333333333304</v>
      </c>
      <c r="N80" s="11">
        <v>0.33333333333333298</v>
      </c>
      <c r="O80" s="11">
        <v>0.75</v>
      </c>
      <c r="P80" s="10">
        <v>1.24305555555556</v>
      </c>
      <c r="Q80" s="10">
        <v>1.11492401335497</v>
      </c>
      <c r="R80" s="8" t="s">
        <v>10653</v>
      </c>
      <c r="S80" s="10">
        <v>8</v>
      </c>
      <c r="T80" s="10">
        <v>11</v>
      </c>
      <c r="U80" s="10">
        <v>19</v>
      </c>
      <c r="V80" s="10">
        <v>1.5833333333333299</v>
      </c>
      <c r="W80" s="10">
        <v>5</v>
      </c>
      <c r="X80" s="10">
        <v>10</v>
      </c>
      <c r="Y80" s="10">
        <v>15</v>
      </c>
      <c r="Z80" s="10">
        <v>1.25</v>
      </c>
      <c r="AA80" s="10">
        <v>1.3333333333333299</v>
      </c>
      <c r="AB80" s="10">
        <v>0.83333333333333304</v>
      </c>
      <c r="AC80" s="10">
        <v>1.8333333333333299</v>
      </c>
      <c r="AD80" s="10">
        <v>1.6666666666666701</v>
      </c>
    </row>
    <row r="81" spans="1:30" x14ac:dyDescent="0.3">
      <c r="A81" s="7" t="s">
        <v>174</v>
      </c>
      <c r="B81" s="12" t="s">
        <v>1333</v>
      </c>
      <c r="C81" s="10">
        <v>1.5714285714285701</v>
      </c>
      <c r="D81" s="10">
        <v>2.6</v>
      </c>
      <c r="E81" s="9">
        <v>7</v>
      </c>
      <c r="F81" s="9">
        <v>5</v>
      </c>
      <c r="G81" s="9">
        <v>12</v>
      </c>
      <c r="H81" s="10">
        <v>1.1666666666666701</v>
      </c>
      <c r="I81" s="10">
        <v>2.59</v>
      </c>
      <c r="J81" s="11">
        <v>0.33333333333333298</v>
      </c>
      <c r="K81" s="11">
        <v>0.75</v>
      </c>
      <c r="L81" s="11">
        <v>0.5</v>
      </c>
      <c r="M81" s="11">
        <v>0.41666666666666702</v>
      </c>
      <c r="N81" s="11">
        <v>0.25</v>
      </c>
      <c r="O81" s="11">
        <v>0.41666666666666702</v>
      </c>
      <c r="P81" s="10">
        <v>1.30555555555556</v>
      </c>
      <c r="Q81" s="10">
        <v>1.1426091000668399</v>
      </c>
      <c r="R81" s="8" t="s">
        <v>10653</v>
      </c>
      <c r="S81" s="10">
        <v>8</v>
      </c>
      <c r="T81" s="10">
        <v>6</v>
      </c>
      <c r="U81" s="10">
        <v>14</v>
      </c>
      <c r="V81" s="10">
        <v>1.1666666666666701</v>
      </c>
      <c r="W81" s="10">
        <v>3</v>
      </c>
      <c r="X81" s="10">
        <v>7</v>
      </c>
      <c r="Y81" s="10">
        <v>10</v>
      </c>
      <c r="Z81" s="10">
        <v>0.83333333333333304</v>
      </c>
      <c r="AA81" s="10">
        <v>1.1428571428571399</v>
      </c>
      <c r="AB81" s="10">
        <v>0.42857142857142899</v>
      </c>
      <c r="AC81" s="10">
        <v>1.2</v>
      </c>
      <c r="AD81" s="10">
        <v>1.4</v>
      </c>
    </row>
    <row r="82" spans="1:30" x14ac:dyDescent="0.3">
      <c r="A82" s="7" t="s">
        <v>177</v>
      </c>
      <c r="B82" s="12" t="s">
        <v>1333</v>
      </c>
      <c r="C82" s="10">
        <v>3</v>
      </c>
      <c r="D82" s="10">
        <v>2.6666666666666701</v>
      </c>
      <c r="E82" s="9">
        <v>6</v>
      </c>
      <c r="F82" s="9">
        <v>6</v>
      </c>
      <c r="G82" s="9">
        <v>12</v>
      </c>
      <c r="H82" s="10">
        <v>1.25</v>
      </c>
      <c r="I82" s="10">
        <v>2.59</v>
      </c>
      <c r="J82" s="11">
        <v>0.33333333333333298</v>
      </c>
      <c r="K82" s="11">
        <v>0.91666666666666696</v>
      </c>
      <c r="L82" s="11">
        <v>0.75</v>
      </c>
      <c r="M82" s="11">
        <v>0.58333333333333304</v>
      </c>
      <c r="N82" s="11">
        <v>0.41666666666666702</v>
      </c>
      <c r="O82" s="11">
        <v>0.5</v>
      </c>
      <c r="P82" s="10">
        <v>1.1875</v>
      </c>
      <c r="Q82" s="10">
        <v>1.08972473588517</v>
      </c>
      <c r="R82" s="8" t="s">
        <v>10653</v>
      </c>
      <c r="S82" s="10">
        <v>9</v>
      </c>
      <c r="T82" s="10">
        <v>6</v>
      </c>
      <c r="U82" s="10">
        <v>15</v>
      </c>
      <c r="V82" s="10">
        <v>1.25</v>
      </c>
      <c r="W82" s="10">
        <v>9</v>
      </c>
      <c r="X82" s="10">
        <v>10</v>
      </c>
      <c r="Y82" s="10">
        <v>19</v>
      </c>
      <c r="Z82" s="10">
        <v>1.5833333333333299</v>
      </c>
      <c r="AA82" s="10">
        <v>1.5</v>
      </c>
      <c r="AB82" s="10">
        <v>1.5</v>
      </c>
      <c r="AC82" s="10">
        <v>1</v>
      </c>
      <c r="AD82" s="10">
        <v>1.6666666666666701</v>
      </c>
    </row>
    <row r="83" spans="1:30" x14ac:dyDescent="0.3">
      <c r="A83" s="7" t="s">
        <v>83</v>
      </c>
      <c r="B83" s="12" t="s">
        <v>1334</v>
      </c>
      <c r="C83" s="10">
        <v>3.6666666666666701</v>
      </c>
      <c r="D83" s="10">
        <v>2.6666666666666701</v>
      </c>
      <c r="E83" s="9">
        <v>6</v>
      </c>
      <c r="F83" s="9">
        <v>6</v>
      </c>
      <c r="G83" s="9">
        <v>12</v>
      </c>
      <c r="H83" s="10">
        <v>1.5833333333333299</v>
      </c>
      <c r="I83" s="10">
        <v>2.31</v>
      </c>
      <c r="J83" s="11">
        <v>0.16666666666666699</v>
      </c>
      <c r="K83" s="11">
        <v>1</v>
      </c>
      <c r="L83" s="11">
        <v>0.75</v>
      </c>
      <c r="M83" s="11">
        <v>0.5</v>
      </c>
      <c r="N83" s="11">
        <v>0.41666666666666702</v>
      </c>
      <c r="O83" s="11">
        <v>0.5</v>
      </c>
      <c r="P83" s="10">
        <v>1.24305555555556</v>
      </c>
      <c r="Q83" s="10">
        <v>1.11492401335497</v>
      </c>
      <c r="R83" s="8" t="s">
        <v>10653</v>
      </c>
      <c r="S83" s="10">
        <v>13</v>
      </c>
      <c r="T83" s="10">
        <v>6</v>
      </c>
      <c r="U83" s="10">
        <v>19</v>
      </c>
      <c r="V83" s="10">
        <v>1.5833333333333299</v>
      </c>
      <c r="W83" s="10">
        <v>9</v>
      </c>
      <c r="X83" s="10">
        <v>10</v>
      </c>
      <c r="Y83" s="10">
        <v>19</v>
      </c>
      <c r="Z83" s="10">
        <v>1.5833333333333299</v>
      </c>
      <c r="AA83" s="10">
        <v>2.1666666666666701</v>
      </c>
      <c r="AB83" s="10">
        <v>1.5</v>
      </c>
      <c r="AC83" s="10">
        <v>1</v>
      </c>
      <c r="AD83" s="10">
        <v>1.6666666666666701</v>
      </c>
    </row>
    <row r="84" spans="1:30" x14ac:dyDescent="0.3">
      <c r="A84" s="7" t="s">
        <v>1863</v>
      </c>
      <c r="B84" s="12" t="s">
        <v>1334</v>
      </c>
      <c r="C84" s="10">
        <v>1.1666666666666701</v>
      </c>
      <c r="D84" s="10">
        <v>2</v>
      </c>
      <c r="E84" s="9">
        <v>6</v>
      </c>
      <c r="F84" s="9">
        <v>6</v>
      </c>
      <c r="G84" s="9">
        <v>12</v>
      </c>
      <c r="H84" s="10">
        <v>1.0833333333333299</v>
      </c>
      <c r="I84" s="10">
        <v>2.31</v>
      </c>
      <c r="J84" s="11">
        <v>0.16666666666666699</v>
      </c>
      <c r="K84" s="11">
        <v>0.91666666666666696</v>
      </c>
      <c r="L84" s="11">
        <v>0.5</v>
      </c>
      <c r="M84" s="11">
        <v>0.16666666666666699</v>
      </c>
      <c r="N84" s="11">
        <v>0</v>
      </c>
      <c r="O84" s="11">
        <v>0.33333333333333298</v>
      </c>
      <c r="P84" s="10">
        <v>0.40972222222222199</v>
      </c>
      <c r="Q84" s="10">
        <v>0.64009547898905095</v>
      </c>
      <c r="R84" s="8" t="s">
        <v>10653</v>
      </c>
      <c r="S84" s="10">
        <v>6</v>
      </c>
      <c r="T84" s="10">
        <v>7</v>
      </c>
      <c r="U84" s="10">
        <v>13</v>
      </c>
      <c r="V84" s="10">
        <v>1.0833333333333299</v>
      </c>
      <c r="W84" s="10">
        <v>1</v>
      </c>
      <c r="X84" s="10">
        <v>5</v>
      </c>
      <c r="Y84" s="10">
        <v>6</v>
      </c>
      <c r="Z84" s="10">
        <v>0.5</v>
      </c>
      <c r="AA84" s="10">
        <v>1</v>
      </c>
      <c r="AB84" s="10">
        <v>0.16666666666666699</v>
      </c>
      <c r="AC84" s="10">
        <v>1.1666666666666701</v>
      </c>
      <c r="AD84" s="10">
        <v>0.83333333333333304</v>
      </c>
    </row>
    <row r="85" spans="1:30" x14ac:dyDescent="0.3">
      <c r="A85" s="7" t="s">
        <v>1281</v>
      </c>
      <c r="B85" s="12" t="s">
        <v>973</v>
      </c>
      <c r="C85" s="10">
        <v>4</v>
      </c>
      <c r="D85" s="10">
        <v>5.5</v>
      </c>
      <c r="E85" s="9">
        <v>6</v>
      </c>
      <c r="F85" s="9">
        <v>6</v>
      </c>
      <c r="G85" s="9">
        <v>12</v>
      </c>
      <c r="H85" s="10">
        <v>2.75</v>
      </c>
      <c r="I85" s="10">
        <v>3.7</v>
      </c>
      <c r="J85" s="11">
        <v>8.3333333333333301E-2</v>
      </c>
      <c r="K85" s="11">
        <v>1</v>
      </c>
      <c r="L85" s="11">
        <v>0.91666666666666696</v>
      </c>
      <c r="M85" s="11">
        <v>0.83333333333333304</v>
      </c>
      <c r="N85" s="11">
        <v>0.75</v>
      </c>
      <c r="O85" s="11">
        <v>0.83333333333333304</v>
      </c>
      <c r="P85" s="10">
        <v>2.1875</v>
      </c>
      <c r="Q85" s="10">
        <v>1.4790199457749</v>
      </c>
      <c r="R85" s="8" t="s">
        <v>10653</v>
      </c>
      <c r="S85" s="10">
        <v>14</v>
      </c>
      <c r="T85" s="10">
        <v>19</v>
      </c>
      <c r="U85" s="10">
        <v>33</v>
      </c>
      <c r="V85" s="10">
        <v>2.75</v>
      </c>
      <c r="W85" s="10">
        <v>10</v>
      </c>
      <c r="X85" s="10">
        <v>14</v>
      </c>
      <c r="Y85" s="10">
        <v>24</v>
      </c>
      <c r="Z85" s="10">
        <v>2</v>
      </c>
      <c r="AA85" s="10">
        <v>2.3333333333333299</v>
      </c>
      <c r="AB85" s="10">
        <v>1.6666666666666701</v>
      </c>
      <c r="AC85" s="10">
        <v>3.1666666666666701</v>
      </c>
      <c r="AD85" s="10">
        <v>2.3333333333333299</v>
      </c>
    </row>
    <row r="86" spans="1:30" x14ac:dyDescent="0.3">
      <c r="A86" s="7" t="s">
        <v>178</v>
      </c>
      <c r="B86" s="12" t="s">
        <v>1333</v>
      </c>
      <c r="C86" s="10">
        <v>2.5</v>
      </c>
      <c r="D86" s="10">
        <v>2.5</v>
      </c>
      <c r="E86" s="9">
        <v>6</v>
      </c>
      <c r="F86" s="9">
        <v>6</v>
      </c>
      <c r="G86" s="9">
        <v>12</v>
      </c>
      <c r="H86" s="10">
        <v>1.3333333333333299</v>
      </c>
      <c r="I86" s="10">
        <v>2.59</v>
      </c>
      <c r="J86" s="11">
        <v>8.3333333333333301E-2</v>
      </c>
      <c r="K86" s="11">
        <v>1</v>
      </c>
      <c r="L86" s="11">
        <v>0.75</v>
      </c>
      <c r="M86" s="11">
        <v>0.5</v>
      </c>
      <c r="N86" s="11">
        <v>0.16666666666666699</v>
      </c>
      <c r="O86" s="11">
        <v>0.66666666666666696</v>
      </c>
      <c r="P86" s="10">
        <v>0.38888888888888901</v>
      </c>
      <c r="Q86" s="10">
        <v>0.62360956446232396</v>
      </c>
      <c r="R86" s="8" t="s">
        <v>10653</v>
      </c>
      <c r="S86" s="10">
        <v>8</v>
      </c>
      <c r="T86" s="10">
        <v>8</v>
      </c>
      <c r="U86" s="10">
        <v>16</v>
      </c>
      <c r="V86" s="10">
        <v>1.3333333333333299</v>
      </c>
      <c r="W86" s="10">
        <v>7</v>
      </c>
      <c r="X86" s="10">
        <v>7</v>
      </c>
      <c r="Y86" s="10">
        <v>14</v>
      </c>
      <c r="Z86" s="10">
        <v>1.1666666666666701</v>
      </c>
      <c r="AA86" s="10">
        <v>1.3333333333333299</v>
      </c>
      <c r="AB86" s="10">
        <v>1.1666666666666701</v>
      </c>
      <c r="AC86" s="10">
        <v>1.3333333333333299</v>
      </c>
      <c r="AD86" s="10">
        <v>1.1666666666666701</v>
      </c>
    </row>
    <row r="87" spans="1:30" x14ac:dyDescent="0.3">
      <c r="A87" s="7" t="s">
        <v>93</v>
      </c>
      <c r="B87" s="12" t="s">
        <v>1334</v>
      </c>
      <c r="C87" s="10">
        <v>1.8333333333333299</v>
      </c>
      <c r="D87" s="10">
        <v>2.1666666666666701</v>
      </c>
      <c r="E87" s="9">
        <v>6</v>
      </c>
      <c r="F87" s="9">
        <v>6</v>
      </c>
      <c r="G87" s="9">
        <v>12</v>
      </c>
      <c r="H87" s="10">
        <v>1</v>
      </c>
      <c r="I87" s="10">
        <v>2.31</v>
      </c>
      <c r="J87" s="11">
        <v>0.33333333333333298</v>
      </c>
      <c r="K87" s="11">
        <v>1</v>
      </c>
      <c r="L87" s="11">
        <v>0.58333333333333304</v>
      </c>
      <c r="M87" s="11">
        <v>0.25</v>
      </c>
      <c r="N87" s="11">
        <v>0.16666666666666699</v>
      </c>
      <c r="O87" s="11">
        <v>0.41666666666666702</v>
      </c>
      <c r="P87" s="10">
        <v>0.66666666666666696</v>
      </c>
      <c r="Q87" s="10">
        <v>0.81649658092772603</v>
      </c>
      <c r="R87" s="8" t="s">
        <v>10653</v>
      </c>
      <c r="S87" s="10">
        <v>7</v>
      </c>
      <c r="T87" s="10">
        <v>5</v>
      </c>
      <c r="U87" s="10">
        <v>12</v>
      </c>
      <c r="V87" s="10">
        <v>1</v>
      </c>
      <c r="W87" s="10">
        <v>4</v>
      </c>
      <c r="X87" s="10">
        <v>8</v>
      </c>
      <c r="Y87" s="10">
        <v>12</v>
      </c>
      <c r="Z87" s="10">
        <v>1</v>
      </c>
      <c r="AA87" s="10">
        <v>1.1666666666666701</v>
      </c>
      <c r="AB87" s="10">
        <v>0.66666666666666696</v>
      </c>
      <c r="AC87" s="10">
        <v>0.83333333333333304</v>
      </c>
      <c r="AD87" s="10">
        <v>1.3333333333333299</v>
      </c>
    </row>
    <row r="88" spans="1:30" x14ac:dyDescent="0.3">
      <c r="A88" s="7" t="s">
        <v>3734</v>
      </c>
      <c r="B88" s="12" t="s">
        <v>3662</v>
      </c>
      <c r="C88" s="10">
        <v>4.3333333333333304</v>
      </c>
      <c r="D88" s="10">
        <v>2.8333333333333299</v>
      </c>
      <c r="E88" s="9">
        <v>6</v>
      </c>
      <c r="F88" s="9">
        <v>6</v>
      </c>
      <c r="G88" s="9">
        <v>12</v>
      </c>
      <c r="H88" s="10">
        <v>1.8333333333333299</v>
      </c>
      <c r="I88" s="10">
        <v>2.5</v>
      </c>
      <c r="J88" s="11">
        <v>0.16666666666666699</v>
      </c>
      <c r="K88" s="11">
        <v>0.91666666666666696</v>
      </c>
      <c r="L88" s="11">
        <v>0.83333333333333304</v>
      </c>
      <c r="M88" s="11">
        <v>0.58333333333333304</v>
      </c>
      <c r="N88" s="11">
        <v>0.5</v>
      </c>
      <c r="O88" s="11">
        <v>0.75</v>
      </c>
      <c r="P88" s="10">
        <v>1.6388888888888899</v>
      </c>
      <c r="Q88" s="10">
        <v>1.2801909579780999</v>
      </c>
      <c r="R88" s="8" t="s">
        <v>10653</v>
      </c>
      <c r="S88" s="10">
        <v>13</v>
      </c>
      <c r="T88" s="10">
        <v>9</v>
      </c>
      <c r="U88" s="10">
        <v>22</v>
      </c>
      <c r="V88" s="10">
        <v>1.8333333333333299</v>
      </c>
      <c r="W88" s="10">
        <v>13</v>
      </c>
      <c r="X88" s="10">
        <v>8</v>
      </c>
      <c r="Y88" s="10">
        <v>21</v>
      </c>
      <c r="Z88" s="10">
        <v>1.75</v>
      </c>
      <c r="AA88" s="10">
        <v>2.1666666666666701</v>
      </c>
      <c r="AB88" s="10">
        <v>2.1666666666666701</v>
      </c>
      <c r="AC88" s="10">
        <v>1.5</v>
      </c>
      <c r="AD88" s="10">
        <v>1.3333333333333299</v>
      </c>
    </row>
    <row r="89" spans="1:30" x14ac:dyDescent="0.3">
      <c r="A89" s="7" t="s">
        <v>7587</v>
      </c>
      <c r="B89" s="12" t="s">
        <v>7895</v>
      </c>
      <c r="C89" s="10">
        <v>3</v>
      </c>
      <c r="D89" s="10">
        <v>2.6</v>
      </c>
      <c r="E89" s="9">
        <v>7</v>
      </c>
      <c r="F89" s="9">
        <v>5</v>
      </c>
      <c r="G89" s="9">
        <v>12</v>
      </c>
      <c r="H89" s="10">
        <v>1.25</v>
      </c>
      <c r="I89" s="10">
        <v>2.5</v>
      </c>
      <c r="J89" s="11">
        <v>0.33333333333333298</v>
      </c>
      <c r="K89" s="11">
        <v>0.83333333333333304</v>
      </c>
      <c r="L89" s="11">
        <v>0.75</v>
      </c>
      <c r="M89" s="11">
        <v>0.5</v>
      </c>
      <c r="N89" s="11">
        <v>0.33333333333333298</v>
      </c>
      <c r="O89" s="11">
        <v>0.58333333333333304</v>
      </c>
      <c r="P89" s="10">
        <v>1.8541666666666701</v>
      </c>
      <c r="Q89" s="10">
        <v>1.36167788653068</v>
      </c>
      <c r="R89" s="8" t="s">
        <v>10653</v>
      </c>
      <c r="S89" s="10">
        <v>12</v>
      </c>
      <c r="T89" s="10">
        <v>3</v>
      </c>
      <c r="U89" s="10">
        <v>15</v>
      </c>
      <c r="V89" s="10">
        <v>1.25</v>
      </c>
      <c r="W89" s="10">
        <v>9</v>
      </c>
      <c r="X89" s="10">
        <v>10</v>
      </c>
      <c r="Y89" s="10">
        <v>19</v>
      </c>
      <c r="Z89" s="10">
        <v>1.5833333333333299</v>
      </c>
      <c r="AA89" s="10">
        <v>1.71428571428571</v>
      </c>
      <c r="AB89" s="10">
        <v>1.28571428571429</v>
      </c>
      <c r="AC89" s="10">
        <v>0.6</v>
      </c>
      <c r="AD89" s="10">
        <v>2</v>
      </c>
    </row>
    <row r="90" spans="1:30" x14ac:dyDescent="0.3">
      <c r="A90" s="7" t="s">
        <v>7270</v>
      </c>
      <c r="B90" s="12" t="s">
        <v>847</v>
      </c>
      <c r="C90" s="10">
        <v>3.6666666666666701</v>
      </c>
      <c r="D90" s="10">
        <v>2.8333333333333299</v>
      </c>
      <c r="E90" s="9">
        <v>6</v>
      </c>
      <c r="F90" s="9">
        <v>6</v>
      </c>
      <c r="G90" s="9">
        <v>12</v>
      </c>
      <c r="H90" s="10">
        <v>1.4166666666666701</v>
      </c>
      <c r="I90" s="10">
        <v>2.5</v>
      </c>
      <c r="J90" s="11">
        <v>0.16666666666666699</v>
      </c>
      <c r="K90" s="11">
        <v>1</v>
      </c>
      <c r="L90" s="11">
        <v>0.83333333333333304</v>
      </c>
      <c r="M90" s="11">
        <v>0.58333333333333304</v>
      </c>
      <c r="N90" s="11">
        <v>0.5</v>
      </c>
      <c r="O90" s="11">
        <v>0.66666666666666696</v>
      </c>
      <c r="P90" s="10">
        <v>0.90972222222222199</v>
      </c>
      <c r="Q90" s="10">
        <v>0.95379359518829998</v>
      </c>
      <c r="R90" s="8" t="s">
        <v>10653</v>
      </c>
      <c r="S90" s="10">
        <v>12</v>
      </c>
      <c r="T90" s="10">
        <v>5</v>
      </c>
      <c r="U90" s="10">
        <v>17</v>
      </c>
      <c r="V90" s="10">
        <v>1.4166666666666701</v>
      </c>
      <c r="W90" s="10">
        <v>10</v>
      </c>
      <c r="X90" s="10">
        <v>12</v>
      </c>
      <c r="Y90" s="10">
        <v>22</v>
      </c>
      <c r="Z90" s="10">
        <v>1.8333333333333299</v>
      </c>
      <c r="AA90" s="10">
        <v>2</v>
      </c>
      <c r="AB90" s="10">
        <v>1.6666666666666701</v>
      </c>
      <c r="AC90" s="10">
        <v>0.83333333333333304</v>
      </c>
      <c r="AD90" s="10">
        <v>2</v>
      </c>
    </row>
    <row r="91" spans="1:30" x14ac:dyDescent="0.3">
      <c r="A91" s="7" t="s">
        <v>6380</v>
      </c>
      <c r="B91" s="12" t="s">
        <v>960</v>
      </c>
      <c r="C91" s="10">
        <v>3.5714285714285698</v>
      </c>
      <c r="D91" s="10">
        <v>2.8</v>
      </c>
      <c r="E91" s="9">
        <v>7</v>
      </c>
      <c r="F91" s="9">
        <v>5</v>
      </c>
      <c r="G91" s="9">
        <v>12</v>
      </c>
      <c r="H91" s="10">
        <v>2.0833333333333299</v>
      </c>
      <c r="I91" s="10">
        <v>2.5</v>
      </c>
      <c r="J91" s="11">
        <v>8.3333333333333301E-2</v>
      </c>
      <c r="K91" s="11">
        <v>1</v>
      </c>
      <c r="L91" s="11">
        <v>0.75</v>
      </c>
      <c r="M91" s="11">
        <v>0.58333333333333304</v>
      </c>
      <c r="N91" s="11">
        <v>0.58333333333333304</v>
      </c>
      <c r="O91" s="11">
        <v>0.66666666666666696</v>
      </c>
      <c r="P91" s="10">
        <v>1.5763888888888899</v>
      </c>
      <c r="Q91" s="10">
        <v>1.25554326444328</v>
      </c>
      <c r="R91" s="8" t="s">
        <v>10653</v>
      </c>
      <c r="S91" s="10">
        <v>17</v>
      </c>
      <c r="T91" s="10">
        <v>8</v>
      </c>
      <c r="U91" s="10">
        <v>25</v>
      </c>
      <c r="V91" s="10">
        <v>2.0833333333333299</v>
      </c>
      <c r="W91" s="10">
        <v>8</v>
      </c>
      <c r="X91" s="10">
        <v>6</v>
      </c>
      <c r="Y91" s="10">
        <v>14</v>
      </c>
      <c r="Z91" s="10">
        <v>1.1666666666666701</v>
      </c>
      <c r="AA91" s="10">
        <v>2.4285714285714302</v>
      </c>
      <c r="AB91" s="10">
        <v>1.1428571428571399</v>
      </c>
      <c r="AC91" s="10">
        <v>1.6</v>
      </c>
      <c r="AD91" s="10">
        <v>1.2</v>
      </c>
    </row>
    <row r="92" spans="1:30" x14ac:dyDescent="0.3">
      <c r="A92" s="7" t="s">
        <v>2386</v>
      </c>
      <c r="B92" s="12" t="s">
        <v>1330</v>
      </c>
      <c r="C92" s="10">
        <v>3.2</v>
      </c>
      <c r="D92" s="10">
        <v>1.8571428571428601</v>
      </c>
      <c r="E92" s="9">
        <v>5</v>
      </c>
      <c r="F92" s="9">
        <v>7</v>
      </c>
      <c r="G92" s="9">
        <v>12</v>
      </c>
      <c r="H92" s="10">
        <v>1.4166666666666701</v>
      </c>
      <c r="I92" s="10">
        <v>2.5</v>
      </c>
      <c r="J92" s="11">
        <v>0.33333333333333298</v>
      </c>
      <c r="K92" s="11">
        <v>0.83333333333333304</v>
      </c>
      <c r="L92" s="11">
        <v>0.66666666666666696</v>
      </c>
      <c r="M92" s="11">
        <v>0.5</v>
      </c>
      <c r="N92" s="11">
        <v>0.25</v>
      </c>
      <c r="O92" s="11">
        <v>0.5</v>
      </c>
      <c r="P92" s="10">
        <v>1.74305555555556</v>
      </c>
      <c r="Q92" s="10">
        <v>1.32024829314624</v>
      </c>
      <c r="R92" s="8" t="s">
        <v>10653</v>
      </c>
      <c r="S92" s="10">
        <v>10</v>
      </c>
      <c r="T92" s="10">
        <v>7</v>
      </c>
      <c r="U92" s="10">
        <v>17</v>
      </c>
      <c r="V92" s="10">
        <v>1.4166666666666701</v>
      </c>
      <c r="W92" s="10">
        <v>6</v>
      </c>
      <c r="X92" s="10">
        <v>6</v>
      </c>
      <c r="Y92" s="10">
        <v>12</v>
      </c>
      <c r="Z92" s="10">
        <v>1</v>
      </c>
      <c r="AA92" s="10">
        <v>2</v>
      </c>
      <c r="AB92" s="10">
        <v>1.2</v>
      </c>
      <c r="AC92" s="10">
        <v>1</v>
      </c>
      <c r="AD92" s="10">
        <v>0.85714285714285698</v>
      </c>
    </row>
    <row r="93" spans="1:30" x14ac:dyDescent="0.3">
      <c r="A93" s="7" t="s">
        <v>2387</v>
      </c>
      <c r="B93" s="12" t="s">
        <v>1330</v>
      </c>
      <c r="C93" s="10">
        <v>3.5</v>
      </c>
      <c r="D93" s="10">
        <v>4.3333333333333304</v>
      </c>
      <c r="E93" s="9">
        <v>6</v>
      </c>
      <c r="F93" s="9">
        <v>6</v>
      </c>
      <c r="G93" s="9">
        <v>12</v>
      </c>
      <c r="H93" s="10">
        <v>0.83333333333333304</v>
      </c>
      <c r="I93" s="10">
        <v>2.5</v>
      </c>
      <c r="J93" s="11">
        <v>0.5</v>
      </c>
      <c r="K93" s="11">
        <v>1</v>
      </c>
      <c r="L93" s="11">
        <v>0.91666666666666696</v>
      </c>
      <c r="M93" s="11">
        <v>0.66666666666666696</v>
      </c>
      <c r="N93" s="11">
        <v>0.5</v>
      </c>
      <c r="O93" s="11">
        <v>0.5</v>
      </c>
      <c r="P93" s="10">
        <v>0.80555555555555503</v>
      </c>
      <c r="Q93" s="10">
        <v>0.89752746785575099</v>
      </c>
      <c r="R93" s="8" t="s">
        <v>10653</v>
      </c>
      <c r="S93" s="10">
        <v>7</v>
      </c>
      <c r="T93" s="10">
        <v>3</v>
      </c>
      <c r="U93" s="10">
        <v>10</v>
      </c>
      <c r="V93" s="10">
        <v>0.83333333333333304</v>
      </c>
      <c r="W93" s="10">
        <v>14</v>
      </c>
      <c r="X93" s="10">
        <v>23</v>
      </c>
      <c r="Y93" s="10">
        <v>37</v>
      </c>
      <c r="Z93" s="10">
        <v>3.0833333333333299</v>
      </c>
      <c r="AA93" s="10">
        <v>1.1666666666666701</v>
      </c>
      <c r="AB93" s="10">
        <v>2.3333333333333299</v>
      </c>
      <c r="AC93" s="10">
        <v>0.5</v>
      </c>
      <c r="AD93" s="10">
        <v>3.8333333333333299</v>
      </c>
    </row>
    <row r="94" spans="1:30" x14ac:dyDescent="0.3">
      <c r="A94" s="7" t="s">
        <v>4793</v>
      </c>
      <c r="B94" s="12" t="s">
        <v>1000</v>
      </c>
      <c r="C94" s="10">
        <v>2.6</v>
      </c>
      <c r="D94" s="10">
        <v>2.5714285714285698</v>
      </c>
      <c r="E94" s="9">
        <v>5</v>
      </c>
      <c r="F94" s="9">
        <v>7</v>
      </c>
      <c r="G94" s="9">
        <v>12</v>
      </c>
      <c r="H94" s="10">
        <v>0.75</v>
      </c>
      <c r="I94" s="10">
        <v>2.5</v>
      </c>
      <c r="J94" s="11">
        <v>0.41666666666666702</v>
      </c>
      <c r="K94" s="11">
        <v>1</v>
      </c>
      <c r="L94" s="11">
        <v>0.83333333333333304</v>
      </c>
      <c r="M94" s="11">
        <v>0.41666666666666702</v>
      </c>
      <c r="N94" s="11">
        <v>0.25</v>
      </c>
      <c r="O94" s="11">
        <v>0.58333333333333304</v>
      </c>
      <c r="P94" s="10">
        <v>0.52083333333333304</v>
      </c>
      <c r="Q94" s="10">
        <v>0.72168783648703205</v>
      </c>
      <c r="R94" s="8" t="s">
        <v>10653</v>
      </c>
      <c r="S94" s="10">
        <v>4</v>
      </c>
      <c r="T94" s="10">
        <v>5</v>
      </c>
      <c r="U94" s="10">
        <v>9</v>
      </c>
      <c r="V94" s="10">
        <v>0.75</v>
      </c>
      <c r="W94" s="10">
        <v>9</v>
      </c>
      <c r="X94" s="10">
        <v>13</v>
      </c>
      <c r="Y94" s="10">
        <v>22</v>
      </c>
      <c r="Z94" s="10">
        <v>1.8333333333333299</v>
      </c>
      <c r="AA94" s="10">
        <v>0.8</v>
      </c>
      <c r="AB94" s="10">
        <v>1.8</v>
      </c>
      <c r="AC94" s="10">
        <v>0.71428571428571397</v>
      </c>
      <c r="AD94" s="10">
        <v>1.8571428571428601</v>
      </c>
    </row>
    <row r="95" spans="1:30" x14ac:dyDescent="0.3">
      <c r="A95" s="7" t="s">
        <v>928</v>
      </c>
      <c r="B95" s="12" t="s">
        <v>4055</v>
      </c>
      <c r="C95" s="10">
        <v>2.2000000000000002</v>
      </c>
      <c r="D95" s="10">
        <v>2.4285714285714302</v>
      </c>
      <c r="E95" s="9">
        <v>5</v>
      </c>
      <c r="F95" s="9">
        <v>7</v>
      </c>
      <c r="G95" s="9">
        <v>12</v>
      </c>
      <c r="H95" s="10">
        <v>0.83333333333333304</v>
      </c>
      <c r="I95" s="10">
        <v>2.5</v>
      </c>
      <c r="J95" s="11">
        <v>0.33333333333333298</v>
      </c>
      <c r="K95" s="11">
        <v>1</v>
      </c>
      <c r="L95" s="11">
        <v>0.66666666666666696</v>
      </c>
      <c r="M95" s="11">
        <v>0.5</v>
      </c>
      <c r="N95" s="11">
        <v>0.16666666666666699</v>
      </c>
      <c r="O95" s="11">
        <v>0.58333333333333304</v>
      </c>
      <c r="P95" s="10">
        <v>0.47222222222222199</v>
      </c>
      <c r="Q95" s="10">
        <v>0.68718427093627699</v>
      </c>
      <c r="R95" s="8" t="s">
        <v>10653</v>
      </c>
      <c r="S95" s="10">
        <v>5</v>
      </c>
      <c r="T95" s="10">
        <v>5</v>
      </c>
      <c r="U95" s="10">
        <v>10</v>
      </c>
      <c r="V95" s="10">
        <v>0.83333333333333304</v>
      </c>
      <c r="W95" s="10">
        <v>6</v>
      </c>
      <c r="X95" s="10">
        <v>12</v>
      </c>
      <c r="Y95" s="10">
        <v>18</v>
      </c>
      <c r="Z95" s="10">
        <v>1.5</v>
      </c>
      <c r="AA95" s="10">
        <v>1</v>
      </c>
      <c r="AB95" s="10">
        <v>1.2</v>
      </c>
      <c r="AC95" s="10">
        <v>0.71428571428571397</v>
      </c>
      <c r="AD95" s="10">
        <v>1.71428571428571</v>
      </c>
    </row>
    <row r="96" spans="1:30" x14ac:dyDescent="0.3">
      <c r="A96" s="7" t="s">
        <v>3380</v>
      </c>
      <c r="B96" s="12" t="s">
        <v>3426</v>
      </c>
      <c r="C96" s="10">
        <v>2.75</v>
      </c>
      <c r="D96" s="10">
        <v>2</v>
      </c>
      <c r="E96" s="9">
        <v>8</v>
      </c>
      <c r="F96" s="9">
        <v>4</v>
      </c>
      <c r="G96" s="9">
        <v>12</v>
      </c>
      <c r="H96" s="10">
        <v>1.3333333333333299</v>
      </c>
      <c r="I96" s="10">
        <v>2.5</v>
      </c>
      <c r="J96" s="11">
        <v>0.33333333333333298</v>
      </c>
      <c r="K96" s="11">
        <v>1</v>
      </c>
      <c r="L96" s="11">
        <v>0.66666666666666696</v>
      </c>
      <c r="M96" s="11">
        <v>0.41666666666666702</v>
      </c>
      <c r="N96" s="11">
        <v>0.16666666666666699</v>
      </c>
      <c r="O96" s="11">
        <v>0.25</v>
      </c>
      <c r="P96" s="10">
        <v>1.3888888888888899</v>
      </c>
      <c r="Q96" s="10">
        <v>1.1785113019775799</v>
      </c>
      <c r="R96" s="8" t="s">
        <v>10653</v>
      </c>
      <c r="S96" s="10">
        <v>14</v>
      </c>
      <c r="T96" s="10">
        <v>2</v>
      </c>
      <c r="U96" s="10">
        <v>16</v>
      </c>
      <c r="V96" s="10">
        <v>1.3333333333333299</v>
      </c>
      <c r="W96" s="10">
        <v>8</v>
      </c>
      <c r="X96" s="10">
        <v>6</v>
      </c>
      <c r="Y96" s="10">
        <v>14</v>
      </c>
      <c r="Z96" s="10">
        <v>1.1666666666666701</v>
      </c>
      <c r="AA96" s="10">
        <v>1.75</v>
      </c>
      <c r="AB96" s="10">
        <v>1</v>
      </c>
      <c r="AC96" s="10">
        <v>0.5</v>
      </c>
      <c r="AD96" s="10">
        <v>1.5</v>
      </c>
    </row>
    <row r="97" spans="1:30" x14ac:dyDescent="0.3">
      <c r="A97" s="7" t="s">
        <v>3356</v>
      </c>
      <c r="B97" s="12" t="s">
        <v>3426</v>
      </c>
      <c r="C97" s="10">
        <v>3</v>
      </c>
      <c r="D97" s="10">
        <v>4.28571428571429</v>
      </c>
      <c r="E97" s="9">
        <v>5</v>
      </c>
      <c r="F97" s="9">
        <v>7</v>
      </c>
      <c r="G97" s="9">
        <v>12</v>
      </c>
      <c r="H97" s="10">
        <v>1.5833333333333299</v>
      </c>
      <c r="I97" s="10">
        <v>2.5</v>
      </c>
      <c r="J97" s="11">
        <v>0.16666666666666699</v>
      </c>
      <c r="K97" s="11">
        <v>0.91666666666666696</v>
      </c>
      <c r="L97" s="11">
        <v>0.83333333333333304</v>
      </c>
      <c r="M97" s="11">
        <v>0.66666666666666696</v>
      </c>
      <c r="N97" s="11">
        <v>0.58333333333333304</v>
      </c>
      <c r="O97" s="11">
        <v>0.75</v>
      </c>
      <c r="P97" s="10">
        <v>1.4097222222222201</v>
      </c>
      <c r="Q97" s="10">
        <v>1.1873172373979199</v>
      </c>
      <c r="R97" s="8" t="s">
        <v>10653</v>
      </c>
      <c r="S97" s="10">
        <v>8</v>
      </c>
      <c r="T97" s="10">
        <v>11</v>
      </c>
      <c r="U97" s="10">
        <v>19</v>
      </c>
      <c r="V97" s="10">
        <v>1.5833333333333299</v>
      </c>
      <c r="W97" s="10">
        <v>7</v>
      </c>
      <c r="X97" s="10">
        <v>19</v>
      </c>
      <c r="Y97" s="10">
        <v>26</v>
      </c>
      <c r="Z97" s="10">
        <v>2.1666666666666701</v>
      </c>
      <c r="AA97" s="10">
        <v>1.6</v>
      </c>
      <c r="AB97" s="10">
        <v>1.4</v>
      </c>
      <c r="AC97" s="10">
        <v>1.5714285714285701</v>
      </c>
      <c r="AD97" s="10">
        <v>2.71428571428571</v>
      </c>
    </row>
    <row r="98" spans="1:30" x14ac:dyDescent="0.3">
      <c r="A98" s="7" t="s">
        <v>3348</v>
      </c>
      <c r="B98" s="12" t="s">
        <v>3426</v>
      </c>
      <c r="C98" s="10">
        <v>3.5</v>
      </c>
      <c r="D98" s="10">
        <v>3.875</v>
      </c>
      <c r="E98" s="9">
        <v>4</v>
      </c>
      <c r="F98" s="9">
        <v>8</v>
      </c>
      <c r="G98" s="9">
        <v>12</v>
      </c>
      <c r="H98" s="10">
        <v>1.9166666666666701</v>
      </c>
      <c r="I98" s="10">
        <v>2.5</v>
      </c>
      <c r="J98" s="11">
        <v>0.25</v>
      </c>
      <c r="K98" s="11">
        <v>1</v>
      </c>
      <c r="L98" s="11">
        <v>0.83333333333333304</v>
      </c>
      <c r="M98" s="11">
        <v>0.75</v>
      </c>
      <c r="N98" s="11">
        <v>0.66666666666666696</v>
      </c>
      <c r="O98" s="11">
        <v>0.58333333333333304</v>
      </c>
      <c r="P98" s="10">
        <v>2.4097222222222201</v>
      </c>
      <c r="Q98" s="10">
        <v>1.55232800084976</v>
      </c>
      <c r="R98" s="8" t="s">
        <v>10653</v>
      </c>
      <c r="S98" s="10">
        <v>9</v>
      </c>
      <c r="T98" s="10">
        <v>14</v>
      </c>
      <c r="U98" s="10">
        <v>23</v>
      </c>
      <c r="V98" s="10">
        <v>1.9166666666666701</v>
      </c>
      <c r="W98" s="10">
        <v>5</v>
      </c>
      <c r="X98" s="10">
        <v>17</v>
      </c>
      <c r="Y98" s="10">
        <v>22</v>
      </c>
      <c r="Z98" s="10">
        <v>1.8333333333333299</v>
      </c>
      <c r="AA98" s="10">
        <v>2.25</v>
      </c>
      <c r="AB98" s="10">
        <v>1.25</v>
      </c>
      <c r="AC98" s="10">
        <v>1.75</v>
      </c>
      <c r="AD98" s="10">
        <v>2.125</v>
      </c>
    </row>
    <row r="99" spans="1:30" x14ac:dyDescent="0.3">
      <c r="A99" s="7" t="s">
        <v>4062</v>
      </c>
      <c r="B99" s="12" t="s">
        <v>4055</v>
      </c>
      <c r="C99" s="10">
        <v>2</v>
      </c>
      <c r="D99" s="10">
        <v>1.6666666666666701</v>
      </c>
      <c r="E99" s="9">
        <v>6</v>
      </c>
      <c r="F99" s="9">
        <v>6</v>
      </c>
      <c r="G99" s="9">
        <v>12</v>
      </c>
      <c r="H99" s="10">
        <v>0.66666666666666696</v>
      </c>
      <c r="I99" s="10">
        <v>2.5</v>
      </c>
      <c r="J99" s="11">
        <v>0.41666666666666702</v>
      </c>
      <c r="K99" s="11">
        <v>1</v>
      </c>
      <c r="L99" s="11">
        <v>0.58333333333333304</v>
      </c>
      <c r="M99" s="11">
        <v>0.25</v>
      </c>
      <c r="N99" s="11">
        <v>0</v>
      </c>
      <c r="O99" s="11">
        <v>0.33333333333333298</v>
      </c>
      <c r="P99" s="10">
        <v>0.38888888888888901</v>
      </c>
      <c r="Q99" s="10">
        <v>0.62360956446232396</v>
      </c>
      <c r="R99" s="8" t="s">
        <v>10653</v>
      </c>
      <c r="S99" s="10">
        <v>5</v>
      </c>
      <c r="T99" s="10">
        <v>3</v>
      </c>
      <c r="U99" s="10">
        <v>8</v>
      </c>
      <c r="V99" s="10">
        <v>0.66666666666666696</v>
      </c>
      <c r="W99" s="10">
        <v>7</v>
      </c>
      <c r="X99" s="10">
        <v>7</v>
      </c>
      <c r="Y99" s="10">
        <v>14</v>
      </c>
      <c r="Z99" s="10">
        <v>1.1666666666666701</v>
      </c>
      <c r="AA99" s="10">
        <v>0.83333333333333304</v>
      </c>
      <c r="AB99" s="10">
        <v>1.1666666666666701</v>
      </c>
      <c r="AC99" s="10">
        <v>0.5</v>
      </c>
      <c r="AD99" s="10">
        <v>1.1666666666666701</v>
      </c>
    </row>
    <row r="100" spans="1:30" x14ac:dyDescent="0.3">
      <c r="A100" s="7" t="s">
        <v>1392</v>
      </c>
      <c r="B100" s="12" t="s">
        <v>1405</v>
      </c>
      <c r="C100" s="10">
        <v>3.28571428571429</v>
      </c>
      <c r="D100" s="10">
        <v>4.5999999999999996</v>
      </c>
      <c r="E100" s="9">
        <v>7</v>
      </c>
      <c r="F100" s="9">
        <v>5</v>
      </c>
      <c r="G100" s="9">
        <v>12</v>
      </c>
      <c r="H100" s="10">
        <v>1.5</v>
      </c>
      <c r="I100" s="10">
        <v>3.31</v>
      </c>
      <c r="J100" s="11">
        <v>0.25</v>
      </c>
      <c r="K100" s="11">
        <v>1</v>
      </c>
      <c r="L100" s="11">
        <v>0.83333333333333304</v>
      </c>
      <c r="M100" s="11">
        <v>0.83333333333333304</v>
      </c>
      <c r="N100" s="11">
        <v>0.58333333333333304</v>
      </c>
      <c r="O100" s="11">
        <v>0.66666666666666696</v>
      </c>
      <c r="P100" s="10">
        <v>1.4166666666666701</v>
      </c>
      <c r="Q100" s="10">
        <v>1.1902380714238101</v>
      </c>
      <c r="R100" s="8" t="s">
        <v>10653</v>
      </c>
      <c r="S100" s="10">
        <v>10</v>
      </c>
      <c r="T100" s="10">
        <v>8</v>
      </c>
      <c r="U100" s="10">
        <v>18</v>
      </c>
      <c r="V100" s="10">
        <v>1.5</v>
      </c>
      <c r="W100" s="10">
        <v>13</v>
      </c>
      <c r="X100" s="10">
        <v>15</v>
      </c>
      <c r="Y100" s="10">
        <v>28</v>
      </c>
      <c r="Z100" s="10">
        <v>2.3333333333333299</v>
      </c>
      <c r="AA100" s="10">
        <v>1.4285714285714299</v>
      </c>
      <c r="AB100" s="10">
        <v>1.8571428571428601</v>
      </c>
      <c r="AC100" s="10">
        <v>1.6</v>
      </c>
      <c r="AD100" s="10">
        <v>3</v>
      </c>
    </row>
    <row r="101" spans="1:30" x14ac:dyDescent="0.3">
      <c r="A101" s="7" t="s">
        <v>4765</v>
      </c>
      <c r="B101" s="12" t="s">
        <v>1000</v>
      </c>
      <c r="C101" s="10">
        <v>4.1666666666666696</v>
      </c>
      <c r="D101" s="10">
        <v>2.8333333333333299</v>
      </c>
      <c r="E101" s="9">
        <v>6</v>
      </c>
      <c r="F101" s="9">
        <v>6</v>
      </c>
      <c r="G101" s="9">
        <v>12</v>
      </c>
      <c r="H101" s="10">
        <v>2.4166666666666701</v>
      </c>
      <c r="I101" s="10">
        <v>2.5</v>
      </c>
      <c r="J101" s="11">
        <v>0.16666666666666699</v>
      </c>
      <c r="K101" s="11">
        <v>0.91666666666666696</v>
      </c>
      <c r="L101" s="11">
        <v>0.75</v>
      </c>
      <c r="M101" s="11">
        <v>0.66666666666666696</v>
      </c>
      <c r="N101" s="11">
        <v>0.41666666666666702</v>
      </c>
      <c r="O101" s="11">
        <v>0.5</v>
      </c>
      <c r="P101" s="10">
        <v>4.2430555555555598</v>
      </c>
      <c r="Q101" s="10">
        <v>2.05986784905138</v>
      </c>
      <c r="R101" s="8" t="s">
        <v>1541</v>
      </c>
      <c r="S101" s="10">
        <v>19</v>
      </c>
      <c r="T101" s="10">
        <v>10</v>
      </c>
      <c r="U101" s="10">
        <v>29</v>
      </c>
      <c r="V101" s="10">
        <v>2.4166666666666701</v>
      </c>
      <c r="W101" s="10">
        <v>6</v>
      </c>
      <c r="X101" s="10">
        <v>7</v>
      </c>
      <c r="Y101" s="10">
        <v>13</v>
      </c>
      <c r="Z101" s="10">
        <v>1.0833333333333299</v>
      </c>
      <c r="AA101" s="10">
        <v>3.1666666666666701</v>
      </c>
      <c r="AB101" s="10">
        <v>1</v>
      </c>
      <c r="AC101" s="10">
        <v>1.6666666666666701</v>
      </c>
      <c r="AD101" s="10">
        <v>1.1666666666666701</v>
      </c>
    </row>
    <row r="102" spans="1:30" x14ac:dyDescent="0.3">
      <c r="A102" s="7" t="s">
        <v>1124</v>
      </c>
      <c r="B102" s="12" t="s">
        <v>851</v>
      </c>
      <c r="C102" s="10">
        <v>3.25</v>
      </c>
      <c r="D102" s="10">
        <v>2.75</v>
      </c>
      <c r="E102" s="9">
        <v>8</v>
      </c>
      <c r="F102" s="9">
        <v>4</v>
      </c>
      <c r="G102" s="9">
        <v>12</v>
      </c>
      <c r="H102" s="10">
        <v>1.5</v>
      </c>
      <c r="I102" s="10">
        <v>3.76</v>
      </c>
      <c r="J102" s="11">
        <v>0.25</v>
      </c>
      <c r="K102" s="11">
        <v>0.83333333333333304</v>
      </c>
      <c r="L102" s="11">
        <v>0.75</v>
      </c>
      <c r="M102" s="11">
        <v>0.66666666666666696</v>
      </c>
      <c r="N102" s="11">
        <v>0.41666666666666702</v>
      </c>
      <c r="O102" s="11">
        <v>0.66666666666666696</v>
      </c>
      <c r="P102" s="10">
        <v>2.5833333333333299</v>
      </c>
      <c r="Q102" s="10">
        <v>1.6072751268321599</v>
      </c>
      <c r="R102" s="8" t="s">
        <v>1541</v>
      </c>
      <c r="S102" s="10">
        <v>14</v>
      </c>
      <c r="T102" s="10">
        <v>4</v>
      </c>
      <c r="U102" s="10">
        <v>18</v>
      </c>
      <c r="V102" s="10">
        <v>1.5</v>
      </c>
      <c r="W102" s="10">
        <v>12</v>
      </c>
      <c r="X102" s="10">
        <v>7</v>
      </c>
      <c r="Y102" s="10">
        <v>19</v>
      </c>
      <c r="Z102" s="10">
        <v>1.5833333333333299</v>
      </c>
      <c r="AA102" s="10">
        <v>1.75</v>
      </c>
      <c r="AB102" s="10">
        <v>1.5</v>
      </c>
      <c r="AC102" s="10">
        <v>1</v>
      </c>
      <c r="AD102" s="10">
        <v>1.75</v>
      </c>
    </row>
    <row r="103" spans="1:30" x14ac:dyDescent="0.3">
      <c r="A103" s="7" t="s">
        <v>448</v>
      </c>
      <c r="B103" s="12" t="s">
        <v>882</v>
      </c>
      <c r="C103" s="10">
        <v>3.6</v>
      </c>
      <c r="D103" s="10">
        <v>4.1428571428571397</v>
      </c>
      <c r="E103" s="9">
        <v>5</v>
      </c>
      <c r="F103" s="9">
        <v>7</v>
      </c>
      <c r="G103" s="9">
        <v>12</v>
      </c>
      <c r="H103" s="10">
        <v>1.25</v>
      </c>
      <c r="I103" s="10">
        <v>3.56</v>
      </c>
      <c r="J103" s="11">
        <v>0.25</v>
      </c>
      <c r="K103" s="11">
        <v>1</v>
      </c>
      <c r="L103" s="11">
        <v>0.83333333333333304</v>
      </c>
      <c r="M103" s="11">
        <v>0.66666666666666696</v>
      </c>
      <c r="N103" s="11">
        <v>0.58333333333333304</v>
      </c>
      <c r="O103" s="11">
        <v>0.66666666666666696</v>
      </c>
      <c r="P103" s="10">
        <v>1.0208333333333299</v>
      </c>
      <c r="Q103" s="10">
        <v>1.01036297108185</v>
      </c>
      <c r="R103" s="8" t="s">
        <v>10653</v>
      </c>
      <c r="S103" s="10">
        <v>4</v>
      </c>
      <c r="T103" s="10">
        <v>11</v>
      </c>
      <c r="U103" s="10">
        <v>15</v>
      </c>
      <c r="V103" s="10">
        <v>1.25</v>
      </c>
      <c r="W103" s="10">
        <v>14</v>
      </c>
      <c r="X103" s="10">
        <v>18</v>
      </c>
      <c r="Y103" s="10">
        <v>32</v>
      </c>
      <c r="Z103" s="10">
        <v>2.6666666666666701</v>
      </c>
      <c r="AA103" s="10">
        <v>0.8</v>
      </c>
      <c r="AB103" s="10">
        <v>2.8</v>
      </c>
      <c r="AC103" s="10">
        <v>1.5714285714285701</v>
      </c>
      <c r="AD103" s="10">
        <v>2.5714285714285698</v>
      </c>
    </row>
    <row r="104" spans="1:30" x14ac:dyDescent="0.3">
      <c r="A104" s="7" t="s">
        <v>6954</v>
      </c>
      <c r="B104" s="12" t="s">
        <v>987</v>
      </c>
      <c r="C104" s="10">
        <v>3</v>
      </c>
      <c r="D104" s="10">
        <v>4.6666666666666696</v>
      </c>
      <c r="E104" s="9">
        <v>6</v>
      </c>
      <c r="F104" s="9">
        <v>6</v>
      </c>
      <c r="G104" s="9">
        <v>12</v>
      </c>
      <c r="H104" s="10">
        <v>1.75</v>
      </c>
      <c r="I104" s="10">
        <v>2.5</v>
      </c>
      <c r="J104" s="11">
        <v>0.25</v>
      </c>
      <c r="K104" s="11">
        <v>0.91666666666666696</v>
      </c>
      <c r="L104" s="11">
        <v>0.83333333333333304</v>
      </c>
      <c r="M104" s="11">
        <v>0.66666666666666696</v>
      </c>
      <c r="N104" s="11">
        <v>0.58333333333333304</v>
      </c>
      <c r="O104" s="11">
        <v>0.5</v>
      </c>
      <c r="P104" s="10">
        <v>2.0208333333333299</v>
      </c>
      <c r="Q104" s="10">
        <v>1.4215601757693299</v>
      </c>
      <c r="R104" s="8" t="s">
        <v>10653</v>
      </c>
      <c r="S104" s="10">
        <v>10</v>
      </c>
      <c r="T104" s="10">
        <v>11</v>
      </c>
      <c r="U104" s="10">
        <v>21</v>
      </c>
      <c r="V104" s="10">
        <v>1.75</v>
      </c>
      <c r="W104" s="10">
        <v>8</v>
      </c>
      <c r="X104" s="10">
        <v>17</v>
      </c>
      <c r="Y104" s="10">
        <v>25</v>
      </c>
      <c r="Z104" s="10">
        <v>2.0833333333333299</v>
      </c>
      <c r="AA104" s="10">
        <v>1.6666666666666701</v>
      </c>
      <c r="AB104" s="10">
        <v>1.3333333333333299</v>
      </c>
      <c r="AC104" s="10">
        <v>1.8333333333333299</v>
      </c>
      <c r="AD104" s="10">
        <v>2.8333333333333299</v>
      </c>
    </row>
    <row r="105" spans="1:30" x14ac:dyDescent="0.3">
      <c r="A105" s="7" t="s">
        <v>2821</v>
      </c>
      <c r="B105" s="12" t="s">
        <v>1335</v>
      </c>
      <c r="C105" s="10">
        <v>1.8333333333333299</v>
      </c>
      <c r="D105" s="10">
        <v>2.3333333333333299</v>
      </c>
      <c r="E105" s="9">
        <v>6</v>
      </c>
      <c r="F105" s="9">
        <v>6</v>
      </c>
      <c r="G105" s="9">
        <v>12</v>
      </c>
      <c r="H105" s="10">
        <v>0.91666666666666696</v>
      </c>
      <c r="I105" s="10">
        <v>2.5099999999999998</v>
      </c>
      <c r="J105" s="11">
        <v>0.33333333333333298</v>
      </c>
      <c r="K105" s="11">
        <v>0.91666666666666696</v>
      </c>
      <c r="L105" s="11">
        <v>0.5</v>
      </c>
      <c r="M105" s="11">
        <v>0.33333333333333298</v>
      </c>
      <c r="N105" s="11">
        <v>0.16666666666666699</v>
      </c>
      <c r="O105" s="11">
        <v>0.25</v>
      </c>
      <c r="P105" s="10">
        <v>0.74305555555555602</v>
      </c>
      <c r="Q105" s="10">
        <v>0.862006702732383</v>
      </c>
      <c r="R105" s="8" t="s">
        <v>10653</v>
      </c>
      <c r="S105" s="10">
        <v>7</v>
      </c>
      <c r="T105" s="10">
        <v>4</v>
      </c>
      <c r="U105" s="10">
        <v>11</v>
      </c>
      <c r="V105" s="10">
        <v>0.91666666666666696</v>
      </c>
      <c r="W105" s="10">
        <v>4</v>
      </c>
      <c r="X105" s="10">
        <v>10</v>
      </c>
      <c r="Y105" s="10">
        <v>14</v>
      </c>
      <c r="Z105" s="10">
        <v>1.1666666666666701</v>
      </c>
      <c r="AA105" s="10">
        <v>1.1666666666666701</v>
      </c>
      <c r="AB105" s="10">
        <v>0.66666666666666696</v>
      </c>
      <c r="AC105" s="10">
        <v>0.66666666666666696</v>
      </c>
      <c r="AD105" s="10">
        <v>1.6666666666666701</v>
      </c>
    </row>
    <row r="106" spans="1:30" x14ac:dyDescent="0.3">
      <c r="A106" s="7" t="s">
        <v>4071</v>
      </c>
      <c r="B106" s="12" t="s">
        <v>4055</v>
      </c>
      <c r="C106" s="10">
        <v>1.5</v>
      </c>
      <c r="D106" s="10">
        <v>2.3333333333333299</v>
      </c>
      <c r="E106" s="9">
        <v>6</v>
      </c>
      <c r="F106" s="9">
        <v>6</v>
      </c>
      <c r="G106" s="9">
        <v>12</v>
      </c>
      <c r="H106" s="10">
        <v>0.83333333333333304</v>
      </c>
      <c r="I106" s="10">
        <v>2.5</v>
      </c>
      <c r="J106" s="11">
        <v>0.33333333333333298</v>
      </c>
      <c r="K106" s="11">
        <v>0.75</v>
      </c>
      <c r="L106" s="11">
        <v>0.66666666666666696</v>
      </c>
      <c r="M106" s="11">
        <v>0.16666666666666699</v>
      </c>
      <c r="N106" s="11">
        <v>8.3333333333333301E-2</v>
      </c>
      <c r="O106" s="11">
        <v>0.41666666666666702</v>
      </c>
      <c r="P106" s="10">
        <v>0.47222222222222199</v>
      </c>
      <c r="Q106" s="10">
        <v>0.68718427093627699</v>
      </c>
      <c r="R106" s="8" t="s">
        <v>10653</v>
      </c>
      <c r="S106" s="10">
        <v>5</v>
      </c>
      <c r="T106" s="10">
        <v>5</v>
      </c>
      <c r="U106" s="10">
        <v>10</v>
      </c>
      <c r="V106" s="10">
        <v>0.83333333333333304</v>
      </c>
      <c r="W106" s="10">
        <v>4</v>
      </c>
      <c r="X106" s="10">
        <v>9</v>
      </c>
      <c r="Y106" s="10">
        <v>13</v>
      </c>
      <c r="Z106" s="10">
        <v>1.0833333333333299</v>
      </c>
      <c r="AA106" s="10">
        <v>0.83333333333333304</v>
      </c>
      <c r="AB106" s="10">
        <v>0.66666666666666696</v>
      </c>
      <c r="AC106" s="10">
        <v>0.83333333333333304</v>
      </c>
      <c r="AD106" s="10">
        <v>1.5</v>
      </c>
    </row>
    <row r="107" spans="1:30" x14ac:dyDescent="0.3">
      <c r="A107" s="7" t="s">
        <v>961</v>
      </c>
      <c r="B107" s="12" t="s">
        <v>966</v>
      </c>
      <c r="C107" s="10">
        <v>2.3333333333333299</v>
      </c>
      <c r="D107" s="10">
        <v>3.1666666666666701</v>
      </c>
      <c r="E107" s="9">
        <v>6</v>
      </c>
      <c r="F107" s="9">
        <v>6</v>
      </c>
      <c r="G107" s="9">
        <v>12</v>
      </c>
      <c r="H107" s="10">
        <v>1.5</v>
      </c>
      <c r="I107" s="10">
        <v>2.5</v>
      </c>
      <c r="J107" s="11">
        <v>0.16666666666666699</v>
      </c>
      <c r="K107" s="11">
        <v>1</v>
      </c>
      <c r="L107" s="11">
        <v>0.83333333333333304</v>
      </c>
      <c r="M107" s="11">
        <v>0.58333333333333304</v>
      </c>
      <c r="N107" s="11">
        <v>0.16666666666666699</v>
      </c>
      <c r="O107" s="11">
        <v>0.58333333333333304</v>
      </c>
      <c r="P107" s="10">
        <v>0.91666666666666696</v>
      </c>
      <c r="Q107" s="10">
        <v>0.95742710775633799</v>
      </c>
      <c r="R107" s="8" t="s">
        <v>10653</v>
      </c>
      <c r="S107" s="10">
        <v>9</v>
      </c>
      <c r="T107" s="10">
        <v>9</v>
      </c>
      <c r="U107" s="10">
        <v>18</v>
      </c>
      <c r="V107" s="10">
        <v>1.5</v>
      </c>
      <c r="W107" s="10">
        <v>5</v>
      </c>
      <c r="X107" s="10">
        <v>10</v>
      </c>
      <c r="Y107" s="10">
        <v>15</v>
      </c>
      <c r="Z107" s="10">
        <v>1.25</v>
      </c>
      <c r="AA107" s="10">
        <v>1.5</v>
      </c>
      <c r="AB107" s="10">
        <v>0.83333333333333304</v>
      </c>
      <c r="AC107" s="10">
        <v>1.5</v>
      </c>
      <c r="AD107" s="10">
        <v>1.6666666666666701</v>
      </c>
    </row>
    <row r="108" spans="1:30" x14ac:dyDescent="0.3">
      <c r="A108" s="7" t="s">
        <v>451</v>
      </c>
      <c r="B108" s="12" t="s">
        <v>882</v>
      </c>
      <c r="C108" s="10">
        <v>4</v>
      </c>
      <c r="D108" s="10">
        <v>4.2</v>
      </c>
      <c r="E108" s="9">
        <v>7</v>
      </c>
      <c r="F108" s="9">
        <v>5</v>
      </c>
      <c r="G108" s="9">
        <v>12</v>
      </c>
      <c r="H108" s="10">
        <v>2.5</v>
      </c>
      <c r="I108" s="10">
        <v>3.56</v>
      </c>
      <c r="J108" s="11">
        <v>0</v>
      </c>
      <c r="K108" s="11">
        <v>1</v>
      </c>
      <c r="L108" s="11">
        <v>1</v>
      </c>
      <c r="M108" s="11">
        <v>0.83333333333333304</v>
      </c>
      <c r="N108" s="11">
        <v>0.58333333333333304</v>
      </c>
      <c r="O108" s="11">
        <v>0.83333333333333304</v>
      </c>
      <c r="P108" s="10">
        <v>2.25</v>
      </c>
      <c r="Q108" s="10">
        <v>1.5</v>
      </c>
      <c r="R108" s="8" t="s">
        <v>10653</v>
      </c>
      <c r="S108" s="10">
        <v>17</v>
      </c>
      <c r="T108" s="10">
        <v>13</v>
      </c>
      <c r="U108" s="10">
        <v>30</v>
      </c>
      <c r="V108" s="10">
        <v>2.5</v>
      </c>
      <c r="W108" s="10">
        <v>11</v>
      </c>
      <c r="X108" s="10">
        <v>8</v>
      </c>
      <c r="Y108" s="10">
        <v>19</v>
      </c>
      <c r="Z108" s="10">
        <v>1.5833333333333299</v>
      </c>
      <c r="AA108" s="10">
        <v>2.4285714285714302</v>
      </c>
      <c r="AB108" s="10">
        <v>1.5714285714285701</v>
      </c>
      <c r="AC108" s="10">
        <v>2.6</v>
      </c>
      <c r="AD108" s="10">
        <v>1.6</v>
      </c>
    </row>
    <row r="109" spans="1:30" x14ac:dyDescent="0.3">
      <c r="A109" s="7" t="s">
        <v>5295</v>
      </c>
      <c r="B109" s="12" t="s">
        <v>1339</v>
      </c>
      <c r="C109" s="10">
        <v>3.4285714285714302</v>
      </c>
      <c r="D109" s="10">
        <v>4</v>
      </c>
      <c r="E109" s="9">
        <v>7</v>
      </c>
      <c r="F109" s="9">
        <v>5</v>
      </c>
      <c r="G109" s="9">
        <v>12</v>
      </c>
      <c r="H109" s="10">
        <v>1.5833333333333299</v>
      </c>
      <c r="I109" s="10">
        <v>2.5</v>
      </c>
      <c r="J109" s="11">
        <v>0.25</v>
      </c>
      <c r="K109" s="11">
        <v>0.91666666666666696</v>
      </c>
      <c r="L109" s="11">
        <v>0.91666666666666696</v>
      </c>
      <c r="M109" s="11">
        <v>0.75</v>
      </c>
      <c r="N109" s="11">
        <v>0.58333333333333304</v>
      </c>
      <c r="O109" s="11">
        <v>0.58333333333333304</v>
      </c>
      <c r="P109" s="10">
        <v>1.5763888888888899</v>
      </c>
      <c r="Q109" s="10">
        <v>1.25554326444328</v>
      </c>
      <c r="R109" s="8" t="s">
        <v>10653</v>
      </c>
      <c r="S109" s="10">
        <v>12</v>
      </c>
      <c r="T109" s="10">
        <v>7</v>
      </c>
      <c r="U109" s="10">
        <v>19</v>
      </c>
      <c r="V109" s="10">
        <v>1.5833333333333299</v>
      </c>
      <c r="W109" s="10">
        <v>12</v>
      </c>
      <c r="X109" s="10">
        <v>13</v>
      </c>
      <c r="Y109" s="10">
        <v>25</v>
      </c>
      <c r="Z109" s="10">
        <v>2.0833333333333299</v>
      </c>
      <c r="AA109" s="10">
        <v>1.71428571428571</v>
      </c>
      <c r="AB109" s="10">
        <v>1.71428571428571</v>
      </c>
      <c r="AC109" s="10">
        <v>1.4</v>
      </c>
      <c r="AD109" s="10">
        <v>2.6</v>
      </c>
    </row>
    <row r="110" spans="1:30" x14ac:dyDescent="0.3">
      <c r="A110" s="7" t="s">
        <v>221</v>
      </c>
      <c r="B110" s="12" t="s">
        <v>3426</v>
      </c>
      <c r="C110" s="10">
        <v>2.6666666666666701</v>
      </c>
      <c r="D110" s="10">
        <v>3.1666666666666701</v>
      </c>
      <c r="E110" s="9">
        <v>6</v>
      </c>
      <c r="F110" s="9">
        <v>6</v>
      </c>
      <c r="G110" s="9">
        <v>12</v>
      </c>
      <c r="H110" s="10">
        <v>1.6666666666666701</v>
      </c>
      <c r="I110" s="10">
        <v>2.5</v>
      </c>
      <c r="J110" s="11">
        <v>0.25</v>
      </c>
      <c r="K110" s="11">
        <v>0.83333333333333304</v>
      </c>
      <c r="L110" s="11">
        <v>0.75</v>
      </c>
      <c r="M110" s="11">
        <v>0.5</v>
      </c>
      <c r="N110" s="11">
        <v>0.41666666666666702</v>
      </c>
      <c r="O110" s="11">
        <v>0.66666666666666696</v>
      </c>
      <c r="P110" s="10">
        <v>1.7222222222222201</v>
      </c>
      <c r="Q110" s="10">
        <v>1.31233464566864</v>
      </c>
      <c r="R110" s="8" t="s">
        <v>10653</v>
      </c>
      <c r="S110" s="10">
        <v>8</v>
      </c>
      <c r="T110" s="10">
        <v>12</v>
      </c>
      <c r="U110" s="10">
        <v>20</v>
      </c>
      <c r="V110" s="10">
        <v>1.6666666666666701</v>
      </c>
      <c r="W110" s="10">
        <v>8</v>
      </c>
      <c r="X110" s="10">
        <v>7</v>
      </c>
      <c r="Y110" s="10">
        <v>15</v>
      </c>
      <c r="Z110" s="10">
        <v>1.25</v>
      </c>
      <c r="AA110" s="10">
        <v>1.3333333333333299</v>
      </c>
      <c r="AB110" s="10">
        <v>1.3333333333333299</v>
      </c>
      <c r="AC110" s="10">
        <v>2</v>
      </c>
      <c r="AD110" s="10">
        <v>1.1666666666666701</v>
      </c>
    </row>
    <row r="111" spans="1:30" x14ac:dyDescent="0.3">
      <c r="A111" s="7" t="s">
        <v>4991</v>
      </c>
      <c r="B111" s="12" t="s">
        <v>954</v>
      </c>
      <c r="C111" s="10">
        <v>3.1666666666666701</v>
      </c>
      <c r="D111" s="10">
        <v>4.5</v>
      </c>
      <c r="E111" s="9">
        <v>6</v>
      </c>
      <c r="F111" s="9">
        <v>6</v>
      </c>
      <c r="G111" s="9">
        <v>12</v>
      </c>
      <c r="H111" s="10">
        <v>2.0833333333333299</v>
      </c>
      <c r="I111" s="10">
        <v>2.5</v>
      </c>
      <c r="J111" s="11">
        <v>8.3333333333333301E-2</v>
      </c>
      <c r="K111" s="11">
        <v>1</v>
      </c>
      <c r="L111" s="11">
        <v>1</v>
      </c>
      <c r="M111" s="11">
        <v>0.83333333333333304</v>
      </c>
      <c r="N111" s="11">
        <v>0.5</v>
      </c>
      <c r="O111" s="11">
        <v>0.91666666666666696</v>
      </c>
      <c r="P111" s="10">
        <v>1.4097222222222201</v>
      </c>
      <c r="Q111" s="10">
        <v>1.1873172373979199</v>
      </c>
      <c r="R111" s="8" t="s">
        <v>10653</v>
      </c>
      <c r="S111" s="10">
        <v>9</v>
      </c>
      <c r="T111" s="10">
        <v>16</v>
      </c>
      <c r="U111" s="10">
        <v>25</v>
      </c>
      <c r="V111" s="10">
        <v>2.0833333333333299</v>
      </c>
      <c r="W111" s="10">
        <v>10</v>
      </c>
      <c r="X111" s="10">
        <v>11</v>
      </c>
      <c r="Y111" s="10">
        <v>21</v>
      </c>
      <c r="Z111" s="10">
        <v>1.75</v>
      </c>
      <c r="AA111" s="10">
        <v>1.5</v>
      </c>
      <c r="AB111" s="10">
        <v>1.6666666666666701</v>
      </c>
      <c r="AC111" s="10">
        <v>2.6666666666666701</v>
      </c>
      <c r="AD111" s="10">
        <v>1.8333333333333299</v>
      </c>
    </row>
    <row r="112" spans="1:30" x14ac:dyDescent="0.3">
      <c r="A112" s="7" t="s">
        <v>218</v>
      </c>
      <c r="B112" s="12" t="s">
        <v>966</v>
      </c>
      <c r="C112" s="10">
        <v>3</v>
      </c>
      <c r="D112" s="10">
        <v>3</v>
      </c>
      <c r="E112" s="9">
        <v>6</v>
      </c>
      <c r="F112" s="9">
        <v>6</v>
      </c>
      <c r="G112" s="9">
        <v>12</v>
      </c>
      <c r="H112" s="10">
        <v>1.4166666666666701</v>
      </c>
      <c r="I112" s="10">
        <v>2.5</v>
      </c>
      <c r="J112" s="11">
        <v>0.25</v>
      </c>
      <c r="K112" s="11">
        <v>0.91666666666666696</v>
      </c>
      <c r="L112" s="11">
        <v>0.91666666666666696</v>
      </c>
      <c r="M112" s="11">
        <v>0.33333333333333298</v>
      </c>
      <c r="N112" s="11">
        <v>0.33333333333333298</v>
      </c>
      <c r="O112" s="11">
        <v>0.5</v>
      </c>
      <c r="P112" s="10">
        <v>1.74305555555556</v>
      </c>
      <c r="Q112" s="10">
        <v>1.32024829314624</v>
      </c>
      <c r="R112" s="8" t="s">
        <v>10653</v>
      </c>
      <c r="S112" s="10">
        <v>5</v>
      </c>
      <c r="T112" s="10">
        <v>12</v>
      </c>
      <c r="U112" s="10">
        <v>17</v>
      </c>
      <c r="V112" s="10">
        <v>1.4166666666666701</v>
      </c>
      <c r="W112" s="10">
        <v>13</v>
      </c>
      <c r="X112" s="10">
        <v>6</v>
      </c>
      <c r="Y112" s="10">
        <v>19</v>
      </c>
      <c r="Z112" s="10">
        <v>1.5833333333333299</v>
      </c>
      <c r="AA112" s="10">
        <v>0.83333333333333304</v>
      </c>
      <c r="AB112" s="10">
        <v>2.1666666666666701</v>
      </c>
      <c r="AC112" s="10">
        <v>2</v>
      </c>
      <c r="AD112" s="10">
        <v>1</v>
      </c>
    </row>
    <row r="113" spans="1:30" x14ac:dyDescent="0.3">
      <c r="A113" s="7" t="s">
        <v>5584</v>
      </c>
      <c r="B113" s="12" t="s">
        <v>966</v>
      </c>
      <c r="C113" s="10">
        <v>1.8571428571428601</v>
      </c>
      <c r="D113" s="10">
        <v>2.8</v>
      </c>
      <c r="E113" s="9">
        <v>7</v>
      </c>
      <c r="F113" s="9">
        <v>5</v>
      </c>
      <c r="G113" s="9">
        <v>12</v>
      </c>
      <c r="H113" s="10">
        <v>1.1666666666666701</v>
      </c>
      <c r="I113" s="10">
        <v>2.5</v>
      </c>
      <c r="J113" s="11">
        <v>0.25</v>
      </c>
      <c r="K113" s="11">
        <v>0.75</v>
      </c>
      <c r="L113" s="11">
        <v>0.58333333333333304</v>
      </c>
      <c r="M113" s="11">
        <v>0.33333333333333298</v>
      </c>
      <c r="N113" s="11">
        <v>0.25</v>
      </c>
      <c r="O113" s="11">
        <v>0.5</v>
      </c>
      <c r="P113" s="10">
        <v>0.80555555555555503</v>
      </c>
      <c r="Q113" s="10">
        <v>0.89752746785574999</v>
      </c>
      <c r="R113" s="8" t="s">
        <v>10653</v>
      </c>
      <c r="S113" s="10">
        <v>8</v>
      </c>
      <c r="T113" s="10">
        <v>6</v>
      </c>
      <c r="U113" s="10">
        <v>14</v>
      </c>
      <c r="V113" s="10">
        <v>1.1666666666666701</v>
      </c>
      <c r="W113" s="10">
        <v>5</v>
      </c>
      <c r="X113" s="10">
        <v>8</v>
      </c>
      <c r="Y113" s="10">
        <v>13</v>
      </c>
      <c r="Z113" s="10">
        <v>1.0833333333333299</v>
      </c>
      <c r="AA113" s="10">
        <v>1.1428571428571399</v>
      </c>
      <c r="AB113" s="10">
        <v>0.71428571428571397</v>
      </c>
      <c r="AC113" s="10">
        <v>1.2</v>
      </c>
      <c r="AD113" s="10">
        <v>1.6</v>
      </c>
    </row>
    <row r="114" spans="1:30" x14ac:dyDescent="0.3">
      <c r="A114" s="7" t="s">
        <v>238</v>
      </c>
      <c r="B114" s="12" t="s">
        <v>3662</v>
      </c>
      <c r="C114" s="10">
        <v>6.1666666666666696</v>
      </c>
      <c r="D114" s="10">
        <v>4.6666666666666696</v>
      </c>
      <c r="E114" s="9">
        <v>6</v>
      </c>
      <c r="F114" s="9">
        <v>6</v>
      </c>
      <c r="G114" s="9">
        <v>12</v>
      </c>
      <c r="H114" s="10">
        <v>3</v>
      </c>
      <c r="I114" s="10">
        <v>2.5</v>
      </c>
      <c r="J114" s="11">
        <v>0</v>
      </c>
      <c r="K114" s="11">
        <v>1</v>
      </c>
      <c r="L114" s="11">
        <v>1</v>
      </c>
      <c r="M114" s="11">
        <v>0.83333333333333304</v>
      </c>
      <c r="N114" s="11">
        <v>0.75</v>
      </c>
      <c r="O114" s="11">
        <v>0.91666666666666696</v>
      </c>
      <c r="P114" s="10">
        <v>1.8333333333333299</v>
      </c>
      <c r="Q114" s="10">
        <v>1.35400640077266</v>
      </c>
      <c r="R114" s="8" t="s">
        <v>10653</v>
      </c>
      <c r="S114" s="10">
        <v>22</v>
      </c>
      <c r="T114" s="10">
        <v>14</v>
      </c>
      <c r="U114" s="10">
        <v>36</v>
      </c>
      <c r="V114" s="10">
        <v>3</v>
      </c>
      <c r="W114" s="10">
        <v>15</v>
      </c>
      <c r="X114" s="10">
        <v>14</v>
      </c>
      <c r="Y114" s="10">
        <v>29</v>
      </c>
      <c r="Z114" s="10">
        <v>2.4166666666666701</v>
      </c>
      <c r="AA114" s="10">
        <v>3.6666666666666701</v>
      </c>
      <c r="AB114" s="10">
        <v>2.5</v>
      </c>
      <c r="AC114" s="10">
        <v>2.3333333333333299</v>
      </c>
      <c r="AD114" s="10">
        <v>2.3333333333333299</v>
      </c>
    </row>
    <row r="115" spans="1:30" x14ac:dyDescent="0.3">
      <c r="A115" s="7" t="s">
        <v>3877</v>
      </c>
      <c r="B115" s="12" t="s">
        <v>3663</v>
      </c>
      <c r="C115" s="10">
        <v>3.2</v>
      </c>
      <c r="D115" s="10">
        <v>2.5714285714285698</v>
      </c>
      <c r="E115" s="9">
        <v>5</v>
      </c>
      <c r="F115" s="9">
        <v>7</v>
      </c>
      <c r="G115" s="9">
        <v>12</v>
      </c>
      <c r="H115" s="10">
        <v>1.5</v>
      </c>
      <c r="I115" s="10">
        <v>2.5</v>
      </c>
      <c r="J115" s="11">
        <v>0.25</v>
      </c>
      <c r="K115" s="11">
        <v>0.91666666666666696</v>
      </c>
      <c r="L115" s="11">
        <v>0.75</v>
      </c>
      <c r="M115" s="11">
        <v>0.58333333333333304</v>
      </c>
      <c r="N115" s="11">
        <v>0.41666666666666702</v>
      </c>
      <c r="O115" s="11">
        <v>0.66666666666666696</v>
      </c>
      <c r="P115" s="10">
        <v>1.0833333333333299</v>
      </c>
      <c r="Q115" s="10">
        <v>1.0408329997330701</v>
      </c>
      <c r="R115" s="8" t="s">
        <v>10653</v>
      </c>
      <c r="S115" s="10">
        <v>8</v>
      </c>
      <c r="T115" s="10">
        <v>10</v>
      </c>
      <c r="U115" s="10">
        <v>18</v>
      </c>
      <c r="V115" s="10">
        <v>1.5</v>
      </c>
      <c r="W115" s="10">
        <v>8</v>
      </c>
      <c r="X115" s="10">
        <v>8</v>
      </c>
      <c r="Y115" s="10">
        <v>16</v>
      </c>
      <c r="Z115" s="10">
        <v>1.3333333333333299</v>
      </c>
      <c r="AA115" s="10">
        <v>1.6</v>
      </c>
      <c r="AB115" s="10">
        <v>1.6</v>
      </c>
      <c r="AC115" s="10">
        <v>1.4285714285714299</v>
      </c>
      <c r="AD115" s="10">
        <v>1.1428571428571399</v>
      </c>
    </row>
    <row r="116" spans="1:30" x14ac:dyDescent="0.3">
      <c r="A116" s="7" t="s">
        <v>214</v>
      </c>
      <c r="B116" s="12" t="s">
        <v>966</v>
      </c>
      <c r="C116" s="10">
        <v>4.6666666666666696</v>
      </c>
      <c r="D116" s="10">
        <v>3.6666666666666701</v>
      </c>
      <c r="E116" s="9">
        <v>6</v>
      </c>
      <c r="F116" s="9">
        <v>6</v>
      </c>
      <c r="G116" s="9">
        <v>12</v>
      </c>
      <c r="H116" s="10">
        <v>1.5833333333333299</v>
      </c>
      <c r="I116" s="10">
        <v>2.5</v>
      </c>
      <c r="J116" s="11">
        <v>0.25</v>
      </c>
      <c r="K116" s="11">
        <v>1</v>
      </c>
      <c r="L116" s="11">
        <v>1</v>
      </c>
      <c r="M116" s="11">
        <v>0.83333333333333304</v>
      </c>
      <c r="N116" s="11">
        <v>0.75</v>
      </c>
      <c r="O116" s="11">
        <v>0.66666666666666696</v>
      </c>
      <c r="P116" s="10">
        <v>1.74305555555556</v>
      </c>
      <c r="Q116" s="10">
        <v>1.32024829314624</v>
      </c>
      <c r="R116" s="8" t="s">
        <v>10653</v>
      </c>
      <c r="S116" s="10">
        <v>8</v>
      </c>
      <c r="T116" s="10">
        <v>11</v>
      </c>
      <c r="U116" s="10">
        <v>19</v>
      </c>
      <c r="V116" s="10">
        <v>1.5833333333333299</v>
      </c>
      <c r="W116" s="10">
        <v>20</v>
      </c>
      <c r="X116" s="10">
        <v>11</v>
      </c>
      <c r="Y116" s="10">
        <v>31</v>
      </c>
      <c r="Z116" s="10">
        <v>2.5833333333333299</v>
      </c>
      <c r="AA116" s="10">
        <v>1.3333333333333299</v>
      </c>
      <c r="AB116" s="10">
        <v>3.3333333333333299</v>
      </c>
      <c r="AC116" s="10">
        <v>1.8333333333333299</v>
      </c>
      <c r="AD116" s="10">
        <v>1.8333333333333299</v>
      </c>
    </row>
    <row r="117" spans="1:30" x14ac:dyDescent="0.3">
      <c r="A117" s="7" t="s">
        <v>2675</v>
      </c>
      <c r="B117" s="12" t="s">
        <v>994</v>
      </c>
      <c r="C117" s="10">
        <v>2.5</v>
      </c>
      <c r="D117" s="10">
        <v>1.5</v>
      </c>
      <c r="E117" s="9">
        <v>6</v>
      </c>
      <c r="F117" s="9">
        <v>6</v>
      </c>
      <c r="G117" s="9">
        <v>12</v>
      </c>
      <c r="H117" s="10">
        <v>1.3333333333333299</v>
      </c>
      <c r="I117" s="10">
        <v>2.6</v>
      </c>
      <c r="J117" s="11">
        <v>0.33333333333333298</v>
      </c>
      <c r="K117" s="11">
        <v>0.83333333333333304</v>
      </c>
      <c r="L117" s="11">
        <v>0.58333333333333304</v>
      </c>
      <c r="M117" s="11">
        <v>0.25</v>
      </c>
      <c r="N117" s="11">
        <v>0.16666666666666699</v>
      </c>
      <c r="O117" s="11">
        <v>0.25</v>
      </c>
      <c r="P117" s="10">
        <v>1.8888888888888899</v>
      </c>
      <c r="Q117" s="10">
        <v>1.37436854187255</v>
      </c>
      <c r="R117" s="8" t="s">
        <v>10653</v>
      </c>
      <c r="S117" s="10">
        <v>12</v>
      </c>
      <c r="T117" s="10">
        <v>4</v>
      </c>
      <c r="U117" s="10">
        <v>16</v>
      </c>
      <c r="V117" s="10">
        <v>1.3333333333333299</v>
      </c>
      <c r="W117" s="10">
        <v>3</v>
      </c>
      <c r="X117" s="10">
        <v>5</v>
      </c>
      <c r="Y117" s="10">
        <v>8</v>
      </c>
      <c r="Z117" s="10">
        <v>0.66666666666666696</v>
      </c>
      <c r="AA117" s="10">
        <v>2</v>
      </c>
      <c r="AB117" s="10">
        <v>0.5</v>
      </c>
      <c r="AC117" s="10">
        <v>0.66666666666666696</v>
      </c>
      <c r="AD117" s="10">
        <v>0.83333333333333304</v>
      </c>
    </row>
    <row r="118" spans="1:30" x14ac:dyDescent="0.3">
      <c r="A118" s="7" t="s">
        <v>5284</v>
      </c>
      <c r="B118" s="12" t="s">
        <v>1339</v>
      </c>
      <c r="C118" s="10">
        <v>3.2</v>
      </c>
      <c r="D118" s="10">
        <v>3</v>
      </c>
      <c r="E118" s="9">
        <v>5</v>
      </c>
      <c r="F118" s="9">
        <v>7</v>
      </c>
      <c r="G118" s="9">
        <v>12</v>
      </c>
      <c r="H118" s="10">
        <v>1.9166666666666701</v>
      </c>
      <c r="I118" s="10">
        <v>2.5</v>
      </c>
      <c r="J118" s="11">
        <v>0.16666666666666699</v>
      </c>
      <c r="K118" s="11">
        <v>0.91666666666666696</v>
      </c>
      <c r="L118" s="11">
        <v>0.75</v>
      </c>
      <c r="M118" s="11">
        <v>0.66666666666666696</v>
      </c>
      <c r="N118" s="11">
        <v>0.33333333333333298</v>
      </c>
      <c r="O118" s="11">
        <v>0.58333333333333304</v>
      </c>
      <c r="P118" s="10">
        <v>1.4097222222222201</v>
      </c>
      <c r="Q118" s="10">
        <v>1.1873172373979199</v>
      </c>
      <c r="R118" s="8" t="s">
        <v>10653</v>
      </c>
      <c r="S118" s="10">
        <v>10</v>
      </c>
      <c r="T118" s="10">
        <v>13</v>
      </c>
      <c r="U118" s="10">
        <v>23</v>
      </c>
      <c r="V118" s="10">
        <v>1.9166666666666701</v>
      </c>
      <c r="W118" s="10">
        <v>6</v>
      </c>
      <c r="X118" s="10">
        <v>8</v>
      </c>
      <c r="Y118" s="10">
        <v>14</v>
      </c>
      <c r="Z118" s="10">
        <v>1.1666666666666701</v>
      </c>
      <c r="AA118" s="10">
        <v>2</v>
      </c>
      <c r="AB118" s="10">
        <v>1.2</v>
      </c>
      <c r="AC118" s="10">
        <v>1.8571428571428601</v>
      </c>
      <c r="AD118" s="10">
        <v>1.1428571428571399</v>
      </c>
    </row>
    <row r="119" spans="1:30" x14ac:dyDescent="0.3">
      <c r="A119" s="7" t="s">
        <v>215</v>
      </c>
      <c r="B119" s="12" t="s">
        <v>966</v>
      </c>
      <c r="C119" s="10">
        <v>3</v>
      </c>
      <c r="D119" s="10">
        <v>3.8333333333333299</v>
      </c>
      <c r="E119" s="9">
        <v>6</v>
      </c>
      <c r="F119" s="9">
        <v>6</v>
      </c>
      <c r="G119" s="9">
        <v>12</v>
      </c>
      <c r="H119" s="10">
        <v>2.25</v>
      </c>
      <c r="I119" s="10">
        <v>2.5</v>
      </c>
      <c r="J119" s="11">
        <v>0.16666666666666699</v>
      </c>
      <c r="K119" s="11">
        <v>1</v>
      </c>
      <c r="L119" s="11">
        <v>1</v>
      </c>
      <c r="M119" s="11">
        <v>0.58333333333333304</v>
      </c>
      <c r="N119" s="11">
        <v>0.5</v>
      </c>
      <c r="O119" s="11">
        <v>0.58333333333333304</v>
      </c>
      <c r="P119" s="10">
        <v>2.8541666666666701</v>
      </c>
      <c r="Q119" s="10">
        <v>1.6894279110594399</v>
      </c>
      <c r="R119" s="8" t="s">
        <v>10653</v>
      </c>
      <c r="S119" s="10">
        <v>12</v>
      </c>
      <c r="T119" s="10">
        <v>15</v>
      </c>
      <c r="U119" s="10">
        <v>27</v>
      </c>
      <c r="V119" s="10">
        <v>2.25</v>
      </c>
      <c r="W119" s="10">
        <v>6</v>
      </c>
      <c r="X119" s="10">
        <v>8</v>
      </c>
      <c r="Y119" s="10">
        <v>14</v>
      </c>
      <c r="Z119" s="10">
        <v>1.1666666666666701</v>
      </c>
      <c r="AA119" s="10">
        <v>2</v>
      </c>
      <c r="AB119" s="10">
        <v>1</v>
      </c>
      <c r="AC119" s="10">
        <v>2.5</v>
      </c>
      <c r="AD119" s="10">
        <v>1.3333333333333299</v>
      </c>
    </row>
    <row r="120" spans="1:30" x14ac:dyDescent="0.3">
      <c r="A120" s="7" t="s">
        <v>5303</v>
      </c>
      <c r="B120" s="12" t="s">
        <v>1339</v>
      </c>
      <c r="C120" s="10">
        <v>2.4285714285714302</v>
      </c>
      <c r="D120" s="10">
        <v>2.8</v>
      </c>
      <c r="E120" s="9">
        <v>7</v>
      </c>
      <c r="F120" s="9">
        <v>5</v>
      </c>
      <c r="G120" s="9">
        <v>12</v>
      </c>
      <c r="H120" s="10">
        <v>0.91666666666666696</v>
      </c>
      <c r="I120" s="10">
        <v>2.5</v>
      </c>
      <c r="J120" s="11">
        <v>0.33333333333333298</v>
      </c>
      <c r="K120" s="11">
        <v>1</v>
      </c>
      <c r="L120" s="11">
        <v>0.83333333333333304</v>
      </c>
      <c r="M120" s="11">
        <v>0.25</v>
      </c>
      <c r="N120" s="11">
        <v>0.25</v>
      </c>
      <c r="O120" s="11">
        <v>0.58333333333333304</v>
      </c>
      <c r="P120" s="10">
        <v>0.74305555555555602</v>
      </c>
      <c r="Q120" s="10">
        <v>0.862006702732383</v>
      </c>
      <c r="R120" s="8" t="s">
        <v>10653</v>
      </c>
      <c r="S120" s="10">
        <v>6</v>
      </c>
      <c r="T120" s="10">
        <v>5</v>
      </c>
      <c r="U120" s="10">
        <v>11</v>
      </c>
      <c r="V120" s="10">
        <v>0.91666666666666696</v>
      </c>
      <c r="W120" s="10">
        <v>11</v>
      </c>
      <c r="X120" s="10">
        <v>9</v>
      </c>
      <c r="Y120" s="10">
        <v>20</v>
      </c>
      <c r="Z120" s="10">
        <v>1.6666666666666701</v>
      </c>
      <c r="AA120" s="10">
        <v>0.85714285714285698</v>
      </c>
      <c r="AB120" s="10">
        <v>1.5714285714285701</v>
      </c>
      <c r="AC120" s="10">
        <v>1</v>
      </c>
      <c r="AD120" s="10">
        <v>1.8</v>
      </c>
    </row>
    <row r="121" spans="1:30" x14ac:dyDescent="0.3">
      <c r="A121" s="7" t="s">
        <v>571</v>
      </c>
      <c r="B121" s="12" t="s">
        <v>845</v>
      </c>
      <c r="C121" s="10">
        <v>5.4</v>
      </c>
      <c r="D121" s="10">
        <v>3.8571428571428599</v>
      </c>
      <c r="E121" s="9">
        <v>5</v>
      </c>
      <c r="F121" s="9">
        <v>7</v>
      </c>
      <c r="G121" s="9">
        <v>12</v>
      </c>
      <c r="H121" s="10">
        <v>2.0833333333333299</v>
      </c>
      <c r="I121" s="10">
        <v>4.32</v>
      </c>
      <c r="J121" s="11">
        <v>0.25</v>
      </c>
      <c r="K121" s="11">
        <v>1</v>
      </c>
      <c r="L121" s="11">
        <v>0.83333333333333304</v>
      </c>
      <c r="M121" s="11">
        <v>0.83333333333333304</v>
      </c>
      <c r="N121" s="11">
        <v>0.75</v>
      </c>
      <c r="O121" s="11">
        <v>0.66666666666666696</v>
      </c>
      <c r="P121" s="10">
        <v>2.4097222222222201</v>
      </c>
      <c r="Q121" s="10">
        <v>1.55232800084976</v>
      </c>
      <c r="R121" s="8" t="s">
        <v>10653</v>
      </c>
      <c r="S121" s="10">
        <v>15</v>
      </c>
      <c r="T121" s="10">
        <v>10</v>
      </c>
      <c r="U121" s="10">
        <v>25</v>
      </c>
      <c r="V121" s="10">
        <v>2.0833333333333299</v>
      </c>
      <c r="W121" s="10">
        <v>12</v>
      </c>
      <c r="X121" s="10">
        <v>17</v>
      </c>
      <c r="Y121" s="10">
        <v>29</v>
      </c>
      <c r="Z121" s="10">
        <v>2.4166666666666701</v>
      </c>
      <c r="AA121" s="10">
        <v>3</v>
      </c>
      <c r="AB121" s="10">
        <v>2.4</v>
      </c>
      <c r="AC121" s="10">
        <v>1.4285714285714299</v>
      </c>
      <c r="AD121" s="10">
        <v>2.4285714285714302</v>
      </c>
    </row>
    <row r="122" spans="1:30" x14ac:dyDescent="0.3">
      <c r="A122" s="7" t="s">
        <v>4560</v>
      </c>
      <c r="B122" s="12" t="s">
        <v>4657</v>
      </c>
      <c r="C122" s="10">
        <v>1</v>
      </c>
      <c r="D122" s="10">
        <v>2.3333333333333299</v>
      </c>
      <c r="E122" s="9">
        <v>6</v>
      </c>
      <c r="F122" s="9">
        <v>6</v>
      </c>
      <c r="G122" s="9">
        <v>12</v>
      </c>
      <c r="H122" s="10">
        <v>1.0833333333333299</v>
      </c>
      <c r="I122" s="10">
        <v>2.09</v>
      </c>
      <c r="J122" s="11">
        <v>0.33333333333333298</v>
      </c>
      <c r="K122" s="11">
        <v>0.83333333333333304</v>
      </c>
      <c r="L122" s="11">
        <v>0.41666666666666702</v>
      </c>
      <c r="M122" s="11">
        <v>0.25</v>
      </c>
      <c r="N122" s="11">
        <v>0.16666666666666699</v>
      </c>
      <c r="O122" s="11">
        <v>0.33333333333333298</v>
      </c>
      <c r="P122" s="10">
        <v>0.90972222222222299</v>
      </c>
      <c r="Q122" s="10">
        <v>0.95379359518829998</v>
      </c>
      <c r="R122" s="8" t="s">
        <v>10653</v>
      </c>
      <c r="S122" s="10">
        <v>5</v>
      </c>
      <c r="T122" s="10">
        <v>8</v>
      </c>
      <c r="U122" s="10">
        <v>13</v>
      </c>
      <c r="V122" s="10">
        <v>1.0833333333333299</v>
      </c>
      <c r="W122" s="10">
        <v>1</v>
      </c>
      <c r="X122" s="10">
        <v>6</v>
      </c>
      <c r="Y122" s="10">
        <v>7</v>
      </c>
      <c r="Z122" s="10">
        <v>0.58333333333333304</v>
      </c>
      <c r="AA122" s="10">
        <v>0.83333333333333304</v>
      </c>
      <c r="AB122" s="10">
        <v>0.16666666666666699</v>
      </c>
      <c r="AC122" s="10">
        <v>1.3333333333333299</v>
      </c>
      <c r="AD122" s="10">
        <v>1</v>
      </c>
    </row>
    <row r="123" spans="1:30" x14ac:dyDescent="0.3">
      <c r="A123" s="7" t="s">
        <v>1540</v>
      </c>
      <c r="B123" s="12" t="s">
        <v>994</v>
      </c>
      <c r="C123" s="10">
        <v>3.1428571428571401</v>
      </c>
      <c r="D123" s="10">
        <v>3.6</v>
      </c>
      <c r="E123" s="9">
        <v>7</v>
      </c>
      <c r="F123" s="9">
        <v>5</v>
      </c>
      <c r="G123" s="9">
        <v>12</v>
      </c>
      <c r="H123" s="10">
        <v>1.1666666666666701</v>
      </c>
      <c r="I123" s="10">
        <v>2.6</v>
      </c>
      <c r="J123" s="11">
        <v>0.33333333333333298</v>
      </c>
      <c r="K123" s="11">
        <v>0.91666666666666696</v>
      </c>
      <c r="L123" s="11">
        <v>0.91666666666666696</v>
      </c>
      <c r="M123" s="11">
        <v>0.75</v>
      </c>
      <c r="N123" s="11">
        <v>0.33333333333333298</v>
      </c>
      <c r="O123" s="11">
        <v>0.58333333333333304</v>
      </c>
      <c r="P123" s="10">
        <v>0.97222222222222199</v>
      </c>
      <c r="Q123" s="10">
        <v>0.98601329718326902</v>
      </c>
      <c r="R123" s="8" t="s">
        <v>10653</v>
      </c>
      <c r="S123" s="10">
        <v>11</v>
      </c>
      <c r="T123" s="10">
        <v>3</v>
      </c>
      <c r="U123" s="10">
        <v>14</v>
      </c>
      <c r="V123" s="10">
        <v>1.1666666666666701</v>
      </c>
      <c r="W123" s="10">
        <v>11</v>
      </c>
      <c r="X123" s="10">
        <v>15</v>
      </c>
      <c r="Y123" s="10">
        <v>26</v>
      </c>
      <c r="Z123" s="10">
        <v>2.1666666666666701</v>
      </c>
      <c r="AA123" s="10">
        <v>1.5714285714285701</v>
      </c>
      <c r="AB123" s="10">
        <v>1.5714285714285701</v>
      </c>
      <c r="AC123" s="10">
        <v>0.6</v>
      </c>
      <c r="AD123" s="10">
        <v>3</v>
      </c>
    </row>
    <row r="124" spans="1:30" x14ac:dyDescent="0.3">
      <c r="A124" s="7" t="s">
        <v>4557</v>
      </c>
      <c r="B124" s="12" t="s">
        <v>4657</v>
      </c>
      <c r="C124" s="10">
        <v>2.1666666666666701</v>
      </c>
      <c r="D124" s="10">
        <v>1.8333333333333299</v>
      </c>
      <c r="E124" s="9">
        <v>6</v>
      </c>
      <c r="F124" s="9">
        <v>6</v>
      </c>
      <c r="G124" s="9">
        <v>12</v>
      </c>
      <c r="H124" s="10">
        <v>1</v>
      </c>
      <c r="I124" s="10">
        <v>2.09</v>
      </c>
      <c r="J124" s="11">
        <v>0.33333333333333298</v>
      </c>
      <c r="K124" s="11">
        <v>0.83333333333333304</v>
      </c>
      <c r="L124" s="11">
        <v>0.58333333333333304</v>
      </c>
      <c r="M124" s="11">
        <v>0.41666666666666702</v>
      </c>
      <c r="N124" s="11">
        <v>0.16666666666666699</v>
      </c>
      <c r="O124" s="11">
        <v>0.41666666666666702</v>
      </c>
      <c r="P124" s="10">
        <v>0.66666666666666696</v>
      </c>
      <c r="Q124" s="10">
        <v>0.81649658092772603</v>
      </c>
      <c r="R124" s="8" t="s">
        <v>10653</v>
      </c>
      <c r="S124" s="10">
        <v>5</v>
      </c>
      <c r="T124" s="10">
        <v>7</v>
      </c>
      <c r="U124" s="10">
        <v>12</v>
      </c>
      <c r="V124" s="10">
        <v>1</v>
      </c>
      <c r="W124" s="10">
        <v>8</v>
      </c>
      <c r="X124" s="10">
        <v>4</v>
      </c>
      <c r="Y124" s="10">
        <v>12</v>
      </c>
      <c r="Z124" s="10">
        <v>1</v>
      </c>
      <c r="AA124" s="10">
        <v>0.83333333333333304</v>
      </c>
      <c r="AB124" s="10">
        <v>1.3333333333333299</v>
      </c>
      <c r="AC124" s="10">
        <v>1.1666666666666701</v>
      </c>
      <c r="AD124" s="10">
        <v>0.66666666666666696</v>
      </c>
    </row>
    <row r="125" spans="1:30" x14ac:dyDescent="0.3">
      <c r="A125" s="7" t="s">
        <v>1292</v>
      </c>
      <c r="B125" s="12" t="s">
        <v>973</v>
      </c>
      <c r="C125" s="10">
        <v>3.1666666666666701</v>
      </c>
      <c r="D125" s="10">
        <v>2.8333333333333299</v>
      </c>
      <c r="E125" s="9">
        <v>6</v>
      </c>
      <c r="F125" s="9">
        <v>6</v>
      </c>
      <c r="G125" s="9">
        <v>12</v>
      </c>
      <c r="H125" s="10">
        <v>1.6666666666666701</v>
      </c>
      <c r="I125" s="10">
        <v>3.7</v>
      </c>
      <c r="J125" s="11">
        <v>0.25</v>
      </c>
      <c r="K125" s="11">
        <v>1</v>
      </c>
      <c r="L125" s="11">
        <v>0.75</v>
      </c>
      <c r="M125" s="11">
        <v>0.5</v>
      </c>
      <c r="N125" s="11">
        <v>0.33333333333333298</v>
      </c>
      <c r="O125" s="11">
        <v>0.5</v>
      </c>
      <c r="P125" s="10">
        <v>2.3888888888888902</v>
      </c>
      <c r="Q125" s="10">
        <v>1.5456030825826199</v>
      </c>
      <c r="R125" s="8" t="s">
        <v>10653</v>
      </c>
      <c r="S125" s="10">
        <v>11</v>
      </c>
      <c r="T125" s="10">
        <v>9</v>
      </c>
      <c r="U125" s="10">
        <v>20</v>
      </c>
      <c r="V125" s="10">
        <v>1.6666666666666701</v>
      </c>
      <c r="W125" s="10">
        <v>8</v>
      </c>
      <c r="X125" s="10">
        <v>8</v>
      </c>
      <c r="Y125" s="10">
        <v>16</v>
      </c>
      <c r="Z125" s="10">
        <v>1.3333333333333299</v>
      </c>
      <c r="AA125" s="10">
        <v>1.8333333333333299</v>
      </c>
      <c r="AB125" s="10">
        <v>1.3333333333333299</v>
      </c>
      <c r="AC125" s="10">
        <v>1.5</v>
      </c>
      <c r="AD125" s="10">
        <v>1.3333333333333299</v>
      </c>
    </row>
    <row r="126" spans="1:30" x14ac:dyDescent="0.3">
      <c r="A126" s="7" t="s">
        <v>6650</v>
      </c>
      <c r="B126" s="12" t="s">
        <v>1338</v>
      </c>
      <c r="C126" s="10">
        <v>3.28571428571429</v>
      </c>
      <c r="D126" s="10">
        <v>3.4</v>
      </c>
      <c r="E126" s="9">
        <v>7</v>
      </c>
      <c r="F126" s="9">
        <v>5</v>
      </c>
      <c r="G126" s="9">
        <v>12</v>
      </c>
      <c r="H126" s="10">
        <v>2.8333333333333299</v>
      </c>
      <c r="I126" s="10">
        <v>2.5</v>
      </c>
      <c r="J126" s="11">
        <v>8.3333333333333301E-2</v>
      </c>
      <c r="K126" s="11">
        <v>1</v>
      </c>
      <c r="L126" s="11">
        <v>0.83333333333333304</v>
      </c>
      <c r="M126" s="11">
        <v>0.75</v>
      </c>
      <c r="N126" s="11">
        <v>0.5</v>
      </c>
      <c r="O126" s="11">
        <v>0.33333333333333298</v>
      </c>
      <c r="P126" s="10">
        <v>2.1388888888888902</v>
      </c>
      <c r="Q126" s="10">
        <v>1.4624940645653499</v>
      </c>
      <c r="R126" s="8" t="s">
        <v>10653</v>
      </c>
      <c r="S126" s="10">
        <v>21</v>
      </c>
      <c r="T126" s="10">
        <v>13</v>
      </c>
      <c r="U126" s="10">
        <v>34</v>
      </c>
      <c r="V126" s="10">
        <v>2.8333333333333299</v>
      </c>
      <c r="W126" s="10">
        <v>2</v>
      </c>
      <c r="X126" s="10">
        <v>4</v>
      </c>
      <c r="Y126" s="10">
        <v>6</v>
      </c>
      <c r="Z126" s="10">
        <v>0.5</v>
      </c>
      <c r="AA126" s="10">
        <v>3</v>
      </c>
      <c r="AB126" s="10">
        <v>0.28571428571428598</v>
      </c>
      <c r="AC126" s="10">
        <v>2.6</v>
      </c>
      <c r="AD126" s="10">
        <v>0.8</v>
      </c>
    </row>
    <row r="127" spans="1:30" x14ac:dyDescent="0.3">
      <c r="A127" s="7" t="s">
        <v>6958</v>
      </c>
      <c r="B127" s="12" t="s">
        <v>987</v>
      </c>
      <c r="C127" s="10">
        <v>4.8333333333333304</v>
      </c>
      <c r="D127" s="10">
        <v>6.3333333333333304</v>
      </c>
      <c r="E127" s="9">
        <v>6</v>
      </c>
      <c r="F127" s="9">
        <v>6</v>
      </c>
      <c r="G127" s="9">
        <v>12</v>
      </c>
      <c r="H127" s="10">
        <v>3.4166666666666701</v>
      </c>
      <c r="I127" s="10">
        <v>2.5</v>
      </c>
      <c r="J127" s="11">
        <v>0</v>
      </c>
      <c r="K127" s="11">
        <v>1</v>
      </c>
      <c r="L127" s="11">
        <v>1</v>
      </c>
      <c r="M127" s="11">
        <v>0.91666666666666696</v>
      </c>
      <c r="N127" s="11">
        <v>0.83333333333333304</v>
      </c>
      <c r="O127" s="11">
        <v>0.91666666666666696</v>
      </c>
      <c r="P127" s="10">
        <v>3.9097222222222201</v>
      </c>
      <c r="Q127" s="10">
        <v>1.9773017529507799</v>
      </c>
      <c r="R127" s="8" t="s">
        <v>10653</v>
      </c>
      <c r="S127" s="10">
        <v>20</v>
      </c>
      <c r="T127" s="10">
        <v>21</v>
      </c>
      <c r="U127" s="10">
        <v>41</v>
      </c>
      <c r="V127" s="10">
        <v>3.4166666666666701</v>
      </c>
      <c r="W127" s="10">
        <v>9</v>
      </c>
      <c r="X127" s="10">
        <v>17</v>
      </c>
      <c r="Y127" s="10">
        <v>26</v>
      </c>
      <c r="Z127" s="10">
        <v>2.1666666666666701</v>
      </c>
      <c r="AA127" s="10">
        <v>3.3333333333333299</v>
      </c>
      <c r="AB127" s="10">
        <v>1.5</v>
      </c>
      <c r="AC127" s="10">
        <v>3.5</v>
      </c>
      <c r="AD127" s="10">
        <v>2.8333333333333299</v>
      </c>
    </row>
    <row r="128" spans="1:30" x14ac:dyDescent="0.3">
      <c r="A128" s="7" t="s">
        <v>166</v>
      </c>
      <c r="B128" s="12" t="s">
        <v>1340</v>
      </c>
      <c r="C128" s="10">
        <v>3.3333333333333299</v>
      </c>
      <c r="D128" s="10">
        <v>3.8333333333333299</v>
      </c>
      <c r="E128" s="9">
        <v>6</v>
      </c>
      <c r="F128" s="9">
        <v>6</v>
      </c>
      <c r="G128" s="9">
        <v>12</v>
      </c>
      <c r="H128" s="10">
        <v>2.4166666666666701</v>
      </c>
      <c r="I128" s="10">
        <v>2.5</v>
      </c>
      <c r="J128" s="11">
        <v>8.3333333333333301E-2</v>
      </c>
      <c r="K128" s="11">
        <v>1</v>
      </c>
      <c r="L128" s="11">
        <v>0.91666666666666696</v>
      </c>
      <c r="M128" s="11">
        <v>0.75</v>
      </c>
      <c r="N128" s="11">
        <v>0.5</v>
      </c>
      <c r="O128" s="11">
        <v>0.58333333333333304</v>
      </c>
      <c r="P128" s="10">
        <v>2.5763888888888902</v>
      </c>
      <c r="Q128" s="10">
        <v>1.6051133570215199</v>
      </c>
      <c r="R128" s="8" t="s">
        <v>10653</v>
      </c>
      <c r="S128" s="10">
        <v>16</v>
      </c>
      <c r="T128" s="10">
        <v>13</v>
      </c>
      <c r="U128" s="10">
        <v>29</v>
      </c>
      <c r="V128" s="10">
        <v>2.4166666666666701</v>
      </c>
      <c r="W128" s="10">
        <v>4</v>
      </c>
      <c r="X128" s="10">
        <v>10</v>
      </c>
      <c r="Y128" s="10">
        <v>14</v>
      </c>
      <c r="Z128" s="10">
        <v>1.1666666666666701</v>
      </c>
      <c r="AA128" s="10">
        <v>2.6666666666666701</v>
      </c>
      <c r="AB128" s="10">
        <v>0.66666666666666696</v>
      </c>
      <c r="AC128" s="10">
        <v>2.1666666666666701</v>
      </c>
      <c r="AD128" s="10">
        <v>1.6666666666666701</v>
      </c>
    </row>
    <row r="129" spans="1:30" x14ac:dyDescent="0.3">
      <c r="A129" s="7" t="s">
        <v>144</v>
      </c>
      <c r="B129" s="12" t="s">
        <v>1333</v>
      </c>
      <c r="C129" s="10">
        <v>3</v>
      </c>
      <c r="D129" s="10">
        <v>2.6666666666666701</v>
      </c>
      <c r="E129" s="9">
        <v>6</v>
      </c>
      <c r="F129" s="9">
        <v>6</v>
      </c>
      <c r="G129" s="9">
        <v>12</v>
      </c>
      <c r="H129" s="10">
        <v>2</v>
      </c>
      <c r="I129" s="10">
        <v>2.59</v>
      </c>
      <c r="J129" s="11">
        <v>8.3333333333333301E-2</v>
      </c>
      <c r="K129" s="11">
        <v>1</v>
      </c>
      <c r="L129" s="11">
        <v>0.91666666666666696</v>
      </c>
      <c r="M129" s="11">
        <v>0.58333333333333304</v>
      </c>
      <c r="N129" s="11">
        <v>0.33333333333333298</v>
      </c>
      <c r="O129" s="11">
        <v>0.5</v>
      </c>
      <c r="P129" s="10">
        <v>1.5</v>
      </c>
      <c r="Q129" s="10">
        <v>1.2247448713915901</v>
      </c>
      <c r="R129" s="8" t="s">
        <v>10653</v>
      </c>
      <c r="S129" s="10">
        <v>11</v>
      </c>
      <c r="T129" s="10">
        <v>13</v>
      </c>
      <c r="U129" s="10">
        <v>24</v>
      </c>
      <c r="V129" s="10">
        <v>2</v>
      </c>
      <c r="W129" s="10">
        <v>7</v>
      </c>
      <c r="X129" s="10">
        <v>3</v>
      </c>
      <c r="Y129" s="10">
        <v>10</v>
      </c>
      <c r="Z129" s="10">
        <v>0.83333333333333304</v>
      </c>
      <c r="AA129" s="10">
        <v>1.8333333333333299</v>
      </c>
      <c r="AB129" s="10">
        <v>1.1666666666666701</v>
      </c>
      <c r="AC129" s="10">
        <v>2.1666666666666701</v>
      </c>
      <c r="AD129" s="10">
        <v>0.5</v>
      </c>
    </row>
    <row r="130" spans="1:30" x14ac:dyDescent="0.3">
      <c r="A130" s="7" t="s">
        <v>4613</v>
      </c>
      <c r="B130" s="12" t="s">
        <v>4657</v>
      </c>
      <c r="C130" s="10">
        <v>3</v>
      </c>
      <c r="D130" s="10">
        <v>1.8333333333333299</v>
      </c>
      <c r="E130" s="9">
        <v>6</v>
      </c>
      <c r="F130" s="9">
        <v>6</v>
      </c>
      <c r="G130" s="9">
        <v>12</v>
      </c>
      <c r="H130" s="10">
        <v>1</v>
      </c>
      <c r="I130" s="10">
        <v>2.09</v>
      </c>
      <c r="J130" s="11">
        <v>0.33333333333333298</v>
      </c>
      <c r="K130" s="11">
        <v>0.75</v>
      </c>
      <c r="L130" s="11">
        <v>0.75</v>
      </c>
      <c r="M130" s="11">
        <v>0.58333333333333304</v>
      </c>
      <c r="N130" s="11">
        <v>0.16666666666666699</v>
      </c>
      <c r="O130" s="11">
        <v>0.66666666666666696</v>
      </c>
      <c r="P130" s="10">
        <v>0.83333333333333304</v>
      </c>
      <c r="Q130" s="10">
        <v>0.91287092917527701</v>
      </c>
      <c r="R130" s="8" t="s">
        <v>10653</v>
      </c>
      <c r="S130" s="10">
        <v>9</v>
      </c>
      <c r="T130" s="10">
        <v>3</v>
      </c>
      <c r="U130" s="10">
        <v>12</v>
      </c>
      <c r="V130" s="10">
        <v>1</v>
      </c>
      <c r="W130" s="10">
        <v>9</v>
      </c>
      <c r="X130" s="10">
        <v>8</v>
      </c>
      <c r="Y130" s="10">
        <v>17</v>
      </c>
      <c r="Z130" s="10">
        <v>1.4166666666666701</v>
      </c>
      <c r="AA130" s="10">
        <v>1.5</v>
      </c>
      <c r="AB130" s="10">
        <v>1.5</v>
      </c>
      <c r="AC130" s="10">
        <v>0.5</v>
      </c>
      <c r="AD130" s="10">
        <v>1.3333333333333299</v>
      </c>
    </row>
    <row r="131" spans="1:30" x14ac:dyDescent="0.3">
      <c r="A131" s="7" t="s">
        <v>160</v>
      </c>
      <c r="B131" s="12" t="s">
        <v>1333</v>
      </c>
      <c r="C131" s="10">
        <v>2.5</v>
      </c>
      <c r="D131" s="10">
        <v>2.3333333333333299</v>
      </c>
      <c r="E131" s="9">
        <v>6</v>
      </c>
      <c r="F131" s="9">
        <v>6</v>
      </c>
      <c r="G131" s="9">
        <v>12</v>
      </c>
      <c r="H131" s="10">
        <v>1.1666666666666701</v>
      </c>
      <c r="I131" s="10">
        <v>2.59</v>
      </c>
      <c r="J131" s="11">
        <v>0.25</v>
      </c>
      <c r="K131" s="11">
        <v>0.91666666666666696</v>
      </c>
      <c r="L131" s="11">
        <v>0.83333333333333304</v>
      </c>
      <c r="M131" s="11">
        <v>0.41666666666666702</v>
      </c>
      <c r="N131" s="11">
        <v>0.16666666666666699</v>
      </c>
      <c r="O131" s="11">
        <v>0.75</v>
      </c>
      <c r="P131" s="10">
        <v>0.80555555555555503</v>
      </c>
      <c r="Q131" s="10">
        <v>0.89752746785574999</v>
      </c>
      <c r="R131" s="8" t="s">
        <v>10653</v>
      </c>
      <c r="S131" s="10">
        <v>8</v>
      </c>
      <c r="T131" s="10">
        <v>6</v>
      </c>
      <c r="U131" s="10">
        <v>14</v>
      </c>
      <c r="V131" s="10">
        <v>1.1666666666666701</v>
      </c>
      <c r="W131" s="10">
        <v>7</v>
      </c>
      <c r="X131" s="10">
        <v>8</v>
      </c>
      <c r="Y131" s="10">
        <v>15</v>
      </c>
      <c r="Z131" s="10">
        <v>1.25</v>
      </c>
      <c r="AA131" s="10">
        <v>1.3333333333333299</v>
      </c>
      <c r="AB131" s="10">
        <v>1.1666666666666701</v>
      </c>
      <c r="AC131" s="10">
        <v>1</v>
      </c>
      <c r="AD131" s="10">
        <v>1.3333333333333299</v>
      </c>
    </row>
    <row r="132" spans="1:30" x14ac:dyDescent="0.3">
      <c r="A132" s="7" t="s">
        <v>2575</v>
      </c>
      <c r="B132" s="12" t="s">
        <v>2574</v>
      </c>
      <c r="C132" s="10">
        <v>1.8</v>
      </c>
      <c r="D132" s="10">
        <v>2.8571428571428599</v>
      </c>
      <c r="E132" s="9">
        <v>5</v>
      </c>
      <c r="F132" s="9">
        <v>7</v>
      </c>
      <c r="G132" s="9">
        <v>12</v>
      </c>
      <c r="H132" s="10">
        <v>1.6666666666666701</v>
      </c>
      <c r="I132" s="10">
        <v>2.5</v>
      </c>
      <c r="J132" s="11">
        <v>0.16666666666666699</v>
      </c>
      <c r="K132" s="11">
        <v>0.91666666666666696</v>
      </c>
      <c r="L132" s="11">
        <v>0.5</v>
      </c>
      <c r="M132" s="11">
        <v>0.5</v>
      </c>
      <c r="N132" s="11">
        <v>0.33333333333333298</v>
      </c>
      <c r="O132" s="11">
        <v>0.5</v>
      </c>
      <c r="P132" s="10">
        <v>1.55555555555555</v>
      </c>
      <c r="Q132" s="10">
        <v>1.2472191289246499</v>
      </c>
      <c r="R132" s="8" t="s">
        <v>10653</v>
      </c>
      <c r="S132" s="10">
        <v>6</v>
      </c>
      <c r="T132" s="10">
        <v>14</v>
      </c>
      <c r="U132" s="10">
        <v>20</v>
      </c>
      <c r="V132" s="10">
        <v>1.6666666666666701</v>
      </c>
      <c r="W132" s="10">
        <v>3</v>
      </c>
      <c r="X132" s="10">
        <v>6</v>
      </c>
      <c r="Y132" s="10">
        <v>9</v>
      </c>
      <c r="Z132" s="10">
        <v>0.75</v>
      </c>
      <c r="AA132" s="10">
        <v>1.2</v>
      </c>
      <c r="AB132" s="10">
        <v>0.6</v>
      </c>
      <c r="AC132" s="10">
        <v>2</v>
      </c>
      <c r="AD132" s="10">
        <v>0.85714285714285698</v>
      </c>
    </row>
    <row r="133" spans="1:30" x14ac:dyDescent="0.3">
      <c r="A133" s="7" t="s">
        <v>123</v>
      </c>
      <c r="B133" s="12" t="s">
        <v>1334</v>
      </c>
      <c r="C133" s="10">
        <v>2.1666666666666701</v>
      </c>
      <c r="D133" s="10">
        <v>1.6666666666666701</v>
      </c>
      <c r="E133" s="9">
        <v>6</v>
      </c>
      <c r="F133" s="9">
        <v>6</v>
      </c>
      <c r="G133" s="9">
        <v>12</v>
      </c>
      <c r="H133" s="10">
        <v>1.0833333333333299</v>
      </c>
      <c r="I133" s="10">
        <v>2.31</v>
      </c>
      <c r="J133" s="11">
        <v>0.25</v>
      </c>
      <c r="K133" s="11">
        <v>1</v>
      </c>
      <c r="L133" s="11">
        <v>0.58333333333333304</v>
      </c>
      <c r="M133" s="11">
        <v>0.33333333333333298</v>
      </c>
      <c r="N133" s="11">
        <v>0</v>
      </c>
      <c r="O133" s="11">
        <v>0.33333333333333298</v>
      </c>
      <c r="P133" s="10">
        <v>0.74305555555555602</v>
      </c>
      <c r="Q133" s="10">
        <v>0.862006702732384</v>
      </c>
      <c r="R133" s="8" t="s">
        <v>10653</v>
      </c>
      <c r="S133" s="10">
        <v>9</v>
      </c>
      <c r="T133" s="10">
        <v>4</v>
      </c>
      <c r="U133" s="10">
        <v>13</v>
      </c>
      <c r="V133" s="10">
        <v>1.0833333333333299</v>
      </c>
      <c r="W133" s="10">
        <v>4</v>
      </c>
      <c r="X133" s="10">
        <v>6</v>
      </c>
      <c r="Y133" s="10">
        <v>10</v>
      </c>
      <c r="Z133" s="10">
        <v>0.83333333333333304</v>
      </c>
      <c r="AA133" s="10">
        <v>1.5</v>
      </c>
      <c r="AB133" s="10">
        <v>0.66666666666666696</v>
      </c>
      <c r="AC133" s="10">
        <v>0.66666666666666696</v>
      </c>
      <c r="AD133" s="10">
        <v>1</v>
      </c>
    </row>
    <row r="134" spans="1:30" x14ac:dyDescent="0.3">
      <c r="A134" s="7" t="s">
        <v>7612</v>
      </c>
      <c r="B134" s="12" t="s">
        <v>7895</v>
      </c>
      <c r="C134" s="10">
        <v>2.6666666666666701</v>
      </c>
      <c r="D134" s="10">
        <v>3.6666666666666701</v>
      </c>
      <c r="E134" s="9">
        <v>6</v>
      </c>
      <c r="F134" s="9">
        <v>6</v>
      </c>
      <c r="G134" s="9">
        <v>12</v>
      </c>
      <c r="H134" s="10">
        <v>1</v>
      </c>
      <c r="I134" s="10">
        <v>2.5</v>
      </c>
      <c r="J134" s="11">
        <v>0.33333333333333298</v>
      </c>
      <c r="K134" s="11">
        <v>1</v>
      </c>
      <c r="L134" s="11">
        <v>0.91666666666666696</v>
      </c>
      <c r="M134" s="11">
        <v>0.5</v>
      </c>
      <c r="N134" s="11">
        <v>0.41666666666666702</v>
      </c>
      <c r="O134" s="11">
        <v>0.66666666666666696</v>
      </c>
      <c r="P134" s="10">
        <v>0.83333333333333304</v>
      </c>
      <c r="Q134" s="10">
        <v>0.91287092917527701</v>
      </c>
      <c r="R134" s="8" t="s">
        <v>10653</v>
      </c>
      <c r="S134" s="10">
        <v>3</v>
      </c>
      <c r="T134" s="10">
        <v>9</v>
      </c>
      <c r="U134" s="10">
        <v>12</v>
      </c>
      <c r="V134" s="10">
        <v>1</v>
      </c>
      <c r="W134" s="10">
        <v>13</v>
      </c>
      <c r="X134" s="10">
        <v>13</v>
      </c>
      <c r="Y134" s="10">
        <v>26</v>
      </c>
      <c r="Z134" s="10">
        <v>2.1666666666666701</v>
      </c>
      <c r="AA134" s="10">
        <v>0.5</v>
      </c>
      <c r="AB134" s="10">
        <v>2.1666666666666701</v>
      </c>
      <c r="AC134" s="10">
        <v>1.5</v>
      </c>
      <c r="AD134" s="10">
        <v>2.1666666666666701</v>
      </c>
    </row>
    <row r="135" spans="1:30" x14ac:dyDescent="0.3">
      <c r="A135" s="7" t="s">
        <v>4398</v>
      </c>
      <c r="B135" s="12" t="s">
        <v>4290</v>
      </c>
      <c r="C135" s="10">
        <v>5.2</v>
      </c>
      <c r="D135" s="10">
        <v>3.4285714285714302</v>
      </c>
      <c r="E135" s="9">
        <v>5</v>
      </c>
      <c r="F135" s="9">
        <v>7</v>
      </c>
      <c r="G135" s="9">
        <v>12</v>
      </c>
      <c r="H135" s="10">
        <v>2.25</v>
      </c>
      <c r="I135" s="10">
        <v>2.5</v>
      </c>
      <c r="J135" s="11">
        <v>0.16666666666666699</v>
      </c>
      <c r="K135" s="11">
        <v>0.91666666666666696</v>
      </c>
      <c r="L135" s="11">
        <v>0.83333333333333304</v>
      </c>
      <c r="M135" s="11">
        <v>0.66666666666666696</v>
      </c>
      <c r="N135" s="11">
        <v>0.58333333333333304</v>
      </c>
      <c r="O135" s="11">
        <v>0.66666666666666696</v>
      </c>
      <c r="P135" s="10">
        <v>2.8541666666666701</v>
      </c>
      <c r="Q135" s="10">
        <v>1.6894279110594399</v>
      </c>
      <c r="R135" s="8" t="s">
        <v>10653</v>
      </c>
      <c r="S135" s="10">
        <v>12</v>
      </c>
      <c r="T135" s="10">
        <v>15</v>
      </c>
      <c r="U135" s="10">
        <v>27</v>
      </c>
      <c r="V135" s="10">
        <v>2.25</v>
      </c>
      <c r="W135" s="10">
        <v>14</v>
      </c>
      <c r="X135" s="10">
        <v>9</v>
      </c>
      <c r="Y135" s="10">
        <v>23</v>
      </c>
      <c r="Z135" s="10">
        <v>1.9166666666666701</v>
      </c>
      <c r="AA135" s="10">
        <v>2.4</v>
      </c>
      <c r="AB135" s="10">
        <v>2.8</v>
      </c>
      <c r="AC135" s="10">
        <v>2.1428571428571401</v>
      </c>
      <c r="AD135" s="10">
        <v>1.28571428571429</v>
      </c>
    </row>
    <row r="136" spans="1:30" x14ac:dyDescent="0.3">
      <c r="A136" s="7" t="s">
        <v>6711</v>
      </c>
      <c r="B136" s="12" t="s">
        <v>1338</v>
      </c>
      <c r="C136" s="10">
        <v>2.4</v>
      </c>
      <c r="D136" s="10">
        <v>2.4285714285714302</v>
      </c>
      <c r="E136" s="9">
        <v>5</v>
      </c>
      <c r="F136" s="9">
        <v>7</v>
      </c>
      <c r="G136" s="9">
        <v>12</v>
      </c>
      <c r="H136" s="10">
        <v>0.83333333333333304</v>
      </c>
      <c r="I136" s="10">
        <v>2.5</v>
      </c>
      <c r="J136" s="11">
        <v>0.33333333333333298</v>
      </c>
      <c r="K136" s="11">
        <v>1</v>
      </c>
      <c r="L136" s="11">
        <v>0.75</v>
      </c>
      <c r="M136" s="11">
        <v>0.5</v>
      </c>
      <c r="N136" s="11">
        <v>0.16666666666666699</v>
      </c>
      <c r="O136" s="11">
        <v>0.5</v>
      </c>
      <c r="P136" s="10">
        <v>0.47222222222222199</v>
      </c>
      <c r="Q136" s="10">
        <v>0.68718427093627699</v>
      </c>
      <c r="R136" s="8" t="s">
        <v>10653</v>
      </c>
      <c r="S136" s="10">
        <v>6</v>
      </c>
      <c r="T136" s="10">
        <v>4</v>
      </c>
      <c r="U136" s="10">
        <v>10</v>
      </c>
      <c r="V136" s="10">
        <v>0.83333333333333304</v>
      </c>
      <c r="W136" s="10">
        <v>6</v>
      </c>
      <c r="X136" s="10">
        <v>13</v>
      </c>
      <c r="Y136" s="10">
        <v>19</v>
      </c>
      <c r="Z136" s="10">
        <v>1.5833333333333299</v>
      </c>
      <c r="AA136" s="10">
        <v>1.2</v>
      </c>
      <c r="AB136" s="10">
        <v>1.2</v>
      </c>
      <c r="AC136" s="10">
        <v>0.57142857142857095</v>
      </c>
      <c r="AD136" s="10">
        <v>1.8571428571428601</v>
      </c>
    </row>
    <row r="137" spans="1:30" x14ac:dyDescent="0.3">
      <c r="A137" s="7" t="s">
        <v>1386</v>
      </c>
      <c r="B137" s="12" t="s">
        <v>1405</v>
      </c>
      <c r="C137" s="10">
        <v>4</v>
      </c>
      <c r="D137" s="10">
        <v>2.5</v>
      </c>
      <c r="E137" s="9">
        <v>8</v>
      </c>
      <c r="F137" s="9">
        <v>4</v>
      </c>
      <c r="G137" s="9">
        <v>12</v>
      </c>
      <c r="H137" s="10">
        <v>2.25</v>
      </c>
      <c r="I137" s="10">
        <v>3.31</v>
      </c>
      <c r="J137" s="11">
        <v>0</v>
      </c>
      <c r="K137" s="11">
        <v>1</v>
      </c>
      <c r="L137" s="11">
        <v>0.91666666666666696</v>
      </c>
      <c r="M137" s="11">
        <v>0.66666666666666696</v>
      </c>
      <c r="N137" s="11">
        <v>0.41666666666666702</v>
      </c>
      <c r="O137" s="11">
        <v>0.66666666666666696</v>
      </c>
      <c r="P137" s="10">
        <v>1.5208333333333299</v>
      </c>
      <c r="Q137" s="10">
        <v>1.23322071557906</v>
      </c>
      <c r="R137" s="8" t="s">
        <v>10653</v>
      </c>
      <c r="S137" s="10">
        <v>20</v>
      </c>
      <c r="T137" s="10">
        <v>7</v>
      </c>
      <c r="U137" s="10">
        <v>27</v>
      </c>
      <c r="V137" s="10">
        <v>2.25</v>
      </c>
      <c r="W137" s="10">
        <v>12</v>
      </c>
      <c r="X137" s="10">
        <v>3</v>
      </c>
      <c r="Y137" s="10">
        <v>15</v>
      </c>
      <c r="Z137" s="10">
        <v>1.25</v>
      </c>
      <c r="AA137" s="10">
        <v>2.5</v>
      </c>
      <c r="AB137" s="10">
        <v>1.5</v>
      </c>
      <c r="AC137" s="10">
        <v>1.75</v>
      </c>
      <c r="AD137" s="10">
        <v>0.75</v>
      </c>
    </row>
    <row r="138" spans="1:30" x14ac:dyDescent="0.3">
      <c r="A138" s="7" t="s">
        <v>689</v>
      </c>
      <c r="B138" s="12" t="s">
        <v>4291</v>
      </c>
      <c r="C138" s="10">
        <v>3.6</v>
      </c>
      <c r="D138" s="10">
        <v>4.5714285714285703</v>
      </c>
      <c r="E138" s="9">
        <v>5</v>
      </c>
      <c r="F138" s="9">
        <v>7</v>
      </c>
      <c r="G138" s="9">
        <v>12</v>
      </c>
      <c r="H138" s="10">
        <v>2.25</v>
      </c>
      <c r="I138" s="10">
        <v>3.55</v>
      </c>
      <c r="J138" s="11">
        <v>0.25</v>
      </c>
      <c r="K138" s="11">
        <v>1</v>
      </c>
      <c r="L138" s="11">
        <v>0.91666666666666696</v>
      </c>
      <c r="M138" s="11">
        <v>0.75</v>
      </c>
      <c r="N138" s="11">
        <v>0.58333333333333304</v>
      </c>
      <c r="O138" s="11">
        <v>0.58333333333333304</v>
      </c>
      <c r="P138" s="10">
        <v>3.5208333333333299</v>
      </c>
      <c r="Q138" s="10">
        <v>1.87638837486628</v>
      </c>
      <c r="R138" s="8" t="s">
        <v>10653</v>
      </c>
      <c r="S138" s="10">
        <v>11</v>
      </c>
      <c r="T138" s="10">
        <v>16</v>
      </c>
      <c r="U138" s="10">
        <v>27</v>
      </c>
      <c r="V138" s="10">
        <v>2.25</v>
      </c>
      <c r="W138" s="10">
        <v>7</v>
      </c>
      <c r="X138" s="10">
        <v>16</v>
      </c>
      <c r="Y138" s="10">
        <v>23</v>
      </c>
      <c r="Z138" s="10">
        <v>1.9166666666666701</v>
      </c>
      <c r="AA138" s="10">
        <v>2.2000000000000002</v>
      </c>
      <c r="AB138" s="10">
        <v>1.4</v>
      </c>
      <c r="AC138" s="10">
        <v>2.28571428571429</v>
      </c>
      <c r="AD138" s="10">
        <v>2.28571428571429</v>
      </c>
    </row>
    <row r="139" spans="1:30" x14ac:dyDescent="0.3">
      <c r="A139" s="7" t="s">
        <v>4748</v>
      </c>
      <c r="B139" s="12" t="s">
        <v>1000</v>
      </c>
      <c r="C139" s="10">
        <v>2.3333333333333299</v>
      </c>
      <c r="D139" s="10">
        <v>2.3333333333333299</v>
      </c>
      <c r="E139" s="9">
        <v>6</v>
      </c>
      <c r="F139" s="9">
        <v>6</v>
      </c>
      <c r="G139" s="9">
        <v>12</v>
      </c>
      <c r="H139" s="10">
        <v>1.5833333333333299</v>
      </c>
      <c r="I139" s="10">
        <v>2.5</v>
      </c>
      <c r="J139" s="11">
        <v>8.3333333333333301E-2</v>
      </c>
      <c r="K139" s="11">
        <v>1</v>
      </c>
      <c r="L139" s="11">
        <v>0.83333333333333304</v>
      </c>
      <c r="M139" s="11">
        <v>0.33333333333333298</v>
      </c>
      <c r="N139" s="11">
        <v>0.16666666666666699</v>
      </c>
      <c r="O139" s="11">
        <v>0.41666666666666702</v>
      </c>
      <c r="P139" s="10">
        <v>1.0763888888888899</v>
      </c>
      <c r="Q139" s="10">
        <v>1.03749163316573</v>
      </c>
      <c r="R139" s="8" t="s">
        <v>10653</v>
      </c>
      <c r="S139" s="10">
        <v>12</v>
      </c>
      <c r="T139" s="10">
        <v>7</v>
      </c>
      <c r="U139" s="10">
        <v>19</v>
      </c>
      <c r="V139" s="10">
        <v>1.5833333333333299</v>
      </c>
      <c r="W139" s="10">
        <v>2</v>
      </c>
      <c r="X139" s="10">
        <v>7</v>
      </c>
      <c r="Y139" s="10">
        <v>9</v>
      </c>
      <c r="Z139" s="10">
        <v>0.75</v>
      </c>
      <c r="AA139" s="10">
        <v>2</v>
      </c>
      <c r="AB139" s="10">
        <v>0.33333333333333298</v>
      </c>
      <c r="AC139" s="10">
        <v>1.1666666666666701</v>
      </c>
      <c r="AD139" s="10">
        <v>1.1666666666666701</v>
      </c>
    </row>
    <row r="140" spans="1:30" x14ac:dyDescent="0.3">
      <c r="A140" s="7" t="s">
        <v>955</v>
      </c>
      <c r="B140" s="12" t="s">
        <v>960</v>
      </c>
      <c r="C140" s="10">
        <v>2.3333333333333299</v>
      </c>
      <c r="D140" s="10">
        <v>3.3333333333333299</v>
      </c>
      <c r="E140" s="9">
        <v>6</v>
      </c>
      <c r="F140" s="9">
        <v>6</v>
      </c>
      <c r="G140" s="9">
        <v>12</v>
      </c>
      <c r="H140" s="10">
        <v>1</v>
      </c>
      <c r="I140" s="10">
        <v>2.5</v>
      </c>
      <c r="J140" s="11">
        <v>0.25</v>
      </c>
      <c r="K140" s="11">
        <v>0.91666666666666696</v>
      </c>
      <c r="L140" s="11">
        <v>0.83333333333333304</v>
      </c>
      <c r="M140" s="11">
        <v>0.58333333333333304</v>
      </c>
      <c r="N140" s="11">
        <v>0.25</v>
      </c>
      <c r="O140" s="11">
        <v>0.75</v>
      </c>
      <c r="P140" s="10">
        <v>0.5</v>
      </c>
      <c r="Q140" s="10">
        <v>0.70710678118654802</v>
      </c>
      <c r="R140" s="8" t="s">
        <v>10653</v>
      </c>
      <c r="S140" s="10">
        <v>6</v>
      </c>
      <c r="T140" s="10">
        <v>6</v>
      </c>
      <c r="U140" s="10">
        <v>12</v>
      </c>
      <c r="V140" s="10">
        <v>1</v>
      </c>
      <c r="W140" s="10">
        <v>8</v>
      </c>
      <c r="X140" s="10">
        <v>14</v>
      </c>
      <c r="Y140" s="10">
        <v>22</v>
      </c>
      <c r="Z140" s="10">
        <v>1.8333333333333299</v>
      </c>
      <c r="AA140" s="10">
        <v>1</v>
      </c>
      <c r="AB140" s="10">
        <v>1.3333333333333299</v>
      </c>
      <c r="AC140" s="10">
        <v>1</v>
      </c>
      <c r="AD140" s="10">
        <v>2.3333333333333299</v>
      </c>
    </row>
    <row r="141" spans="1:30" x14ac:dyDescent="0.3">
      <c r="A141" s="7" t="s">
        <v>574</v>
      </c>
      <c r="B141" s="12" t="s">
        <v>845</v>
      </c>
      <c r="C141" s="10">
        <v>4.1666666666666696</v>
      </c>
      <c r="D141" s="10">
        <v>5.5</v>
      </c>
      <c r="E141" s="9">
        <v>6</v>
      </c>
      <c r="F141" s="9">
        <v>6</v>
      </c>
      <c r="G141" s="9">
        <v>12</v>
      </c>
      <c r="H141" s="10">
        <v>3</v>
      </c>
      <c r="I141" s="10">
        <v>4.32</v>
      </c>
      <c r="J141" s="11">
        <v>0.16666666666666699</v>
      </c>
      <c r="K141" s="11">
        <v>1</v>
      </c>
      <c r="L141" s="11">
        <v>0.91666666666666696</v>
      </c>
      <c r="M141" s="11">
        <v>0.75</v>
      </c>
      <c r="N141" s="11">
        <v>0.58333333333333304</v>
      </c>
      <c r="O141" s="11">
        <v>0.58333333333333304</v>
      </c>
      <c r="P141" s="10">
        <v>4.5</v>
      </c>
      <c r="Q141" s="10">
        <v>2.1213203435596402</v>
      </c>
      <c r="R141" s="8" t="s">
        <v>10653</v>
      </c>
      <c r="S141" s="10">
        <v>19</v>
      </c>
      <c r="T141" s="10">
        <v>17</v>
      </c>
      <c r="U141" s="10">
        <v>36</v>
      </c>
      <c r="V141" s="10">
        <v>3</v>
      </c>
      <c r="W141" s="10">
        <v>6</v>
      </c>
      <c r="X141" s="10">
        <v>16</v>
      </c>
      <c r="Y141" s="10">
        <v>22</v>
      </c>
      <c r="Z141" s="10">
        <v>1.8333333333333299</v>
      </c>
      <c r="AA141" s="10">
        <v>3.1666666666666701</v>
      </c>
      <c r="AB141" s="10">
        <v>1</v>
      </c>
      <c r="AC141" s="10">
        <v>2.8333333333333299</v>
      </c>
      <c r="AD141" s="10">
        <v>2.6666666666666701</v>
      </c>
    </row>
    <row r="142" spans="1:30" x14ac:dyDescent="0.3">
      <c r="A142" s="7" t="s">
        <v>5617</v>
      </c>
      <c r="B142" s="12" t="s">
        <v>966</v>
      </c>
      <c r="C142" s="10">
        <v>2.4</v>
      </c>
      <c r="D142" s="10">
        <v>3.28571428571429</v>
      </c>
      <c r="E142" s="9">
        <v>5</v>
      </c>
      <c r="F142" s="9">
        <v>7</v>
      </c>
      <c r="G142" s="9">
        <v>12</v>
      </c>
      <c r="H142" s="10">
        <v>0.91666666666666696</v>
      </c>
      <c r="I142" s="10">
        <v>2.5</v>
      </c>
      <c r="J142" s="11">
        <v>0.58333333333333304</v>
      </c>
      <c r="K142" s="11">
        <v>0.91666666666666696</v>
      </c>
      <c r="L142" s="11">
        <v>0.83333333333333304</v>
      </c>
      <c r="M142" s="11">
        <v>0.58333333333333304</v>
      </c>
      <c r="N142" s="11">
        <v>0.41666666666666702</v>
      </c>
      <c r="O142" s="11">
        <v>0.33333333333333298</v>
      </c>
      <c r="P142" s="10">
        <v>1.24305555555556</v>
      </c>
      <c r="Q142" s="10">
        <v>1.11492401335497</v>
      </c>
      <c r="R142" s="8" t="s">
        <v>10653</v>
      </c>
      <c r="S142" s="10">
        <v>4</v>
      </c>
      <c r="T142" s="10">
        <v>7</v>
      </c>
      <c r="U142" s="10">
        <v>11</v>
      </c>
      <c r="V142" s="10">
        <v>0.91666666666666696</v>
      </c>
      <c r="W142" s="10">
        <v>8</v>
      </c>
      <c r="X142" s="10">
        <v>16</v>
      </c>
      <c r="Y142" s="10">
        <v>24</v>
      </c>
      <c r="Z142" s="10">
        <v>2</v>
      </c>
      <c r="AA142" s="10">
        <v>0.8</v>
      </c>
      <c r="AB142" s="10">
        <v>1.6</v>
      </c>
      <c r="AC142" s="10">
        <v>1</v>
      </c>
      <c r="AD142" s="10">
        <v>2.28571428571429</v>
      </c>
    </row>
    <row r="143" spans="1:30" x14ac:dyDescent="0.3">
      <c r="A143" s="7" t="s">
        <v>949</v>
      </c>
      <c r="B143" s="12" t="s">
        <v>954</v>
      </c>
      <c r="C143" s="10">
        <v>3</v>
      </c>
      <c r="D143" s="10">
        <v>2.8571428571428599</v>
      </c>
      <c r="E143" s="9">
        <v>5</v>
      </c>
      <c r="F143" s="9">
        <v>7</v>
      </c>
      <c r="G143" s="9">
        <v>12</v>
      </c>
      <c r="H143" s="10">
        <v>0.58333333333333304</v>
      </c>
      <c r="I143" s="10">
        <v>2.5</v>
      </c>
      <c r="J143" s="11">
        <v>0.58333333333333304</v>
      </c>
      <c r="K143" s="11">
        <v>1</v>
      </c>
      <c r="L143" s="11">
        <v>0.66666666666666696</v>
      </c>
      <c r="M143" s="11">
        <v>0.58333333333333304</v>
      </c>
      <c r="N143" s="11">
        <v>0.33333333333333298</v>
      </c>
      <c r="O143" s="11">
        <v>0.33333333333333298</v>
      </c>
      <c r="P143" s="10">
        <v>0.57638888888888895</v>
      </c>
      <c r="Q143" s="10">
        <v>0.75920279826202497</v>
      </c>
      <c r="R143" s="8" t="s">
        <v>10653</v>
      </c>
      <c r="S143" s="10">
        <v>3</v>
      </c>
      <c r="T143" s="10">
        <v>4</v>
      </c>
      <c r="U143" s="10">
        <v>7</v>
      </c>
      <c r="V143" s="10">
        <v>0.58333333333333304</v>
      </c>
      <c r="W143" s="10">
        <v>12</v>
      </c>
      <c r="X143" s="10">
        <v>16</v>
      </c>
      <c r="Y143" s="10">
        <v>28</v>
      </c>
      <c r="Z143" s="10">
        <v>2.3333333333333299</v>
      </c>
      <c r="AA143" s="10">
        <v>0.6</v>
      </c>
      <c r="AB143" s="10">
        <v>2.4</v>
      </c>
      <c r="AC143" s="10">
        <v>0.57142857142857095</v>
      </c>
      <c r="AD143" s="10">
        <v>2.28571428571429</v>
      </c>
    </row>
    <row r="144" spans="1:30" x14ac:dyDescent="0.3">
      <c r="A144" s="7" t="s">
        <v>1885</v>
      </c>
      <c r="B144" s="12" t="s">
        <v>1334</v>
      </c>
      <c r="C144" s="10">
        <v>2.4</v>
      </c>
      <c r="D144" s="10">
        <v>2.1428571428571401</v>
      </c>
      <c r="E144" s="9">
        <v>5</v>
      </c>
      <c r="F144" s="9">
        <v>7</v>
      </c>
      <c r="G144" s="9">
        <v>12</v>
      </c>
      <c r="H144" s="10">
        <v>1.0833333333333299</v>
      </c>
      <c r="I144" s="10">
        <v>2.31</v>
      </c>
      <c r="J144" s="11">
        <v>0.25</v>
      </c>
      <c r="K144" s="11">
        <v>1</v>
      </c>
      <c r="L144" s="11">
        <v>0.75</v>
      </c>
      <c r="M144" s="11">
        <v>0.33333333333333298</v>
      </c>
      <c r="N144" s="11">
        <v>0.16666666666666699</v>
      </c>
      <c r="O144" s="11">
        <v>0.41666666666666702</v>
      </c>
      <c r="P144" s="10">
        <v>0.57638888888888895</v>
      </c>
      <c r="Q144" s="10">
        <v>0.75920279826202497</v>
      </c>
      <c r="R144" s="8" t="s">
        <v>10653</v>
      </c>
      <c r="S144" s="10">
        <v>4</v>
      </c>
      <c r="T144" s="10">
        <v>9</v>
      </c>
      <c r="U144" s="10">
        <v>13</v>
      </c>
      <c r="V144" s="10">
        <v>1.0833333333333299</v>
      </c>
      <c r="W144" s="10">
        <v>8</v>
      </c>
      <c r="X144" s="10">
        <v>6</v>
      </c>
      <c r="Y144" s="10">
        <v>14</v>
      </c>
      <c r="Z144" s="10">
        <v>1.1666666666666701</v>
      </c>
      <c r="AA144" s="10">
        <v>0.8</v>
      </c>
      <c r="AB144" s="10">
        <v>1.6</v>
      </c>
      <c r="AC144" s="10">
        <v>1.28571428571429</v>
      </c>
      <c r="AD144" s="10">
        <v>0.85714285714285698</v>
      </c>
    </row>
    <row r="145" spans="1:30" x14ac:dyDescent="0.3">
      <c r="A145" s="7" t="s">
        <v>1117</v>
      </c>
      <c r="B145" s="12" t="s">
        <v>851</v>
      </c>
      <c r="C145" s="10">
        <v>3.5</v>
      </c>
      <c r="D145" s="10">
        <v>3</v>
      </c>
      <c r="E145" s="9">
        <v>10</v>
      </c>
      <c r="F145" s="9">
        <v>2</v>
      </c>
      <c r="G145" s="9">
        <v>12</v>
      </c>
      <c r="H145" s="10">
        <v>1.9166666666666701</v>
      </c>
      <c r="I145" s="10">
        <v>3.76</v>
      </c>
      <c r="J145" s="11">
        <v>0.16666666666666699</v>
      </c>
      <c r="K145" s="11">
        <v>0.91666666666666696</v>
      </c>
      <c r="L145" s="11">
        <v>0.83333333333333304</v>
      </c>
      <c r="M145" s="11">
        <v>0.75</v>
      </c>
      <c r="N145" s="11">
        <v>0.41666666666666702</v>
      </c>
      <c r="O145" s="11">
        <v>0.83333333333333304</v>
      </c>
      <c r="P145" s="10">
        <v>2.0763888888888902</v>
      </c>
      <c r="Q145" s="10">
        <v>1.4409680388158801</v>
      </c>
      <c r="R145" s="8" t="s">
        <v>10653</v>
      </c>
      <c r="S145" s="10">
        <v>22</v>
      </c>
      <c r="T145" s="10">
        <v>1</v>
      </c>
      <c r="U145" s="10">
        <v>23</v>
      </c>
      <c r="V145" s="10">
        <v>1.9166666666666701</v>
      </c>
      <c r="W145" s="10">
        <v>13</v>
      </c>
      <c r="X145" s="10">
        <v>5</v>
      </c>
      <c r="Y145" s="10">
        <v>18</v>
      </c>
      <c r="Z145" s="10">
        <v>1.5</v>
      </c>
      <c r="AA145" s="10">
        <v>2.2000000000000002</v>
      </c>
      <c r="AB145" s="10">
        <v>1.3</v>
      </c>
      <c r="AC145" s="10">
        <v>0.5</v>
      </c>
      <c r="AD145" s="10">
        <v>2.5</v>
      </c>
    </row>
    <row r="146" spans="1:30" x14ac:dyDescent="0.3">
      <c r="A146" s="7" t="s">
        <v>1139</v>
      </c>
      <c r="B146" s="12" t="s">
        <v>851</v>
      </c>
      <c r="C146" s="10">
        <v>2.8</v>
      </c>
      <c r="D146" s="10">
        <v>2</v>
      </c>
      <c r="E146" s="9">
        <v>10</v>
      </c>
      <c r="F146" s="9">
        <v>2</v>
      </c>
      <c r="G146" s="9">
        <v>12</v>
      </c>
      <c r="H146" s="10">
        <v>1</v>
      </c>
      <c r="I146" s="10">
        <v>3.76</v>
      </c>
      <c r="J146" s="11">
        <v>0.41666666666666702</v>
      </c>
      <c r="K146" s="11">
        <v>1</v>
      </c>
      <c r="L146" s="11">
        <v>0.75</v>
      </c>
      <c r="M146" s="11">
        <v>0.5</v>
      </c>
      <c r="N146" s="11">
        <v>0.33333333333333298</v>
      </c>
      <c r="O146" s="11">
        <v>0.33333333333333298</v>
      </c>
      <c r="P146" s="10">
        <v>1.5</v>
      </c>
      <c r="Q146" s="10">
        <v>1.2247448713915901</v>
      </c>
      <c r="R146" s="8" t="s">
        <v>10653</v>
      </c>
      <c r="S146" s="10">
        <v>11</v>
      </c>
      <c r="T146" s="10">
        <v>1</v>
      </c>
      <c r="U146" s="10">
        <v>12</v>
      </c>
      <c r="V146" s="10">
        <v>1</v>
      </c>
      <c r="W146" s="10">
        <v>17</v>
      </c>
      <c r="X146" s="10">
        <v>3</v>
      </c>
      <c r="Y146" s="10">
        <v>20</v>
      </c>
      <c r="Z146" s="10">
        <v>1.6666666666666701</v>
      </c>
      <c r="AA146" s="10">
        <v>1.1000000000000001</v>
      </c>
      <c r="AB146" s="10">
        <v>1.7</v>
      </c>
      <c r="AC146" s="10">
        <v>0.5</v>
      </c>
      <c r="AD146" s="10">
        <v>1.5</v>
      </c>
    </row>
    <row r="147" spans="1:30" x14ac:dyDescent="0.3">
      <c r="A147" s="7" t="s">
        <v>6129</v>
      </c>
      <c r="B147" s="12" t="s">
        <v>6105</v>
      </c>
      <c r="C147" s="10">
        <v>3.1428571428571401</v>
      </c>
      <c r="D147" s="10">
        <v>4</v>
      </c>
      <c r="E147" s="9">
        <v>7</v>
      </c>
      <c r="F147" s="9">
        <v>5</v>
      </c>
      <c r="G147" s="9">
        <v>12</v>
      </c>
      <c r="H147" s="10">
        <v>2.1666666666666701</v>
      </c>
      <c r="I147" s="10">
        <v>2.5</v>
      </c>
      <c r="J147" s="11">
        <v>8.3333333333333301E-2</v>
      </c>
      <c r="K147" s="11">
        <v>1</v>
      </c>
      <c r="L147" s="11">
        <v>1</v>
      </c>
      <c r="M147" s="11">
        <v>0.75</v>
      </c>
      <c r="N147" s="11">
        <v>0.41666666666666702</v>
      </c>
      <c r="O147" s="11">
        <v>0.66666666666666696</v>
      </c>
      <c r="P147" s="10">
        <v>1.4722222222222201</v>
      </c>
      <c r="Q147" s="10">
        <v>1.2133516482134199</v>
      </c>
      <c r="R147" s="8" t="s">
        <v>10653</v>
      </c>
      <c r="S147" s="10">
        <v>13</v>
      </c>
      <c r="T147" s="10">
        <v>13</v>
      </c>
      <c r="U147" s="10">
        <v>26</v>
      </c>
      <c r="V147" s="10">
        <v>2.1666666666666701</v>
      </c>
      <c r="W147" s="10">
        <v>9</v>
      </c>
      <c r="X147" s="10">
        <v>7</v>
      </c>
      <c r="Y147" s="10">
        <v>16</v>
      </c>
      <c r="Z147" s="10">
        <v>1.3333333333333299</v>
      </c>
      <c r="AA147" s="10">
        <v>1.8571428571428601</v>
      </c>
      <c r="AB147" s="10">
        <v>1.28571428571429</v>
      </c>
      <c r="AC147" s="10">
        <v>2.6</v>
      </c>
      <c r="AD147" s="10">
        <v>1.4</v>
      </c>
    </row>
    <row r="148" spans="1:30" x14ac:dyDescent="0.3">
      <c r="A148" s="7" t="s">
        <v>2412</v>
      </c>
      <c r="B148" s="12" t="s">
        <v>1330</v>
      </c>
      <c r="C148" s="10">
        <v>2.5714285714285698</v>
      </c>
      <c r="D148" s="10">
        <v>2.6</v>
      </c>
      <c r="E148" s="9">
        <v>7</v>
      </c>
      <c r="F148" s="9">
        <v>5</v>
      </c>
      <c r="G148" s="9">
        <v>12</v>
      </c>
      <c r="H148" s="10">
        <v>1.1666666666666701</v>
      </c>
      <c r="I148" s="10">
        <v>2.5</v>
      </c>
      <c r="J148" s="11">
        <v>0.41666666666666702</v>
      </c>
      <c r="K148" s="11">
        <v>0.83333333333333304</v>
      </c>
      <c r="L148" s="11">
        <v>0.66666666666666696</v>
      </c>
      <c r="M148" s="11">
        <v>0.58333333333333304</v>
      </c>
      <c r="N148" s="11">
        <v>0.41666666666666702</v>
      </c>
      <c r="O148" s="11">
        <v>0.5</v>
      </c>
      <c r="P148" s="10">
        <v>1.30555555555556</v>
      </c>
      <c r="Q148" s="10">
        <v>1.1426091000668399</v>
      </c>
      <c r="R148" s="8" t="s">
        <v>10653</v>
      </c>
      <c r="S148" s="10">
        <v>8</v>
      </c>
      <c r="T148" s="10">
        <v>6</v>
      </c>
      <c r="U148" s="10">
        <v>14</v>
      </c>
      <c r="V148" s="10">
        <v>1.1666666666666701</v>
      </c>
      <c r="W148" s="10">
        <v>10</v>
      </c>
      <c r="X148" s="10">
        <v>7</v>
      </c>
      <c r="Y148" s="10">
        <v>17</v>
      </c>
      <c r="Z148" s="10">
        <v>1.4166666666666701</v>
      </c>
      <c r="AA148" s="10">
        <v>1.1428571428571399</v>
      </c>
      <c r="AB148" s="10">
        <v>1.4285714285714299</v>
      </c>
      <c r="AC148" s="10">
        <v>1.2</v>
      </c>
      <c r="AD148" s="10">
        <v>1.4</v>
      </c>
    </row>
    <row r="149" spans="1:30" x14ac:dyDescent="0.3">
      <c r="A149" s="7" t="s">
        <v>499</v>
      </c>
      <c r="B149" s="12" t="s">
        <v>1333</v>
      </c>
      <c r="C149" s="10">
        <v>2.1666666666666701</v>
      </c>
      <c r="D149" s="10">
        <v>1.6666666666666701</v>
      </c>
      <c r="E149" s="9">
        <v>6</v>
      </c>
      <c r="F149" s="9">
        <v>6</v>
      </c>
      <c r="G149" s="9">
        <v>12</v>
      </c>
      <c r="H149" s="10">
        <v>0.75</v>
      </c>
      <c r="I149" s="10">
        <v>2.59</v>
      </c>
      <c r="J149" s="11">
        <v>0.41666666666666702</v>
      </c>
      <c r="K149" s="11">
        <v>0.75</v>
      </c>
      <c r="L149" s="11">
        <v>0.58333333333333304</v>
      </c>
      <c r="M149" s="11">
        <v>0.33333333333333298</v>
      </c>
      <c r="N149" s="11">
        <v>0.16666666666666699</v>
      </c>
      <c r="O149" s="11">
        <v>0.5</v>
      </c>
      <c r="P149" s="10">
        <v>0.6875</v>
      </c>
      <c r="Q149" s="10">
        <v>0.82915619758884995</v>
      </c>
      <c r="R149" s="8" t="s">
        <v>10653</v>
      </c>
      <c r="S149" s="10">
        <v>6</v>
      </c>
      <c r="T149" s="10">
        <v>3</v>
      </c>
      <c r="U149" s="10">
        <v>9</v>
      </c>
      <c r="V149" s="10">
        <v>0.75</v>
      </c>
      <c r="W149" s="10">
        <v>7</v>
      </c>
      <c r="X149" s="10">
        <v>7</v>
      </c>
      <c r="Y149" s="10">
        <v>14</v>
      </c>
      <c r="Z149" s="10">
        <v>1.1666666666666701</v>
      </c>
      <c r="AA149" s="10">
        <v>1</v>
      </c>
      <c r="AB149" s="10">
        <v>1.1666666666666701</v>
      </c>
      <c r="AC149" s="10">
        <v>0.5</v>
      </c>
      <c r="AD149" s="10">
        <v>1.1666666666666701</v>
      </c>
    </row>
    <row r="150" spans="1:30" x14ac:dyDescent="0.3">
      <c r="A150" s="7" t="s">
        <v>455</v>
      </c>
      <c r="B150" s="12" t="s">
        <v>882</v>
      </c>
      <c r="C150" s="10">
        <v>2.4</v>
      </c>
      <c r="D150" s="10">
        <v>3.71428571428571</v>
      </c>
      <c r="E150" s="9">
        <v>5</v>
      </c>
      <c r="F150" s="9">
        <v>7</v>
      </c>
      <c r="G150" s="9">
        <v>12</v>
      </c>
      <c r="H150" s="10">
        <v>1.25</v>
      </c>
      <c r="I150" s="10">
        <v>3.56</v>
      </c>
      <c r="J150" s="11">
        <v>0.25</v>
      </c>
      <c r="K150" s="11">
        <v>1</v>
      </c>
      <c r="L150" s="11">
        <v>0.83333333333333304</v>
      </c>
      <c r="M150" s="11">
        <v>0.58333333333333304</v>
      </c>
      <c r="N150" s="11">
        <v>0.41666666666666702</v>
      </c>
      <c r="O150" s="11">
        <v>0.66666666666666696</v>
      </c>
      <c r="P150" s="10">
        <v>0.85416666666666696</v>
      </c>
      <c r="Q150" s="10">
        <v>0.92421137553411803</v>
      </c>
      <c r="R150" s="8" t="s">
        <v>10653</v>
      </c>
      <c r="S150" s="10">
        <v>7</v>
      </c>
      <c r="T150" s="10">
        <v>8</v>
      </c>
      <c r="U150" s="10">
        <v>15</v>
      </c>
      <c r="V150" s="10">
        <v>1.25</v>
      </c>
      <c r="W150" s="10">
        <v>5</v>
      </c>
      <c r="X150" s="10">
        <v>18</v>
      </c>
      <c r="Y150" s="10">
        <v>23</v>
      </c>
      <c r="Z150" s="10">
        <v>1.9166666666666701</v>
      </c>
      <c r="AA150" s="10">
        <v>1.4</v>
      </c>
      <c r="AB150" s="10">
        <v>1</v>
      </c>
      <c r="AC150" s="10">
        <v>1.1428571428571399</v>
      </c>
      <c r="AD150" s="10">
        <v>2.5714285714285698</v>
      </c>
    </row>
    <row r="151" spans="1:30" x14ac:dyDescent="0.3">
      <c r="A151" s="7" t="s">
        <v>132</v>
      </c>
      <c r="B151" s="12" t="s">
        <v>4291</v>
      </c>
      <c r="C151" s="10">
        <v>1.2</v>
      </c>
      <c r="D151" s="10">
        <v>3.5714285714285698</v>
      </c>
      <c r="E151" s="9">
        <v>5</v>
      </c>
      <c r="F151" s="9">
        <v>7</v>
      </c>
      <c r="G151" s="9">
        <v>12</v>
      </c>
      <c r="H151" s="10">
        <v>0.91666666666666696</v>
      </c>
      <c r="I151" s="10">
        <v>3.55</v>
      </c>
      <c r="J151" s="11">
        <v>0.5</v>
      </c>
      <c r="K151" s="11">
        <v>0.75</v>
      </c>
      <c r="L151" s="11">
        <v>0.58333333333333304</v>
      </c>
      <c r="M151" s="11">
        <v>0.41666666666666702</v>
      </c>
      <c r="N151" s="11">
        <v>0.33333333333333298</v>
      </c>
      <c r="O151" s="11">
        <v>0.41666666666666702</v>
      </c>
      <c r="P151" s="10">
        <v>1.4097222222222201</v>
      </c>
      <c r="Q151" s="10">
        <v>1.1873172373979199</v>
      </c>
      <c r="R151" s="8" t="s">
        <v>10653</v>
      </c>
      <c r="S151" s="10">
        <v>2</v>
      </c>
      <c r="T151" s="10">
        <v>9</v>
      </c>
      <c r="U151" s="10">
        <v>11</v>
      </c>
      <c r="V151" s="10">
        <v>0.91666666666666696</v>
      </c>
      <c r="W151" s="10">
        <v>4</v>
      </c>
      <c r="X151" s="10">
        <v>16</v>
      </c>
      <c r="Y151" s="10">
        <v>20</v>
      </c>
      <c r="Z151" s="10">
        <v>1.6666666666666701</v>
      </c>
      <c r="AA151" s="10">
        <v>0.4</v>
      </c>
      <c r="AB151" s="10">
        <v>0.8</v>
      </c>
      <c r="AC151" s="10">
        <v>1.28571428571429</v>
      </c>
      <c r="AD151" s="10">
        <v>2.28571428571429</v>
      </c>
    </row>
    <row r="152" spans="1:30" x14ac:dyDescent="0.3">
      <c r="A152" s="7" t="s">
        <v>734</v>
      </c>
      <c r="B152" s="12" t="s">
        <v>4291</v>
      </c>
      <c r="C152" s="10">
        <v>5</v>
      </c>
      <c r="D152" s="10">
        <v>3.1666666666666701</v>
      </c>
      <c r="E152" s="9">
        <v>6</v>
      </c>
      <c r="F152" s="9">
        <v>6</v>
      </c>
      <c r="G152" s="9">
        <v>12</v>
      </c>
      <c r="H152" s="10">
        <v>2.4166666666666701</v>
      </c>
      <c r="I152" s="10">
        <v>3.55</v>
      </c>
      <c r="J152" s="11">
        <v>0</v>
      </c>
      <c r="K152" s="11">
        <v>1</v>
      </c>
      <c r="L152" s="11">
        <v>0.91666666666666696</v>
      </c>
      <c r="M152" s="11">
        <v>0.83333333333333304</v>
      </c>
      <c r="N152" s="11">
        <v>0.41666666666666702</v>
      </c>
      <c r="O152" s="11">
        <v>0.83333333333333304</v>
      </c>
      <c r="P152" s="10">
        <v>2.4097222222222201</v>
      </c>
      <c r="Q152" s="10">
        <v>1.55232800084976</v>
      </c>
      <c r="R152" s="8" t="s">
        <v>10653</v>
      </c>
      <c r="S152" s="10">
        <v>17</v>
      </c>
      <c r="T152" s="10">
        <v>12</v>
      </c>
      <c r="U152" s="10">
        <v>29</v>
      </c>
      <c r="V152" s="10">
        <v>2.4166666666666701</v>
      </c>
      <c r="W152" s="10">
        <v>13</v>
      </c>
      <c r="X152" s="10">
        <v>7</v>
      </c>
      <c r="Y152" s="10">
        <v>20</v>
      </c>
      <c r="Z152" s="10">
        <v>1.6666666666666701</v>
      </c>
      <c r="AA152" s="10">
        <v>2.8333333333333299</v>
      </c>
      <c r="AB152" s="10">
        <v>2.1666666666666701</v>
      </c>
      <c r="AC152" s="10">
        <v>2</v>
      </c>
      <c r="AD152" s="10">
        <v>1.1666666666666701</v>
      </c>
    </row>
    <row r="153" spans="1:30" x14ac:dyDescent="0.3">
      <c r="A153" s="7" t="s">
        <v>665</v>
      </c>
      <c r="B153" s="12" t="s">
        <v>1332</v>
      </c>
      <c r="C153" s="10">
        <v>3.4</v>
      </c>
      <c r="D153" s="10">
        <v>3.28571428571429</v>
      </c>
      <c r="E153" s="9">
        <v>5</v>
      </c>
      <c r="F153" s="9">
        <v>7</v>
      </c>
      <c r="G153" s="9">
        <v>12</v>
      </c>
      <c r="H153" s="10">
        <v>1.75</v>
      </c>
      <c r="I153" s="10">
        <v>3.62</v>
      </c>
      <c r="J153" s="11">
        <v>0.16666666666666699</v>
      </c>
      <c r="K153" s="11">
        <v>1</v>
      </c>
      <c r="L153" s="11">
        <v>0.91666666666666696</v>
      </c>
      <c r="M153" s="11">
        <v>0.83333333333333304</v>
      </c>
      <c r="N153" s="11">
        <v>0.33333333333333298</v>
      </c>
      <c r="O153" s="11">
        <v>0.58333333333333304</v>
      </c>
      <c r="P153" s="10">
        <v>1.3541666666666701</v>
      </c>
      <c r="Q153" s="10">
        <v>1.16368667031408</v>
      </c>
      <c r="R153" s="8" t="s">
        <v>10653</v>
      </c>
      <c r="S153" s="10">
        <v>13</v>
      </c>
      <c r="T153" s="10">
        <v>8</v>
      </c>
      <c r="U153" s="10">
        <v>21</v>
      </c>
      <c r="V153" s="10">
        <v>1.75</v>
      </c>
      <c r="W153" s="10">
        <v>4</v>
      </c>
      <c r="X153" s="10">
        <v>15</v>
      </c>
      <c r="Y153" s="10">
        <v>19</v>
      </c>
      <c r="Z153" s="10">
        <v>1.5833333333333299</v>
      </c>
      <c r="AA153" s="10">
        <v>2.6</v>
      </c>
      <c r="AB153" s="10">
        <v>0.8</v>
      </c>
      <c r="AC153" s="10">
        <v>1.1428571428571399</v>
      </c>
      <c r="AD153" s="10">
        <v>2.1428571428571401</v>
      </c>
    </row>
    <row r="154" spans="1:30" x14ac:dyDescent="0.3">
      <c r="A154" s="7" t="s">
        <v>7604</v>
      </c>
      <c r="B154" s="12" t="s">
        <v>7895</v>
      </c>
      <c r="C154" s="10">
        <v>2.8571428571428599</v>
      </c>
      <c r="D154" s="10">
        <v>2.8</v>
      </c>
      <c r="E154" s="9">
        <v>7</v>
      </c>
      <c r="F154" s="9">
        <v>5</v>
      </c>
      <c r="G154" s="9">
        <v>12</v>
      </c>
      <c r="H154" s="10">
        <v>1.8333333333333299</v>
      </c>
      <c r="I154" s="10">
        <v>2.5</v>
      </c>
      <c r="J154" s="11">
        <v>8.3333333333333301E-2</v>
      </c>
      <c r="K154" s="11">
        <v>0.91666666666666696</v>
      </c>
      <c r="L154" s="11">
        <v>0.83333333333333304</v>
      </c>
      <c r="M154" s="11">
        <v>0.5</v>
      </c>
      <c r="N154" s="11">
        <v>0.33333333333333298</v>
      </c>
      <c r="O154" s="11">
        <v>0.66666666666666696</v>
      </c>
      <c r="P154" s="10">
        <v>0.80555555555555602</v>
      </c>
      <c r="Q154" s="10">
        <v>0.89752746785575099</v>
      </c>
      <c r="R154" s="8" t="s">
        <v>10653</v>
      </c>
      <c r="S154" s="10">
        <v>13</v>
      </c>
      <c r="T154" s="10">
        <v>9</v>
      </c>
      <c r="U154" s="10">
        <v>22</v>
      </c>
      <c r="V154" s="10">
        <v>1.8333333333333299</v>
      </c>
      <c r="W154" s="10">
        <v>7</v>
      </c>
      <c r="X154" s="10">
        <v>5</v>
      </c>
      <c r="Y154" s="10">
        <v>12</v>
      </c>
      <c r="Z154" s="10">
        <v>1</v>
      </c>
      <c r="AA154" s="10">
        <v>1.8571428571428601</v>
      </c>
      <c r="AB154" s="10">
        <v>1</v>
      </c>
      <c r="AC154" s="10">
        <v>1.8</v>
      </c>
      <c r="AD154" s="10">
        <v>1</v>
      </c>
    </row>
    <row r="155" spans="1:30" x14ac:dyDescent="0.3">
      <c r="A155" s="7" t="s">
        <v>7594</v>
      </c>
      <c r="B155" s="12" t="s">
        <v>7895</v>
      </c>
      <c r="C155" s="10">
        <v>3.6666666666666701</v>
      </c>
      <c r="D155" s="10">
        <v>3</v>
      </c>
      <c r="E155" s="9">
        <v>6</v>
      </c>
      <c r="F155" s="9">
        <v>6</v>
      </c>
      <c r="G155" s="9">
        <v>12</v>
      </c>
      <c r="H155" s="10">
        <v>2.0833333333333299</v>
      </c>
      <c r="I155" s="10">
        <v>2.5</v>
      </c>
      <c r="J155" s="11">
        <v>0.16666666666666699</v>
      </c>
      <c r="K155" s="11">
        <v>0.91666666666666696</v>
      </c>
      <c r="L155" s="11">
        <v>0.83333333333333304</v>
      </c>
      <c r="M155" s="11">
        <v>0.58333333333333304</v>
      </c>
      <c r="N155" s="11">
        <v>0.33333333333333298</v>
      </c>
      <c r="O155" s="11">
        <v>0.58333333333333304</v>
      </c>
      <c r="P155" s="10">
        <v>1.9097222222222201</v>
      </c>
      <c r="Q155" s="10">
        <v>1.38192699598142</v>
      </c>
      <c r="R155" s="8" t="s">
        <v>10653</v>
      </c>
      <c r="S155" s="10">
        <v>14</v>
      </c>
      <c r="T155" s="10">
        <v>11</v>
      </c>
      <c r="U155" s="10">
        <v>25</v>
      </c>
      <c r="V155" s="10">
        <v>2.0833333333333299</v>
      </c>
      <c r="W155" s="10">
        <v>8</v>
      </c>
      <c r="X155" s="10">
        <v>7</v>
      </c>
      <c r="Y155" s="10">
        <v>15</v>
      </c>
      <c r="Z155" s="10">
        <v>1.25</v>
      </c>
      <c r="AA155" s="10">
        <v>2.3333333333333299</v>
      </c>
      <c r="AB155" s="10">
        <v>1.3333333333333299</v>
      </c>
      <c r="AC155" s="10">
        <v>1.8333333333333299</v>
      </c>
      <c r="AD155" s="10">
        <v>1.1666666666666701</v>
      </c>
    </row>
    <row r="156" spans="1:30" x14ac:dyDescent="0.3">
      <c r="A156" s="7" t="s">
        <v>4591</v>
      </c>
      <c r="B156" s="12" t="s">
        <v>4657</v>
      </c>
      <c r="C156" s="10">
        <v>2.8333333333333299</v>
      </c>
      <c r="D156" s="10">
        <v>3.1666666666666701</v>
      </c>
      <c r="E156" s="9">
        <v>6</v>
      </c>
      <c r="F156" s="9">
        <v>6</v>
      </c>
      <c r="G156" s="9">
        <v>12</v>
      </c>
      <c r="H156" s="10">
        <v>1.9166666666666701</v>
      </c>
      <c r="I156" s="10">
        <v>2.09</v>
      </c>
      <c r="J156" s="11">
        <v>0.16666666666666699</v>
      </c>
      <c r="K156" s="11">
        <v>0.91666666666666696</v>
      </c>
      <c r="L156" s="11">
        <v>0.83333333333333304</v>
      </c>
      <c r="M156" s="11">
        <v>0.58333333333333304</v>
      </c>
      <c r="N156" s="11">
        <v>0.41666666666666702</v>
      </c>
      <c r="O156" s="11">
        <v>0.5</v>
      </c>
      <c r="P156" s="10">
        <v>2.5763888888888902</v>
      </c>
      <c r="Q156" s="10">
        <v>1.6051133570215199</v>
      </c>
      <c r="R156" s="8" t="s">
        <v>10653</v>
      </c>
      <c r="S156" s="10">
        <v>12</v>
      </c>
      <c r="T156" s="10">
        <v>11</v>
      </c>
      <c r="U156" s="10">
        <v>23</v>
      </c>
      <c r="V156" s="10">
        <v>1.9166666666666701</v>
      </c>
      <c r="W156" s="10">
        <v>5</v>
      </c>
      <c r="X156" s="10">
        <v>8</v>
      </c>
      <c r="Y156" s="10">
        <v>13</v>
      </c>
      <c r="Z156" s="10">
        <v>1.0833333333333299</v>
      </c>
      <c r="AA156" s="10">
        <v>2</v>
      </c>
      <c r="AB156" s="10">
        <v>0.83333333333333304</v>
      </c>
      <c r="AC156" s="10">
        <v>1.8333333333333299</v>
      </c>
      <c r="AD156" s="10">
        <v>1.3333333333333299</v>
      </c>
    </row>
    <row r="157" spans="1:30" x14ac:dyDescent="0.3">
      <c r="A157" s="7" t="s">
        <v>4080</v>
      </c>
      <c r="B157" s="12" t="s">
        <v>4055</v>
      </c>
      <c r="C157" s="10">
        <v>1.71428571428571</v>
      </c>
      <c r="D157" s="10">
        <v>2.4</v>
      </c>
      <c r="E157" s="9">
        <v>7</v>
      </c>
      <c r="F157" s="9">
        <v>5</v>
      </c>
      <c r="G157" s="9">
        <v>12</v>
      </c>
      <c r="H157" s="10">
        <v>0.83333333333333304</v>
      </c>
      <c r="I157" s="10">
        <v>2.5</v>
      </c>
      <c r="J157" s="11">
        <v>0.41666666666666702</v>
      </c>
      <c r="K157" s="11">
        <v>0.83333333333333304</v>
      </c>
      <c r="L157" s="11">
        <v>0.5</v>
      </c>
      <c r="M157" s="11">
        <v>0.33333333333333298</v>
      </c>
      <c r="N157" s="11">
        <v>0.16666666666666699</v>
      </c>
      <c r="O157" s="11">
        <v>0.5</v>
      </c>
      <c r="P157" s="10">
        <v>0.63888888888888895</v>
      </c>
      <c r="Q157" s="10">
        <v>0.79930525388545304</v>
      </c>
      <c r="R157" s="8" t="s">
        <v>10653</v>
      </c>
      <c r="S157" s="10">
        <v>5</v>
      </c>
      <c r="T157" s="10">
        <v>5</v>
      </c>
      <c r="U157" s="10">
        <v>10</v>
      </c>
      <c r="V157" s="10">
        <v>0.83333333333333304</v>
      </c>
      <c r="W157" s="10">
        <v>7</v>
      </c>
      <c r="X157" s="10">
        <v>7</v>
      </c>
      <c r="Y157" s="10">
        <v>14</v>
      </c>
      <c r="Z157" s="10">
        <v>1.1666666666666701</v>
      </c>
      <c r="AA157" s="10">
        <v>0.71428571428571397</v>
      </c>
      <c r="AB157" s="10">
        <v>1</v>
      </c>
      <c r="AC157" s="10">
        <v>1</v>
      </c>
      <c r="AD157" s="10">
        <v>1.4</v>
      </c>
    </row>
    <row r="158" spans="1:30" x14ac:dyDescent="0.3">
      <c r="A158" s="7" t="s">
        <v>1574</v>
      </c>
      <c r="B158" s="12" t="s">
        <v>1332</v>
      </c>
      <c r="C158" s="10">
        <v>2.5714285714285698</v>
      </c>
      <c r="D158" s="10">
        <v>2.2000000000000002</v>
      </c>
      <c r="E158" s="9">
        <v>7</v>
      </c>
      <c r="F158" s="9">
        <v>5</v>
      </c>
      <c r="G158" s="9">
        <v>12</v>
      </c>
      <c r="H158" s="10">
        <v>1</v>
      </c>
      <c r="I158" s="10">
        <v>3.62</v>
      </c>
      <c r="J158" s="11">
        <v>0.33333333333333298</v>
      </c>
      <c r="K158" s="11">
        <v>0.75</v>
      </c>
      <c r="L158" s="11">
        <v>0.75</v>
      </c>
      <c r="M158" s="11">
        <v>0.5</v>
      </c>
      <c r="N158" s="11">
        <v>0.25</v>
      </c>
      <c r="O158" s="11">
        <v>0.66666666666666696</v>
      </c>
      <c r="P158" s="10">
        <v>0.83333333333333304</v>
      </c>
      <c r="Q158" s="10">
        <v>0.91287092917527701</v>
      </c>
      <c r="R158" s="8" t="s">
        <v>10653</v>
      </c>
      <c r="S158" s="10">
        <v>9</v>
      </c>
      <c r="T158" s="10">
        <v>3</v>
      </c>
      <c r="U158" s="10">
        <v>12</v>
      </c>
      <c r="V158" s="10">
        <v>1</v>
      </c>
      <c r="W158" s="10">
        <v>9</v>
      </c>
      <c r="X158" s="10">
        <v>8</v>
      </c>
      <c r="Y158" s="10">
        <v>17</v>
      </c>
      <c r="Z158" s="10">
        <v>1.4166666666666701</v>
      </c>
      <c r="AA158" s="10">
        <v>1.28571428571429</v>
      </c>
      <c r="AB158" s="10">
        <v>1.28571428571429</v>
      </c>
      <c r="AC158" s="10">
        <v>0.6</v>
      </c>
      <c r="AD158" s="10">
        <v>1.6</v>
      </c>
    </row>
    <row r="159" spans="1:30" x14ac:dyDescent="0.3">
      <c r="A159" s="7" t="s">
        <v>4401</v>
      </c>
      <c r="B159" s="12" t="s">
        <v>4290</v>
      </c>
      <c r="C159" s="10">
        <v>2</v>
      </c>
      <c r="D159" s="10">
        <v>2.25</v>
      </c>
      <c r="E159" s="9">
        <v>8</v>
      </c>
      <c r="F159" s="9">
        <v>4</v>
      </c>
      <c r="G159" s="9">
        <v>12</v>
      </c>
      <c r="H159" s="10">
        <v>0.91666666666666696</v>
      </c>
      <c r="I159" s="10">
        <v>2.5</v>
      </c>
      <c r="J159" s="11">
        <v>0.33333333333333298</v>
      </c>
      <c r="K159" s="11">
        <v>0.83333333333333304</v>
      </c>
      <c r="L159" s="11">
        <v>0.66666666666666696</v>
      </c>
      <c r="M159" s="11">
        <v>0.33333333333333298</v>
      </c>
      <c r="N159" s="11">
        <v>0.16666666666666699</v>
      </c>
      <c r="O159" s="11">
        <v>0.5</v>
      </c>
      <c r="P159" s="10">
        <v>0.57638888888888895</v>
      </c>
      <c r="Q159" s="10">
        <v>0.75920279826202497</v>
      </c>
      <c r="R159" s="8" t="s">
        <v>10653</v>
      </c>
      <c r="S159" s="10">
        <v>8</v>
      </c>
      <c r="T159" s="10">
        <v>3</v>
      </c>
      <c r="U159" s="10">
        <v>11</v>
      </c>
      <c r="V159" s="10">
        <v>0.91666666666666696</v>
      </c>
      <c r="W159" s="10">
        <v>8</v>
      </c>
      <c r="X159" s="10">
        <v>6</v>
      </c>
      <c r="Y159" s="10">
        <v>14</v>
      </c>
      <c r="Z159" s="10">
        <v>1.1666666666666701</v>
      </c>
      <c r="AA159" s="10">
        <v>1</v>
      </c>
      <c r="AB159" s="10">
        <v>1</v>
      </c>
      <c r="AC159" s="10">
        <v>0.75</v>
      </c>
      <c r="AD159" s="10">
        <v>1.5</v>
      </c>
    </row>
    <row r="160" spans="1:30" x14ac:dyDescent="0.3">
      <c r="A160" s="7" t="s">
        <v>315</v>
      </c>
      <c r="B160" s="12" t="s">
        <v>1335</v>
      </c>
      <c r="C160" s="10">
        <v>3.1666666666666701</v>
      </c>
      <c r="D160" s="10">
        <v>2.8333333333333299</v>
      </c>
      <c r="E160" s="9">
        <v>6</v>
      </c>
      <c r="F160" s="9">
        <v>6</v>
      </c>
      <c r="G160" s="9">
        <v>12</v>
      </c>
      <c r="H160" s="10">
        <v>2</v>
      </c>
      <c r="I160" s="10">
        <v>2.5099999999999998</v>
      </c>
      <c r="J160" s="11">
        <v>8.3333333333333301E-2</v>
      </c>
      <c r="K160" s="11">
        <v>1</v>
      </c>
      <c r="L160" s="11">
        <v>0.91666666666666696</v>
      </c>
      <c r="M160" s="11">
        <v>0.66666666666666696</v>
      </c>
      <c r="N160" s="11">
        <v>0.33333333333333298</v>
      </c>
      <c r="O160" s="11">
        <v>0.58333333333333304</v>
      </c>
      <c r="P160" s="10">
        <v>1.1666666666666701</v>
      </c>
      <c r="Q160" s="10">
        <v>1.0801234497346399</v>
      </c>
      <c r="R160" s="8" t="s">
        <v>10653</v>
      </c>
      <c r="S160" s="10">
        <v>12</v>
      </c>
      <c r="T160" s="10">
        <v>12</v>
      </c>
      <c r="U160" s="10">
        <v>24</v>
      </c>
      <c r="V160" s="10">
        <v>2</v>
      </c>
      <c r="W160" s="10">
        <v>7</v>
      </c>
      <c r="X160" s="10">
        <v>5</v>
      </c>
      <c r="Y160" s="10">
        <v>12</v>
      </c>
      <c r="Z160" s="10">
        <v>1</v>
      </c>
      <c r="AA160" s="10">
        <v>2</v>
      </c>
      <c r="AB160" s="10">
        <v>1.1666666666666701</v>
      </c>
      <c r="AC160" s="10">
        <v>2</v>
      </c>
      <c r="AD160" s="10">
        <v>0.83333333333333304</v>
      </c>
    </row>
    <row r="161" spans="1:30" x14ac:dyDescent="0.3">
      <c r="A161" s="7" t="s">
        <v>995</v>
      </c>
      <c r="B161" s="12" t="s">
        <v>1000</v>
      </c>
      <c r="C161" s="10">
        <v>2.5714285714285698</v>
      </c>
      <c r="D161" s="10">
        <v>3.2</v>
      </c>
      <c r="E161" s="9">
        <v>7</v>
      </c>
      <c r="F161" s="9">
        <v>5</v>
      </c>
      <c r="G161" s="9">
        <v>12</v>
      </c>
      <c r="H161" s="10">
        <v>0.66666666666666696</v>
      </c>
      <c r="I161" s="10">
        <v>2.5</v>
      </c>
      <c r="J161" s="11">
        <v>0.5</v>
      </c>
      <c r="K161" s="11">
        <v>1</v>
      </c>
      <c r="L161" s="11">
        <v>1</v>
      </c>
      <c r="M161" s="11">
        <v>0.33333333333333298</v>
      </c>
      <c r="N161" s="11">
        <v>0.25</v>
      </c>
      <c r="O161" s="11">
        <v>0.41666666666666702</v>
      </c>
      <c r="P161" s="10">
        <v>0.55555555555555602</v>
      </c>
      <c r="Q161" s="10">
        <v>0.74535599249993001</v>
      </c>
      <c r="R161" s="8" t="s">
        <v>10653</v>
      </c>
      <c r="S161" s="10">
        <v>5</v>
      </c>
      <c r="T161" s="10">
        <v>3</v>
      </c>
      <c r="U161" s="10">
        <v>8</v>
      </c>
      <c r="V161" s="10">
        <v>0.66666666666666696</v>
      </c>
      <c r="W161" s="10">
        <v>13</v>
      </c>
      <c r="X161" s="10">
        <v>13</v>
      </c>
      <c r="Y161" s="10">
        <v>26</v>
      </c>
      <c r="Z161" s="10">
        <v>2.1666666666666701</v>
      </c>
      <c r="AA161" s="10">
        <v>0.71428571428571397</v>
      </c>
      <c r="AB161" s="10">
        <v>1.8571428571428601</v>
      </c>
      <c r="AC161" s="10">
        <v>0.6</v>
      </c>
      <c r="AD161" s="10">
        <v>2.6</v>
      </c>
    </row>
    <row r="162" spans="1:30" x14ac:dyDescent="0.3">
      <c r="A162" s="7" t="s">
        <v>6635</v>
      </c>
      <c r="B162" s="12" t="s">
        <v>1338</v>
      </c>
      <c r="C162" s="10">
        <v>2.6</v>
      </c>
      <c r="D162" s="10">
        <v>2.8571428571428599</v>
      </c>
      <c r="E162" s="9">
        <v>5</v>
      </c>
      <c r="F162" s="9">
        <v>7</v>
      </c>
      <c r="G162" s="9">
        <v>12</v>
      </c>
      <c r="H162" s="10">
        <v>1.3333333333333299</v>
      </c>
      <c r="I162" s="10">
        <v>2.5</v>
      </c>
      <c r="J162" s="11">
        <v>0.16666666666666699</v>
      </c>
      <c r="K162" s="11">
        <v>1</v>
      </c>
      <c r="L162" s="11">
        <v>0.83333333333333304</v>
      </c>
      <c r="M162" s="11">
        <v>0.58333333333333304</v>
      </c>
      <c r="N162" s="11">
        <v>0.25</v>
      </c>
      <c r="O162" s="11">
        <v>0.58333333333333304</v>
      </c>
      <c r="P162" s="10">
        <v>0.72222222222222199</v>
      </c>
      <c r="Q162" s="10">
        <v>0.84983658559879705</v>
      </c>
      <c r="R162" s="8" t="s">
        <v>10653</v>
      </c>
      <c r="S162" s="10">
        <v>7</v>
      </c>
      <c r="T162" s="10">
        <v>9</v>
      </c>
      <c r="U162" s="10">
        <v>16</v>
      </c>
      <c r="V162" s="10">
        <v>1.3333333333333299</v>
      </c>
      <c r="W162" s="10">
        <v>6</v>
      </c>
      <c r="X162" s="10">
        <v>11</v>
      </c>
      <c r="Y162" s="10">
        <v>17</v>
      </c>
      <c r="Z162" s="10">
        <v>1.4166666666666701</v>
      </c>
      <c r="AA162" s="10">
        <v>1.4</v>
      </c>
      <c r="AB162" s="10">
        <v>1.2</v>
      </c>
      <c r="AC162" s="10">
        <v>1.28571428571429</v>
      </c>
      <c r="AD162" s="10">
        <v>1.5714285714285701</v>
      </c>
    </row>
    <row r="163" spans="1:30" x14ac:dyDescent="0.3">
      <c r="A163" s="7" t="s">
        <v>4759</v>
      </c>
      <c r="B163" s="12" t="s">
        <v>1000</v>
      </c>
      <c r="C163" s="10">
        <v>3.3333333333333299</v>
      </c>
      <c r="D163" s="10">
        <v>2.5</v>
      </c>
      <c r="E163" s="9">
        <v>6</v>
      </c>
      <c r="F163" s="9">
        <v>6</v>
      </c>
      <c r="G163" s="9">
        <v>12</v>
      </c>
      <c r="H163" s="10">
        <v>2</v>
      </c>
      <c r="I163" s="10">
        <v>2.5</v>
      </c>
      <c r="J163" s="11">
        <v>8.3333333333333301E-2</v>
      </c>
      <c r="K163" s="11">
        <v>1</v>
      </c>
      <c r="L163" s="11">
        <v>0.91666666666666696</v>
      </c>
      <c r="M163" s="11">
        <v>0.58333333333333304</v>
      </c>
      <c r="N163" s="11">
        <v>0.25</v>
      </c>
      <c r="O163" s="11">
        <v>0.5</v>
      </c>
      <c r="P163" s="10">
        <v>1.5</v>
      </c>
      <c r="Q163" s="10">
        <v>1.2247448713915901</v>
      </c>
      <c r="R163" s="8" t="s">
        <v>10653</v>
      </c>
      <c r="S163" s="10">
        <v>17</v>
      </c>
      <c r="T163" s="10">
        <v>7</v>
      </c>
      <c r="U163" s="10">
        <v>24</v>
      </c>
      <c r="V163" s="10">
        <v>2</v>
      </c>
      <c r="W163" s="10">
        <v>3</v>
      </c>
      <c r="X163" s="10">
        <v>8</v>
      </c>
      <c r="Y163" s="10">
        <v>11</v>
      </c>
      <c r="Z163" s="10">
        <v>0.91666666666666696</v>
      </c>
      <c r="AA163" s="10">
        <v>2.8333333333333299</v>
      </c>
      <c r="AB163" s="10">
        <v>0.5</v>
      </c>
      <c r="AC163" s="10">
        <v>1.1666666666666701</v>
      </c>
      <c r="AD163" s="10">
        <v>1.3333333333333299</v>
      </c>
    </row>
    <row r="164" spans="1:30" x14ac:dyDescent="0.3">
      <c r="A164" s="7" t="s">
        <v>5577</v>
      </c>
      <c r="B164" s="12" t="s">
        <v>966</v>
      </c>
      <c r="C164" s="10">
        <v>3.5</v>
      </c>
      <c r="D164" s="10">
        <v>3</v>
      </c>
      <c r="E164" s="9">
        <v>6</v>
      </c>
      <c r="F164" s="9">
        <v>6</v>
      </c>
      <c r="G164" s="9">
        <v>12</v>
      </c>
      <c r="H164" s="10">
        <v>2.75</v>
      </c>
      <c r="I164" s="10">
        <v>2.5</v>
      </c>
      <c r="J164" s="11">
        <v>0</v>
      </c>
      <c r="K164" s="11">
        <v>1</v>
      </c>
      <c r="L164" s="11">
        <v>0.91666666666666696</v>
      </c>
      <c r="M164" s="11">
        <v>0.5</v>
      </c>
      <c r="N164" s="11">
        <v>0.41666666666666702</v>
      </c>
      <c r="O164" s="11">
        <v>0.41666666666666702</v>
      </c>
      <c r="P164" s="10">
        <v>3.3541666666666701</v>
      </c>
      <c r="Q164" s="10">
        <v>1.8314384146529901</v>
      </c>
      <c r="R164" s="8" t="s">
        <v>10653</v>
      </c>
      <c r="S164" s="10">
        <v>15</v>
      </c>
      <c r="T164" s="10">
        <v>18</v>
      </c>
      <c r="U164" s="10">
        <v>33</v>
      </c>
      <c r="V164" s="10">
        <v>2.75</v>
      </c>
      <c r="W164" s="10">
        <v>6</v>
      </c>
      <c r="X164" s="10">
        <v>0</v>
      </c>
      <c r="Y164" s="10">
        <v>6</v>
      </c>
      <c r="Z164" s="10">
        <v>0.5</v>
      </c>
      <c r="AA164" s="10">
        <v>2.5</v>
      </c>
      <c r="AB164" s="10">
        <v>1</v>
      </c>
      <c r="AC164" s="10">
        <v>3</v>
      </c>
      <c r="AD164" s="10">
        <v>0</v>
      </c>
    </row>
    <row r="165" spans="1:30" x14ac:dyDescent="0.3">
      <c r="A165" s="7" t="s">
        <v>5305</v>
      </c>
      <c r="B165" s="12" t="s">
        <v>1339</v>
      </c>
      <c r="C165" s="10">
        <v>3</v>
      </c>
      <c r="D165" s="10">
        <v>3.3333333333333299</v>
      </c>
      <c r="E165" s="9">
        <v>6</v>
      </c>
      <c r="F165" s="9">
        <v>6</v>
      </c>
      <c r="G165" s="9">
        <v>12</v>
      </c>
      <c r="H165" s="10">
        <v>1.75</v>
      </c>
      <c r="I165" s="10">
        <v>2.5</v>
      </c>
      <c r="J165" s="11">
        <v>0.25</v>
      </c>
      <c r="K165" s="11">
        <v>1</v>
      </c>
      <c r="L165" s="11">
        <v>0.91666666666666696</v>
      </c>
      <c r="M165" s="11">
        <v>0.58333333333333304</v>
      </c>
      <c r="N165" s="11">
        <v>0.41666666666666702</v>
      </c>
      <c r="O165" s="11">
        <v>0.5</v>
      </c>
      <c r="P165" s="10">
        <v>1.5208333333333299</v>
      </c>
      <c r="Q165" s="10">
        <v>1.23322071557906</v>
      </c>
      <c r="R165" s="8" t="s">
        <v>10653</v>
      </c>
      <c r="S165" s="10">
        <v>10</v>
      </c>
      <c r="T165" s="10">
        <v>11</v>
      </c>
      <c r="U165" s="10">
        <v>21</v>
      </c>
      <c r="V165" s="10">
        <v>1.75</v>
      </c>
      <c r="W165" s="10">
        <v>8</v>
      </c>
      <c r="X165" s="10">
        <v>9</v>
      </c>
      <c r="Y165" s="10">
        <v>17</v>
      </c>
      <c r="Z165" s="10">
        <v>1.4166666666666701</v>
      </c>
      <c r="AA165" s="10">
        <v>1.6666666666666701</v>
      </c>
      <c r="AB165" s="10">
        <v>1.3333333333333299</v>
      </c>
      <c r="AC165" s="10">
        <v>1.8333333333333299</v>
      </c>
      <c r="AD165" s="10">
        <v>1.5</v>
      </c>
    </row>
    <row r="166" spans="1:30" x14ac:dyDescent="0.3">
      <c r="A166" s="7" t="s">
        <v>2382</v>
      </c>
      <c r="B166" s="12" t="s">
        <v>1330</v>
      </c>
      <c r="C166" s="10">
        <v>2.3333333333333299</v>
      </c>
      <c r="D166" s="10">
        <v>2.8333333333333299</v>
      </c>
      <c r="E166" s="9">
        <v>6</v>
      </c>
      <c r="F166" s="9">
        <v>6</v>
      </c>
      <c r="G166" s="9">
        <v>12</v>
      </c>
      <c r="H166" s="10">
        <v>1.3333333333333299</v>
      </c>
      <c r="I166" s="10">
        <v>2.5</v>
      </c>
      <c r="J166" s="11">
        <v>0.33333333333333298</v>
      </c>
      <c r="K166" s="11">
        <v>0.83333333333333304</v>
      </c>
      <c r="L166" s="11">
        <v>0.58333333333333304</v>
      </c>
      <c r="M166" s="11">
        <v>0.5</v>
      </c>
      <c r="N166" s="11">
        <v>0.41666666666666702</v>
      </c>
      <c r="O166" s="11">
        <v>0.5</v>
      </c>
      <c r="P166" s="10">
        <v>1.8888888888888899</v>
      </c>
      <c r="Q166" s="10">
        <v>1.37436854187255</v>
      </c>
      <c r="R166" s="8" t="s">
        <v>10653</v>
      </c>
      <c r="S166" s="10">
        <v>9</v>
      </c>
      <c r="T166" s="10">
        <v>7</v>
      </c>
      <c r="U166" s="10">
        <v>16</v>
      </c>
      <c r="V166" s="10">
        <v>1.3333333333333299</v>
      </c>
      <c r="W166" s="10">
        <v>5</v>
      </c>
      <c r="X166" s="10">
        <v>10</v>
      </c>
      <c r="Y166" s="10">
        <v>15</v>
      </c>
      <c r="Z166" s="10">
        <v>1.25</v>
      </c>
      <c r="AA166" s="10">
        <v>1.5</v>
      </c>
      <c r="AB166" s="10">
        <v>0.83333333333333304</v>
      </c>
      <c r="AC166" s="10">
        <v>1.1666666666666701</v>
      </c>
      <c r="AD166" s="10">
        <v>1.6666666666666701</v>
      </c>
    </row>
    <row r="167" spans="1:30" x14ac:dyDescent="0.3">
      <c r="A167" s="7" t="s">
        <v>5002</v>
      </c>
      <c r="B167" s="12" t="s">
        <v>954</v>
      </c>
      <c r="C167" s="10">
        <v>3.5714285714285698</v>
      </c>
      <c r="D167" s="10">
        <v>3.4</v>
      </c>
      <c r="E167" s="9">
        <v>7</v>
      </c>
      <c r="F167" s="9">
        <v>5</v>
      </c>
      <c r="G167" s="9">
        <v>12</v>
      </c>
      <c r="H167" s="10">
        <v>1.5</v>
      </c>
      <c r="I167" s="10">
        <v>2.5</v>
      </c>
      <c r="J167" s="11">
        <v>0.25</v>
      </c>
      <c r="K167" s="11">
        <v>1</v>
      </c>
      <c r="L167" s="11">
        <v>0.91666666666666696</v>
      </c>
      <c r="M167" s="11">
        <v>0.66666666666666696</v>
      </c>
      <c r="N167" s="11">
        <v>0.41666666666666702</v>
      </c>
      <c r="O167" s="11">
        <v>0.66666666666666696</v>
      </c>
      <c r="P167" s="10">
        <v>1.9166666666666701</v>
      </c>
      <c r="Q167" s="10">
        <v>1.3844373104863501</v>
      </c>
      <c r="R167" s="8" t="s">
        <v>10653</v>
      </c>
      <c r="S167" s="10">
        <v>10</v>
      </c>
      <c r="T167" s="10">
        <v>8</v>
      </c>
      <c r="U167" s="10">
        <v>18</v>
      </c>
      <c r="V167" s="10">
        <v>1.5</v>
      </c>
      <c r="W167" s="10">
        <v>15</v>
      </c>
      <c r="X167" s="10">
        <v>9</v>
      </c>
      <c r="Y167" s="10">
        <v>24</v>
      </c>
      <c r="Z167" s="10">
        <v>2</v>
      </c>
      <c r="AA167" s="10">
        <v>1.4285714285714299</v>
      </c>
      <c r="AB167" s="10">
        <v>2.1428571428571401</v>
      </c>
      <c r="AC167" s="10">
        <v>1.6</v>
      </c>
      <c r="AD167" s="10">
        <v>1.8</v>
      </c>
    </row>
    <row r="168" spans="1:30" x14ac:dyDescent="0.3">
      <c r="A168" s="7" t="s">
        <v>7282</v>
      </c>
      <c r="B168" s="12" t="s">
        <v>847</v>
      </c>
      <c r="C168" s="10">
        <v>2.3333333333333299</v>
      </c>
      <c r="D168" s="10">
        <v>2.8333333333333299</v>
      </c>
      <c r="E168" s="9">
        <v>6</v>
      </c>
      <c r="F168" s="9">
        <v>6</v>
      </c>
      <c r="G168" s="9">
        <v>12</v>
      </c>
      <c r="H168" s="10">
        <v>1.3333333333333299</v>
      </c>
      <c r="I168" s="10">
        <v>2.5</v>
      </c>
      <c r="J168" s="11">
        <v>0.25</v>
      </c>
      <c r="K168" s="11">
        <v>0.91666666666666696</v>
      </c>
      <c r="L168" s="11">
        <v>0.83333333333333304</v>
      </c>
      <c r="M168" s="11">
        <v>0.58333333333333304</v>
      </c>
      <c r="N168" s="11">
        <v>8.3333333333333301E-2</v>
      </c>
      <c r="O168" s="11">
        <v>0.66666666666666696</v>
      </c>
      <c r="P168" s="10">
        <v>1.7222222222222201</v>
      </c>
      <c r="Q168" s="10">
        <v>1.31233464566864</v>
      </c>
      <c r="R168" s="8" t="s">
        <v>10653</v>
      </c>
      <c r="S168" s="10">
        <v>8</v>
      </c>
      <c r="T168" s="10">
        <v>8</v>
      </c>
      <c r="U168" s="10">
        <v>16</v>
      </c>
      <c r="V168" s="10">
        <v>1.3333333333333299</v>
      </c>
      <c r="W168" s="10">
        <v>6</v>
      </c>
      <c r="X168" s="10">
        <v>9</v>
      </c>
      <c r="Y168" s="10">
        <v>15</v>
      </c>
      <c r="Z168" s="10">
        <v>1.25</v>
      </c>
      <c r="AA168" s="10">
        <v>1.3333333333333299</v>
      </c>
      <c r="AB168" s="10">
        <v>1</v>
      </c>
      <c r="AC168" s="10">
        <v>1.3333333333333299</v>
      </c>
      <c r="AD168" s="10">
        <v>1.5</v>
      </c>
    </row>
    <row r="169" spans="1:30" x14ac:dyDescent="0.3">
      <c r="A169" s="7" t="s">
        <v>6162</v>
      </c>
      <c r="B169" s="12" t="s">
        <v>6105</v>
      </c>
      <c r="C169" s="10">
        <v>3.1666666666666701</v>
      </c>
      <c r="D169" s="10">
        <v>4</v>
      </c>
      <c r="E169" s="9">
        <v>6</v>
      </c>
      <c r="F169" s="9">
        <v>6</v>
      </c>
      <c r="G169" s="9">
        <v>12</v>
      </c>
      <c r="H169" s="10">
        <v>1.9166666666666701</v>
      </c>
      <c r="I169" s="10">
        <v>2.5</v>
      </c>
      <c r="J169" s="11">
        <v>0.16666666666666699</v>
      </c>
      <c r="K169" s="11">
        <v>1</v>
      </c>
      <c r="L169" s="11">
        <v>0.91666666666666696</v>
      </c>
      <c r="M169" s="11">
        <v>0.75</v>
      </c>
      <c r="N169" s="11">
        <v>0.58333333333333304</v>
      </c>
      <c r="O169" s="11">
        <v>0.66666666666666696</v>
      </c>
      <c r="P169" s="10">
        <v>1.74305555555556</v>
      </c>
      <c r="Q169" s="10">
        <v>1.32024829314624</v>
      </c>
      <c r="R169" s="8" t="s">
        <v>10653</v>
      </c>
      <c r="S169" s="10">
        <v>13</v>
      </c>
      <c r="T169" s="10">
        <v>10</v>
      </c>
      <c r="U169" s="10">
        <v>23</v>
      </c>
      <c r="V169" s="10">
        <v>1.9166666666666701</v>
      </c>
      <c r="W169" s="10">
        <v>6</v>
      </c>
      <c r="X169" s="10">
        <v>14</v>
      </c>
      <c r="Y169" s="10">
        <v>20</v>
      </c>
      <c r="Z169" s="10">
        <v>1.6666666666666701</v>
      </c>
      <c r="AA169" s="10">
        <v>2.1666666666666701</v>
      </c>
      <c r="AB169" s="10">
        <v>1</v>
      </c>
      <c r="AC169" s="10">
        <v>1.6666666666666701</v>
      </c>
      <c r="AD169" s="10">
        <v>2.3333333333333299</v>
      </c>
    </row>
    <row r="170" spans="1:30" x14ac:dyDescent="0.3">
      <c r="A170" s="7" t="s">
        <v>6416</v>
      </c>
      <c r="B170" s="12" t="s">
        <v>960</v>
      </c>
      <c r="C170" s="10">
        <v>4.8</v>
      </c>
      <c r="D170" s="10">
        <v>4.1428571428571397</v>
      </c>
      <c r="E170" s="9">
        <v>5</v>
      </c>
      <c r="F170" s="9">
        <v>7</v>
      </c>
      <c r="G170" s="9">
        <v>12</v>
      </c>
      <c r="H170" s="10">
        <v>2.3333333333333299</v>
      </c>
      <c r="I170" s="10">
        <v>2.5</v>
      </c>
      <c r="J170" s="11">
        <v>8.3333333333333301E-2</v>
      </c>
      <c r="K170" s="11">
        <v>1</v>
      </c>
      <c r="L170" s="11">
        <v>1</v>
      </c>
      <c r="M170" s="11">
        <v>0.91666666666666696</v>
      </c>
      <c r="N170" s="11">
        <v>0.66666666666666696</v>
      </c>
      <c r="O170" s="11">
        <v>0.83333333333333304</v>
      </c>
      <c r="P170" s="10">
        <v>1.3888888888888899</v>
      </c>
      <c r="Q170" s="10">
        <v>1.1785113019775799</v>
      </c>
      <c r="R170" s="8" t="s">
        <v>10653</v>
      </c>
      <c r="S170" s="10">
        <v>14</v>
      </c>
      <c r="T170" s="10">
        <v>14</v>
      </c>
      <c r="U170" s="10">
        <v>28</v>
      </c>
      <c r="V170" s="10">
        <v>2.3333333333333299</v>
      </c>
      <c r="W170" s="10">
        <v>10</v>
      </c>
      <c r="X170" s="10">
        <v>15</v>
      </c>
      <c r="Y170" s="10">
        <v>25</v>
      </c>
      <c r="Z170" s="10">
        <v>2.0833333333333299</v>
      </c>
      <c r="AA170" s="10">
        <v>2.8</v>
      </c>
      <c r="AB170" s="10">
        <v>2</v>
      </c>
      <c r="AC170" s="10">
        <v>2</v>
      </c>
      <c r="AD170" s="10">
        <v>2.1428571428571401</v>
      </c>
    </row>
    <row r="171" spans="1:30" x14ac:dyDescent="0.3">
      <c r="A171" s="7" t="s">
        <v>2576</v>
      </c>
      <c r="B171" s="12" t="s">
        <v>2574</v>
      </c>
      <c r="C171" s="10">
        <v>3.1666666666666701</v>
      </c>
      <c r="D171" s="10">
        <v>2</v>
      </c>
      <c r="E171" s="9">
        <v>6</v>
      </c>
      <c r="F171" s="9">
        <v>6</v>
      </c>
      <c r="G171" s="9">
        <v>12</v>
      </c>
      <c r="H171" s="10">
        <v>1.1666666666666701</v>
      </c>
      <c r="I171" s="10">
        <v>2.5</v>
      </c>
      <c r="J171" s="11">
        <v>0.33333333333333298</v>
      </c>
      <c r="K171" s="11">
        <v>0.91666666666666696</v>
      </c>
      <c r="L171" s="11">
        <v>0.66666666666666696</v>
      </c>
      <c r="M171" s="11">
        <v>0.41666666666666702</v>
      </c>
      <c r="N171" s="11">
        <v>0.25</v>
      </c>
      <c r="O171" s="11">
        <v>0.58333333333333304</v>
      </c>
      <c r="P171" s="10">
        <v>1.80555555555556</v>
      </c>
      <c r="Q171" s="10">
        <v>1.34370962471642</v>
      </c>
      <c r="R171" s="8" t="s">
        <v>10653</v>
      </c>
      <c r="S171" s="10">
        <v>10</v>
      </c>
      <c r="T171" s="10">
        <v>4</v>
      </c>
      <c r="U171" s="10">
        <v>14</v>
      </c>
      <c r="V171" s="10">
        <v>1.1666666666666701</v>
      </c>
      <c r="W171" s="10">
        <v>9</v>
      </c>
      <c r="X171" s="10">
        <v>8</v>
      </c>
      <c r="Y171" s="10">
        <v>17</v>
      </c>
      <c r="Z171" s="10">
        <v>1.4166666666666701</v>
      </c>
      <c r="AA171" s="10">
        <v>1.6666666666666701</v>
      </c>
      <c r="AB171" s="10">
        <v>1.5</v>
      </c>
      <c r="AC171" s="10">
        <v>0.66666666666666696</v>
      </c>
      <c r="AD171" s="10">
        <v>1.3333333333333299</v>
      </c>
    </row>
    <row r="172" spans="1:30" x14ac:dyDescent="0.3">
      <c r="A172" s="7" t="s">
        <v>295</v>
      </c>
      <c r="B172" s="12" t="s">
        <v>1336</v>
      </c>
      <c r="C172" s="10">
        <v>3.5714285714285698</v>
      </c>
      <c r="D172" s="10">
        <v>4.2</v>
      </c>
      <c r="E172" s="9">
        <v>7</v>
      </c>
      <c r="F172" s="9">
        <v>5</v>
      </c>
      <c r="G172" s="9">
        <v>12</v>
      </c>
      <c r="H172" s="10">
        <v>2.0833333333333299</v>
      </c>
      <c r="I172" s="10">
        <v>3.79</v>
      </c>
      <c r="J172" s="11">
        <v>8.3333333333333301E-2</v>
      </c>
      <c r="K172" s="11">
        <v>1</v>
      </c>
      <c r="L172" s="11">
        <v>1</v>
      </c>
      <c r="M172" s="11">
        <v>0.66666666666666696</v>
      </c>
      <c r="N172" s="11">
        <v>0.41666666666666702</v>
      </c>
      <c r="O172" s="11">
        <v>0.75</v>
      </c>
      <c r="P172" s="10">
        <v>1.74305555555555</v>
      </c>
      <c r="Q172" s="10">
        <v>1.32024829314624</v>
      </c>
      <c r="R172" s="8" t="s">
        <v>10653</v>
      </c>
      <c r="S172" s="10">
        <v>14</v>
      </c>
      <c r="T172" s="10">
        <v>11</v>
      </c>
      <c r="U172" s="10">
        <v>25</v>
      </c>
      <c r="V172" s="10">
        <v>2.0833333333333299</v>
      </c>
      <c r="W172" s="10">
        <v>11</v>
      </c>
      <c r="X172" s="10">
        <v>10</v>
      </c>
      <c r="Y172" s="10">
        <v>21</v>
      </c>
      <c r="Z172" s="10">
        <v>1.75</v>
      </c>
      <c r="AA172" s="10">
        <v>2</v>
      </c>
      <c r="AB172" s="10">
        <v>1.5714285714285701</v>
      </c>
      <c r="AC172" s="10">
        <v>2.2000000000000002</v>
      </c>
      <c r="AD172" s="10">
        <v>2</v>
      </c>
    </row>
    <row r="173" spans="1:30" x14ac:dyDescent="0.3">
      <c r="A173" s="7" t="s">
        <v>989</v>
      </c>
      <c r="B173" s="12" t="s">
        <v>994</v>
      </c>
      <c r="C173" s="10">
        <v>3.1666666666666701</v>
      </c>
      <c r="D173" s="10">
        <v>3.3333333333333299</v>
      </c>
      <c r="E173" s="9">
        <v>6</v>
      </c>
      <c r="F173" s="9">
        <v>6</v>
      </c>
      <c r="G173" s="9">
        <v>12</v>
      </c>
      <c r="H173" s="10">
        <v>1.6666666666666701</v>
      </c>
      <c r="I173" s="10">
        <v>2.6</v>
      </c>
      <c r="J173" s="11">
        <v>0.25</v>
      </c>
      <c r="K173" s="11">
        <v>1</v>
      </c>
      <c r="L173" s="11">
        <v>0.75</v>
      </c>
      <c r="M173" s="11">
        <v>0.66666666666666696</v>
      </c>
      <c r="N173" s="11">
        <v>0.41666666666666702</v>
      </c>
      <c r="O173" s="11">
        <v>0.41666666666666702</v>
      </c>
      <c r="P173" s="10">
        <v>2.3888888888888902</v>
      </c>
      <c r="Q173" s="10">
        <v>1.5456030825826199</v>
      </c>
      <c r="R173" s="8" t="s">
        <v>10653</v>
      </c>
      <c r="S173" s="10">
        <v>9</v>
      </c>
      <c r="T173" s="10">
        <v>11</v>
      </c>
      <c r="U173" s="10">
        <v>20</v>
      </c>
      <c r="V173" s="10">
        <v>1.6666666666666701</v>
      </c>
      <c r="W173" s="10">
        <v>10</v>
      </c>
      <c r="X173" s="10">
        <v>9</v>
      </c>
      <c r="Y173" s="10">
        <v>19</v>
      </c>
      <c r="Z173" s="10">
        <v>1.5833333333333299</v>
      </c>
      <c r="AA173" s="10">
        <v>1.5</v>
      </c>
      <c r="AB173" s="10">
        <v>1.6666666666666701</v>
      </c>
      <c r="AC173" s="10">
        <v>1.8333333333333299</v>
      </c>
      <c r="AD173" s="10">
        <v>1.5</v>
      </c>
    </row>
    <row r="174" spans="1:30" x14ac:dyDescent="0.3">
      <c r="A174" s="7" t="s">
        <v>442</v>
      </c>
      <c r="B174" s="12" t="s">
        <v>882</v>
      </c>
      <c r="C174" s="10">
        <v>4</v>
      </c>
      <c r="D174" s="10">
        <v>2</v>
      </c>
      <c r="E174" s="9">
        <v>6</v>
      </c>
      <c r="F174" s="9">
        <v>6</v>
      </c>
      <c r="G174" s="9">
        <v>12</v>
      </c>
      <c r="H174" s="10">
        <v>1.75</v>
      </c>
      <c r="I174" s="10">
        <v>3.56</v>
      </c>
      <c r="J174" s="11">
        <v>0.16666666666666699</v>
      </c>
      <c r="K174" s="11">
        <v>0.91666666666666696</v>
      </c>
      <c r="L174" s="11">
        <v>0.83333333333333304</v>
      </c>
      <c r="M174" s="11">
        <v>0.58333333333333304</v>
      </c>
      <c r="N174" s="11">
        <v>0.33333333333333298</v>
      </c>
      <c r="O174" s="11">
        <v>0.58333333333333304</v>
      </c>
      <c r="P174" s="10">
        <v>1.8541666666666701</v>
      </c>
      <c r="Q174" s="10">
        <v>1.36167788653068</v>
      </c>
      <c r="R174" s="8" t="s">
        <v>10653</v>
      </c>
      <c r="S174" s="10">
        <v>15</v>
      </c>
      <c r="T174" s="10">
        <v>6</v>
      </c>
      <c r="U174" s="10">
        <v>21</v>
      </c>
      <c r="V174" s="10">
        <v>1.75</v>
      </c>
      <c r="W174" s="10">
        <v>9</v>
      </c>
      <c r="X174" s="10">
        <v>6</v>
      </c>
      <c r="Y174" s="10">
        <v>15</v>
      </c>
      <c r="Z174" s="10">
        <v>1.25</v>
      </c>
      <c r="AA174" s="10">
        <v>2.5</v>
      </c>
      <c r="AB174" s="10">
        <v>1.5</v>
      </c>
      <c r="AC174" s="10">
        <v>1</v>
      </c>
      <c r="AD174" s="10">
        <v>1</v>
      </c>
    </row>
    <row r="175" spans="1:30" x14ac:dyDescent="0.3">
      <c r="A175" s="7" t="s">
        <v>432</v>
      </c>
      <c r="B175" s="12" t="s">
        <v>882</v>
      </c>
      <c r="C175" s="10">
        <v>4.6666666666666696</v>
      </c>
      <c r="D175" s="10">
        <v>4</v>
      </c>
      <c r="E175" s="9">
        <v>6</v>
      </c>
      <c r="F175" s="9">
        <v>6</v>
      </c>
      <c r="G175" s="9">
        <v>12</v>
      </c>
      <c r="H175" s="10">
        <v>3.4166666666666701</v>
      </c>
      <c r="I175" s="10">
        <v>3.56</v>
      </c>
      <c r="J175" s="11">
        <v>0</v>
      </c>
      <c r="K175" s="11">
        <v>1</v>
      </c>
      <c r="L175" s="11">
        <v>0.91666666666666696</v>
      </c>
      <c r="M175" s="11">
        <v>0.75</v>
      </c>
      <c r="N175" s="11">
        <v>0.66666666666666696</v>
      </c>
      <c r="O175" s="11">
        <v>0.58333333333333304</v>
      </c>
      <c r="P175" s="10">
        <v>4.7430555555555598</v>
      </c>
      <c r="Q175" s="10">
        <v>2.1778557242286598</v>
      </c>
      <c r="R175" s="8" t="s">
        <v>10653</v>
      </c>
      <c r="S175" s="10">
        <v>23</v>
      </c>
      <c r="T175" s="10">
        <v>18</v>
      </c>
      <c r="U175" s="10">
        <v>41</v>
      </c>
      <c r="V175" s="10">
        <v>3.4166666666666701</v>
      </c>
      <c r="W175" s="10">
        <v>5</v>
      </c>
      <c r="X175" s="10">
        <v>6</v>
      </c>
      <c r="Y175" s="10">
        <v>11</v>
      </c>
      <c r="Z175" s="10">
        <v>0.91666666666666696</v>
      </c>
      <c r="AA175" s="10">
        <v>3.8333333333333299</v>
      </c>
      <c r="AB175" s="10">
        <v>0.83333333333333304</v>
      </c>
      <c r="AC175" s="10">
        <v>3</v>
      </c>
      <c r="AD175" s="10">
        <v>1</v>
      </c>
    </row>
    <row r="176" spans="1:30" x14ac:dyDescent="0.3">
      <c r="A176" s="7" t="s">
        <v>3790</v>
      </c>
      <c r="B176" s="12" t="s">
        <v>3663</v>
      </c>
      <c r="C176" s="10">
        <v>1.6</v>
      </c>
      <c r="D176" s="10">
        <v>2.4285714285714302</v>
      </c>
      <c r="E176" s="9">
        <v>5</v>
      </c>
      <c r="F176" s="9">
        <v>7</v>
      </c>
      <c r="G176" s="9">
        <v>12</v>
      </c>
      <c r="H176" s="10">
        <v>1.4166666666666701</v>
      </c>
      <c r="I176" s="10">
        <v>2.5</v>
      </c>
      <c r="J176" s="11">
        <v>0.16666666666666699</v>
      </c>
      <c r="K176" s="11">
        <v>1</v>
      </c>
      <c r="L176" s="11">
        <v>0.66666666666666696</v>
      </c>
      <c r="M176" s="11">
        <v>0.25</v>
      </c>
      <c r="N176" s="11">
        <v>8.3333333333333301E-2</v>
      </c>
      <c r="O176" s="11">
        <v>0.25</v>
      </c>
      <c r="P176" s="10">
        <v>1.24305555555556</v>
      </c>
      <c r="Q176" s="10">
        <v>1.11492401335497</v>
      </c>
      <c r="R176" s="8" t="s">
        <v>10653</v>
      </c>
      <c r="S176" s="10">
        <v>7</v>
      </c>
      <c r="T176" s="10">
        <v>10</v>
      </c>
      <c r="U176" s="10">
        <v>17</v>
      </c>
      <c r="V176" s="10">
        <v>1.4166666666666701</v>
      </c>
      <c r="W176" s="10">
        <v>1</v>
      </c>
      <c r="X176" s="10">
        <v>7</v>
      </c>
      <c r="Y176" s="10">
        <v>8</v>
      </c>
      <c r="Z176" s="10">
        <v>0.66666666666666696</v>
      </c>
      <c r="AA176" s="10">
        <v>1.4</v>
      </c>
      <c r="AB176" s="10">
        <v>0.2</v>
      </c>
      <c r="AC176" s="10">
        <v>1.4285714285714299</v>
      </c>
      <c r="AD176" s="10">
        <v>1</v>
      </c>
    </row>
    <row r="177" spans="1:30" x14ac:dyDescent="0.3">
      <c r="A177" s="7" t="s">
        <v>306</v>
      </c>
      <c r="B177" s="12" t="s">
        <v>1336</v>
      </c>
      <c r="C177" s="10">
        <v>6</v>
      </c>
      <c r="D177" s="10">
        <v>3.3333333333333299</v>
      </c>
      <c r="E177" s="9">
        <v>6</v>
      </c>
      <c r="F177" s="9">
        <v>6</v>
      </c>
      <c r="G177" s="9">
        <v>12</v>
      </c>
      <c r="H177" s="10">
        <v>2.5833333333333299</v>
      </c>
      <c r="I177" s="10">
        <v>3.79</v>
      </c>
      <c r="J177" s="11">
        <v>8.3333333333333301E-2</v>
      </c>
      <c r="K177" s="11">
        <v>1</v>
      </c>
      <c r="L177" s="11">
        <v>1</v>
      </c>
      <c r="M177" s="11">
        <v>0.66666666666666696</v>
      </c>
      <c r="N177" s="11">
        <v>0.58333333333333304</v>
      </c>
      <c r="O177" s="11">
        <v>0.66666666666666696</v>
      </c>
      <c r="P177" s="10">
        <v>2.0763888888888902</v>
      </c>
      <c r="Q177" s="10">
        <v>1.4409680388158801</v>
      </c>
      <c r="R177" s="8" t="s">
        <v>10653</v>
      </c>
      <c r="S177" s="10">
        <v>20</v>
      </c>
      <c r="T177" s="10">
        <v>11</v>
      </c>
      <c r="U177" s="10">
        <v>31</v>
      </c>
      <c r="V177" s="10">
        <v>2.5833333333333299</v>
      </c>
      <c r="W177" s="10">
        <v>16</v>
      </c>
      <c r="X177" s="10">
        <v>9</v>
      </c>
      <c r="Y177" s="10">
        <v>25</v>
      </c>
      <c r="Z177" s="10">
        <v>2.0833333333333299</v>
      </c>
      <c r="AA177" s="10">
        <v>3.3333333333333299</v>
      </c>
      <c r="AB177" s="10">
        <v>2.6666666666666701</v>
      </c>
      <c r="AC177" s="10">
        <v>1.8333333333333299</v>
      </c>
      <c r="AD177" s="10">
        <v>1.5</v>
      </c>
    </row>
    <row r="178" spans="1:30" x14ac:dyDescent="0.3">
      <c r="A178" s="7" t="s">
        <v>3384</v>
      </c>
      <c r="B178" s="12" t="s">
        <v>3426</v>
      </c>
      <c r="C178" s="10">
        <v>4.8333333333333304</v>
      </c>
      <c r="D178" s="10">
        <v>2</v>
      </c>
      <c r="E178" s="9">
        <v>6</v>
      </c>
      <c r="F178" s="9">
        <v>6</v>
      </c>
      <c r="G178" s="9">
        <v>12</v>
      </c>
      <c r="H178" s="10">
        <v>1.5833333333333299</v>
      </c>
      <c r="I178" s="10">
        <v>2.5</v>
      </c>
      <c r="J178" s="11">
        <v>0.41666666666666702</v>
      </c>
      <c r="K178" s="11">
        <v>0.91666666666666696</v>
      </c>
      <c r="L178" s="11">
        <v>0.91666666666666696</v>
      </c>
      <c r="M178" s="11">
        <v>0.58333333333333304</v>
      </c>
      <c r="N178" s="11">
        <v>0.5</v>
      </c>
      <c r="O178" s="11">
        <v>0.5</v>
      </c>
      <c r="P178" s="10">
        <v>2.5763888888888902</v>
      </c>
      <c r="Q178" s="10">
        <v>1.6051133570215199</v>
      </c>
      <c r="R178" s="8" t="s">
        <v>10653</v>
      </c>
      <c r="S178" s="10">
        <v>15</v>
      </c>
      <c r="T178" s="10">
        <v>4</v>
      </c>
      <c r="U178" s="10">
        <v>19</v>
      </c>
      <c r="V178" s="10">
        <v>1.5833333333333299</v>
      </c>
      <c r="W178" s="10">
        <v>14</v>
      </c>
      <c r="X178" s="10">
        <v>8</v>
      </c>
      <c r="Y178" s="10">
        <v>22</v>
      </c>
      <c r="Z178" s="10">
        <v>1.8333333333333299</v>
      </c>
      <c r="AA178" s="10">
        <v>2.5</v>
      </c>
      <c r="AB178" s="10">
        <v>2.3333333333333299</v>
      </c>
      <c r="AC178" s="10">
        <v>0.66666666666666696</v>
      </c>
      <c r="AD178" s="10">
        <v>1.3333333333333299</v>
      </c>
    </row>
    <row r="179" spans="1:30" x14ac:dyDescent="0.3">
      <c r="A179" s="7" t="s">
        <v>585</v>
      </c>
      <c r="B179" s="12" t="s">
        <v>845</v>
      </c>
      <c r="C179" s="10">
        <v>4.28571428571429</v>
      </c>
      <c r="D179" s="10">
        <v>4</v>
      </c>
      <c r="E179" s="9">
        <v>7</v>
      </c>
      <c r="F179" s="9">
        <v>5</v>
      </c>
      <c r="G179" s="9">
        <v>12</v>
      </c>
      <c r="H179" s="10">
        <v>2.9166666666666701</v>
      </c>
      <c r="I179" s="10">
        <v>4.32</v>
      </c>
      <c r="J179" s="11">
        <v>8.3333333333333301E-2</v>
      </c>
      <c r="K179" s="11">
        <v>0.91666666666666696</v>
      </c>
      <c r="L179" s="11">
        <v>0.83333333333333304</v>
      </c>
      <c r="M179" s="11">
        <v>0.83333333333333304</v>
      </c>
      <c r="N179" s="11">
        <v>0.66666666666666696</v>
      </c>
      <c r="O179" s="11">
        <v>0.58333333333333304</v>
      </c>
      <c r="P179" s="10">
        <v>3.4097222222222201</v>
      </c>
      <c r="Q179" s="10">
        <v>1.8465433171800301</v>
      </c>
      <c r="R179" s="8" t="s">
        <v>10653</v>
      </c>
      <c r="S179" s="10">
        <v>23</v>
      </c>
      <c r="T179" s="10">
        <v>12</v>
      </c>
      <c r="U179" s="10">
        <v>35</v>
      </c>
      <c r="V179" s="10">
        <v>2.9166666666666701</v>
      </c>
      <c r="W179" s="10">
        <v>7</v>
      </c>
      <c r="X179" s="10">
        <v>8</v>
      </c>
      <c r="Y179" s="10">
        <v>15</v>
      </c>
      <c r="Z179" s="10">
        <v>1.25</v>
      </c>
      <c r="AA179" s="10">
        <v>3.28571428571429</v>
      </c>
      <c r="AB179" s="10">
        <v>1</v>
      </c>
      <c r="AC179" s="10">
        <v>2.4</v>
      </c>
      <c r="AD179" s="10">
        <v>1.6</v>
      </c>
    </row>
    <row r="180" spans="1:30" x14ac:dyDescent="0.3">
      <c r="A180" s="7" t="s">
        <v>2379</v>
      </c>
      <c r="B180" s="12" t="s">
        <v>1330</v>
      </c>
      <c r="C180" s="10">
        <v>2</v>
      </c>
      <c r="D180" s="10">
        <v>4.6666666666666696</v>
      </c>
      <c r="E180" s="9">
        <v>6</v>
      </c>
      <c r="F180" s="9">
        <v>6</v>
      </c>
      <c r="G180" s="9">
        <v>12</v>
      </c>
      <c r="H180" s="10">
        <v>2.1666666666666701</v>
      </c>
      <c r="I180" s="10">
        <v>2.5</v>
      </c>
      <c r="J180" s="11">
        <v>0.16666666666666699</v>
      </c>
      <c r="K180" s="11">
        <v>0.91666666666666696</v>
      </c>
      <c r="L180" s="11">
        <v>0.75</v>
      </c>
      <c r="M180" s="11">
        <v>0.66666666666666696</v>
      </c>
      <c r="N180" s="11">
        <v>0.5</v>
      </c>
      <c r="O180" s="11">
        <v>0.66666666666666696</v>
      </c>
      <c r="P180" s="10">
        <v>2.3055555555555598</v>
      </c>
      <c r="Q180" s="10">
        <v>1.5184055965240499</v>
      </c>
      <c r="R180" s="8" t="s">
        <v>10653</v>
      </c>
      <c r="S180" s="10">
        <v>8</v>
      </c>
      <c r="T180" s="10">
        <v>18</v>
      </c>
      <c r="U180" s="10">
        <v>26</v>
      </c>
      <c r="V180" s="10">
        <v>2.1666666666666701</v>
      </c>
      <c r="W180" s="10">
        <v>4</v>
      </c>
      <c r="X180" s="10">
        <v>10</v>
      </c>
      <c r="Y180" s="10">
        <v>14</v>
      </c>
      <c r="Z180" s="10">
        <v>1.1666666666666701</v>
      </c>
      <c r="AA180" s="10">
        <v>1.3333333333333299</v>
      </c>
      <c r="AB180" s="10">
        <v>0.66666666666666696</v>
      </c>
      <c r="AC180" s="10">
        <v>3</v>
      </c>
      <c r="AD180" s="10">
        <v>1.6666666666666701</v>
      </c>
    </row>
    <row r="181" spans="1:30" x14ac:dyDescent="0.3">
      <c r="A181" s="7" t="s">
        <v>6110</v>
      </c>
      <c r="B181" s="12" t="s">
        <v>6105</v>
      </c>
      <c r="C181" s="10">
        <v>3</v>
      </c>
      <c r="D181" s="10">
        <v>2.5</v>
      </c>
      <c r="E181" s="9">
        <v>6</v>
      </c>
      <c r="F181" s="9">
        <v>6</v>
      </c>
      <c r="G181" s="9">
        <v>12</v>
      </c>
      <c r="H181" s="10">
        <v>2.0833333333333299</v>
      </c>
      <c r="I181" s="10">
        <v>2.5</v>
      </c>
      <c r="J181" s="11">
        <v>8.3333333333333301E-2</v>
      </c>
      <c r="K181" s="11">
        <v>0.91666666666666696</v>
      </c>
      <c r="L181" s="11">
        <v>0.83333333333333304</v>
      </c>
      <c r="M181" s="11">
        <v>0.58333333333333304</v>
      </c>
      <c r="N181" s="11">
        <v>0.41666666666666702</v>
      </c>
      <c r="O181" s="11">
        <v>0.66666666666666696</v>
      </c>
      <c r="P181" s="10">
        <v>1.24305555555555</v>
      </c>
      <c r="Q181" s="10">
        <v>1.11492401335497</v>
      </c>
      <c r="R181" s="8" t="s">
        <v>10653</v>
      </c>
      <c r="S181" s="10">
        <v>13</v>
      </c>
      <c r="T181" s="10">
        <v>12</v>
      </c>
      <c r="U181" s="10">
        <v>25</v>
      </c>
      <c r="V181" s="10">
        <v>2.0833333333333299</v>
      </c>
      <c r="W181" s="10">
        <v>5</v>
      </c>
      <c r="X181" s="10">
        <v>3</v>
      </c>
      <c r="Y181" s="10">
        <v>8</v>
      </c>
      <c r="Z181" s="10">
        <v>0.66666666666666696</v>
      </c>
      <c r="AA181" s="10">
        <v>2.1666666666666701</v>
      </c>
      <c r="AB181" s="10">
        <v>0.83333333333333304</v>
      </c>
      <c r="AC181" s="10">
        <v>2</v>
      </c>
      <c r="AD181" s="10">
        <v>0.5</v>
      </c>
    </row>
    <row r="182" spans="1:30" x14ac:dyDescent="0.3">
      <c r="A182" s="7" t="s">
        <v>78</v>
      </c>
      <c r="B182" s="12" t="s">
        <v>4290</v>
      </c>
      <c r="C182" s="10">
        <v>3.3333333333333299</v>
      </c>
      <c r="D182" s="10">
        <v>3.8333333333333299</v>
      </c>
      <c r="E182" s="9">
        <v>6</v>
      </c>
      <c r="F182" s="9">
        <v>6</v>
      </c>
      <c r="G182" s="9">
        <v>12</v>
      </c>
      <c r="H182" s="10">
        <v>1.9166666666666701</v>
      </c>
      <c r="I182" s="10">
        <v>2.5</v>
      </c>
      <c r="J182" s="11">
        <v>0.16666666666666699</v>
      </c>
      <c r="K182" s="11">
        <v>1</v>
      </c>
      <c r="L182" s="11">
        <v>0.83333333333333304</v>
      </c>
      <c r="M182" s="11">
        <v>0.66666666666666696</v>
      </c>
      <c r="N182" s="11">
        <v>0.5</v>
      </c>
      <c r="O182" s="11">
        <v>0.75</v>
      </c>
      <c r="P182" s="10">
        <v>2.5763888888888902</v>
      </c>
      <c r="Q182" s="10">
        <v>1.6051133570215199</v>
      </c>
      <c r="R182" s="8" t="s">
        <v>10653</v>
      </c>
      <c r="S182" s="10">
        <v>12</v>
      </c>
      <c r="T182" s="10">
        <v>11</v>
      </c>
      <c r="U182" s="10">
        <v>23</v>
      </c>
      <c r="V182" s="10">
        <v>1.9166666666666701</v>
      </c>
      <c r="W182" s="10">
        <v>8</v>
      </c>
      <c r="X182" s="10">
        <v>12</v>
      </c>
      <c r="Y182" s="10">
        <v>20</v>
      </c>
      <c r="Z182" s="10">
        <v>1.6666666666666701</v>
      </c>
      <c r="AA182" s="10">
        <v>2</v>
      </c>
      <c r="AB182" s="10">
        <v>1.3333333333333299</v>
      </c>
      <c r="AC182" s="10">
        <v>1.8333333333333299</v>
      </c>
      <c r="AD182" s="10">
        <v>2</v>
      </c>
    </row>
    <row r="183" spans="1:30" x14ac:dyDescent="0.3">
      <c r="A183" s="7" t="s">
        <v>6405</v>
      </c>
      <c r="B183" s="12" t="s">
        <v>960</v>
      </c>
      <c r="C183" s="10">
        <v>3.2</v>
      </c>
      <c r="D183" s="10">
        <v>2.28571428571429</v>
      </c>
      <c r="E183" s="9">
        <v>5</v>
      </c>
      <c r="F183" s="9">
        <v>7</v>
      </c>
      <c r="G183" s="9">
        <v>12</v>
      </c>
      <c r="H183" s="10">
        <v>1.3333333333333299</v>
      </c>
      <c r="I183" s="10">
        <v>2.5</v>
      </c>
      <c r="J183" s="11">
        <v>0.16666666666666699</v>
      </c>
      <c r="K183" s="11">
        <v>0.91666666666666696</v>
      </c>
      <c r="L183" s="11">
        <v>0.83333333333333304</v>
      </c>
      <c r="M183" s="11">
        <v>0.58333333333333304</v>
      </c>
      <c r="N183" s="11">
        <v>0.33333333333333298</v>
      </c>
      <c r="O183" s="11">
        <v>0.66666666666666696</v>
      </c>
      <c r="P183" s="10">
        <v>0.72222222222222199</v>
      </c>
      <c r="Q183" s="10">
        <v>0.84983658559879705</v>
      </c>
      <c r="R183" s="8" t="s">
        <v>10653</v>
      </c>
      <c r="S183" s="10">
        <v>10</v>
      </c>
      <c r="T183" s="10">
        <v>6</v>
      </c>
      <c r="U183" s="10">
        <v>16</v>
      </c>
      <c r="V183" s="10">
        <v>1.3333333333333299</v>
      </c>
      <c r="W183" s="10">
        <v>6</v>
      </c>
      <c r="X183" s="10">
        <v>10</v>
      </c>
      <c r="Y183" s="10">
        <v>16</v>
      </c>
      <c r="Z183" s="10">
        <v>1.3333333333333299</v>
      </c>
      <c r="AA183" s="10">
        <v>2</v>
      </c>
      <c r="AB183" s="10">
        <v>1.2</v>
      </c>
      <c r="AC183" s="10">
        <v>0.85714285714285698</v>
      </c>
      <c r="AD183" s="10">
        <v>1.4285714285714299</v>
      </c>
    </row>
    <row r="184" spans="1:30" x14ac:dyDescent="0.3">
      <c r="A184" s="7" t="s">
        <v>4810</v>
      </c>
      <c r="B184" s="12" t="s">
        <v>1000</v>
      </c>
      <c r="C184" s="10">
        <v>2.3333333333333299</v>
      </c>
      <c r="D184" s="10">
        <v>3.3333333333333299</v>
      </c>
      <c r="E184" s="9">
        <v>6</v>
      </c>
      <c r="F184" s="9">
        <v>6</v>
      </c>
      <c r="G184" s="9">
        <v>12</v>
      </c>
      <c r="H184" s="10">
        <v>1.3333333333333299</v>
      </c>
      <c r="I184" s="10">
        <v>2.5</v>
      </c>
      <c r="J184" s="11">
        <v>8.3333333333333301E-2</v>
      </c>
      <c r="K184" s="11">
        <v>1</v>
      </c>
      <c r="L184" s="11">
        <v>0.91666666666666696</v>
      </c>
      <c r="M184" s="11">
        <v>0.66666666666666696</v>
      </c>
      <c r="N184" s="11">
        <v>0.25</v>
      </c>
      <c r="O184" s="11">
        <v>0.83333333333333304</v>
      </c>
      <c r="P184" s="10">
        <v>0.55555555555555602</v>
      </c>
      <c r="Q184" s="10">
        <v>0.74535599249993001</v>
      </c>
      <c r="R184" s="8" t="s">
        <v>10653</v>
      </c>
      <c r="S184" s="10">
        <v>6</v>
      </c>
      <c r="T184" s="10">
        <v>10</v>
      </c>
      <c r="U184" s="10">
        <v>16</v>
      </c>
      <c r="V184" s="10">
        <v>1.3333333333333299</v>
      </c>
      <c r="W184" s="10">
        <v>8</v>
      </c>
      <c r="X184" s="10">
        <v>10</v>
      </c>
      <c r="Y184" s="10">
        <v>18</v>
      </c>
      <c r="Z184" s="10">
        <v>1.5</v>
      </c>
      <c r="AA184" s="10">
        <v>1</v>
      </c>
      <c r="AB184" s="10">
        <v>1.3333333333333299</v>
      </c>
      <c r="AC184" s="10">
        <v>1.6666666666666701</v>
      </c>
      <c r="AD184" s="10">
        <v>1.6666666666666701</v>
      </c>
    </row>
    <row r="185" spans="1:30" x14ac:dyDescent="0.3">
      <c r="A185" s="7" t="s">
        <v>4768</v>
      </c>
      <c r="B185" s="12" t="s">
        <v>1000</v>
      </c>
      <c r="C185" s="10">
        <v>2.5</v>
      </c>
      <c r="D185" s="10">
        <v>2.3333333333333299</v>
      </c>
      <c r="E185" s="9">
        <v>6</v>
      </c>
      <c r="F185" s="9">
        <v>6</v>
      </c>
      <c r="G185" s="9">
        <v>12</v>
      </c>
      <c r="H185" s="10">
        <v>1.1666666666666701</v>
      </c>
      <c r="I185" s="10">
        <v>2.5</v>
      </c>
      <c r="J185" s="11">
        <v>8.3333333333333301E-2</v>
      </c>
      <c r="K185" s="11">
        <v>1</v>
      </c>
      <c r="L185" s="11">
        <v>0.83333333333333304</v>
      </c>
      <c r="M185" s="11">
        <v>0.41666666666666702</v>
      </c>
      <c r="N185" s="11">
        <v>0.16666666666666699</v>
      </c>
      <c r="O185" s="11">
        <v>0.75</v>
      </c>
      <c r="P185" s="10">
        <v>0.30555555555555503</v>
      </c>
      <c r="Q185" s="10">
        <v>0.55277079839256604</v>
      </c>
      <c r="R185" s="8" t="s">
        <v>10653</v>
      </c>
      <c r="S185" s="10">
        <v>7</v>
      </c>
      <c r="T185" s="10">
        <v>7</v>
      </c>
      <c r="U185" s="10">
        <v>14</v>
      </c>
      <c r="V185" s="10">
        <v>1.1666666666666701</v>
      </c>
      <c r="W185" s="10">
        <v>8</v>
      </c>
      <c r="X185" s="10">
        <v>7</v>
      </c>
      <c r="Y185" s="10">
        <v>15</v>
      </c>
      <c r="Z185" s="10">
        <v>1.25</v>
      </c>
      <c r="AA185" s="10">
        <v>1.1666666666666701</v>
      </c>
      <c r="AB185" s="10">
        <v>1.3333333333333299</v>
      </c>
      <c r="AC185" s="10">
        <v>1.1666666666666701</v>
      </c>
      <c r="AD185" s="10">
        <v>1.1666666666666701</v>
      </c>
    </row>
    <row r="186" spans="1:30" x14ac:dyDescent="0.3">
      <c r="A186" s="7" t="s">
        <v>2671</v>
      </c>
      <c r="B186" s="12" t="s">
        <v>994</v>
      </c>
      <c r="C186" s="10">
        <v>3</v>
      </c>
      <c r="D186" s="10">
        <v>2.4285714285714302</v>
      </c>
      <c r="E186" s="9">
        <v>5</v>
      </c>
      <c r="F186" s="9">
        <v>7</v>
      </c>
      <c r="G186" s="9">
        <v>12</v>
      </c>
      <c r="H186" s="10">
        <v>1.75</v>
      </c>
      <c r="I186" s="10">
        <v>2.6</v>
      </c>
      <c r="J186" s="11">
        <v>0.25</v>
      </c>
      <c r="K186" s="11">
        <v>1</v>
      </c>
      <c r="L186" s="11">
        <v>0.75</v>
      </c>
      <c r="M186" s="11">
        <v>0.41666666666666702</v>
      </c>
      <c r="N186" s="11">
        <v>0.25</v>
      </c>
      <c r="O186" s="11">
        <v>0.41666666666666702</v>
      </c>
      <c r="P186" s="10">
        <v>2.3541666666666701</v>
      </c>
      <c r="Q186" s="10">
        <v>1.5343293866268299</v>
      </c>
      <c r="R186" s="8" t="s">
        <v>10653</v>
      </c>
      <c r="S186" s="10">
        <v>11</v>
      </c>
      <c r="T186" s="10">
        <v>10</v>
      </c>
      <c r="U186" s="10">
        <v>21</v>
      </c>
      <c r="V186" s="10">
        <v>1.75</v>
      </c>
      <c r="W186" s="10">
        <v>4</v>
      </c>
      <c r="X186" s="10">
        <v>7</v>
      </c>
      <c r="Y186" s="10">
        <v>11</v>
      </c>
      <c r="Z186" s="10">
        <v>0.91666666666666696</v>
      </c>
      <c r="AA186" s="10">
        <v>2.2000000000000002</v>
      </c>
      <c r="AB186" s="10">
        <v>0.8</v>
      </c>
      <c r="AC186" s="10">
        <v>1.4285714285714299</v>
      </c>
      <c r="AD186" s="10">
        <v>1</v>
      </c>
    </row>
    <row r="187" spans="1:30" x14ac:dyDescent="0.3">
      <c r="A187" s="7" t="s">
        <v>6118</v>
      </c>
      <c r="B187" s="12" t="s">
        <v>6105</v>
      </c>
      <c r="C187" s="10">
        <v>3</v>
      </c>
      <c r="D187" s="10">
        <v>2.8333333333333299</v>
      </c>
      <c r="E187" s="9">
        <v>6</v>
      </c>
      <c r="F187" s="9">
        <v>6</v>
      </c>
      <c r="G187" s="9">
        <v>12</v>
      </c>
      <c r="H187" s="10">
        <v>0.83333333333333304</v>
      </c>
      <c r="I187" s="10">
        <v>2.5</v>
      </c>
      <c r="J187" s="11">
        <v>0.33333333333333298</v>
      </c>
      <c r="K187" s="11">
        <v>1</v>
      </c>
      <c r="L187" s="11">
        <v>1</v>
      </c>
      <c r="M187" s="11">
        <v>0.41666666666666702</v>
      </c>
      <c r="N187" s="11">
        <v>0.33333333333333298</v>
      </c>
      <c r="O187" s="11">
        <v>0.58333333333333304</v>
      </c>
      <c r="P187" s="10">
        <v>0.47222222222222199</v>
      </c>
      <c r="Q187" s="10">
        <v>0.68718427093627699</v>
      </c>
      <c r="R187" s="8" t="s">
        <v>10653</v>
      </c>
      <c r="S187" s="10">
        <v>4</v>
      </c>
      <c r="T187" s="10">
        <v>6</v>
      </c>
      <c r="U187" s="10">
        <v>10</v>
      </c>
      <c r="V187" s="10">
        <v>0.83333333333333304</v>
      </c>
      <c r="W187" s="10">
        <v>14</v>
      </c>
      <c r="X187" s="10">
        <v>11</v>
      </c>
      <c r="Y187" s="10">
        <v>25</v>
      </c>
      <c r="Z187" s="10">
        <v>2.0833333333333299</v>
      </c>
      <c r="AA187" s="10">
        <v>0.66666666666666696</v>
      </c>
      <c r="AB187" s="10">
        <v>2.3333333333333299</v>
      </c>
      <c r="AC187" s="10">
        <v>1</v>
      </c>
      <c r="AD187" s="10">
        <v>1.8333333333333299</v>
      </c>
    </row>
    <row r="188" spans="1:30" x14ac:dyDescent="0.3">
      <c r="A188" s="7" t="s">
        <v>5603</v>
      </c>
      <c r="B188" s="12" t="s">
        <v>966</v>
      </c>
      <c r="C188" s="10">
        <v>2.1666666666666701</v>
      </c>
      <c r="D188" s="10">
        <v>2.8333333333333299</v>
      </c>
      <c r="E188" s="9">
        <v>6</v>
      </c>
      <c r="F188" s="9">
        <v>6</v>
      </c>
      <c r="G188" s="9">
        <v>12</v>
      </c>
      <c r="H188" s="10">
        <v>1.75</v>
      </c>
      <c r="I188" s="10">
        <v>2.5</v>
      </c>
      <c r="J188" s="11">
        <v>0.33333333333333298</v>
      </c>
      <c r="K188" s="11">
        <v>0.83333333333333304</v>
      </c>
      <c r="L188" s="11">
        <v>0.66666666666666696</v>
      </c>
      <c r="M188" s="11">
        <v>0.41666666666666702</v>
      </c>
      <c r="N188" s="11">
        <v>0.33333333333333298</v>
      </c>
      <c r="O188" s="11">
        <v>0.33333333333333298</v>
      </c>
      <c r="P188" s="10">
        <v>2.5208333333333299</v>
      </c>
      <c r="Q188" s="10">
        <v>1.58771324027147</v>
      </c>
      <c r="R188" s="8" t="s">
        <v>10653</v>
      </c>
      <c r="S188" s="10">
        <v>10</v>
      </c>
      <c r="T188" s="10">
        <v>11</v>
      </c>
      <c r="U188" s="10">
        <v>21</v>
      </c>
      <c r="V188" s="10">
        <v>1.75</v>
      </c>
      <c r="W188" s="10">
        <v>3</v>
      </c>
      <c r="X188" s="10">
        <v>6</v>
      </c>
      <c r="Y188" s="10">
        <v>9</v>
      </c>
      <c r="Z188" s="10">
        <v>0.75</v>
      </c>
      <c r="AA188" s="10">
        <v>1.6666666666666701</v>
      </c>
      <c r="AB188" s="10">
        <v>0.5</v>
      </c>
      <c r="AC188" s="10">
        <v>1.8333333333333299</v>
      </c>
      <c r="AD188" s="10">
        <v>1</v>
      </c>
    </row>
    <row r="189" spans="1:30" x14ac:dyDescent="0.3">
      <c r="A189" s="7" t="s">
        <v>5917</v>
      </c>
      <c r="B189" s="12" t="s">
        <v>1340</v>
      </c>
      <c r="C189" s="10">
        <v>4.3333333333333304</v>
      </c>
      <c r="D189" s="10">
        <v>2.5</v>
      </c>
      <c r="E189" s="9">
        <v>6</v>
      </c>
      <c r="F189" s="9">
        <v>6</v>
      </c>
      <c r="G189" s="9">
        <v>12</v>
      </c>
      <c r="H189" s="10">
        <v>2.3333333333333299</v>
      </c>
      <c r="I189" s="10">
        <v>2.5</v>
      </c>
      <c r="J189" s="11">
        <v>8.3333333333333301E-2</v>
      </c>
      <c r="K189" s="11">
        <v>1</v>
      </c>
      <c r="L189" s="11">
        <v>0.91666666666666696</v>
      </c>
      <c r="M189" s="11">
        <v>0.75</v>
      </c>
      <c r="N189" s="11">
        <v>0.41666666666666702</v>
      </c>
      <c r="O189" s="11">
        <v>0.75</v>
      </c>
      <c r="P189" s="10">
        <v>2.55555555555555</v>
      </c>
      <c r="Q189" s="10">
        <v>1.5986105077709101</v>
      </c>
      <c r="R189" s="8" t="s">
        <v>10653</v>
      </c>
      <c r="S189" s="10">
        <v>20</v>
      </c>
      <c r="T189" s="10">
        <v>8</v>
      </c>
      <c r="U189" s="10">
        <v>28</v>
      </c>
      <c r="V189" s="10">
        <v>2.3333333333333299</v>
      </c>
      <c r="W189" s="10">
        <v>6</v>
      </c>
      <c r="X189" s="10">
        <v>7</v>
      </c>
      <c r="Y189" s="10">
        <v>13</v>
      </c>
      <c r="Z189" s="10">
        <v>1.0833333333333299</v>
      </c>
      <c r="AA189" s="10">
        <v>3.3333333333333299</v>
      </c>
      <c r="AB189" s="10">
        <v>1</v>
      </c>
      <c r="AC189" s="10">
        <v>1.3333333333333299</v>
      </c>
      <c r="AD189" s="10">
        <v>1.1666666666666701</v>
      </c>
    </row>
    <row r="190" spans="1:30" x14ac:dyDescent="0.3">
      <c r="A190" s="7" t="s">
        <v>4754</v>
      </c>
      <c r="B190" s="12" t="s">
        <v>1000</v>
      </c>
      <c r="C190" s="10">
        <v>2.8571428571428599</v>
      </c>
      <c r="D190" s="10">
        <v>5.8</v>
      </c>
      <c r="E190" s="9">
        <v>7</v>
      </c>
      <c r="F190" s="9">
        <v>5</v>
      </c>
      <c r="G190" s="9">
        <v>12</v>
      </c>
      <c r="H190" s="10">
        <v>1.6666666666666701</v>
      </c>
      <c r="I190" s="10">
        <v>2.5</v>
      </c>
      <c r="J190" s="11">
        <v>0.25</v>
      </c>
      <c r="K190" s="11">
        <v>1</v>
      </c>
      <c r="L190" s="11">
        <v>0.91666666666666696</v>
      </c>
      <c r="M190" s="11">
        <v>0.75</v>
      </c>
      <c r="N190" s="11">
        <v>0.58333333333333304</v>
      </c>
      <c r="O190" s="11">
        <v>0.66666666666666696</v>
      </c>
      <c r="P190" s="10">
        <v>2.05555555555555</v>
      </c>
      <c r="Q190" s="10">
        <v>1.43372087784044</v>
      </c>
      <c r="R190" s="8" t="s">
        <v>10653</v>
      </c>
      <c r="S190" s="10">
        <v>11</v>
      </c>
      <c r="T190" s="10">
        <v>9</v>
      </c>
      <c r="U190" s="10">
        <v>20</v>
      </c>
      <c r="V190" s="10">
        <v>1.6666666666666701</v>
      </c>
      <c r="W190" s="10">
        <v>9</v>
      </c>
      <c r="X190" s="10">
        <v>20</v>
      </c>
      <c r="Y190" s="10">
        <v>29</v>
      </c>
      <c r="Z190" s="10">
        <v>2.4166666666666701</v>
      </c>
      <c r="AA190" s="10">
        <v>1.5714285714285701</v>
      </c>
      <c r="AB190" s="10">
        <v>1.28571428571429</v>
      </c>
      <c r="AC190" s="10">
        <v>1.8</v>
      </c>
      <c r="AD190" s="10">
        <v>4</v>
      </c>
    </row>
    <row r="191" spans="1:30" x14ac:dyDescent="0.3">
      <c r="A191" s="7" t="s">
        <v>5851</v>
      </c>
      <c r="B191" s="12" t="s">
        <v>1340</v>
      </c>
      <c r="C191" s="10">
        <v>3.3333333333333299</v>
      </c>
      <c r="D191" s="10">
        <v>3.8333333333333299</v>
      </c>
      <c r="E191" s="9">
        <v>6</v>
      </c>
      <c r="F191" s="9">
        <v>6</v>
      </c>
      <c r="G191" s="9">
        <v>12</v>
      </c>
      <c r="H191" s="10">
        <v>1.1666666666666701</v>
      </c>
      <c r="I191" s="10">
        <v>2.5</v>
      </c>
      <c r="J191" s="11">
        <v>0.16666666666666699</v>
      </c>
      <c r="K191" s="11">
        <v>1</v>
      </c>
      <c r="L191" s="11">
        <v>1</v>
      </c>
      <c r="M191" s="11">
        <v>0.83333333333333304</v>
      </c>
      <c r="N191" s="11">
        <v>0.5</v>
      </c>
      <c r="O191" s="11">
        <v>0.75</v>
      </c>
      <c r="P191" s="10">
        <v>0.47222222222222199</v>
      </c>
      <c r="Q191" s="10">
        <v>0.68718427093627699</v>
      </c>
      <c r="R191" s="8" t="s">
        <v>10653</v>
      </c>
      <c r="S191" s="10">
        <v>7</v>
      </c>
      <c r="T191" s="10">
        <v>7</v>
      </c>
      <c r="U191" s="10">
        <v>14</v>
      </c>
      <c r="V191" s="10">
        <v>1.1666666666666701</v>
      </c>
      <c r="W191" s="10">
        <v>13</v>
      </c>
      <c r="X191" s="10">
        <v>16</v>
      </c>
      <c r="Y191" s="10">
        <v>29</v>
      </c>
      <c r="Z191" s="10">
        <v>2.4166666666666701</v>
      </c>
      <c r="AA191" s="10">
        <v>1.1666666666666701</v>
      </c>
      <c r="AB191" s="10">
        <v>2.1666666666666701</v>
      </c>
      <c r="AC191" s="10">
        <v>1.1666666666666701</v>
      </c>
      <c r="AD191" s="10">
        <v>2.6666666666666701</v>
      </c>
    </row>
    <row r="192" spans="1:30" x14ac:dyDescent="0.3">
      <c r="A192" s="7" t="s">
        <v>6149</v>
      </c>
      <c r="B192" s="12" t="s">
        <v>6105</v>
      </c>
      <c r="C192" s="10">
        <v>1.8333333333333299</v>
      </c>
      <c r="D192" s="10">
        <v>2.3333333333333299</v>
      </c>
      <c r="E192" s="9">
        <v>6</v>
      </c>
      <c r="F192" s="9">
        <v>6</v>
      </c>
      <c r="G192" s="9">
        <v>12</v>
      </c>
      <c r="H192" s="10">
        <v>0.75</v>
      </c>
      <c r="I192" s="10">
        <v>2.5</v>
      </c>
      <c r="J192" s="11">
        <v>0.33333333333333298</v>
      </c>
      <c r="K192" s="11">
        <v>0.83333333333333304</v>
      </c>
      <c r="L192" s="11">
        <v>0.75</v>
      </c>
      <c r="M192" s="11">
        <v>0.41666666666666702</v>
      </c>
      <c r="N192" s="11">
        <v>8.3333333333333301E-2</v>
      </c>
      <c r="O192" s="11">
        <v>0.58333333333333304</v>
      </c>
      <c r="P192" s="10">
        <v>0.35416666666666702</v>
      </c>
      <c r="Q192" s="10">
        <v>0.59511903571190405</v>
      </c>
      <c r="R192" s="8" t="s">
        <v>10653</v>
      </c>
      <c r="S192" s="10">
        <v>5</v>
      </c>
      <c r="T192" s="10">
        <v>4</v>
      </c>
      <c r="U192" s="10">
        <v>9</v>
      </c>
      <c r="V192" s="10">
        <v>0.75</v>
      </c>
      <c r="W192" s="10">
        <v>6</v>
      </c>
      <c r="X192" s="10">
        <v>10</v>
      </c>
      <c r="Y192" s="10">
        <v>16</v>
      </c>
      <c r="Z192" s="10">
        <v>1.3333333333333299</v>
      </c>
      <c r="AA192" s="10">
        <v>0.83333333333333304</v>
      </c>
      <c r="AB192" s="10">
        <v>1</v>
      </c>
      <c r="AC192" s="10">
        <v>0.66666666666666696</v>
      </c>
      <c r="AD192" s="10">
        <v>1.6666666666666701</v>
      </c>
    </row>
    <row r="193" spans="1:30" x14ac:dyDescent="0.3">
      <c r="A193" s="7" t="s">
        <v>2676</v>
      </c>
      <c r="B193" s="12" t="s">
        <v>994</v>
      </c>
      <c r="C193" s="10">
        <v>2.6</v>
      </c>
      <c r="D193" s="10">
        <v>3.1428571428571401</v>
      </c>
      <c r="E193" s="9">
        <v>5</v>
      </c>
      <c r="F193" s="9">
        <v>7</v>
      </c>
      <c r="G193" s="9">
        <v>12</v>
      </c>
      <c r="H193" s="10">
        <v>0.33333333333333298</v>
      </c>
      <c r="I193" s="10">
        <v>2.6</v>
      </c>
      <c r="J193" s="11">
        <v>0.75</v>
      </c>
      <c r="K193" s="11">
        <v>1</v>
      </c>
      <c r="L193" s="11">
        <v>0.91666666666666696</v>
      </c>
      <c r="M193" s="11">
        <v>0.58333333333333304</v>
      </c>
      <c r="N193" s="11">
        <v>0.25</v>
      </c>
      <c r="O193" s="11">
        <v>0.25</v>
      </c>
      <c r="P193" s="10">
        <v>0.38888888888888901</v>
      </c>
      <c r="Q193" s="10">
        <v>0.62360956446232396</v>
      </c>
      <c r="R193" s="8" t="s">
        <v>10653</v>
      </c>
      <c r="S193" s="10">
        <v>1</v>
      </c>
      <c r="T193" s="10">
        <v>3</v>
      </c>
      <c r="U193" s="10">
        <v>4</v>
      </c>
      <c r="V193" s="10">
        <v>0.33333333333333298</v>
      </c>
      <c r="W193" s="10">
        <v>12</v>
      </c>
      <c r="X193" s="10">
        <v>19</v>
      </c>
      <c r="Y193" s="10">
        <v>31</v>
      </c>
      <c r="Z193" s="10">
        <v>2.5833333333333299</v>
      </c>
      <c r="AA193" s="10">
        <v>0.2</v>
      </c>
      <c r="AB193" s="10">
        <v>2.4</v>
      </c>
      <c r="AC193" s="10">
        <v>0.42857142857142899</v>
      </c>
      <c r="AD193" s="10">
        <v>2.71428571428571</v>
      </c>
    </row>
    <row r="194" spans="1:30" x14ac:dyDescent="0.3">
      <c r="A194" s="7" t="s">
        <v>5069</v>
      </c>
      <c r="B194" s="12" t="s">
        <v>954</v>
      </c>
      <c r="C194" s="10">
        <v>2.1428571428571401</v>
      </c>
      <c r="D194" s="10">
        <v>1.6</v>
      </c>
      <c r="E194" s="9">
        <v>7</v>
      </c>
      <c r="F194" s="9">
        <v>5</v>
      </c>
      <c r="G194" s="9">
        <v>12</v>
      </c>
      <c r="H194" s="10">
        <v>1.6666666666666701</v>
      </c>
      <c r="I194" s="10">
        <v>2.5</v>
      </c>
      <c r="J194" s="11">
        <v>0.16666666666666699</v>
      </c>
      <c r="K194" s="11">
        <v>0.91666666666666696</v>
      </c>
      <c r="L194" s="11">
        <v>0.75</v>
      </c>
      <c r="M194" s="11">
        <v>0.25</v>
      </c>
      <c r="N194" s="11">
        <v>0</v>
      </c>
      <c r="O194" s="11">
        <v>0.16666666666666699</v>
      </c>
      <c r="P194" s="10">
        <v>0.88888888888888795</v>
      </c>
      <c r="Q194" s="10">
        <v>0.94280904158206302</v>
      </c>
      <c r="R194" s="8" t="s">
        <v>10653</v>
      </c>
      <c r="S194" s="10">
        <v>13</v>
      </c>
      <c r="T194" s="10">
        <v>7</v>
      </c>
      <c r="U194" s="10">
        <v>20</v>
      </c>
      <c r="V194" s="10">
        <v>1.6666666666666701</v>
      </c>
      <c r="W194" s="10">
        <v>2</v>
      </c>
      <c r="X194" s="10">
        <v>1</v>
      </c>
      <c r="Y194" s="10">
        <v>3</v>
      </c>
      <c r="Z194" s="10">
        <v>0.25</v>
      </c>
      <c r="AA194" s="10">
        <v>1.8571428571428601</v>
      </c>
      <c r="AB194" s="10">
        <v>0.28571428571428598</v>
      </c>
      <c r="AC194" s="10">
        <v>1.4</v>
      </c>
      <c r="AD194" s="10">
        <v>0.2</v>
      </c>
    </row>
    <row r="195" spans="1:30" x14ac:dyDescent="0.3">
      <c r="A195" s="7" t="s">
        <v>6176</v>
      </c>
      <c r="B195" s="12" t="s">
        <v>6105</v>
      </c>
      <c r="C195" s="10">
        <v>3.3333333333333299</v>
      </c>
      <c r="D195" s="10">
        <v>2.8333333333333299</v>
      </c>
      <c r="E195" s="9">
        <v>6</v>
      </c>
      <c r="F195" s="9">
        <v>6</v>
      </c>
      <c r="G195" s="9">
        <v>12</v>
      </c>
      <c r="H195" s="10">
        <v>1.9166666666666701</v>
      </c>
      <c r="I195" s="10">
        <v>2.5</v>
      </c>
      <c r="J195" s="11">
        <v>0.25</v>
      </c>
      <c r="K195" s="11">
        <v>0.91666666666666696</v>
      </c>
      <c r="L195" s="11">
        <v>0.83333333333333304</v>
      </c>
      <c r="M195" s="11">
        <v>0.58333333333333304</v>
      </c>
      <c r="N195" s="11">
        <v>0.33333333333333298</v>
      </c>
      <c r="O195" s="11">
        <v>0.5</v>
      </c>
      <c r="P195" s="10">
        <v>2.9097222222222201</v>
      </c>
      <c r="Q195" s="10">
        <v>1.7057907908715599</v>
      </c>
      <c r="R195" s="8" t="s">
        <v>10653</v>
      </c>
      <c r="S195" s="10">
        <v>11</v>
      </c>
      <c r="T195" s="10">
        <v>12</v>
      </c>
      <c r="U195" s="10">
        <v>23</v>
      </c>
      <c r="V195" s="10">
        <v>1.9166666666666701</v>
      </c>
      <c r="W195" s="10">
        <v>9</v>
      </c>
      <c r="X195" s="10">
        <v>5</v>
      </c>
      <c r="Y195" s="10">
        <v>14</v>
      </c>
      <c r="Z195" s="10">
        <v>1.1666666666666701</v>
      </c>
      <c r="AA195" s="10">
        <v>1.8333333333333299</v>
      </c>
      <c r="AB195" s="10">
        <v>1.5</v>
      </c>
      <c r="AC195" s="10">
        <v>2</v>
      </c>
      <c r="AD195" s="10">
        <v>0.83333333333333304</v>
      </c>
    </row>
    <row r="196" spans="1:30" x14ac:dyDescent="0.3">
      <c r="A196" s="7" t="s">
        <v>5613</v>
      </c>
      <c r="B196" s="12" t="s">
        <v>966</v>
      </c>
      <c r="C196" s="10">
        <v>5</v>
      </c>
      <c r="D196" s="10">
        <v>3.2</v>
      </c>
      <c r="E196" s="9">
        <v>7</v>
      </c>
      <c r="F196" s="9">
        <v>5</v>
      </c>
      <c r="G196" s="9">
        <v>12</v>
      </c>
      <c r="H196" s="10">
        <v>2.0833333333333299</v>
      </c>
      <c r="I196" s="10">
        <v>2.5</v>
      </c>
      <c r="J196" s="11">
        <v>0.25</v>
      </c>
      <c r="K196" s="11">
        <v>1</v>
      </c>
      <c r="L196" s="11">
        <v>0.83333333333333304</v>
      </c>
      <c r="M196" s="11">
        <v>0.75</v>
      </c>
      <c r="N196" s="11">
        <v>0.66666666666666696</v>
      </c>
      <c r="O196" s="11">
        <v>0.66666666666666696</v>
      </c>
      <c r="P196" s="10">
        <v>3.4097222222222201</v>
      </c>
      <c r="Q196" s="10">
        <v>1.8465433171800301</v>
      </c>
      <c r="R196" s="8" t="s">
        <v>10653</v>
      </c>
      <c r="S196" s="10">
        <v>16</v>
      </c>
      <c r="T196" s="10">
        <v>9</v>
      </c>
      <c r="U196" s="10">
        <v>25</v>
      </c>
      <c r="V196" s="10">
        <v>2.0833333333333299</v>
      </c>
      <c r="W196" s="10">
        <v>19</v>
      </c>
      <c r="X196" s="10">
        <v>7</v>
      </c>
      <c r="Y196" s="10">
        <v>26</v>
      </c>
      <c r="Z196" s="10">
        <v>2.1666666666666701</v>
      </c>
      <c r="AA196" s="10">
        <v>2.28571428571429</v>
      </c>
      <c r="AB196" s="10">
        <v>2.71428571428571</v>
      </c>
      <c r="AC196" s="10">
        <v>1.8</v>
      </c>
      <c r="AD196" s="10">
        <v>1.4</v>
      </c>
    </row>
    <row r="197" spans="1:30" x14ac:dyDescent="0.3">
      <c r="A197" s="7" t="s">
        <v>5904</v>
      </c>
      <c r="B197" s="12" t="s">
        <v>1340</v>
      </c>
      <c r="C197" s="10">
        <v>3.3333333333333299</v>
      </c>
      <c r="D197" s="10">
        <v>2</v>
      </c>
      <c r="E197" s="9">
        <v>6</v>
      </c>
      <c r="F197" s="9">
        <v>6</v>
      </c>
      <c r="G197" s="9">
        <v>12</v>
      </c>
      <c r="H197" s="10">
        <v>1.6666666666666701</v>
      </c>
      <c r="I197" s="10">
        <v>2.5</v>
      </c>
      <c r="J197" s="11">
        <v>8.3333333333333301E-2</v>
      </c>
      <c r="K197" s="11">
        <v>1</v>
      </c>
      <c r="L197" s="11">
        <v>0.75</v>
      </c>
      <c r="M197" s="11">
        <v>0.5</v>
      </c>
      <c r="N197" s="11">
        <v>0.25</v>
      </c>
      <c r="O197" s="11">
        <v>0.66666666666666696</v>
      </c>
      <c r="P197" s="10">
        <v>1.8888888888888899</v>
      </c>
      <c r="Q197" s="10">
        <v>1.37436854187255</v>
      </c>
      <c r="R197" s="8" t="s">
        <v>10653</v>
      </c>
      <c r="S197" s="10">
        <v>15</v>
      </c>
      <c r="T197" s="10">
        <v>5</v>
      </c>
      <c r="U197" s="10">
        <v>20</v>
      </c>
      <c r="V197" s="10">
        <v>1.6666666666666701</v>
      </c>
      <c r="W197" s="10">
        <v>5</v>
      </c>
      <c r="X197" s="10">
        <v>7</v>
      </c>
      <c r="Y197" s="10">
        <v>12</v>
      </c>
      <c r="Z197" s="10">
        <v>1</v>
      </c>
      <c r="AA197" s="10">
        <v>2.5</v>
      </c>
      <c r="AB197" s="10">
        <v>0.83333333333333304</v>
      </c>
      <c r="AC197" s="10">
        <v>0.83333333333333304</v>
      </c>
      <c r="AD197" s="10">
        <v>1.1666666666666701</v>
      </c>
    </row>
    <row r="198" spans="1:30" x14ac:dyDescent="0.3">
      <c r="A198" s="7" t="s">
        <v>5026</v>
      </c>
      <c r="B198" s="12" t="s">
        <v>954</v>
      </c>
      <c r="C198" s="10">
        <v>2.1666666666666701</v>
      </c>
      <c r="D198" s="10">
        <v>3.5</v>
      </c>
      <c r="E198" s="9">
        <v>6</v>
      </c>
      <c r="F198" s="9">
        <v>6</v>
      </c>
      <c r="G198" s="9">
        <v>12</v>
      </c>
      <c r="H198" s="10">
        <v>0.91666666666666696</v>
      </c>
      <c r="I198" s="10">
        <v>2.5</v>
      </c>
      <c r="J198" s="11">
        <v>0.5</v>
      </c>
      <c r="K198" s="11">
        <v>0.91666666666666696</v>
      </c>
      <c r="L198" s="11">
        <v>0.66666666666666696</v>
      </c>
      <c r="M198" s="11">
        <v>0.58333333333333304</v>
      </c>
      <c r="N198" s="11">
        <v>0.41666666666666702</v>
      </c>
      <c r="O198" s="11">
        <v>0.5</v>
      </c>
      <c r="P198" s="10">
        <v>1.0763888888888899</v>
      </c>
      <c r="Q198" s="10">
        <v>1.03749163316573</v>
      </c>
      <c r="R198" s="8" t="s">
        <v>10653</v>
      </c>
      <c r="S198" s="10">
        <v>4</v>
      </c>
      <c r="T198" s="10">
        <v>7</v>
      </c>
      <c r="U198" s="10">
        <v>11</v>
      </c>
      <c r="V198" s="10">
        <v>0.91666666666666696</v>
      </c>
      <c r="W198" s="10">
        <v>9</v>
      </c>
      <c r="X198" s="10">
        <v>14</v>
      </c>
      <c r="Y198" s="10">
        <v>23</v>
      </c>
      <c r="Z198" s="10">
        <v>1.9166666666666701</v>
      </c>
      <c r="AA198" s="10">
        <v>0.66666666666666696</v>
      </c>
      <c r="AB198" s="10">
        <v>1.5</v>
      </c>
      <c r="AC198" s="10">
        <v>1.1666666666666701</v>
      </c>
      <c r="AD198" s="10">
        <v>2.3333333333333299</v>
      </c>
    </row>
    <row r="199" spans="1:30" x14ac:dyDescent="0.3">
      <c r="A199" s="7" t="s">
        <v>5006</v>
      </c>
      <c r="B199" s="12" t="s">
        <v>954</v>
      </c>
      <c r="C199" s="10">
        <v>4.1666666666666696</v>
      </c>
      <c r="D199" s="10">
        <v>3</v>
      </c>
      <c r="E199" s="9">
        <v>6</v>
      </c>
      <c r="F199" s="9">
        <v>6</v>
      </c>
      <c r="G199" s="9">
        <v>12</v>
      </c>
      <c r="H199" s="10">
        <v>1.5833333333333299</v>
      </c>
      <c r="I199" s="10">
        <v>2.5</v>
      </c>
      <c r="J199" s="11">
        <v>0.33333333333333298</v>
      </c>
      <c r="K199" s="11">
        <v>0.83333333333333304</v>
      </c>
      <c r="L199" s="11">
        <v>0.75</v>
      </c>
      <c r="M199" s="11">
        <v>0.75</v>
      </c>
      <c r="N199" s="11">
        <v>0.58333333333333304</v>
      </c>
      <c r="O199" s="11">
        <v>0.66666666666666696</v>
      </c>
      <c r="P199" s="10">
        <v>1.9097222222222201</v>
      </c>
      <c r="Q199" s="10">
        <v>1.38192699598142</v>
      </c>
      <c r="R199" s="8" t="s">
        <v>10653</v>
      </c>
      <c r="S199" s="10">
        <v>13</v>
      </c>
      <c r="T199" s="10">
        <v>6</v>
      </c>
      <c r="U199" s="10">
        <v>19</v>
      </c>
      <c r="V199" s="10">
        <v>1.5833333333333299</v>
      </c>
      <c r="W199" s="10">
        <v>12</v>
      </c>
      <c r="X199" s="10">
        <v>12</v>
      </c>
      <c r="Y199" s="10">
        <v>24</v>
      </c>
      <c r="Z199" s="10">
        <v>2</v>
      </c>
      <c r="AA199" s="10">
        <v>2.1666666666666701</v>
      </c>
      <c r="AB199" s="10">
        <v>2</v>
      </c>
      <c r="AC199" s="10">
        <v>1</v>
      </c>
      <c r="AD199" s="10">
        <v>2</v>
      </c>
    </row>
    <row r="200" spans="1:30" x14ac:dyDescent="0.3">
      <c r="A200" s="7" t="s">
        <v>6412</v>
      </c>
      <c r="B200" s="12" t="s">
        <v>960</v>
      </c>
      <c r="C200" s="10">
        <v>2.1666666666666701</v>
      </c>
      <c r="D200" s="10">
        <v>3.5</v>
      </c>
      <c r="E200" s="9">
        <v>6</v>
      </c>
      <c r="F200" s="9">
        <v>6</v>
      </c>
      <c r="G200" s="9">
        <v>12</v>
      </c>
      <c r="H200" s="10">
        <v>0.83333333333333304</v>
      </c>
      <c r="I200" s="10">
        <v>2.5</v>
      </c>
      <c r="J200" s="11">
        <v>0.33333333333333298</v>
      </c>
      <c r="K200" s="11">
        <v>0.91666666666666696</v>
      </c>
      <c r="L200" s="11">
        <v>0.75</v>
      </c>
      <c r="M200" s="11">
        <v>0.66666666666666696</v>
      </c>
      <c r="N200" s="11">
        <v>0.41666666666666702</v>
      </c>
      <c r="O200" s="11">
        <v>0.58333333333333304</v>
      </c>
      <c r="P200" s="10">
        <v>0.47222222222222199</v>
      </c>
      <c r="Q200" s="10">
        <v>0.68718427093627699</v>
      </c>
      <c r="R200" s="8" t="s">
        <v>10653</v>
      </c>
      <c r="S200" s="10">
        <v>4</v>
      </c>
      <c r="T200" s="10">
        <v>6</v>
      </c>
      <c r="U200" s="10">
        <v>10</v>
      </c>
      <c r="V200" s="10">
        <v>0.83333333333333304</v>
      </c>
      <c r="W200" s="10">
        <v>9</v>
      </c>
      <c r="X200" s="10">
        <v>15</v>
      </c>
      <c r="Y200" s="10">
        <v>24</v>
      </c>
      <c r="Z200" s="10">
        <v>2</v>
      </c>
      <c r="AA200" s="10">
        <v>0.66666666666666696</v>
      </c>
      <c r="AB200" s="10">
        <v>1.5</v>
      </c>
      <c r="AC200" s="10">
        <v>1</v>
      </c>
      <c r="AD200" s="10">
        <v>2.5</v>
      </c>
    </row>
    <row r="201" spans="1:30" x14ac:dyDescent="0.3">
      <c r="A201" s="7" t="s">
        <v>5022</v>
      </c>
      <c r="B201" s="12" t="s">
        <v>954</v>
      </c>
      <c r="C201" s="10">
        <v>2.5</v>
      </c>
      <c r="D201" s="10">
        <v>2.6666666666666701</v>
      </c>
      <c r="E201" s="9">
        <v>6</v>
      </c>
      <c r="F201" s="9">
        <v>6</v>
      </c>
      <c r="G201" s="9">
        <v>12</v>
      </c>
      <c r="H201" s="10">
        <v>1.4166666666666701</v>
      </c>
      <c r="I201" s="10">
        <v>2.5</v>
      </c>
      <c r="J201" s="11">
        <v>0.25</v>
      </c>
      <c r="K201" s="11">
        <v>0.75</v>
      </c>
      <c r="L201" s="11">
        <v>0.58333333333333304</v>
      </c>
      <c r="M201" s="11">
        <v>0.5</v>
      </c>
      <c r="N201" s="11">
        <v>0.33333333333333298</v>
      </c>
      <c r="O201" s="11">
        <v>0.5</v>
      </c>
      <c r="P201" s="10">
        <v>1.4097222222222201</v>
      </c>
      <c r="Q201" s="10">
        <v>1.1873172373979199</v>
      </c>
      <c r="R201" s="8" t="s">
        <v>10653</v>
      </c>
      <c r="S201" s="10">
        <v>8</v>
      </c>
      <c r="T201" s="10">
        <v>9</v>
      </c>
      <c r="U201" s="10">
        <v>17</v>
      </c>
      <c r="V201" s="10">
        <v>1.4166666666666701</v>
      </c>
      <c r="W201" s="10">
        <v>7</v>
      </c>
      <c r="X201" s="10">
        <v>7</v>
      </c>
      <c r="Y201" s="10">
        <v>14</v>
      </c>
      <c r="Z201" s="10">
        <v>1.1666666666666701</v>
      </c>
      <c r="AA201" s="10">
        <v>1.3333333333333299</v>
      </c>
      <c r="AB201" s="10">
        <v>1.1666666666666701</v>
      </c>
      <c r="AC201" s="10">
        <v>1.5</v>
      </c>
      <c r="AD201" s="10">
        <v>1.1666666666666701</v>
      </c>
    </row>
    <row r="202" spans="1:30" x14ac:dyDescent="0.3">
      <c r="A202" s="7" t="s">
        <v>996</v>
      </c>
      <c r="B202" s="12" t="s">
        <v>1000</v>
      </c>
      <c r="C202" s="10">
        <v>4.5</v>
      </c>
      <c r="D202" s="10">
        <v>3.5</v>
      </c>
      <c r="E202" s="9">
        <v>6</v>
      </c>
      <c r="F202" s="9">
        <v>6</v>
      </c>
      <c r="G202" s="9">
        <v>12</v>
      </c>
      <c r="H202" s="10">
        <v>2.6666666666666701</v>
      </c>
      <c r="I202" s="10">
        <v>2.5</v>
      </c>
      <c r="J202" s="11">
        <v>0</v>
      </c>
      <c r="K202" s="11">
        <v>1</v>
      </c>
      <c r="L202" s="11">
        <v>1</v>
      </c>
      <c r="M202" s="11">
        <v>0.83333333333333304</v>
      </c>
      <c r="N202" s="11">
        <v>0.58333333333333304</v>
      </c>
      <c r="O202" s="11">
        <v>0.75</v>
      </c>
      <c r="P202" s="10">
        <v>0.55555555555555602</v>
      </c>
      <c r="Q202" s="10">
        <v>0.74535599249993001</v>
      </c>
      <c r="R202" s="8" t="s">
        <v>10653</v>
      </c>
      <c r="S202" s="10">
        <v>17</v>
      </c>
      <c r="T202" s="10">
        <v>15</v>
      </c>
      <c r="U202" s="10">
        <v>32</v>
      </c>
      <c r="V202" s="10">
        <v>2.6666666666666701</v>
      </c>
      <c r="W202" s="10">
        <v>10</v>
      </c>
      <c r="X202" s="10">
        <v>6</v>
      </c>
      <c r="Y202" s="10">
        <v>16</v>
      </c>
      <c r="Z202" s="10">
        <v>1.3333333333333299</v>
      </c>
      <c r="AA202" s="10">
        <v>2.8333333333333299</v>
      </c>
      <c r="AB202" s="10">
        <v>1.6666666666666701</v>
      </c>
      <c r="AC202" s="10">
        <v>2.5</v>
      </c>
      <c r="AD202" s="10">
        <v>1</v>
      </c>
    </row>
    <row r="203" spans="1:30" x14ac:dyDescent="0.3">
      <c r="A203" s="7" t="s">
        <v>6658</v>
      </c>
      <c r="B203" s="12" t="s">
        <v>1338</v>
      </c>
      <c r="C203" s="10">
        <v>2.6666666666666701</v>
      </c>
      <c r="D203" s="10">
        <v>4.3333333333333304</v>
      </c>
      <c r="E203" s="9">
        <v>6</v>
      </c>
      <c r="F203" s="9">
        <v>6</v>
      </c>
      <c r="G203" s="9">
        <v>12</v>
      </c>
      <c r="H203" s="10">
        <v>1</v>
      </c>
      <c r="I203" s="10">
        <v>2.5</v>
      </c>
      <c r="J203" s="11">
        <v>0.33333333333333298</v>
      </c>
      <c r="K203" s="11">
        <v>1</v>
      </c>
      <c r="L203" s="11">
        <v>0.91666666666666696</v>
      </c>
      <c r="M203" s="11">
        <v>0.75</v>
      </c>
      <c r="N203" s="11">
        <v>0.25</v>
      </c>
      <c r="O203" s="11">
        <v>0.58333333333333304</v>
      </c>
      <c r="P203" s="10">
        <v>0.83333333333333304</v>
      </c>
      <c r="Q203" s="10">
        <v>0.91287092917527701</v>
      </c>
      <c r="R203" s="8" t="s">
        <v>10653</v>
      </c>
      <c r="S203" s="10">
        <v>4</v>
      </c>
      <c r="T203" s="10">
        <v>8</v>
      </c>
      <c r="U203" s="10">
        <v>12</v>
      </c>
      <c r="V203" s="10">
        <v>1</v>
      </c>
      <c r="W203" s="10">
        <v>12</v>
      </c>
      <c r="X203" s="10">
        <v>18</v>
      </c>
      <c r="Y203" s="10">
        <v>30</v>
      </c>
      <c r="Z203" s="10">
        <v>2.5</v>
      </c>
      <c r="AA203" s="10">
        <v>0.66666666666666696</v>
      </c>
      <c r="AB203" s="10">
        <v>2</v>
      </c>
      <c r="AC203" s="10">
        <v>1.3333333333333299</v>
      </c>
      <c r="AD203" s="10">
        <v>3</v>
      </c>
    </row>
    <row r="204" spans="1:30" x14ac:dyDescent="0.3">
      <c r="A204" s="7" t="s">
        <v>6141</v>
      </c>
      <c r="B204" s="12" t="s">
        <v>6105</v>
      </c>
      <c r="C204" s="10">
        <v>2.8571428571428599</v>
      </c>
      <c r="D204" s="10">
        <v>2.8</v>
      </c>
      <c r="E204" s="9">
        <v>7</v>
      </c>
      <c r="F204" s="9">
        <v>5</v>
      </c>
      <c r="G204" s="9">
        <v>12</v>
      </c>
      <c r="H204" s="10">
        <v>1.25</v>
      </c>
      <c r="I204" s="10">
        <v>2.5</v>
      </c>
      <c r="J204" s="11">
        <v>0.25</v>
      </c>
      <c r="K204" s="11">
        <v>1</v>
      </c>
      <c r="L204" s="11">
        <v>0.83333333333333304</v>
      </c>
      <c r="M204" s="11">
        <v>0.58333333333333304</v>
      </c>
      <c r="N204" s="11">
        <v>0.33333333333333298</v>
      </c>
      <c r="O204" s="11">
        <v>0.66666666666666696</v>
      </c>
      <c r="P204" s="10">
        <v>0.6875</v>
      </c>
      <c r="Q204" s="10">
        <v>0.82915619758884995</v>
      </c>
      <c r="R204" s="8" t="s">
        <v>10653</v>
      </c>
      <c r="S204" s="10">
        <v>10</v>
      </c>
      <c r="T204" s="10">
        <v>5</v>
      </c>
      <c r="U204" s="10">
        <v>15</v>
      </c>
      <c r="V204" s="10">
        <v>1.25</v>
      </c>
      <c r="W204" s="10">
        <v>10</v>
      </c>
      <c r="X204" s="10">
        <v>9</v>
      </c>
      <c r="Y204" s="10">
        <v>19</v>
      </c>
      <c r="Z204" s="10">
        <v>1.5833333333333299</v>
      </c>
      <c r="AA204" s="10">
        <v>1.4285714285714299</v>
      </c>
      <c r="AB204" s="10">
        <v>1.4285714285714299</v>
      </c>
      <c r="AC204" s="10">
        <v>1</v>
      </c>
      <c r="AD204" s="10">
        <v>1.8</v>
      </c>
    </row>
    <row r="205" spans="1:30" x14ac:dyDescent="0.3">
      <c r="A205" s="7" t="s">
        <v>6942</v>
      </c>
      <c r="B205" s="12" t="s">
        <v>987</v>
      </c>
      <c r="C205" s="10">
        <v>4.2</v>
      </c>
      <c r="D205" s="10">
        <v>3.8571428571428599</v>
      </c>
      <c r="E205" s="9">
        <v>5</v>
      </c>
      <c r="F205" s="9">
        <v>7</v>
      </c>
      <c r="G205" s="9">
        <v>12</v>
      </c>
      <c r="H205" s="10">
        <v>2</v>
      </c>
      <c r="I205" s="10">
        <v>2.5</v>
      </c>
      <c r="J205" s="11">
        <v>0.25</v>
      </c>
      <c r="K205" s="11">
        <v>0.91666666666666696</v>
      </c>
      <c r="L205" s="11">
        <v>0.83333333333333304</v>
      </c>
      <c r="M205" s="11">
        <v>0.83333333333333304</v>
      </c>
      <c r="N205" s="11">
        <v>0.58333333333333304</v>
      </c>
      <c r="O205" s="11">
        <v>0.75</v>
      </c>
      <c r="P205" s="10">
        <v>2.1666666666666701</v>
      </c>
      <c r="Q205" s="10">
        <v>1.47196014438797</v>
      </c>
      <c r="R205" s="8" t="s">
        <v>10653</v>
      </c>
      <c r="S205" s="10">
        <v>12</v>
      </c>
      <c r="T205" s="10">
        <v>12</v>
      </c>
      <c r="U205" s="10">
        <v>24</v>
      </c>
      <c r="V205" s="10">
        <v>2</v>
      </c>
      <c r="W205" s="10">
        <v>9</v>
      </c>
      <c r="X205" s="10">
        <v>15</v>
      </c>
      <c r="Y205" s="10">
        <v>24</v>
      </c>
      <c r="Z205" s="10">
        <v>2</v>
      </c>
      <c r="AA205" s="10">
        <v>2.4</v>
      </c>
      <c r="AB205" s="10">
        <v>1.8</v>
      </c>
      <c r="AC205" s="10">
        <v>1.71428571428571</v>
      </c>
      <c r="AD205" s="10">
        <v>2.1428571428571401</v>
      </c>
    </row>
    <row r="206" spans="1:30" x14ac:dyDescent="0.3">
      <c r="A206" s="7" t="s">
        <v>2672</v>
      </c>
      <c r="B206" s="12" t="s">
        <v>994</v>
      </c>
      <c r="C206" s="10">
        <v>2.71428571428571</v>
      </c>
      <c r="D206" s="10">
        <v>4</v>
      </c>
      <c r="E206" s="9">
        <v>7</v>
      </c>
      <c r="F206" s="9">
        <v>5</v>
      </c>
      <c r="G206" s="9">
        <v>12</v>
      </c>
      <c r="H206" s="10">
        <v>1.75</v>
      </c>
      <c r="I206" s="10">
        <v>2.6</v>
      </c>
      <c r="J206" s="11">
        <v>0.16666666666666699</v>
      </c>
      <c r="K206" s="11">
        <v>1</v>
      </c>
      <c r="L206" s="11">
        <v>0.75</v>
      </c>
      <c r="M206" s="11">
        <v>0.58333333333333304</v>
      </c>
      <c r="N206" s="11">
        <v>0.5</v>
      </c>
      <c r="O206" s="11">
        <v>0.41666666666666702</v>
      </c>
      <c r="P206" s="10">
        <v>1.8541666666666701</v>
      </c>
      <c r="Q206" s="10">
        <v>1.36167788653068</v>
      </c>
      <c r="R206" s="8" t="s">
        <v>10653</v>
      </c>
      <c r="S206" s="10">
        <v>14</v>
      </c>
      <c r="T206" s="10">
        <v>7</v>
      </c>
      <c r="U206" s="10">
        <v>21</v>
      </c>
      <c r="V206" s="10">
        <v>1.75</v>
      </c>
      <c r="W206" s="10">
        <v>5</v>
      </c>
      <c r="X206" s="10">
        <v>13</v>
      </c>
      <c r="Y206" s="10">
        <v>18</v>
      </c>
      <c r="Z206" s="10">
        <v>1.5</v>
      </c>
      <c r="AA206" s="10">
        <v>2</v>
      </c>
      <c r="AB206" s="10">
        <v>0.71428571428571397</v>
      </c>
      <c r="AC206" s="10">
        <v>1.4</v>
      </c>
      <c r="AD206" s="10">
        <v>2.6</v>
      </c>
    </row>
    <row r="207" spans="1:30" x14ac:dyDescent="0.3">
      <c r="A207" s="7" t="s">
        <v>433</v>
      </c>
      <c r="B207" s="12" t="s">
        <v>882</v>
      </c>
      <c r="C207" s="10">
        <v>5</v>
      </c>
      <c r="D207" s="10">
        <v>4.8</v>
      </c>
      <c r="E207" s="9">
        <v>7</v>
      </c>
      <c r="F207" s="9">
        <v>5</v>
      </c>
      <c r="G207" s="9">
        <v>12</v>
      </c>
      <c r="H207" s="10">
        <v>3.25</v>
      </c>
      <c r="I207" s="10">
        <v>3.56</v>
      </c>
      <c r="J207" s="11">
        <v>8.3333333333333301E-2</v>
      </c>
      <c r="K207" s="11">
        <v>0.91666666666666696</v>
      </c>
      <c r="L207" s="11">
        <v>0.91666666666666696</v>
      </c>
      <c r="M207" s="11">
        <v>0.83333333333333304</v>
      </c>
      <c r="N207" s="11">
        <v>0.75</v>
      </c>
      <c r="O207" s="11">
        <v>0.83333333333333304</v>
      </c>
      <c r="P207" s="10">
        <v>5.3541666666666696</v>
      </c>
      <c r="Q207" s="10">
        <v>2.3139072294858001</v>
      </c>
      <c r="R207" s="8" t="s">
        <v>1541</v>
      </c>
      <c r="S207" s="10">
        <v>25</v>
      </c>
      <c r="T207" s="10">
        <v>14</v>
      </c>
      <c r="U207" s="10">
        <v>39</v>
      </c>
      <c r="V207" s="10">
        <v>3.25</v>
      </c>
      <c r="W207" s="10">
        <v>10</v>
      </c>
      <c r="X207" s="10">
        <v>10</v>
      </c>
      <c r="Y207" s="10">
        <v>20</v>
      </c>
      <c r="Z207" s="10">
        <v>1.6666666666666701</v>
      </c>
      <c r="AA207" s="10">
        <v>3.5714285714285698</v>
      </c>
      <c r="AB207" s="10">
        <v>1.4285714285714299</v>
      </c>
      <c r="AC207" s="10">
        <v>2.8</v>
      </c>
      <c r="AD207" s="10">
        <v>2</v>
      </c>
    </row>
    <row r="208" spans="1:30" x14ac:dyDescent="0.3">
      <c r="A208" s="7" t="s">
        <v>146</v>
      </c>
      <c r="B208" s="12" t="s">
        <v>4055</v>
      </c>
      <c r="C208" s="10">
        <v>3.5</v>
      </c>
      <c r="D208" s="10">
        <v>4</v>
      </c>
      <c r="E208" s="9">
        <v>6</v>
      </c>
      <c r="F208" s="9">
        <v>6</v>
      </c>
      <c r="G208" s="9">
        <v>12</v>
      </c>
      <c r="H208" s="10">
        <v>3</v>
      </c>
      <c r="I208" s="10">
        <v>2.5</v>
      </c>
      <c r="J208" s="11">
        <v>0</v>
      </c>
      <c r="K208" s="11">
        <v>1</v>
      </c>
      <c r="L208" s="11">
        <v>0.83333333333333304</v>
      </c>
      <c r="M208" s="11">
        <v>0.75</v>
      </c>
      <c r="N208" s="11">
        <v>0.5</v>
      </c>
      <c r="O208" s="11">
        <v>0.41666666666666702</v>
      </c>
      <c r="P208" s="10">
        <v>1.8333333333333299</v>
      </c>
      <c r="Q208" s="10">
        <v>1.35400640077266</v>
      </c>
      <c r="R208" s="8" t="s">
        <v>10653</v>
      </c>
      <c r="S208" s="10">
        <v>17</v>
      </c>
      <c r="T208" s="10">
        <v>19</v>
      </c>
      <c r="U208" s="10">
        <v>36</v>
      </c>
      <c r="V208" s="10">
        <v>3</v>
      </c>
      <c r="W208" s="10">
        <v>4</v>
      </c>
      <c r="X208" s="10">
        <v>5</v>
      </c>
      <c r="Y208" s="10">
        <v>9</v>
      </c>
      <c r="Z208" s="10">
        <v>0.75</v>
      </c>
      <c r="AA208" s="10">
        <v>2.8333333333333299</v>
      </c>
      <c r="AB208" s="10">
        <v>0.66666666666666696</v>
      </c>
      <c r="AC208" s="10">
        <v>3.1666666666666701</v>
      </c>
      <c r="AD208" s="10">
        <v>0.83333333333333304</v>
      </c>
    </row>
    <row r="209" spans="1:30" x14ac:dyDescent="0.3">
      <c r="A209" s="7" t="s">
        <v>226</v>
      </c>
      <c r="B209" s="12" t="s">
        <v>1332</v>
      </c>
      <c r="C209" s="10">
        <v>2.5</v>
      </c>
      <c r="D209" s="10">
        <v>3.3333333333333299</v>
      </c>
      <c r="E209" s="9">
        <v>6</v>
      </c>
      <c r="F209" s="9">
        <v>6</v>
      </c>
      <c r="G209" s="9">
        <v>12</v>
      </c>
      <c r="H209" s="10">
        <v>1.5833333333333299</v>
      </c>
      <c r="I209" s="10">
        <v>3.62</v>
      </c>
      <c r="J209" s="11">
        <v>8.3333333333333301E-2</v>
      </c>
      <c r="K209" s="11">
        <v>0.91666666666666696</v>
      </c>
      <c r="L209" s="11">
        <v>0.91666666666666696</v>
      </c>
      <c r="M209" s="11">
        <v>0.83333333333333304</v>
      </c>
      <c r="N209" s="11">
        <v>0.25</v>
      </c>
      <c r="O209" s="11">
        <v>0.83333333333333304</v>
      </c>
      <c r="P209" s="10">
        <v>0.74305555555555602</v>
      </c>
      <c r="Q209" s="10">
        <v>0.862006702732384</v>
      </c>
      <c r="R209" s="8" t="s">
        <v>10653</v>
      </c>
      <c r="S209" s="10">
        <v>8</v>
      </c>
      <c r="T209" s="10">
        <v>11</v>
      </c>
      <c r="U209" s="10">
        <v>19</v>
      </c>
      <c r="V209" s="10">
        <v>1.5833333333333299</v>
      </c>
      <c r="W209" s="10">
        <v>7</v>
      </c>
      <c r="X209" s="10">
        <v>9</v>
      </c>
      <c r="Y209" s="10">
        <v>16</v>
      </c>
      <c r="Z209" s="10">
        <v>1.3333333333333299</v>
      </c>
      <c r="AA209" s="10">
        <v>1.3333333333333299</v>
      </c>
      <c r="AB209" s="10">
        <v>1.1666666666666701</v>
      </c>
      <c r="AC209" s="10">
        <v>1.8333333333333299</v>
      </c>
      <c r="AD209" s="10">
        <v>1.5</v>
      </c>
    </row>
    <row r="210" spans="1:30" x14ac:dyDescent="0.3">
      <c r="A210" s="7" t="s">
        <v>4618</v>
      </c>
      <c r="B210" s="12" t="s">
        <v>4657</v>
      </c>
      <c r="C210" s="10">
        <v>2.1666666666666701</v>
      </c>
      <c r="D210" s="10">
        <v>2</v>
      </c>
      <c r="E210" s="9">
        <v>6</v>
      </c>
      <c r="F210" s="9">
        <v>6</v>
      </c>
      <c r="G210" s="9">
        <v>12</v>
      </c>
      <c r="H210" s="10">
        <v>1.1666666666666701</v>
      </c>
      <c r="I210" s="10">
        <v>2.09</v>
      </c>
      <c r="J210" s="11">
        <v>0.16666666666666699</v>
      </c>
      <c r="K210" s="11">
        <v>0.91666666666666696</v>
      </c>
      <c r="L210" s="11">
        <v>0.58333333333333304</v>
      </c>
      <c r="M210" s="11">
        <v>0.41666666666666702</v>
      </c>
      <c r="N210" s="11">
        <v>0.16666666666666699</v>
      </c>
      <c r="O210" s="11">
        <v>0.41666666666666702</v>
      </c>
      <c r="P210" s="10">
        <v>0.47222222222222199</v>
      </c>
      <c r="Q210" s="10">
        <v>0.68718427093627699</v>
      </c>
      <c r="R210" s="8" t="s">
        <v>10653</v>
      </c>
      <c r="S210" s="10">
        <v>8</v>
      </c>
      <c r="T210" s="10">
        <v>6</v>
      </c>
      <c r="U210" s="10">
        <v>14</v>
      </c>
      <c r="V210" s="10">
        <v>1.1666666666666701</v>
      </c>
      <c r="W210" s="10">
        <v>5</v>
      </c>
      <c r="X210" s="10">
        <v>6</v>
      </c>
      <c r="Y210" s="10">
        <v>11</v>
      </c>
      <c r="Z210" s="10">
        <v>0.91666666666666696</v>
      </c>
      <c r="AA210" s="10">
        <v>1.3333333333333299</v>
      </c>
      <c r="AB210" s="10">
        <v>0.83333333333333304</v>
      </c>
      <c r="AC210" s="10">
        <v>1</v>
      </c>
      <c r="AD210" s="10">
        <v>1</v>
      </c>
    </row>
    <row r="211" spans="1:30" x14ac:dyDescent="0.3">
      <c r="A211" s="7" t="s">
        <v>3741</v>
      </c>
      <c r="B211" s="12" t="s">
        <v>3662</v>
      </c>
      <c r="C211" s="10">
        <v>4.8571428571428603</v>
      </c>
      <c r="D211" s="10">
        <v>4.4000000000000004</v>
      </c>
      <c r="E211" s="9">
        <v>7</v>
      </c>
      <c r="F211" s="9">
        <v>5</v>
      </c>
      <c r="G211" s="9">
        <v>12</v>
      </c>
      <c r="H211" s="10">
        <v>2.8333333333333299</v>
      </c>
      <c r="I211" s="10">
        <v>2.5</v>
      </c>
      <c r="J211" s="11">
        <v>0</v>
      </c>
      <c r="K211" s="11">
        <v>1</v>
      </c>
      <c r="L211" s="11">
        <v>0.91666666666666696</v>
      </c>
      <c r="M211" s="11">
        <v>0.66666666666666696</v>
      </c>
      <c r="N211" s="11">
        <v>0.66666666666666696</v>
      </c>
      <c r="O211" s="11">
        <v>0.75</v>
      </c>
      <c r="P211" s="10">
        <v>2.1388888888888902</v>
      </c>
      <c r="Q211" s="10">
        <v>1.4624940645653499</v>
      </c>
      <c r="R211" s="8" t="s">
        <v>10653</v>
      </c>
      <c r="S211" s="10">
        <v>19</v>
      </c>
      <c r="T211" s="10">
        <v>15</v>
      </c>
      <c r="U211" s="10">
        <v>34</v>
      </c>
      <c r="V211" s="10">
        <v>2.8333333333333299</v>
      </c>
      <c r="W211" s="10">
        <v>15</v>
      </c>
      <c r="X211" s="10">
        <v>7</v>
      </c>
      <c r="Y211" s="10">
        <v>22</v>
      </c>
      <c r="Z211" s="10">
        <v>1.8333333333333299</v>
      </c>
      <c r="AA211" s="10">
        <v>2.71428571428571</v>
      </c>
      <c r="AB211" s="10">
        <v>2.1428571428571401</v>
      </c>
      <c r="AC211" s="10">
        <v>3</v>
      </c>
      <c r="AD211" s="10">
        <v>1.4</v>
      </c>
    </row>
    <row r="212" spans="1:30" x14ac:dyDescent="0.3">
      <c r="A212" s="7" t="s">
        <v>2577</v>
      </c>
      <c r="B212" s="12" t="s">
        <v>2574</v>
      </c>
      <c r="C212" s="10">
        <v>5</v>
      </c>
      <c r="D212" s="10">
        <v>2.75</v>
      </c>
      <c r="E212" s="9">
        <v>4</v>
      </c>
      <c r="F212" s="9">
        <v>8</v>
      </c>
      <c r="G212" s="9">
        <v>12</v>
      </c>
      <c r="H212" s="10">
        <v>1.0833333333333299</v>
      </c>
      <c r="I212" s="10">
        <v>2.5</v>
      </c>
      <c r="J212" s="11">
        <v>0.16666666666666699</v>
      </c>
      <c r="K212" s="11">
        <v>1</v>
      </c>
      <c r="L212" s="11">
        <v>0.91666666666666696</v>
      </c>
      <c r="M212" s="11">
        <v>0.58333333333333304</v>
      </c>
      <c r="N212" s="11">
        <v>0.58333333333333304</v>
      </c>
      <c r="O212" s="11">
        <v>0.75</v>
      </c>
      <c r="P212" s="10">
        <v>0.90972222222222299</v>
      </c>
      <c r="Q212" s="10">
        <v>0.95379359518829998</v>
      </c>
      <c r="R212" s="8" t="s">
        <v>10653</v>
      </c>
      <c r="S212" s="10">
        <v>7</v>
      </c>
      <c r="T212" s="10">
        <v>6</v>
      </c>
      <c r="U212" s="10">
        <v>13</v>
      </c>
      <c r="V212" s="10">
        <v>1.0833333333333299</v>
      </c>
      <c r="W212" s="10">
        <v>13</v>
      </c>
      <c r="X212" s="10">
        <v>16</v>
      </c>
      <c r="Y212" s="10">
        <v>29</v>
      </c>
      <c r="Z212" s="10">
        <v>2.4166666666666701</v>
      </c>
      <c r="AA212" s="10">
        <v>1.75</v>
      </c>
      <c r="AB212" s="10">
        <v>3.25</v>
      </c>
      <c r="AC212" s="10">
        <v>0.75</v>
      </c>
      <c r="AD212" s="10">
        <v>2</v>
      </c>
    </row>
    <row r="213" spans="1:30" x14ac:dyDescent="0.3">
      <c r="A213" s="7" t="s">
        <v>2674</v>
      </c>
      <c r="B213" s="12" t="s">
        <v>994</v>
      </c>
      <c r="C213" s="10">
        <v>1.5</v>
      </c>
      <c r="D213" s="10">
        <v>2.625</v>
      </c>
      <c r="E213" s="9">
        <v>4</v>
      </c>
      <c r="F213" s="9">
        <v>8</v>
      </c>
      <c r="G213" s="9">
        <v>12</v>
      </c>
      <c r="H213" s="10">
        <v>1.3333333333333299</v>
      </c>
      <c r="I213" s="10">
        <v>2.6</v>
      </c>
      <c r="J213" s="11">
        <v>0.33333333333333298</v>
      </c>
      <c r="K213" s="11">
        <v>0.75</v>
      </c>
      <c r="L213" s="11">
        <v>0.66666666666666696</v>
      </c>
      <c r="M213" s="11">
        <v>0.41666666666666702</v>
      </c>
      <c r="N213" s="11">
        <v>0.25</v>
      </c>
      <c r="O213" s="11">
        <v>0.5</v>
      </c>
      <c r="P213" s="10">
        <v>1.3888888888888899</v>
      </c>
      <c r="Q213" s="10">
        <v>1.1785113019775799</v>
      </c>
      <c r="R213" s="8" t="s">
        <v>10653</v>
      </c>
      <c r="S213" s="10">
        <v>3</v>
      </c>
      <c r="T213" s="10">
        <v>13</v>
      </c>
      <c r="U213" s="10">
        <v>16</v>
      </c>
      <c r="V213" s="10">
        <v>1.3333333333333299</v>
      </c>
      <c r="W213" s="10">
        <v>3</v>
      </c>
      <c r="X213" s="10">
        <v>8</v>
      </c>
      <c r="Y213" s="10">
        <v>11</v>
      </c>
      <c r="Z213" s="10">
        <v>0.91666666666666696</v>
      </c>
      <c r="AA213" s="10">
        <v>0.75</v>
      </c>
      <c r="AB213" s="10">
        <v>0.75</v>
      </c>
      <c r="AC213" s="10">
        <v>1.625</v>
      </c>
      <c r="AD213" s="10">
        <v>1</v>
      </c>
    </row>
    <row r="214" spans="1:30" x14ac:dyDescent="0.3">
      <c r="A214" s="7" t="s">
        <v>746</v>
      </c>
      <c r="B214" s="12" t="s">
        <v>844</v>
      </c>
      <c r="C214" s="10">
        <v>2.4</v>
      </c>
      <c r="D214" s="10">
        <v>4.28571428571429</v>
      </c>
      <c r="E214" s="9">
        <v>5</v>
      </c>
      <c r="F214" s="9">
        <v>7</v>
      </c>
      <c r="G214" s="9">
        <v>12</v>
      </c>
      <c r="H214" s="10">
        <v>1.25</v>
      </c>
      <c r="I214" s="10">
        <v>3.57</v>
      </c>
      <c r="J214" s="11">
        <v>0.16666666666666699</v>
      </c>
      <c r="K214" s="11">
        <v>1</v>
      </c>
      <c r="L214" s="11">
        <v>0.83333333333333304</v>
      </c>
      <c r="M214" s="11">
        <v>0.5</v>
      </c>
      <c r="N214" s="11">
        <v>0.33333333333333298</v>
      </c>
      <c r="O214" s="11">
        <v>0.75</v>
      </c>
      <c r="P214" s="10">
        <v>0.6875</v>
      </c>
      <c r="Q214" s="10">
        <v>0.82915619758884995</v>
      </c>
      <c r="R214" s="8" t="s">
        <v>10653</v>
      </c>
      <c r="S214" s="10">
        <v>5</v>
      </c>
      <c r="T214" s="10">
        <v>10</v>
      </c>
      <c r="U214" s="10">
        <v>15</v>
      </c>
      <c r="V214" s="10">
        <v>1.25</v>
      </c>
      <c r="W214" s="10">
        <v>7</v>
      </c>
      <c r="X214" s="10">
        <v>20</v>
      </c>
      <c r="Y214" s="10">
        <v>27</v>
      </c>
      <c r="Z214" s="10">
        <v>2.25</v>
      </c>
      <c r="AA214" s="10">
        <v>1</v>
      </c>
      <c r="AB214" s="10">
        <v>1.4</v>
      </c>
      <c r="AC214" s="10">
        <v>1.4285714285714299</v>
      </c>
      <c r="AD214" s="10">
        <v>2.8571428571428599</v>
      </c>
    </row>
    <row r="215" spans="1:30" x14ac:dyDescent="0.3">
      <c r="A215" s="7" t="s">
        <v>143</v>
      </c>
      <c r="B215" s="12" t="s">
        <v>1333</v>
      </c>
      <c r="C215" s="10">
        <v>2.5</v>
      </c>
      <c r="D215" s="10">
        <v>2.8333333333333299</v>
      </c>
      <c r="E215" s="9">
        <v>6</v>
      </c>
      <c r="F215" s="9">
        <v>6</v>
      </c>
      <c r="G215" s="9">
        <v>12</v>
      </c>
      <c r="H215" s="10">
        <v>1.25</v>
      </c>
      <c r="I215" s="10">
        <v>2.59</v>
      </c>
      <c r="J215" s="11">
        <v>0.25</v>
      </c>
      <c r="K215" s="11">
        <v>0.91666666666666696</v>
      </c>
      <c r="L215" s="11">
        <v>0.83333333333333304</v>
      </c>
      <c r="M215" s="11">
        <v>0.5</v>
      </c>
      <c r="N215" s="11">
        <v>0.33333333333333298</v>
      </c>
      <c r="O215" s="11">
        <v>0.58333333333333304</v>
      </c>
      <c r="P215" s="10">
        <v>1.1875</v>
      </c>
      <c r="Q215" s="10">
        <v>1.08972473588517</v>
      </c>
      <c r="R215" s="8" t="s">
        <v>10653</v>
      </c>
      <c r="S215" s="10">
        <v>9</v>
      </c>
      <c r="T215" s="10">
        <v>6</v>
      </c>
      <c r="U215" s="10">
        <v>15</v>
      </c>
      <c r="V215" s="10">
        <v>1.25</v>
      </c>
      <c r="W215" s="10">
        <v>6</v>
      </c>
      <c r="X215" s="10">
        <v>11</v>
      </c>
      <c r="Y215" s="10">
        <v>17</v>
      </c>
      <c r="Z215" s="10">
        <v>1.4166666666666701</v>
      </c>
      <c r="AA215" s="10">
        <v>1.5</v>
      </c>
      <c r="AB215" s="10">
        <v>1</v>
      </c>
      <c r="AC215" s="10">
        <v>1</v>
      </c>
      <c r="AD215" s="10">
        <v>1.8333333333333299</v>
      </c>
    </row>
    <row r="216" spans="1:30" x14ac:dyDescent="0.3">
      <c r="A216" s="7" t="s">
        <v>685</v>
      </c>
      <c r="B216" s="12" t="s">
        <v>4291</v>
      </c>
      <c r="C216" s="10">
        <v>3.1428571428571401</v>
      </c>
      <c r="D216" s="10">
        <v>4</v>
      </c>
      <c r="E216" s="9">
        <v>7</v>
      </c>
      <c r="F216" s="9">
        <v>5</v>
      </c>
      <c r="G216" s="9">
        <v>12</v>
      </c>
      <c r="H216" s="10">
        <v>1.3333333333333299</v>
      </c>
      <c r="I216" s="10">
        <v>3.55</v>
      </c>
      <c r="J216" s="11">
        <v>0.25</v>
      </c>
      <c r="K216" s="11">
        <v>0.91666666666666696</v>
      </c>
      <c r="L216" s="11">
        <v>0.75</v>
      </c>
      <c r="M216" s="11">
        <v>0.58333333333333304</v>
      </c>
      <c r="N216" s="11">
        <v>0.41666666666666702</v>
      </c>
      <c r="O216" s="11">
        <v>0.66666666666666696</v>
      </c>
      <c r="P216" s="10">
        <v>1.3888888888888899</v>
      </c>
      <c r="Q216" s="10">
        <v>1.1785113019775799</v>
      </c>
      <c r="R216" s="8" t="s">
        <v>10653</v>
      </c>
      <c r="S216" s="10">
        <v>12</v>
      </c>
      <c r="T216" s="10">
        <v>4</v>
      </c>
      <c r="U216" s="10">
        <v>16</v>
      </c>
      <c r="V216" s="10">
        <v>1.3333333333333299</v>
      </c>
      <c r="W216" s="10">
        <v>10</v>
      </c>
      <c r="X216" s="10">
        <v>16</v>
      </c>
      <c r="Y216" s="10">
        <v>26</v>
      </c>
      <c r="Z216" s="10">
        <v>2.1666666666666701</v>
      </c>
      <c r="AA216" s="10">
        <v>1.71428571428571</v>
      </c>
      <c r="AB216" s="10">
        <v>1.4285714285714299</v>
      </c>
      <c r="AC216" s="10">
        <v>0.8</v>
      </c>
      <c r="AD216" s="10">
        <v>3.2</v>
      </c>
    </row>
    <row r="217" spans="1:30" x14ac:dyDescent="0.3">
      <c r="A217" s="7" t="s">
        <v>4578</v>
      </c>
      <c r="B217" s="12" t="s">
        <v>4657</v>
      </c>
      <c r="C217" s="10">
        <v>1.5</v>
      </c>
      <c r="D217" s="10">
        <v>2.1666666666666701</v>
      </c>
      <c r="E217" s="9">
        <v>6</v>
      </c>
      <c r="F217" s="9">
        <v>6</v>
      </c>
      <c r="G217" s="9">
        <v>12</v>
      </c>
      <c r="H217" s="10">
        <v>0.83333333333333304</v>
      </c>
      <c r="I217" s="10">
        <v>2.09</v>
      </c>
      <c r="J217" s="11">
        <v>0.41666666666666702</v>
      </c>
      <c r="K217" s="11">
        <v>0.83333333333333304</v>
      </c>
      <c r="L217" s="11">
        <v>0.5</v>
      </c>
      <c r="M217" s="11">
        <v>0.16666666666666699</v>
      </c>
      <c r="N217" s="11">
        <v>0.16666666666666699</v>
      </c>
      <c r="O217" s="11">
        <v>0.25</v>
      </c>
      <c r="P217" s="10">
        <v>0.63888888888888895</v>
      </c>
      <c r="Q217" s="10">
        <v>0.79930525388545304</v>
      </c>
      <c r="R217" s="8" t="s">
        <v>10653</v>
      </c>
      <c r="S217" s="10">
        <v>4</v>
      </c>
      <c r="T217" s="10">
        <v>6</v>
      </c>
      <c r="U217" s="10">
        <v>10</v>
      </c>
      <c r="V217" s="10">
        <v>0.83333333333333304</v>
      </c>
      <c r="W217" s="10">
        <v>5</v>
      </c>
      <c r="X217" s="10">
        <v>7</v>
      </c>
      <c r="Y217" s="10">
        <v>12</v>
      </c>
      <c r="Z217" s="10">
        <v>1</v>
      </c>
      <c r="AA217" s="10">
        <v>0.66666666666666696</v>
      </c>
      <c r="AB217" s="10">
        <v>0.83333333333333304</v>
      </c>
      <c r="AC217" s="10">
        <v>1</v>
      </c>
      <c r="AD217" s="10">
        <v>1.1666666666666701</v>
      </c>
    </row>
    <row r="218" spans="1:30" x14ac:dyDescent="0.3">
      <c r="A218" s="7" t="s">
        <v>4599</v>
      </c>
      <c r="B218" s="12" t="s">
        <v>4657</v>
      </c>
      <c r="C218" s="10">
        <v>1.8333333333333299</v>
      </c>
      <c r="D218" s="10">
        <v>2.5</v>
      </c>
      <c r="E218" s="9">
        <v>6</v>
      </c>
      <c r="F218" s="9">
        <v>6</v>
      </c>
      <c r="G218" s="9">
        <v>12</v>
      </c>
      <c r="H218" s="10">
        <v>1.0833333333333299</v>
      </c>
      <c r="I218" s="10">
        <v>2.09</v>
      </c>
      <c r="J218" s="11">
        <v>0.41666666666666702</v>
      </c>
      <c r="K218" s="11">
        <v>0.83333333333333304</v>
      </c>
      <c r="L218" s="11">
        <v>0.58333333333333304</v>
      </c>
      <c r="M218" s="11">
        <v>0.41666666666666702</v>
      </c>
      <c r="N218" s="11">
        <v>0.33333333333333298</v>
      </c>
      <c r="O218" s="11">
        <v>0.41666666666666702</v>
      </c>
      <c r="P218" s="10">
        <v>1.24305555555556</v>
      </c>
      <c r="Q218" s="10">
        <v>1.11492401335497</v>
      </c>
      <c r="R218" s="8" t="s">
        <v>10653</v>
      </c>
      <c r="S218" s="10">
        <v>7</v>
      </c>
      <c r="T218" s="10">
        <v>6</v>
      </c>
      <c r="U218" s="10">
        <v>13</v>
      </c>
      <c r="V218" s="10">
        <v>1.0833333333333299</v>
      </c>
      <c r="W218" s="10">
        <v>4</v>
      </c>
      <c r="X218" s="10">
        <v>9</v>
      </c>
      <c r="Y218" s="10">
        <v>13</v>
      </c>
      <c r="Z218" s="10">
        <v>1.0833333333333299</v>
      </c>
      <c r="AA218" s="10">
        <v>1.1666666666666701</v>
      </c>
      <c r="AB218" s="10">
        <v>0.66666666666666696</v>
      </c>
      <c r="AC218" s="10">
        <v>1</v>
      </c>
      <c r="AD218" s="10">
        <v>1.5</v>
      </c>
    </row>
    <row r="219" spans="1:30" x14ac:dyDescent="0.3">
      <c r="A219" s="7" t="s">
        <v>320</v>
      </c>
      <c r="B219" s="12" t="s">
        <v>1335</v>
      </c>
      <c r="C219" s="10">
        <v>2</v>
      </c>
      <c r="D219" s="10">
        <v>2.8333333333333299</v>
      </c>
      <c r="E219" s="9">
        <v>6</v>
      </c>
      <c r="F219" s="9">
        <v>6</v>
      </c>
      <c r="G219" s="9">
        <v>12</v>
      </c>
      <c r="H219" s="10">
        <v>0.83333333333333304</v>
      </c>
      <c r="I219" s="10">
        <v>2.5099999999999998</v>
      </c>
      <c r="J219" s="11">
        <v>0.33333333333333298</v>
      </c>
      <c r="K219" s="11">
        <v>1</v>
      </c>
      <c r="L219" s="11">
        <v>0.58333333333333304</v>
      </c>
      <c r="M219" s="11">
        <v>0.41666666666666702</v>
      </c>
      <c r="N219" s="11">
        <v>0.25</v>
      </c>
      <c r="O219" s="11">
        <v>0.33333333333333298</v>
      </c>
      <c r="P219" s="10">
        <v>0.47222222222222199</v>
      </c>
      <c r="Q219" s="10">
        <v>0.68718427093627699</v>
      </c>
      <c r="R219" s="8" t="s">
        <v>10653</v>
      </c>
      <c r="S219" s="10">
        <v>4</v>
      </c>
      <c r="T219" s="10">
        <v>6</v>
      </c>
      <c r="U219" s="10">
        <v>10</v>
      </c>
      <c r="V219" s="10">
        <v>0.83333333333333304</v>
      </c>
      <c r="W219" s="10">
        <v>8</v>
      </c>
      <c r="X219" s="10">
        <v>11</v>
      </c>
      <c r="Y219" s="10">
        <v>19</v>
      </c>
      <c r="Z219" s="10">
        <v>1.5833333333333299</v>
      </c>
      <c r="AA219" s="10">
        <v>0.66666666666666696</v>
      </c>
      <c r="AB219" s="10">
        <v>1.3333333333333299</v>
      </c>
      <c r="AC219" s="10">
        <v>1</v>
      </c>
      <c r="AD219" s="10">
        <v>1.8333333333333299</v>
      </c>
    </row>
    <row r="220" spans="1:30" x14ac:dyDescent="0.3">
      <c r="A220" s="7" t="s">
        <v>2946</v>
      </c>
      <c r="B220" s="12" t="s">
        <v>845</v>
      </c>
      <c r="C220" s="10">
        <v>3.1666666666666701</v>
      </c>
      <c r="D220" s="10">
        <v>5.6666666666666696</v>
      </c>
      <c r="E220" s="9">
        <v>6</v>
      </c>
      <c r="F220" s="9">
        <v>6</v>
      </c>
      <c r="G220" s="9">
        <v>12</v>
      </c>
      <c r="H220" s="10">
        <v>1.3333333333333299</v>
      </c>
      <c r="I220" s="10">
        <v>4.32</v>
      </c>
      <c r="J220" s="11">
        <v>0.16666666666666699</v>
      </c>
      <c r="K220" s="11">
        <v>1</v>
      </c>
      <c r="L220" s="11">
        <v>1</v>
      </c>
      <c r="M220" s="11">
        <v>0.75</v>
      </c>
      <c r="N220" s="11">
        <v>0.58333333333333304</v>
      </c>
      <c r="O220" s="11">
        <v>0.66666666666666696</v>
      </c>
      <c r="P220" s="10">
        <v>0.55555555555555602</v>
      </c>
      <c r="Q220" s="10">
        <v>0.74535599249993001</v>
      </c>
      <c r="R220" s="8" t="s">
        <v>10653</v>
      </c>
      <c r="S220" s="10">
        <v>10</v>
      </c>
      <c r="T220" s="10">
        <v>6</v>
      </c>
      <c r="U220" s="10">
        <v>16</v>
      </c>
      <c r="V220" s="10">
        <v>1.3333333333333299</v>
      </c>
      <c r="W220" s="10">
        <v>9</v>
      </c>
      <c r="X220" s="10">
        <v>28</v>
      </c>
      <c r="Y220" s="10">
        <v>37</v>
      </c>
      <c r="Z220" s="10">
        <v>3.0833333333333299</v>
      </c>
      <c r="AA220" s="10">
        <v>1.6666666666666701</v>
      </c>
      <c r="AB220" s="10">
        <v>1.5</v>
      </c>
      <c r="AC220" s="10">
        <v>1</v>
      </c>
      <c r="AD220" s="10">
        <v>4.6666666666666696</v>
      </c>
    </row>
    <row r="221" spans="1:30" x14ac:dyDescent="0.3">
      <c r="A221" s="7" t="s">
        <v>766</v>
      </c>
      <c r="B221" s="12" t="s">
        <v>844</v>
      </c>
      <c r="C221" s="10">
        <v>2.5714285714285698</v>
      </c>
      <c r="D221" s="10">
        <v>3.2</v>
      </c>
      <c r="E221" s="9">
        <v>7</v>
      </c>
      <c r="F221" s="9">
        <v>5</v>
      </c>
      <c r="G221" s="9">
        <v>12</v>
      </c>
      <c r="H221" s="10">
        <v>1.5833333333333299</v>
      </c>
      <c r="I221" s="10">
        <v>3.57</v>
      </c>
      <c r="J221" s="11">
        <v>0.16666666666666699</v>
      </c>
      <c r="K221" s="11">
        <v>1</v>
      </c>
      <c r="L221" s="11">
        <v>0.83333333333333304</v>
      </c>
      <c r="M221" s="11">
        <v>0.66666666666666696</v>
      </c>
      <c r="N221" s="11">
        <v>0.33333333333333298</v>
      </c>
      <c r="O221" s="11">
        <v>0.75</v>
      </c>
      <c r="P221" s="10">
        <v>1.24305555555556</v>
      </c>
      <c r="Q221" s="10">
        <v>1.11492401335497</v>
      </c>
      <c r="R221" s="8" t="s">
        <v>10653</v>
      </c>
      <c r="S221" s="10">
        <v>10</v>
      </c>
      <c r="T221" s="10">
        <v>9</v>
      </c>
      <c r="U221" s="10">
        <v>19</v>
      </c>
      <c r="V221" s="10">
        <v>1.5833333333333299</v>
      </c>
      <c r="W221" s="10">
        <v>8</v>
      </c>
      <c r="X221" s="10">
        <v>7</v>
      </c>
      <c r="Y221" s="10">
        <v>15</v>
      </c>
      <c r="Z221" s="10">
        <v>1.25</v>
      </c>
      <c r="AA221" s="10">
        <v>1.4285714285714299</v>
      </c>
      <c r="AB221" s="10">
        <v>1.1428571428571399</v>
      </c>
      <c r="AC221" s="10">
        <v>1.8</v>
      </c>
      <c r="AD221" s="10">
        <v>1.4</v>
      </c>
    </row>
    <row r="222" spans="1:30" x14ac:dyDescent="0.3">
      <c r="A222" s="7" t="s">
        <v>565</v>
      </c>
      <c r="B222" s="12" t="s">
        <v>845</v>
      </c>
      <c r="C222" s="10">
        <v>3.6</v>
      </c>
      <c r="D222" s="10">
        <v>3.5714285714285698</v>
      </c>
      <c r="E222" s="9">
        <v>5</v>
      </c>
      <c r="F222" s="9">
        <v>7</v>
      </c>
      <c r="G222" s="9">
        <v>12</v>
      </c>
      <c r="H222" s="10">
        <v>2.0833333333333299</v>
      </c>
      <c r="I222" s="10">
        <v>4.32</v>
      </c>
      <c r="J222" s="11">
        <v>8.3333333333333301E-2</v>
      </c>
      <c r="K222" s="11">
        <v>1</v>
      </c>
      <c r="L222" s="11">
        <v>0.91666666666666696</v>
      </c>
      <c r="M222" s="11">
        <v>0.66666666666666696</v>
      </c>
      <c r="N222" s="11">
        <v>0.41666666666666702</v>
      </c>
      <c r="O222" s="11">
        <v>0.58333333333333304</v>
      </c>
      <c r="P222" s="10">
        <v>1.5763888888888899</v>
      </c>
      <c r="Q222" s="10">
        <v>1.25554326444328</v>
      </c>
      <c r="R222" s="8" t="s">
        <v>10653</v>
      </c>
      <c r="S222" s="10">
        <v>14</v>
      </c>
      <c r="T222" s="10">
        <v>11</v>
      </c>
      <c r="U222" s="10">
        <v>25</v>
      </c>
      <c r="V222" s="10">
        <v>2.0833333333333299</v>
      </c>
      <c r="W222" s="10">
        <v>4</v>
      </c>
      <c r="X222" s="10">
        <v>14</v>
      </c>
      <c r="Y222" s="10">
        <v>18</v>
      </c>
      <c r="Z222" s="10">
        <v>1.5</v>
      </c>
      <c r="AA222" s="10">
        <v>2.8</v>
      </c>
      <c r="AB222" s="10">
        <v>0.8</v>
      </c>
      <c r="AC222" s="10">
        <v>1.5714285714285701</v>
      </c>
      <c r="AD222" s="10">
        <v>2</v>
      </c>
    </row>
    <row r="223" spans="1:30" x14ac:dyDescent="0.3">
      <c r="A223" s="7" t="s">
        <v>7620</v>
      </c>
      <c r="B223" s="12" t="s">
        <v>7895</v>
      </c>
      <c r="C223" s="10">
        <v>3.5</v>
      </c>
      <c r="D223" s="10">
        <v>4.8333333333333304</v>
      </c>
      <c r="E223" s="9">
        <v>6</v>
      </c>
      <c r="F223" s="9">
        <v>6</v>
      </c>
      <c r="G223" s="9">
        <v>12</v>
      </c>
      <c r="H223" s="10">
        <v>1.6666666666666701</v>
      </c>
      <c r="I223" s="10">
        <v>2.5</v>
      </c>
      <c r="J223" s="11">
        <v>0.16666666666666699</v>
      </c>
      <c r="K223" s="11">
        <v>1</v>
      </c>
      <c r="L223" s="11">
        <v>0.91666666666666696</v>
      </c>
      <c r="M223" s="11">
        <v>0.75</v>
      </c>
      <c r="N223" s="11">
        <v>0.58333333333333304</v>
      </c>
      <c r="O223" s="11">
        <v>0.83333333333333304</v>
      </c>
      <c r="P223" s="10">
        <v>1.3888888888888899</v>
      </c>
      <c r="Q223" s="10">
        <v>1.1785113019775799</v>
      </c>
      <c r="R223" s="8" t="s">
        <v>10653</v>
      </c>
      <c r="S223" s="10">
        <v>9</v>
      </c>
      <c r="T223" s="10">
        <v>11</v>
      </c>
      <c r="U223" s="10">
        <v>20</v>
      </c>
      <c r="V223" s="10">
        <v>1.6666666666666701</v>
      </c>
      <c r="W223" s="10">
        <v>12</v>
      </c>
      <c r="X223" s="10">
        <v>18</v>
      </c>
      <c r="Y223" s="10">
        <v>30</v>
      </c>
      <c r="Z223" s="10">
        <v>2.5</v>
      </c>
      <c r="AA223" s="10">
        <v>1.5</v>
      </c>
      <c r="AB223" s="10">
        <v>2</v>
      </c>
      <c r="AC223" s="10">
        <v>1.8333333333333299</v>
      </c>
      <c r="AD223" s="10">
        <v>3</v>
      </c>
    </row>
    <row r="224" spans="1:30" x14ac:dyDescent="0.3">
      <c r="A224" s="7" t="s">
        <v>312</v>
      </c>
      <c r="B224" s="12" t="s">
        <v>1335</v>
      </c>
      <c r="C224" s="10">
        <v>2.1666666666666701</v>
      </c>
      <c r="D224" s="10">
        <v>2.6666666666666701</v>
      </c>
      <c r="E224" s="9">
        <v>6</v>
      </c>
      <c r="F224" s="9">
        <v>6</v>
      </c>
      <c r="G224" s="9">
        <v>12</v>
      </c>
      <c r="H224" s="10">
        <v>1.3333333333333299</v>
      </c>
      <c r="I224" s="10">
        <v>2.5099999999999998</v>
      </c>
      <c r="J224" s="11">
        <v>0.25</v>
      </c>
      <c r="K224" s="11">
        <v>0.91666666666666696</v>
      </c>
      <c r="L224" s="11">
        <v>0.75</v>
      </c>
      <c r="M224" s="11">
        <v>0.41666666666666702</v>
      </c>
      <c r="N224" s="11">
        <v>0.16666666666666699</v>
      </c>
      <c r="O224" s="11">
        <v>0.5</v>
      </c>
      <c r="P224" s="10">
        <v>1.2222222222222201</v>
      </c>
      <c r="Q224" s="10">
        <v>1.1055415967851301</v>
      </c>
      <c r="R224" s="8" t="s">
        <v>10653</v>
      </c>
      <c r="S224" s="10">
        <v>9</v>
      </c>
      <c r="T224" s="10">
        <v>7</v>
      </c>
      <c r="U224" s="10">
        <v>16</v>
      </c>
      <c r="V224" s="10">
        <v>1.3333333333333299</v>
      </c>
      <c r="W224" s="10">
        <v>4</v>
      </c>
      <c r="X224" s="10">
        <v>9</v>
      </c>
      <c r="Y224" s="10">
        <v>13</v>
      </c>
      <c r="Z224" s="10">
        <v>1.0833333333333299</v>
      </c>
      <c r="AA224" s="10">
        <v>1.5</v>
      </c>
      <c r="AB224" s="10">
        <v>0.66666666666666696</v>
      </c>
      <c r="AC224" s="10">
        <v>1.1666666666666701</v>
      </c>
      <c r="AD224" s="10">
        <v>1.5</v>
      </c>
    </row>
    <row r="225" spans="1:30" x14ac:dyDescent="0.3">
      <c r="A225" s="7" t="s">
        <v>769</v>
      </c>
      <c r="B225" s="12" t="s">
        <v>844</v>
      </c>
      <c r="C225" s="10">
        <v>4.71428571428571</v>
      </c>
      <c r="D225" s="10">
        <v>2.8</v>
      </c>
      <c r="E225" s="9">
        <v>7</v>
      </c>
      <c r="F225" s="9">
        <v>5</v>
      </c>
      <c r="G225" s="9">
        <v>12</v>
      </c>
      <c r="H225" s="10">
        <v>2</v>
      </c>
      <c r="I225" s="10">
        <v>3.57</v>
      </c>
      <c r="J225" s="11">
        <v>0.33333333333333298</v>
      </c>
      <c r="K225" s="11">
        <v>0.91666666666666696</v>
      </c>
      <c r="L225" s="11">
        <v>0.66666666666666696</v>
      </c>
      <c r="M225" s="11">
        <v>0.66666666666666696</v>
      </c>
      <c r="N225" s="11">
        <v>0.58333333333333304</v>
      </c>
      <c r="O225" s="11">
        <v>0.58333333333333304</v>
      </c>
      <c r="P225" s="10">
        <v>8.8333333333333304</v>
      </c>
      <c r="Q225" s="10">
        <v>2.97209241668783</v>
      </c>
      <c r="R225" s="8" t="s">
        <v>1541</v>
      </c>
      <c r="S225" s="10">
        <v>20</v>
      </c>
      <c r="T225" s="10">
        <v>4</v>
      </c>
      <c r="U225" s="10">
        <v>24</v>
      </c>
      <c r="V225" s="10">
        <v>2</v>
      </c>
      <c r="W225" s="10">
        <v>13</v>
      </c>
      <c r="X225" s="10">
        <v>10</v>
      </c>
      <c r="Y225" s="10">
        <v>23</v>
      </c>
      <c r="Z225" s="10">
        <v>1.9166666666666701</v>
      </c>
      <c r="AA225" s="10">
        <v>2.8571428571428599</v>
      </c>
      <c r="AB225" s="10">
        <v>1.8571428571428601</v>
      </c>
      <c r="AC225" s="10">
        <v>0.8</v>
      </c>
      <c r="AD225" s="10">
        <v>2</v>
      </c>
    </row>
    <row r="226" spans="1:30" x14ac:dyDescent="0.3">
      <c r="A226" s="7" t="s">
        <v>5285</v>
      </c>
      <c r="B226" s="12" t="s">
        <v>1339</v>
      </c>
      <c r="C226" s="10">
        <v>2.5714285714285698</v>
      </c>
      <c r="D226" s="10">
        <v>2.6</v>
      </c>
      <c r="E226" s="9">
        <v>7</v>
      </c>
      <c r="F226" s="9">
        <v>5</v>
      </c>
      <c r="G226" s="9">
        <v>12</v>
      </c>
      <c r="H226" s="10">
        <v>1.6666666666666701</v>
      </c>
      <c r="I226" s="10">
        <v>2.5</v>
      </c>
      <c r="J226" s="11">
        <v>0.25</v>
      </c>
      <c r="K226" s="11">
        <v>0.91666666666666696</v>
      </c>
      <c r="L226" s="11">
        <v>0.75</v>
      </c>
      <c r="M226" s="11">
        <v>0.5</v>
      </c>
      <c r="N226" s="11">
        <v>0.16666666666666699</v>
      </c>
      <c r="O226" s="11">
        <v>0.41666666666666702</v>
      </c>
      <c r="P226" s="10">
        <v>1.55555555555555</v>
      </c>
      <c r="Q226" s="10">
        <v>1.2472191289246499</v>
      </c>
      <c r="R226" s="8" t="s">
        <v>10653</v>
      </c>
      <c r="S226" s="10">
        <v>16</v>
      </c>
      <c r="T226" s="10">
        <v>4</v>
      </c>
      <c r="U226" s="10">
        <v>20</v>
      </c>
      <c r="V226" s="10">
        <v>1.6666666666666701</v>
      </c>
      <c r="W226" s="10">
        <v>2</v>
      </c>
      <c r="X226" s="10">
        <v>9</v>
      </c>
      <c r="Y226" s="10">
        <v>11</v>
      </c>
      <c r="Z226" s="10">
        <v>0.91666666666666696</v>
      </c>
      <c r="AA226" s="10">
        <v>2.28571428571429</v>
      </c>
      <c r="AB226" s="10">
        <v>0.28571428571428598</v>
      </c>
      <c r="AC226" s="10">
        <v>0.8</v>
      </c>
      <c r="AD226" s="10">
        <v>1.8</v>
      </c>
    </row>
    <row r="227" spans="1:30" x14ac:dyDescent="0.3">
      <c r="A227" s="7" t="s">
        <v>6375</v>
      </c>
      <c r="B227" s="12" t="s">
        <v>960</v>
      </c>
      <c r="C227" s="10">
        <v>3.6666666666666701</v>
      </c>
      <c r="D227" s="10">
        <v>3.1666666666666701</v>
      </c>
      <c r="E227" s="9">
        <v>6</v>
      </c>
      <c r="F227" s="9">
        <v>6</v>
      </c>
      <c r="G227" s="9">
        <v>12</v>
      </c>
      <c r="H227" s="10">
        <v>1.5</v>
      </c>
      <c r="I227" s="10">
        <v>2.5</v>
      </c>
      <c r="J227" s="11">
        <v>0.25</v>
      </c>
      <c r="K227" s="11">
        <v>1</v>
      </c>
      <c r="L227" s="11">
        <v>0.66666666666666696</v>
      </c>
      <c r="M227" s="11">
        <v>0.58333333333333304</v>
      </c>
      <c r="N227" s="11">
        <v>0.58333333333333304</v>
      </c>
      <c r="O227" s="11">
        <v>0.58333333333333304</v>
      </c>
      <c r="P227" s="10">
        <v>1.5833333333333299</v>
      </c>
      <c r="Q227" s="10">
        <v>1.25830573921179</v>
      </c>
      <c r="R227" s="8" t="s">
        <v>10653</v>
      </c>
      <c r="S227" s="10">
        <v>10</v>
      </c>
      <c r="T227" s="10">
        <v>8</v>
      </c>
      <c r="U227" s="10">
        <v>18</v>
      </c>
      <c r="V227" s="10">
        <v>1.5</v>
      </c>
      <c r="W227" s="10">
        <v>12</v>
      </c>
      <c r="X227" s="10">
        <v>11</v>
      </c>
      <c r="Y227" s="10">
        <v>23</v>
      </c>
      <c r="Z227" s="10">
        <v>1.9166666666666701</v>
      </c>
      <c r="AA227" s="10">
        <v>1.6666666666666701</v>
      </c>
      <c r="AB227" s="10">
        <v>2</v>
      </c>
      <c r="AC227" s="10">
        <v>1.3333333333333299</v>
      </c>
      <c r="AD227" s="10">
        <v>1.8333333333333299</v>
      </c>
    </row>
    <row r="228" spans="1:30" x14ac:dyDescent="0.3">
      <c r="A228" s="7" t="s">
        <v>211</v>
      </c>
      <c r="B228" s="12" t="s">
        <v>845</v>
      </c>
      <c r="C228" s="10">
        <v>4.6666666666666696</v>
      </c>
      <c r="D228" s="10">
        <v>3.1666666666666701</v>
      </c>
      <c r="E228" s="9">
        <v>6</v>
      </c>
      <c r="F228" s="9">
        <v>6</v>
      </c>
      <c r="G228" s="9">
        <v>12</v>
      </c>
      <c r="H228" s="10">
        <v>1.4166666666666701</v>
      </c>
      <c r="I228" s="10">
        <v>4.32</v>
      </c>
      <c r="J228" s="11">
        <v>0.25</v>
      </c>
      <c r="K228" s="11">
        <v>0.91666666666666696</v>
      </c>
      <c r="L228" s="11">
        <v>0.83333333333333304</v>
      </c>
      <c r="M228" s="11">
        <v>0.83333333333333304</v>
      </c>
      <c r="N228" s="11">
        <v>0.5</v>
      </c>
      <c r="O228" s="11">
        <v>0.66666666666666696</v>
      </c>
      <c r="P228" s="10">
        <v>1.74305555555556</v>
      </c>
      <c r="Q228" s="10">
        <v>1.32024829314624</v>
      </c>
      <c r="R228" s="8" t="s">
        <v>10653</v>
      </c>
      <c r="S228" s="10">
        <v>13</v>
      </c>
      <c r="T228" s="10">
        <v>4</v>
      </c>
      <c r="U228" s="10">
        <v>17</v>
      </c>
      <c r="V228" s="10">
        <v>1.4166666666666701</v>
      </c>
      <c r="W228" s="10">
        <v>15</v>
      </c>
      <c r="X228" s="10">
        <v>15</v>
      </c>
      <c r="Y228" s="10">
        <v>30</v>
      </c>
      <c r="Z228" s="10">
        <v>2.5</v>
      </c>
      <c r="AA228" s="10">
        <v>2.1666666666666701</v>
      </c>
      <c r="AB228" s="10">
        <v>2.5</v>
      </c>
      <c r="AC228" s="10">
        <v>0.66666666666666696</v>
      </c>
      <c r="AD228" s="10">
        <v>2.5</v>
      </c>
    </row>
    <row r="229" spans="1:30" x14ac:dyDescent="0.3">
      <c r="A229" s="7" t="s">
        <v>106</v>
      </c>
      <c r="B229" s="12" t="s">
        <v>1334</v>
      </c>
      <c r="C229" s="10">
        <v>1.8571428571428601</v>
      </c>
      <c r="D229" s="10">
        <v>2.2000000000000002</v>
      </c>
      <c r="E229" s="9">
        <v>7</v>
      </c>
      <c r="F229" s="9">
        <v>5</v>
      </c>
      <c r="G229" s="9">
        <v>12</v>
      </c>
      <c r="H229" s="10">
        <v>1.4166666666666701</v>
      </c>
      <c r="I229" s="10">
        <v>2.31</v>
      </c>
      <c r="J229" s="11">
        <v>0.16666666666666699</v>
      </c>
      <c r="K229" s="11">
        <v>0.91666666666666696</v>
      </c>
      <c r="L229" s="11">
        <v>0.5</v>
      </c>
      <c r="M229" s="11">
        <v>0.33333333333333298</v>
      </c>
      <c r="N229" s="11">
        <v>8.3333333333333301E-2</v>
      </c>
      <c r="O229" s="11">
        <v>0.16666666666666699</v>
      </c>
      <c r="P229" s="10">
        <v>0.90972222222222199</v>
      </c>
      <c r="Q229" s="10">
        <v>0.95379359518829998</v>
      </c>
      <c r="R229" s="8" t="s">
        <v>10653</v>
      </c>
      <c r="S229" s="10">
        <v>12</v>
      </c>
      <c r="T229" s="10">
        <v>5</v>
      </c>
      <c r="U229" s="10">
        <v>17</v>
      </c>
      <c r="V229" s="10">
        <v>1.4166666666666701</v>
      </c>
      <c r="W229" s="10">
        <v>1</v>
      </c>
      <c r="X229" s="10">
        <v>6</v>
      </c>
      <c r="Y229" s="10">
        <v>7</v>
      </c>
      <c r="Z229" s="10">
        <v>0.58333333333333304</v>
      </c>
      <c r="AA229" s="10">
        <v>1.71428571428571</v>
      </c>
      <c r="AB229" s="10">
        <v>0.14285714285714299</v>
      </c>
      <c r="AC229" s="10">
        <v>1</v>
      </c>
      <c r="AD229" s="10">
        <v>1.2</v>
      </c>
    </row>
    <row r="230" spans="1:30" x14ac:dyDescent="0.3">
      <c r="A230" s="7" t="s">
        <v>80</v>
      </c>
      <c r="B230" s="12" t="s">
        <v>4290</v>
      </c>
      <c r="C230" s="10">
        <v>2.8</v>
      </c>
      <c r="D230" s="10">
        <v>4.4285714285714297</v>
      </c>
      <c r="E230" s="9">
        <v>5</v>
      </c>
      <c r="F230" s="9">
        <v>7</v>
      </c>
      <c r="G230" s="9">
        <v>12</v>
      </c>
      <c r="H230" s="10">
        <v>1.4166666666666701</v>
      </c>
      <c r="I230" s="10">
        <v>2.5</v>
      </c>
      <c r="J230" s="11">
        <v>0.33333333333333298</v>
      </c>
      <c r="K230" s="11">
        <v>0.91666666666666696</v>
      </c>
      <c r="L230" s="11">
        <v>0.75</v>
      </c>
      <c r="M230" s="11">
        <v>0.75</v>
      </c>
      <c r="N230" s="11">
        <v>0.58333333333333304</v>
      </c>
      <c r="O230" s="11">
        <v>0.66666666666666696</v>
      </c>
      <c r="P230" s="10">
        <v>1.4097222222222201</v>
      </c>
      <c r="Q230" s="10">
        <v>1.1873172373979199</v>
      </c>
      <c r="R230" s="8" t="s">
        <v>10653</v>
      </c>
      <c r="S230" s="10">
        <v>6</v>
      </c>
      <c r="T230" s="10">
        <v>11</v>
      </c>
      <c r="U230" s="10">
        <v>17</v>
      </c>
      <c r="V230" s="10">
        <v>1.4166666666666701</v>
      </c>
      <c r="W230" s="10">
        <v>8</v>
      </c>
      <c r="X230" s="10">
        <v>20</v>
      </c>
      <c r="Y230" s="10">
        <v>28</v>
      </c>
      <c r="Z230" s="10">
        <v>2.3333333333333299</v>
      </c>
      <c r="AA230" s="10">
        <v>1.2</v>
      </c>
      <c r="AB230" s="10">
        <v>1.6</v>
      </c>
      <c r="AC230" s="10">
        <v>1.5714285714285701</v>
      </c>
      <c r="AD230" s="10">
        <v>2.8571428571428599</v>
      </c>
    </row>
    <row r="231" spans="1:30" x14ac:dyDescent="0.3">
      <c r="A231" s="7" t="s">
        <v>4776</v>
      </c>
      <c r="B231" s="12" t="s">
        <v>1000</v>
      </c>
      <c r="C231" s="10">
        <v>3</v>
      </c>
      <c r="D231" s="10">
        <v>3</v>
      </c>
      <c r="E231" s="9">
        <v>6</v>
      </c>
      <c r="F231" s="9">
        <v>6</v>
      </c>
      <c r="G231" s="9">
        <v>12</v>
      </c>
      <c r="H231" s="10">
        <v>1.5</v>
      </c>
      <c r="I231" s="10">
        <v>2.5</v>
      </c>
      <c r="J231" s="11">
        <v>0.25</v>
      </c>
      <c r="K231" s="11">
        <v>1</v>
      </c>
      <c r="L231" s="11">
        <v>0.91666666666666696</v>
      </c>
      <c r="M231" s="11">
        <v>0.66666666666666696</v>
      </c>
      <c r="N231" s="11">
        <v>0.25</v>
      </c>
      <c r="O231" s="11">
        <v>0.58333333333333304</v>
      </c>
      <c r="P231" s="10">
        <v>0.91666666666666696</v>
      </c>
      <c r="Q231" s="10">
        <v>0.95742710775633799</v>
      </c>
      <c r="R231" s="8" t="s">
        <v>10653</v>
      </c>
      <c r="S231" s="10">
        <v>13</v>
      </c>
      <c r="T231" s="10">
        <v>5</v>
      </c>
      <c r="U231" s="10">
        <v>18</v>
      </c>
      <c r="V231" s="10">
        <v>1.5</v>
      </c>
      <c r="W231" s="10">
        <v>5</v>
      </c>
      <c r="X231" s="10">
        <v>13</v>
      </c>
      <c r="Y231" s="10">
        <v>18</v>
      </c>
      <c r="Z231" s="10">
        <v>1.5</v>
      </c>
      <c r="AA231" s="10">
        <v>2.1666666666666701</v>
      </c>
      <c r="AB231" s="10">
        <v>0.83333333333333304</v>
      </c>
      <c r="AC231" s="10">
        <v>0.83333333333333304</v>
      </c>
      <c r="AD231" s="10">
        <v>2.1666666666666701</v>
      </c>
    </row>
    <row r="232" spans="1:30" x14ac:dyDescent="0.3">
      <c r="A232" s="7" t="s">
        <v>2822</v>
      </c>
      <c r="B232" s="12" t="s">
        <v>1335</v>
      </c>
      <c r="C232" s="10">
        <v>2.4285714285714302</v>
      </c>
      <c r="D232" s="10">
        <v>3</v>
      </c>
      <c r="E232" s="9">
        <v>7</v>
      </c>
      <c r="F232" s="9">
        <v>5</v>
      </c>
      <c r="G232" s="9">
        <v>12</v>
      </c>
      <c r="H232" s="10">
        <v>0.91666666666666696</v>
      </c>
      <c r="I232" s="10">
        <v>2.5099999999999998</v>
      </c>
      <c r="J232" s="11">
        <v>0.41666666666666702</v>
      </c>
      <c r="K232" s="11">
        <v>0.91666666666666696</v>
      </c>
      <c r="L232" s="11">
        <v>0.75</v>
      </c>
      <c r="M232" s="11">
        <v>0.66666666666666696</v>
      </c>
      <c r="N232" s="11">
        <v>0.33333333333333298</v>
      </c>
      <c r="O232" s="11">
        <v>0.58333333333333304</v>
      </c>
      <c r="P232" s="10">
        <v>0.90972222222222199</v>
      </c>
      <c r="Q232" s="10">
        <v>0.95379359518829998</v>
      </c>
      <c r="R232" s="8" t="s">
        <v>10653</v>
      </c>
      <c r="S232" s="10">
        <v>8</v>
      </c>
      <c r="T232" s="10">
        <v>3</v>
      </c>
      <c r="U232" s="10">
        <v>11</v>
      </c>
      <c r="V232" s="10">
        <v>0.91666666666666696</v>
      </c>
      <c r="W232" s="10">
        <v>9</v>
      </c>
      <c r="X232" s="10">
        <v>12</v>
      </c>
      <c r="Y232" s="10">
        <v>21</v>
      </c>
      <c r="Z232" s="10">
        <v>1.75</v>
      </c>
      <c r="AA232" s="10">
        <v>1.1428571428571399</v>
      </c>
      <c r="AB232" s="10">
        <v>1.28571428571429</v>
      </c>
      <c r="AC232" s="10">
        <v>0.6</v>
      </c>
      <c r="AD232" s="10">
        <v>2.4</v>
      </c>
    </row>
    <row r="233" spans="1:30" x14ac:dyDescent="0.3">
      <c r="A233" s="7" t="s">
        <v>962</v>
      </c>
      <c r="B233" s="12" t="s">
        <v>966</v>
      </c>
      <c r="C233" s="10">
        <v>2.4</v>
      </c>
      <c r="D233" s="10">
        <v>3.1428571428571401</v>
      </c>
      <c r="E233" s="9">
        <v>5</v>
      </c>
      <c r="F233" s="9">
        <v>7</v>
      </c>
      <c r="G233" s="9">
        <v>12</v>
      </c>
      <c r="H233" s="10">
        <v>1.4166666666666701</v>
      </c>
      <c r="I233" s="10">
        <v>2.5</v>
      </c>
      <c r="J233" s="11">
        <v>0.16666666666666699</v>
      </c>
      <c r="K233" s="11">
        <v>0.91666666666666696</v>
      </c>
      <c r="L233" s="11">
        <v>0.91666666666666696</v>
      </c>
      <c r="M233" s="11">
        <v>0.58333333333333304</v>
      </c>
      <c r="N233" s="11">
        <v>0.33333333333333298</v>
      </c>
      <c r="O233" s="11">
        <v>0.66666666666666696</v>
      </c>
      <c r="P233" s="10">
        <v>1.24305555555556</v>
      </c>
      <c r="Q233" s="10">
        <v>1.11492401335497</v>
      </c>
      <c r="R233" s="8" t="s">
        <v>10653</v>
      </c>
      <c r="S233" s="10">
        <v>5</v>
      </c>
      <c r="T233" s="10">
        <v>12</v>
      </c>
      <c r="U233" s="10">
        <v>17</v>
      </c>
      <c r="V233" s="10">
        <v>1.4166666666666701</v>
      </c>
      <c r="W233" s="10">
        <v>7</v>
      </c>
      <c r="X233" s="10">
        <v>10</v>
      </c>
      <c r="Y233" s="10">
        <v>17</v>
      </c>
      <c r="Z233" s="10">
        <v>1.4166666666666701</v>
      </c>
      <c r="AA233" s="10">
        <v>1</v>
      </c>
      <c r="AB233" s="10">
        <v>1.4</v>
      </c>
      <c r="AC233" s="10">
        <v>1.71428571428571</v>
      </c>
      <c r="AD233" s="10">
        <v>1.4285714285714299</v>
      </c>
    </row>
    <row r="234" spans="1:30" x14ac:dyDescent="0.3">
      <c r="A234" s="7" t="s">
        <v>901</v>
      </c>
      <c r="B234" s="12" t="s">
        <v>4290</v>
      </c>
      <c r="C234" s="10">
        <v>3.28571428571429</v>
      </c>
      <c r="D234" s="10">
        <v>3.8</v>
      </c>
      <c r="E234" s="9">
        <v>7</v>
      </c>
      <c r="F234" s="9">
        <v>5</v>
      </c>
      <c r="G234" s="9">
        <v>12</v>
      </c>
      <c r="H234" s="10">
        <v>1.5833333333333299</v>
      </c>
      <c r="I234" s="10">
        <v>2.5</v>
      </c>
      <c r="J234" s="11">
        <v>8.3333333333333301E-2</v>
      </c>
      <c r="K234" s="11">
        <v>1</v>
      </c>
      <c r="L234" s="11">
        <v>0.83333333333333304</v>
      </c>
      <c r="M234" s="11">
        <v>0.58333333333333304</v>
      </c>
      <c r="N234" s="11">
        <v>0.33333333333333298</v>
      </c>
      <c r="O234" s="11">
        <v>0.75</v>
      </c>
      <c r="P234" s="10">
        <v>1.74305555555556</v>
      </c>
      <c r="Q234" s="10">
        <v>1.32024829314624</v>
      </c>
      <c r="R234" s="8" t="s">
        <v>10653</v>
      </c>
      <c r="S234" s="10">
        <v>15</v>
      </c>
      <c r="T234" s="10">
        <v>4</v>
      </c>
      <c r="U234" s="10">
        <v>19</v>
      </c>
      <c r="V234" s="10">
        <v>1.5833333333333299</v>
      </c>
      <c r="W234" s="10">
        <v>8</v>
      </c>
      <c r="X234" s="10">
        <v>15</v>
      </c>
      <c r="Y234" s="10">
        <v>23</v>
      </c>
      <c r="Z234" s="10">
        <v>1.9166666666666701</v>
      </c>
      <c r="AA234" s="10">
        <v>2.1428571428571401</v>
      </c>
      <c r="AB234" s="10">
        <v>1.1428571428571399</v>
      </c>
      <c r="AC234" s="10">
        <v>0.8</v>
      </c>
      <c r="AD234" s="10">
        <v>3</v>
      </c>
    </row>
    <row r="235" spans="1:30" x14ac:dyDescent="0.3">
      <c r="A235" s="7" t="s">
        <v>757</v>
      </c>
      <c r="B235" s="12" t="s">
        <v>844</v>
      </c>
      <c r="C235" s="10">
        <v>3.5714285714285698</v>
      </c>
      <c r="D235" s="10">
        <v>3.2</v>
      </c>
      <c r="E235" s="9">
        <v>7</v>
      </c>
      <c r="F235" s="9">
        <v>5</v>
      </c>
      <c r="G235" s="9">
        <v>12</v>
      </c>
      <c r="H235" s="10">
        <v>2</v>
      </c>
      <c r="I235" s="10">
        <v>3.57</v>
      </c>
      <c r="J235" s="11">
        <v>8.3333333333333301E-2</v>
      </c>
      <c r="K235" s="11">
        <v>0.91666666666666696</v>
      </c>
      <c r="L235" s="11">
        <v>0.75</v>
      </c>
      <c r="M235" s="11">
        <v>0.66666666666666696</v>
      </c>
      <c r="N235" s="11">
        <v>0.5</v>
      </c>
      <c r="O235" s="11">
        <v>0.66666666666666696</v>
      </c>
      <c r="P235" s="10">
        <v>1.3333333333333299</v>
      </c>
      <c r="Q235" s="10">
        <v>1.1547005383792499</v>
      </c>
      <c r="R235" s="8" t="s">
        <v>10653</v>
      </c>
      <c r="S235" s="10">
        <v>14</v>
      </c>
      <c r="T235" s="10">
        <v>10</v>
      </c>
      <c r="U235" s="10">
        <v>24</v>
      </c>
      <c r="V235" s="10">
        <v>2</v>
      </c>
      <c r="W235" s="10">
        <v>11</v>
      </c>
      <c r="X235" s="10">
        <v>6</v>
      </c>
      <c r="Y235" s="10">
        <v>17</v>
      </c>
      <c r="Z235" s="10">
        <v>1.4166666666666701</v>
      </c>
      <c r="AA235" s="10">
        <v>2</v>
      </c>
      <c r="AB235" s="10">
        <v>1.5714285714285701</v>
      </c>
      <c r="AC235" s="10">
        <v>2</v>
      </c>
      <c r="AD235" s="10">
        <v>1.2</v>
      </c>
    </row>
    <row r="236" spans="1:30" x14ac:dyDescent="0.3">
      <c r="A236" s="7" t="s">
        <v>6643</v>
      </c>
      <c r="B236" s="12" t="s">
        <v>1338</v>
      </c>
      <c r="C236" s="10">
        <v>2.28571428571429</v>
      </c>
      <c r="D236" s="10">
        <v>3</v>
      </c>
      <c r="E236" s="9">
        <v>7</v>
      </c>
      <c r="F236" s="9">
        <v>5</v>
      </c>
      <c r="G236" s="9">
        <v>12</v>
      </c>
      <c r="H236" s="10">
        <v>1</v>
      </c>
      <c r="I236" s="10">
        <v>2.5</v>
      </c>
      <c r="J236" s="11">
        <v>0.33333333333333298</v>
      </c>
      <c r="K236" s="11">
        <v>0.91666666666666696</v>
      </c>
      <c r="L236" s="11">
        <v>0.75</v>
      </c>
      <c r="M236" s="11">
        <v>0.5</v>
      </c>
      <c r="N236" s="11">
        <v>0.25</v>
      </c>
      <c r="O236" s="11">
        <v>0.41666666666666702</v>
      </c>
      <c r="P236" s="10">
        <v>0.66666666666666696</v>
      </c>
      <c r="Q236" s="10">
        <v>0.81649658092772603</v>
      </c>
      <c r="R236" s="8" t="s">
        <v>10653</v>
      </c>
      <c r="S236" s="10">
        <v>7</v>
      </c>
      <c r="T236" s="10">
        <v>5</v>
      </c>
      <c r="U236" s="10">
        <v>12</v>
      </c>
      <c r="V236" s="10">
        <v>1</v>
      </c>
      <c r="W236" s="10">
        <v>9</v>
      </c>
      <c r="X236" s="10">
        <v>10</v>
      </c>
      <c r="Y236" s="10">
        <v>19</v>
      </c>
      <c r="Z236" s="10">
        <v>1.5833333333333299</v>
      </c>
      <c r="AA236" s="10">
        <v>1</v>
      </c>
      <c r="AB236" s="10">
        <v>1.28571428571429</v>
      </c>
      <c r="AC236" s="10">
        <v>1</v>
      </c>
      <c r="AD236" s="10">
        <v>2</v>
      </c>
    </row>
    <row r="237" spans="1:30" x14ac:dyDescent="0.3">
      <c r="A237" s="7" t="s">
        <v>302</v>
      </c>
      <c r="B237" s="12" t="s">
        <v>1336</v>
      </c>
      <c r="C237" s="10">
        <v>2.5</v>
      </c>
      <c r="D237" s="10">
        <v>3.6666666666666701</v>
      </c>
      <c r="E237" s="9">
        <v>6</v>
      </c>
      <c r="F237" s="9">
        <v>6</v>
      </c>
      <c r="G237" s="9">
        <v>12</v>
      </c>
      <c r="H237" s="10">
        <v>2.1666666666666701</v>
      </c>
      <c r="I237" s="10">
        <v>3.79</v>
      </c>
      <c r="J237" s="11">
        <v>8.3333333333333301E-2</v>
      </c>
      <c r="K237" s="11">
        <v>0.91666666666666696</v>
      </c>
      <c r="L237" s="11">
        <v>0.83333333333333304</v>
      </c>
      <c r="M237" s="11">
        <v>0.5</v>
      </c>
      <c r="N237" s="11">
        <v>0.33333333333333298</v>
      </c>
      <c r="O237" s="11">
        <v>0.58333333333333304</v>
      </c>
      <c r="P237" s="10">
        <v>1.4722222222222201</v>
      </c>
      <c r="Q237" s="10">
        <v>1.2133516482134199</v>
      </c>
      <c r="R237" s="8" t="s">
        <v>10653</v>
      </c>
      <c r="S237" s="10">
        <v>12</v>
      </c>
      <c r="T237" s="10">
        <v>14</v>
      </c>
      <c r="U237" s="10">
        <v>26</v>
      </c>
      <c r="V237" s="10">
        <v>2.1666666666666701</v>
      </c>
      <c r="W237" s="10">
        <v>3</v>
      </c>
      <c r="X237" s="10">
        <v>8</v>
      </c>
      <c r="Y237" s="10">
        <v>11</v>
      </c>
      <c r="Z237" s="10">
        <v>0.91666666666666696</v>
      </c>
      <c r="AA237" s="10">
        <v>2</v>
      </c>
      <c r="AB237" s="10">
        <v>0.5</v>
      </c>
      <c r="AC237" s="10">
        <v>2.3333333333333299</v>
      </c>
      <c r="AD237" s="10">
        <v>1.3333333333333299</v>
      </c>
    </row>
    <row r="238" spans="1:30" x14ac:dyDescent="0.3">
      <c r="A238" s="7" t="s">
        <v>318</v>
      </c>
      <c r="B238" s="12" t="s">
        <v>1335</v>
      </c>
      <c r="C238" s="10">
        <v>1.8333333333333299</v>
      </c>
      <c r="D238" s="10">
        <v>2.3333333333333299</v>
      </c>
      <c r="E238" s="9">
        <v>6</v>
      </c>
      <c r="F238" s="9">
        <v>6</v>
      </c>
      <c r="G238" s="9">
        <v>12</v>
      </c>
      <c r="H238" s="10">
        <v>0.83333333333333304</v>
      </c>
      <c r="I238" s="10">
        <v>2.5099999999999998</v>
      </c>
      <c r="J238" s="11">
        <v>0.5</v>
      </c>
      <c r="K238" s="11">
        <v>1</v>
      </c>
      <c r="L238" s="11">
        <v>0.75</v>
      </c>
      <c r="M238" s="11">
        <v>0.16666666666666699</v>
      </c>
      <c r="N238" s="11">
        <v>0.16666666666666699</v>
      </c>
      <c r="O238" s="11">
        <v>0.33333333333333298</v>
      </c>
      <c r="P238" s="10">
        <v>0.80555555555555503</v>
      </c>
      <c r="Q238" s="10">
        <v>0.89752746785575099</v>
      </c>
      <c r="R238" s="8" t="s">
        <v>10653</v>
      </c>
      <c r="S238" s="10">
        <v>4</v>
      </c>
      <c r="T238" s="10">
        <v>6</v>
      </c>
      <c r="U238" s="10">
        <v>10</v>
      </c>
      <c r="V238" s="10">
        <v>0.83333333333333304</v>
      </c>
      <c r="W238" s="10">
        <v>7</v>
      </c>
      <c r="X238" s="10">
        <v>8</v>
      </c>
      <c r="Y238" s="10">
        <v>15</v>
      </c>
      <c r="Z238" s="10">
        <v>1.25</v>
      </c>
      <c r="AA238" s="10">
        <v>0.66666666666666696</v>
      </c>
      <c r="AB238" s="10">
        <v>1.1666666666666701</v>
      </c>
      <c r="AC238" s="10">
        <v>1</v>
      </c>
      <c r="AD238" s="10">
        <v>1.3333333333333299</v>
      </c>
    </row>
    <row r="239" spans="1:30" x14ac:dyDescent="0.3">
      <c r="A239" s="7" t="s">
        <v>6952</v>
      </c>
      <c r="B239" s="12" t="s">
        <v>987</v>
      </c>
      <c r="C239" s="10">
        <v>5.6</v>
      </c>
      <c r="D239" s="10">
        <v>3.71428571428571</v>
      </c>
      <c r="E239" s="9">
        <v>5</v>
      </c>
      <c r="F239" s="9">
        <v>7</v>
      </c>
      <c r="G239" s="9">
        <v>12</v>
      </c>
      <c r="H239" s="10">
        <v>2.75</v>
      </c>
      <c r="I239" s="10">
        <v>2.5</v>
      </c>
      <c r="J239" s="11">
        <v>8.3333333333333301E-2</v>
      </c>
      <c r="K239" s="11">
        <v>1</v>
      </c>
      <c r="L239" s="11">
        <v>1</v>
      </c>
      <c r="M239" s="11">
        <v>0.83333333333333304</v>
      </c>
      <c r="N239" s="11">
        <v>0.58333333333333304</v>
      </c>
      <c r="O239" s="11">
        <v>0.83333333333333304</v>
      </c>
      <c r="P239" s="10">
        <v>2.8541666666666701</v>
      </c>
      <c r="Q239" s="10">
        <v>1.6894279110594399</v>
      </c>
      <c r="R239" s="8" t="s">
        <v>10653</v>
      </c>
      <c r="S239" s="10">
        <v>17</v>
      </c>
      <c r="T239" s="10">
        <v>16</v>
      </c>
      <c r="U239" s="10">
        <v>33</v>
      </c>
      <c r="V239" s="10">
        <v>2.75</v>
      </c>
      <c r="W239" s="10">
        <v>11</v>
      </c>
      <c r="X239" s="10">
        <v>10</v>
      </c>
      <c r="Y239" s="10">
        <v>21</v>
      </c>
      <c r="Z239" s="10">
        <v>1.75</v>
      </c>
      <c r="AA239" s="10">
        <v>3.4</v>
      </c>
      <c r="AB239" s="10">
        <v>2.2000000000000002</v>
      </c>
      <c r="AC239" s="10">
        <v>2.28571428571429</v>
      </c>
      <c r="AD239" s="10">
        <v>1.4285714285714299</v>
      </c>
    </row>
    <row r="240" spans="1:30" x14ac:dyDescent="0.3">
      <c r="A240" s="7" t="s">
        <v>692</v>
      </c>
      <c r="B240" s="12" t="s">
        <v>4291</v>
      </c>
      <c r="C240" s="10">
        <v>4.4000000000000004</v>
      </c>
      <c r="D240" s="10">
        <v>4.1428571428571397</v>
      </c>
      <c r="E240" s="9">
        <v>5</v>
      </c>
      <c r="F240" s="9">
        <v>7</v>
      </c>
      <c r="G240" s="9">
        <v>12</v>
      </c>
      <c r="H240" s="10">
        <v>2.3333333333333299</v>
      </c>
      <c r="I240" s="10">
        <v>3.55</v>
      </c>
      <c r="J240" s="11">
        <v>8.3333333333333301E-2</v>
      </c>
      <c r="K240" s="11">
        <v>1</v>
      </c>
      <c r="L240" s="11">
        <v>0.91666666666666696</v>
      </c>
      <c r="M240" s="11">
        <v>0.75</v>
      </c>
      <c r="N240" s="11">
        <v>0.58333333333333304</v>
      </c>
      <c r="O240" s="11">
        <v>0.75</v>
      </c>
      <c r="P240" s="10">
        <v>2.8888888888888902</v>
      </c>
      <c r="Q240" s="10">
        <v>1.6996731711975901</v>
      </c>
      <c r="R240" s="8" t="s">
        <v>10653</v>
      </c>
      <c r="S240" s="10">
        <v>16</v>
      </c>
      <c r="T240" s="10">
        <v>12</v>
      </c>
      <c r="U240" s="10">
        <v>28</v>
      </c>
      <c r="V240" s="10">
        <v>2.3333333333333299</v>
      </c>
      <c r="W240" s="10">
        <v>6</v>
      </c>
      <c r="X240" s="10">
        <v>17</v>
      </c>
      <c r="Y240" s="10">
        <v>23</v>
      </c>
      <c r="Z240" s="10">
        <v>1.9166666666666701</v>
      </c>
      <c r="AA240" s="10">
        <v>3.2</v>
      </c>
      <c r="AB240" s="10">
        <v>1.2</v>
      </c>
      <c r="AC240" s="10">
        <v>1.71428571428571</v>
      </c>
      <c r="AD240" s="10">
        <v>2.4285714285714302</v>
      </c>
    </row>
    <row r="241" spans="1:30" x14ac:dyDescent="0.3">
      <c r="A241" s="7" t="s">
        <v>760</v>
      </c>
      <c r="B241" s="12" t="s">
        <v>844</v>
      </c>
      <c r="C241" s="10">
        <v>3.8571428571428599</v>
      </c>
      <c r="D241" s="10">
        <v>4</v>
      </c>
      <c r="E241" s="9">
        <v>7</v>
      </c>
      <c r="F241" s="9">
        <v>5</v>
      </c>
      <c r="G241" s="9">
        <v>12</v>
      </c>
      <c r="H241" s="10">
        <v>1.3333333333333299</v>
      </c>
      <c r="I241" s="10">
        <v>3.57</v>
      </c>
      <c r="J241" s="11">
        <v>0.16666666666666699</v>
      </c>
      <c r="K241" s="11">
        <v>1</v>
      </c>
      <c r="L241" s="11">
        <v>0.91666666666666696</v>
      </c>
      <c r="M241" s="11">
        <v>0.83333333333333304</v>
      </c>
      <c r="N241" s="11">
        <v>0.58333333333333304</v>
      </c>
      <c r="O241" s="11">
        <v>0.66666666666666696</v>
      </c>
      <c r="P241" s="10">
        <v>1.2222222222222201</v>
      </c>
      <c r="Q241" s="10">
        <v>1.1055415967851301</v>
      </c>
      <c r="R241" s="8" t="s">
        <v>10653</v>
      </c>
      <c r="S241" s="10">
        <v>13</v>
      </c>
      <c r="T241" s="10">
        <v>3</v>
      </c>
      <c r="U241" s="10">
        <v>16</v>
      </c>
      <c r="V241" s="10">
        <v>1.3333333333333299</v>
      </c>
      <c r="W241" s="10">
        <v>14</v>
      </c>
      <c r="X241" s="10">
        <v>17</v>
      </c>
      <c r="Y241" s="10">
        <v>31</v>
      </c>
      <c r="Z241" s="10">
        <v>2.5833333333333299</v>
      </c>
      <c r="AA241" s="10">
        <v>1.8571428571428601</v>
      </c>
      <c r="AB241" s="10">
        <v>2</v>
      </c>
      <c r="AC241" s="10">
        <v>0.6</v>
      </c>
      <c r="AD241" s="10">
        <v>3.4</v>
      </c>
    </row>
    <row r="242" spans="1:30" x14ac:dyDescent="0.3">
      <c r="A242" s="7" t="s">
        <v>4399</v>
      </c>
      <c r="B242" s="12" t="s">
        <v>4290</v>
      </c>
      <c r="C242" s="10">
        <v>6</v>
      </c>
      <c r="D242" s="10">
        <v>5.1666666666666696</v>
      </c>
      <c r="E242" s="9">
        <v>6</v>
      </c>
      <c r="F242" s="9">
        <v>6</v>
      </c>
      <c r="G242" s="9">
        <v>12</v>
      </c>
      <c r="H242" s="10">
        <v>3.25</v>
      </c>
      <c r="I242" s="10">
        <v>2.5</v>
      </c>
      <c r="J242" s="11">
        <v>8.3333333333333301E-2</v>
      </c>
      <c r="K242" s="11">
        <v>1</v>
      </c>
      <c r="L242" s="11">
        <v>1</v>
      </c>
      <c r="M242" s="11">
        <v>0.83333333333333304</v>
      </c>
      <c r="N242" s="11">
        <v>0.83333333333333304</v>
      </c>
      <c r="O242" s="11">
        <v>0.83333333333333304</v>
      </c>
      <c r="P242" s="10">
        <v>2.8541666666666701</v>
      </c>
      <c r="Q242" s="10">
        <v>1.6894279110594399</v>
      </c>
      <c r="R242" s="8" t="s">
        <v>10653</v>
      </c>
      <c r="S242" s="10">
        <v>25</v>
      </c>
      <c r="T242" s="10">
        <v>14</v>
      </c>
      <c r="U242" s="10">
        <v>39</v>
      </c>
      <c r="V242" s="10">
        <v>3.25</v>
      </c>
      <c r="W242" s="10">
        <v>11</v>
      </c>
      <c r="X242" s="10">
        <v>17</v>
      </c>
      <c r="Y242" s="10">
        <v>28</v>
      </c>
      <c r="Z242" s="10">
        <v>2.3333333333333299</v>
      </c>
      <c r="AA242" s="10">
        <v>4.1666666666666696</v>
      </c>
      <c r="AB242" s="10">
        <v>1.8333333333333299</v>
      </c>
      <c r="AC242" s="10">
        <v>2.3333333333333299</v>
      </c>
      <c r="AD242" s="10">
        <v>2.8333333333333299</v>
      </c>
    </row>
    <row r="243" spans="1:30" x14ac:dyDescent="0.3">
      <c r="A243" s="7" t="s">
        <v>5338</v>
      </c>
      <c r="B243" s="12" t="s">
        <v>1339</v>
      </c>
      <c r="C243" s="10">
        <v>2.1666666666666701</v>
      </c>
      <c r="D243" s="10">
        <v>2.6666666666666701</v>
      </c>
      <c r="E243" s="9">
        <v>6</v>
      </c>
      <c r="F243" s="9">
        <v>6</v>
      </c>
      <c r="G243" s="9">
        <v>12</v>
      </c>
      <c r="H243" s="10">
        <v>0.83333333333333304</v>
      </c>
      <c r="I243" s="10">
        <v>2.5</v>
      </c>
      <c r="J243" s="11">
        <v>0.33333333333333298</v>
      </c>
      <c r="K243" s="11">
        <v>0.91666666666666696</v>
      </c>
      <c r="L243" s="11">
        <v>0.75</v>
      </c>
      <c r="M243" s="11">
        <v>0.5</v>
      </c>
      <c r="N243" s="11">
        <v>0.16666666666666699</v>
      </c>
      <c r="O243" s="11">
        <v>0.5</v>
      </c>
      <c r="P243" s="10">
        <v>0.47222222222222199</v>
      </c>
      <c r="Q243" s="10">
        <v>0.68718427093627699</v>
      </c>
      <c r="R243" s="8" t="s">
        <v>10653</v>
      </c>
      <c r="S243" s="10">
        <v>4</v>
      </c>
      <c r="T243" s="10">
        <v>6</v>
      </c>
      <c r="U243" s="10">
        <v>10</v>
      </c>
      <c r="V243" s="10">
        <v>0.83333333333333304</v>
      </c>
      <c r="W243" s="10">
        <v>9</v>
      </c>
      <c r="X243" s="10">
        <v>10</v>
      </c>
      <c r="Y243" s="10">
        <v>19</v>
      </c>
      <c r="Z243" s="10">
        <v>1.5833333333333299</v>
      </c>
      <c r="AA243" s="10">
        <v>0.66666666666666696</v>
      </c>
      <c r="AB243" s="10">
        <v>1.5</v>
      </c>
      <c r="AC243" s="10">
        <v>1</v>
      </c>
      <c r="AD243" s="10">
        <v>1.6666666666666701</v>
      </c>
    </row>
    <row r="244" spans="1:30" x14ac:dyDescent="0.3">
      <c r="A244" s="7" t="s">
        <v>6697</v>
      </c>
      <c r="B244" s="12" t="s">
        <v>1338</v>
      </c>
      <c r="C244" s="10">
        <v>2.2000000000000002</v>
      </c>
      <c r="D244" s="10">
        <v>2.5714285714285698</v>
      </c>
      <c r="E244" s="9">
        <v>5</v>
      </c>
      <c r="F244" s="9">
        <v>7</v>
      </c>
      <c r="G244" s="9">
        <v>12</v>
      </c>
      <c r="H244" s="10">
        <v>0.83333333333333304</v>
      </c>
      <c r="I244" s="10">
        <v>2.5</v>
      </c>
      <c r="J244" s="11">
        <v>0.33333333333333298</v>
      </c>
      <c r="K244" s="11">
        <v>0.91666666666666696</v>
      </c>
      <c r="L244" s="11">
        <v>0.83333333333333304</v>
      </c>
      <c r="M244" s="11">
        <v>0.58333333333333304</v>
      </c>
      <c r="N244" s="11">
        <v>8.3333333333333301E-2</v>
      </c>
      <c r="O244" s="11">
        <v>0.66666666666666696</v>
      </c>
      <c r="P244" s="10">
        <v>0.47222222222222199</v>
      </c>
      <c r="Q244" s="10">
        <v>0.68718427093627699</v>
      </c>
      <c r="R244" s="8" t="s">
        <v>10653</v>
      </c>
      <c r="S244" s="10">
        <v>5</v>
      </c>
      <c r="T244" s="10">
        <v>5</v>
      </c>
      <c r="U244" s="10">
        <v>10</v>
      </c>
      <c r="V244" s="10">
        <v>0.83333333333333304</v>
      </c>
      <c r="W244" s="10">
        <v>6</v>
      </c>
      <c r="X244" s="10">
        <v>13</v>
      </c>
      <c r="Y244" s="10">
        <v>19</v>
      </c>
      <c r="Z244" s="10">
        <v>1.5833333333333299</v>
      </c>
      <c r="AA244" s="10">
        <v>1</v>
      </c>
      <c r="AB244" s="10">
        <v>1.2</v>
      </c>
      <c r="AC244" s="10">
        <v>0.71428571428571397</v>
      </c>
      <c r="AD244" s="10">
        <v>1.8571428571428601</v>
      </c>
    </row>
    <row r="245" spans="1:30" x14ac:dyDescent="0.3">
      <c r="A245" s="7" t="s">
        <v>309</v>
      </c>
      <c r="B245" s="12" t="s">
        <v>1335</v>
      </c>
      <c r="C245" s="10">
        <v>3.4285714285714302</v>
      </c>
      <c r="D245" s="10">
        <v>2.6</v>
      </c>
      <c r="E245" s="9">
        <v>7</v>
      </c>
      <c r="F245" s="9">
        <v>5</v>
      </c>
      <c r="G245" s="9">
        <v>12</v>
      </c>
      <c r="H245" s="10">
        <v>2</v>
      </c>
      <c r="I245" s="10">
        <v>2.5099999999999998</v>
      </c>
      <c r="J245" s="11">
        <v>0.16666666666666699</v>
      </c>
      <c r="K245" s="11">
        <v>1</v>
      </c>
      <c r="L245" s="11">
        <v>0.66666666666666696</v>
      </c>
      <c r="M245" s="11">
        <v>0.5</v>
      </c>
      <c r="N245" s="11">
        <v>0.33333333333333298</v>
      </c>
      <c r="O245" s="11">
        <v>0.5</v>
      </c>
      <c r="P245" s="10">
        <v>2.1666666666666701</v>
      </c>
      <c r="Q245" s="10">
        <v>1.47196014438797</v>
      </c>
      <c r="R245" s="8" t="s">
        <v>10653</v>
      </c>
      <c r="S245" s="10">
        <v>15</v>
      </c>
      <c r="T245" s="10">
        <v>9</v>
      </c>
      <c r="U245" s="10">
        <v>24</v>
      </c>
      <c r="V245" s="10">
        <v>2</v>
      </c>
      <c r="W245" s="10">
        <v>9</v>
      </c>
      <c r="X245" s="10">
        <v>4</v>
      </c>
      <c r="Y245" s="10">
        <v>13</v>
      </c>
      <c r="Z245" s="10">
        <v>1.0833333333333299</v>
      </c>
      <c r="AA245" s="10">
        <v>2.1428571428571401</v>
      </c>
      <c r="AB245" s="10">
        <v>1.28571428571429</v>
      </c>
      <c r="AC245" s="10">
        <v>1.8</v>
      </c>
      <c r="AD245" s="10">
        <v>0.8</v>
      </c>
    </row>
    <row r="246" spans="1:30" x14ac:dyDescent="0.3">
      <c r="A246" s="7" t="s">
        <v>2670</v>
      </c>
      <c r="B246" s="12" t="s">
        <v>994</v>
      </c>
      <c r="C246" s="10">
        <v>3.5</v>
      </c>
      <c r="D246" s="10">
        <v>2.3333333333333299</v>
      </c>
      <c r="E246" s="9">
        <v>6</v>
      </c>
      <c r="F246" s="9">
        <v>6</v>
      </c>
      <c r="G246" s="9">
        <v>12</v>
      </c>
      <c r="H246" s="10">
        <v>2.0833333333333299</v>
      </c>
      <c r="I246" s="10">
        <v>2.6</v>
      </c>
      <c r="J246" s="11">
        <v>0</v>
      </c>
      <c r="K246" s="11">
        <v>1</v>
      </c>
      <c r="L246" s="11">
        <v>0.91666666666666696</v>
      </c>
      <c r="M246" s="11">
        <v>0.5</v>
      </c>
      <c r="N246" s="11">
        <v>0.25</v>
      </c>
      <c r="O246" s="11">
        <v>0.66666666666666696</v>
      </c>
      <c r="P246" s="10">
        <v>1.24305555555555</v>
      </c>
      <c r="Q246" s="10">
        <v>1.11492401335497</v>
      </c>
      <c r="R246" s="8" t="s">
        <v>10653</v>
      </c>
      <c r="S246" s="10">
        <v>14</v>
      </c>
      <c r="T246" s="10">
        <v>11</v>
      </c>
      <c r="U246" s="10">
        <v>25</v>
      </c>
      <c r="V246" s="10">
        <v>2.0833333333333299</v>
      </c>
      <c r="W246" s="10">
        <v>7</v>
      </c>
      <c r="X246" s="10">
        <v>3</v>
      </c>
      <c r="Y246" s="10">
        <v>10</v>
      </c>
      <c r="Z246" s="10">
        <v>0.83333333333333304</v>
      </c>
      <c r="AA246" s="10">
        <v>2.3333333333333299</v>
      </c>
      <c r="AB246" s="10">
        <v>1.1666666666666701</v>
      </c>
      <c r="AC246" s="10">
        <v>1.8333333333333299</v>
      </c>
      <c r="AD246" s="10">
        <v>0.5</v>
      </c>
    </row>
    <row r="247" spans="1:30" x14ac:dyDescent="0.3">
      <c r="A247" s="7" t="s">
        <v>163</v>
      </c>
      <c r="B247" s="12" t="s">
        <v>844</v>
      </c>
      <c r="C247" s="10">
        <v>3.2</v>
      </c>
      <c r="D247" s="10">
        <v>4.71428571428571</v>
      </c>
      <c r="E247" s="9">
        <v>5</v>
      </c>
      <c r="F247" s="9">
        <v>7</v>
      </c>
      <c r="G247" s="9">
        <v>12</v>
      </c>
      <c r="H247" s="10">
        <v>1.75</v>
      </c>
      <c r="I247" s="10">
        <v>3.57</v>
      </c>
      <c r="J247" s="11">
        <v>0.25</v>
      </c>
      <c r="K247" s="11">
        <v>1</v>
      </c>
      <c r="L247" s="11">
        <v>0.83333333333333304</v>
      </c>
      <c r="M247" s="11">
        <v>0.83333333333333304</v>
      </c>
      <c r="N247" s="11">
        <v>0.66666666666666696</v>
      </c>
      <c r="O247" s="11">
        <v>0.75</v>
      </c>
      <c r="P247" s="10">
        <v>1.8541666666666701</v>
      </c>
      <c r="Q247" s="10">
        <v>1.36167788653068</v>
      </c>
      <c r="R247" s="8" t="s">
        <v>10653</v>
      </c>
      <c r="S247" s="10">
        <v>8</v>
      </c>
      <c r="T247" s="10">
        <v>13</v>
      </c>
      <c r="U247" s="10">
        <v>21</v>
      </c>
      <c r="V247" s="10">
        <v>1.75</v>
      </c>
      <c r="W247" s="10">
        <v>8</v>
      </c>
      <c r="X247" s="10">
        <v>20</v>
      </c>
      <c r="Y247" s="10">
        <v>28</v>
      </c>
      <c r="Z247" s="10">
        <v>2.3333333333333299</v>
      </c>
      <c r="AA247" s="10">
        <v>1.6</v>
      </c>
      <c r="AB247" s="10">
        <v>1.6</v>
      </c>
      <c r="AC247" s="10">
        <v>1.8571428571428601</v>
      </c>
      <c r="AD247" s="10">
        <v>2.8571428571428599</v>
      </c>
    </row>
    <row r="248" spans="1:30" x14ac:dyDescent="0.3">
      <c r="A248" s="7" t="s">
        <v>3698</v>
      </c>
      <c r="B248" s="12" t="s">
        <v>3663</v>
      </c>
      <c r="C248" s="10">
        <v>2.3333333333333299</v>
      </c>
      <c r="D248" s="10">
        <v>3</v>
      </c>
      <c r="E248" s="9">
        <v>6</v>
      </c>
      <c r="F248" s="9">
        <v>6</v>
      </c>
      <c r="G248" s="9">
        <v>12</v>
      </c>
      <c r="H248" s="10">
        <v>1.1666666666666701</v>
      </c>
      <c r="I248" s="10">
        <v>2.5</v>
      </c>
      <c r="J248" s="11">
        <v>0.16666666666666699</v>
      </c>
      <c r="K248" s="11">
        <v>0.91666666666666696</v>
      </c>
      <c r="L248" s="11">
        <v>0.91666666666666696</v>
      </c>
      <c r="M248" s="11">
        <v>0.58333333333333304</v>
      </c>
      <c r="N248" s="11">
        <v>0.25</v>
      </c>
      <c r="O248" s="11">
        <v>0.75</v>
      </c>
      <c r="P248" s="10">
        <v>0.47222222222222199</v>
      </c>
      <c r="Q248" s="10">
        <v>0.68718427093627699</v>
      </c>
      <c r="R248" s="8" t="s">
        <v>10653</v>
      </c>
      <c r="S248" s="10">
        <v>5</v>
      </c>
      <c r="T248" s="10">
        <v>9</v>
      </c>
      <c r="U248" s="10">
        <v>14</v>
      </c>
      <c r="V248" s="10">
        <v>1.1666666666666701</v>
      </c>
      <c r="W248" s="10">
        <v>9</v>
      </c>
      <c r="X248" s="10">
        <v>9</v>
      </c>
      <c r="Y248" s="10">
        <v>18</v>
      </c>
      <c r="Z248" s="10">
        <v>1.5</v>
      </c>
      <c r="AA248" s="10">
        <v>0.83333333333333304</v>
      </c>
      <c r="AB248" s="10">
        <v>1.5</v>
      </c>
      <c r="AC248" s="10">
        <v>1.5</v>
      </c>
      <c r="AD248" s="10">
        <v>1.5</v>
      </c>
    </row>
    <row r="249" spans="1:30" x14ac:dyDescent="0.3">
      <c r="A249" s="7" t="s">
        <v>5297</v>
      </c>
      <c r="B249" s="12" t="s">
        <v>1339</v>
      </c>
      <c r="C249" s="10">
        <v>3.8</v>
      </c>
      <c r="D249" s="10">
        <v>3.5714285714285698</v>
      </c>
      <c r="E249" s="9">
        <v>5</v>
      </c>
      <c r="F249" s="9">
        <v>7</v>
      </c>
      <c r="G249" s="9">
        <v>12</v>
      </c>
      <c r="H249" s="10">
        <v>1.75</v>
      </c>
      <c r="I249" s="10">
        <v>2.5</v>
      </c>
      <c r="J249" s="11">
        <v>8.3333333333333301E-2</v>
      </c>
      <c r="K249" s="11">
        <v>1</v>
      </c>
      <c r="L249" s="11">
        <v>0.83333333333333304</v>
      </c>
      <c r="M249" s="11">
        <v>0.83333333333333304</v>
      </c>
      <c r="N249" s="11">
        <v>0.5</v>
      </c>
      <c r="O249" s="11">
        <v>0.75</v>
      </c>
      <c r="P249" s="10">
        <v>1.1875</v>
      </c>
      <c r="Q249" s="10">
        <v>1.08972473588517</v>
      </c>
      <c r="R249" s="8" t="s">
        <v>10653</v>
      </c>
      <c r="S249" s="10">
        <v>9</v>
      </c>
      <c r="T249" s="10">
        <v>12</v>
      </c>
      <c r="U249" s="10">
        <v>21</v>
      </c>
      <c r="V249" s="10">
        <v>1.75</v>
      </c>
      <c r="W249" s="10">
        <v>10</v>
      </c>
      <c r="X249" s="10">
        <v>13</v>
      </c>
      <c r="Y249" s="10">
        <v>23</v>
      </c>
      <c r="Z249" s="10">
        <v>1.9166666666666701</v>
      </c>
      <c r="AA249" s="10">
        <v>1.8</v>
      </c>
      <c r="AB249" s="10">
        <v>2</v>
      </c>
      <c r="AC249" s="10">
        <v>1.71428571428571</v>
      </c>
      <c r="AD249" s="10">
        <v>1.8571428571428601</v>
      </c>
    </row>
    <row r="250" spans="1:30" x14ac:dyDescent="0.3">
      <c r="A250" s="7" t="s">
        <v>5061</v>
      </c>
      <c r="B250" s="12" t="s">
        <v>954</v>
      </c>
      <c r="C250" s="10">
        <v>2</v>
      </c>
      <c r="D250" s="10">
        <v>2.5714285714285698</v>
      </c>
      <c r="E250" s="9">
        <v>5</v>
      </c>
      <c r="F250" s="9">
        <v>7</v>
      </c>
      <c r="G250" s="9">
        <v>12</v>
      </c>
      <c r="H250" s="10">
        <v>1.3333333333333299</v>
      </c>
      <c r="I250" s="10">
        <v>2.5</v>
      </c>
      <c r="J250" s="11">
        <v>0.16666666666666699</v>
      </c>
      <c r="K250" s="11">
        <v>1</v>
      </c>
      <c r="L250" s="11">
        <v>0.66666666666666696</v>
      </c>
      <c r="M250" s="11">
        <v>0.41666666666666702</v>
      </c>
      <c r="N250" s="11">
        <v>0.16666666666666699</v>
      </c>
      <c r="O250" s="11">
        <v>0.41666666666666702</v>
      </c>
      <c r="P250" s="10">
        <v>0.88888888888888895</v>
      </c>
      <c r="Q250" s="10">
        <v>0.94280904158206302</v>
      </c>
      <c r="R250" s="8" t="s">
        <v>10653</v>
      </c>
      <c r="S250" s="10">
        <v>6</v>
      </c>
      <c r="T250" s="10">
        <v>10</v>
      </c>
      <c r="U250" s="10">
        <v>16</v>
      </c>
      <c r="V250" s="10">
        <v>1.3333333333333299</v>
      </c>
      <c r="W250" s="10">
        <v>4</v>
      </c>
      <c r="X250" s="10">
        <v>8</v>
      </c>
      <c r="Y250" s="10">
        <v>12</v>
      </c>
      <c r="Z250" s="10">
        <v>1</v>
      </c>
      <c r="AA250" s="10">
        <v>1.2</v>
      </c>
      <c r="AB250" s="10">
        <v>0.8</v>
      </c>
      <c r="AC250" s="10">
        <v>1.4285714285714299</v>
      </c>
      <c r="AD250" s="10">
        <v>1.1428571428571399</v>
      </c>
    </row>
    <row r="251" spans="1:30" x14ac:dyDescent="0.3">
      <c r="A251" s="7" t="s">
        <v>6376</v>
      </c>
      <c r="B251" s="12" t="s">
        <v>960</v>
      </c>
      <c r="C251" s="10">
        <v>1.8333333333333299</v>
      </c>
      <c r="D251" s="10">
        <v>2.8333333333333299</v>
      </c>
      <c r="E251" s="9">
        <v>6</v>
      </c>
      <c r="F251" s="9">
        <v>6</v>
      </c>
      <c r="G251" s="9">
        <v>12</v>
      </c>
      <c r="H251" s="10">
        <v>1.6666666666666701</v>
      </c>
      <c r="I251" s="10">
        <v>2.5</v>
      </c>
      <c r="J251" s="11">
        <v>0.16666666666666699</v>
      </c>
      <c r="K251" s="11">
        <v>1</v>
      </c>
      <c r="L251" s="11">
        <v>0.66666666666666696</v>
      </c>
      <c r="M251" s="11">
        <v>0.33333333333333298</v>
      </c>
      <c r="N251" s="11">
        <v>0.16666666666666699</v>
      </c>
      <c r="O251" s="11">
        <v>0.33333333333333298</v>
      </c>
      <c r="P251" s="10">
        <v>1.2222222222222201</v>
      </c>
      <c r="Q251" s="10">
        <v>1.1055415967851301</v>
      </c>
      <c r="R251" s="8" t="s">
        <v>10653</v>
      </c>
      <c r="S251" s="10">
        <v>9</v>
      </c>
      <c r="T251" s="10">
        <v>11</v>
      </c>
      <c r="U251" s="10">
        <v>20</v>
      </c>
      <c r="V251" s="10">
        <v>1.6666666666666701</v>
      </c>
      <c r="W251" s="10">
        <v>2</v>
      </c>
      <c r="X251" s="10">
        <v>6</v>
      </c>
      <c r="Y251" s="10">
        <v>8</v>
      </c>
      <c r="Z251" s="10">
        <v>0.66666666666666696</v>
      </c>
      <c r="AA251" s="10">
        <v>1.5</v>
      </c>
      <c r="AB251" s="10">
        <v>0.33333333333333298</v>
      </c>
      <c r="AC251" s="10">
        <v>1.8333333333333299</v>
      </c>
      <c r="AD251" s="10">
        <v>1</v>
      </c>
    </row>
    <row r="252" spans="1:30" x14ac:dyDescent="0.3">
      <c r="A252" s="7" t="s">
        <v>929</v>
      </c>
      <c r="B252" s="12" t="s">
        <v>4055</v>
      </c>
      <c r="C252" s="10">
        <v>2</v>
      </c>
      <c r="D252" s="10">
        <v>1.8333333333333299</v>
      </c>
      <c r="E252" s="9">
        <v>6</v>
      </c>
      <c r="F252" s="9">
        <v>6</v>
      </c>
      <c r="G252" s="9">
        <v>12</v>
      </c>
      <c r="H252" s="10">
        <v>1.0833333333333299</v>
      </c>
      <c r="I252" s="10">
        <v>2.5</v>
      </c>
      <c r="J252" s="11">
        <v>0.41666666666666702</v>
      </c>
      <c r="K252" s="11">
        <v>0.91666666666666696</v>
      </c>
      <c r="L252" s="11">
        <v>0.58333333333333304</v>
      </c>
      <c r="M252" s="11">
        <v>0.33333333333333298</v>
      </c>
      <c r="N252" s="11">
        <v>8.3333333333333301E-2</v>
      </c>
      <c r="O252" s="11">
        <v>0.41666666666666702</v>
      </c>
      <c r="P252" s="10">
        <v>1.24305555555556</v>
      </c>
      <c r="Q252" s="10">
        <v>1.11492401335497</v>
      </c>
      <c r="R252" s="8" t="s">
        <v>10653</v>
      </c>
      <c r="S252" s="10">
        <v>7</v>
      </c>
      <c r="T252" s="10">
        <v>6</v>
      </c>
      <c r="U252" s="10">
        <v>13</v>
      </c>
      <c r="V252" s="10">
        <v>1.0833333333333299</v>
      </c>
      <c r="W252" s="10">
        <v>5</v>
      </c>
      <c r="X252" s="10">
        <v>5</v>
      </c>
      <c r="Y252" s="10">
        <v>10</v>
      </c>
      <c r="Z252" s="10">
        <v>0.83333333333333304</v>
      </c>
      <c r="AA252" s="10">
        <v>1.1666666666666701</v>
      </c>
      <c r="AB252" s="10">
        <v>0.83333333333333304</v>
      </c>
      <c r="AC252" s="10">
        <v>1</v>
      </c>
      <c r="AD252" s="10">
        <v>0.83333333333333304</v>
      </c>
    </row>
    <row r="253" spans="1:30" x14ac:dyDescent="0.3">
      <c r="A253" s="7" t="s">
        <v>702</v>
      </c>
      <c r="B253" s="12" t="s">
        <v>4291</v>
      </c>
      <c r="C253" s="10">
        <v>3.5714285714285698</v>
      </c>
      <c r="D253" s="10">
        <v>2.6</v>
      </c>
      <c r="E253" s="9">
        <v>7</v>
      </c>
      <c r="F253" s="9">
        <v>5</v>
      </c>
      <c r="G253" s="9">
        <v>12</v>
      </c>
      <c r="H253" s="10">
        <v>1.5833333333333299</v>
      </c>
      <c r="I253" s="10">
        <v>3.55</v>
      </c>
      <c r="J253" s="11">
        <v>0.33333333333333298</v>
      </c>
      <c r="K253" s="11">
        <v>1</v>
      </c>
      <c r="L253" s="11">
        <v>0.66666666666666696</v>
      </c>
      <c r="M253" s="11">
        <v>0.66666666666666696</v>
      </c>
      <c r="N253" s="11">
        <v>0.33333333333333298</v>
      </c>
      <c r="O253" s="11">
        <v>0.41666666666666702</v>
      </c>
      <c r="P253" s="10">
        <v>1.9097222222222201</v>
      </c>
      <c r="Q253" s="10">
        <v>1.38192699598142</v>
      </c>
      <c r="R253" s="8" t="s">
        <v>10653</v>
      </c>
      <c r="S253" s="10">
        <v>14</v>
      </c>
      <c r="T253" s="10">
        <v>5</v>
      </c>
      <c r="U253" s="10">
        <v>19</v>
      </c>
      <c r="V253" s="10">
        <v>1.5833333333333299</v>
      </c>
      <c r="W253" s="10">
        <v>11</v>
      </c>
      <c r="X253" s="10">
        <v>8</v>
      </c>
      <c r="Y253" s="10">
        <v>19</v>
      </c>
      <c r="Z253" s="10">
        <v>1.5833333333333299</v>
      </c>
      <c r="AA253" s="10">
        <v>2</v>
      </c>
      <c r="AB253" s="10">
        <v>1.5714285714285701</v>
      </c>
      <c r="AC253" s="10">
        <v>1</v>
      </c>
      <c r="AD253" s="10">
        <v>1.6</v>
      </c>
    </row>
    <row r="254" spans="1:30" x14ac:dyDescent="0.3">
      <c r="A254" s="7" t="s">
        <v>4101</v>
      </c>
      <c r="B254" s="12" t="s">
        <v>4055</v>
      </c>
      <c r="C254" s="10">
        <v>2.1666666666666701</v>
      </c>
      <c r="D254" s="10">
        <v>2.3333333333333299</v>
      </c>
      <c r="E254" s="9">
        <v>6</v>
      </c>
      <c r="F254" s="9">
        <v>6</v>
      </c>
      <c r="G254" s="9">
        <v>12</v>
      </c>
      <c r="H254" s="10">
        <v>1.1666666666666701</v>
      </c>
      <c r="I254" s="10">
        <v>2.5</v>
      </c>
      <c r="J254" s="11">
        <v>0.16666666666666699</v>
      </c>
      <c r="K254" s="11">
        <v>1</v>
      </c>
      <c r="L254" s="11">
        <v>0.75</v>
      </c>
      <c r="M254" s="11">
        <v>0.33333333333333298</v>
      </c>
      <c r="N254" s="11">
        <v>0.16666666666666699</v>
      </c>
      <c r="O254" s="11">
        <v>0.58333333333333304</v>
      </c>
      <c r="P254" s="10">
        <v>0.80555555555555503</v>
      </c>
      <c r="Q254" s="10">
        <v>0.89752746785574999</v>
      </c>
      <c r="R254" s="8" t="s">
        <v>10653</v>
      </c>
      <c r="S254" s="10">
        <v>8</v>
      </c>
      <c r="T254" s="10">
        <v>6</v>
      </c>
      <c r="U254" s="10">
        <v>14</v>
      </c>
      <c r="V254" s="10">
        <v>1.1666666666666701</v>
      </c>
      <c r="W254" s="10">
        <v>5</v>
      </c>
      <c r="X254" s="10">
        <v>8</v>
      </c>
      <c r="Y254" s="10">
        <v>13</v>
      </c>
      <c r="Z254" s="10">
        <v>1.0833333333333299</v>
      </c>
      <c r="AA254" s="10">
        <v>1.3333333333333299</v>
      </c>
      <c r="AB254" s="10">
        <v>0.83333333333333304</v>
      </c>
      <c r="AC254" s="10">
        <v>1</v>
      </c>
      <c r="AD254" s="10">
        <v>1.3333333333333299</v>
      </c>
    </row>
    <row r="255" spans="1:30" x14ac:dyDescent="0.3">
      <c r="A255" s="7" t="s">
        <v>7292</v>
      </c>
      <c r="B255" s="12" t="s">
        <v>847</v>
      </c>
      <c r="C255" s="10">
        <v>3.375</v>
      </c>
      <c r="D255" s="10">
        <v>3</v>
      </c>
      <c r="E255" s="9">
        <v>8</v>
      </c>
      <c r="F255" s="9">
        <v>4</v>
      </c>
      <c r="G255" s="9">
        <v>12</v>
      </c>
      <c r="H255" s="10">
        <v>1.75</v>
      </c>
      <c r="I255" s="10">
        <v>2.5</v>
      </c>
      <c r="J255" s="11">
        <v>0.25</v>
      </c>
      <c r="K255" s="11">
        <v>1</v>
      </c>
      <c r="L255" s="11">
        <v>0.75</v>
      </c>
      <c r="M255" s="11">
        <v>0.66666666666666696</v>
      </c>
      <c r="N255" s="11">
        <v>0.5</v>
      </c>
      <c r="O255" s="11">
        <v>0.66666666666666696</v>
      </c>
      <c r="P255" s="10">
        <v>2.1875</v>
      </c>
      <c r="Q255" s="10">
        <v>1.4790199457749</v>
      </c>
      <c r="R255" s="8" t="s">
        <v>10653</v>
      </c>
      <c r="S255" s="10">
        <v>13</v>
      </c>
      <c r="T255" s="10">
        <v>8</v>
      </c>
      <c r="U255" s="10">
        <v>21</v>
      </c>
      <c r="V255" s="10">
        <v>1.75</v>
      </c>
      <c r="W255" s="10">
        <v>14</v>
      </c>
      <c r="X255" s="10">
        <v>4</v>
      </c>
      <c r="Y255" s="10">
        <v>18</v>
      </c>
      <c r="Z255" s="10">
        <v>1.5</v>
      </c>
      <c r="AA255" s="10">
        <v>1.625</v>
      </c>
      <c r="AB255" s="10">
        <v>1.75</v>
      </c>
      <c r="AC255" s="10">
        <v>2</v>
      </c>
      <c r="AD255" s="10">
        <v>1</v>
      </c>
    </row>
    <row r="256" spans="1:30" x14ac:dyDescent="0.3">
      <c r="A256" s="7" t="s">
        <v>4206</v>
      </c>
      <c r="B256" s="12" t="s">
        <v>4055</v>
      </c>
      <c r="C256" s="10">
        <v>2.1666666666666701</v>
      </c>
      <c r="D256" s="10">
        <v>2.1666666666666701</v>
      </c>
      <c r="E256" s="9">
        <v>6</v>
      </c>
      <c r="F256" s="9">
        <v>6</v>
      </c>
      <c r="G256" s="9">
        <v>12</v>
      </c>
      <c r="H256" s="10">
        <v>1.25</v>
      </c>
      <c r="I256" s="10">
        <v>2.5</v>
      </c>
      <c r="J256" s="11">
        <v>0.25</v>
      </c>
      <c r="K256" s="11">
        <v>0.91666666666666696</v>
      </c>
      <c r="L256" s="11">
        <v>0.58333333333333304</v>
      </c>
      <c r="M256" s="11">
        <v>0.41666666666666702</v>
      </c>
      <c r="N256" s="11">
        <v>0.16666666666666699</v>
      </c>
      <c r="O256" s="11">
        <v>0.41666666666666702</v>
      </c>
      <c r="P256" s="10">
        <v>1.0208333333333299</v>
      </c>
      <c r="Q256" s="10">
        <v>1.01036297108185</v>
      </c>
      <c r="R256" s="8" t="s">
        <v>10653</v>
      </c>
      <c r="S256" s="10">
        <v>8</v>
      </c>
      <c r="T256" s="10">
        <v>7</v>
      </c>
      <c r="U256" s="10">
        <v>15</v>
      </c>
      <c r="V256" s="10">
        <v>1.25</v>
      </c>
      <c r="W256" s="10">
        <v>5</v>
      </c>
      <c r="X256" s="10">
        <v>6</v>
      </c>
      <c r="Y256" s="10">
        <v>11</v>
      </c>
      <c r="Z256" s="10">
        <v>0.91666666666666696</v>
      </c>
      <c r="AA256" s="10">
        <v>1.3333333333333299</v>
      </c>
      <c r="AB256" s="10">
        <v>0.83333333333333304</v>
      </c>
      <c r="AC256" s="10">
        <v>1.1666666666666701</v>
      </c>
      <c r="AD256" s="10">
        <v>1</v>
      </c>
    </row>
    <row r="257" spans="1:30" x14ac:dyDescent="0.3">
      <c r="A257" s="7" t="s">
        <v>6114</v>
      </c>
      <c r="B257" s="12" t="s">
        <v>6105</v>
      </c>
      <c r="C257" s="10">
        <v>3</v>
      </c>
      <c r="D257" s="10">
        <v>3</v>
      </c>
      <c r="E257" s="9">
        <v>5</v>
      </c>
      <c r="F257" s="9">
        <v>7</v>
      </c>
      <c r="G257" s="9">
        <v>12</v>
      </c>
      <c r="H257" s="10">
        <v>0.83333333333333304</v>
      </c>
      <c r="I257" s="10">
        <v>2.5</v>
      </c>
      <c r="J257" s="11">
        <v>0.33333333333333298</v>
      </c>
      <c r="K257" s="11">
        <v>0.91666666666666696</v>
      </c>
      <c r="L257" s="11">
        <v>0.75</v>
      </c>
      <c r="M257" s="11">
        <v>0.66666666666666696</v>
      </c>
      <c r="N257" s="11">
        <v>0.33333333333333298</v>
      </c>
      <c r="O257" s="11">
        <v>0.5</v>
      </c>
      <c r="P257" s="10">
        <v>0.47222222222222199</v>
      </c>
      <c r="Q257" s="10">
        <v>0.68718427093627699</v>
      </c>
      <c r="R257" s="8" t="s">
        <v>10653</v>
      </c>
      <c r="S257" s="10">
        <v>3</v>
      </c>
      <c r="T257" s="10">
        <v>7</v>
      </c>
      <c r="U257" s="10">
        <v>10</v>
      </c>
      <c r="V257" s="10">
        <v>0.83333333333333304</v>
      </c>
      <c r="W257" s="10">
        <v>12</v>
      </c>
      <c r="X257" s="10">
        <v>14</v>
      </c>
      <c r="Y257" s="10">
        <v>26</v>
      </c>
      <c r="Z257" s="10">
        <v>2.1666666666666701</v>
      </c>
      <c r="AA257" s="10">
        <v>0.6</v>
      </c>
      <c r="AB257" s="10">
        <v>2.4</v>
      </c>
      <c r="AC257" s="10">
        <v>1</v>
      </c>
      <c r="AD257" s="10">
        <v>2</v>
      </c>
    </row>
    <row r="258" spans="1:30" x14ac:dyDescent="0.3">
      <c r="A258" s="7" t="s">
        <v>5862</v>
      </c>
      <c r="B258" s="12" t="s">
        <v>1340</v>
      </c>
      <c r="C258" s="10">
        <v>2.3333333333333299</v>
      </c>
      <c r="D258" s="10">
        <v>3</v>
      </c>
      <c r="E258" s="9">
        <v>6</v>
      </c>
      <c r="F258" s="9">
        <v>6</v>
      </c>
      <c r="G258" s="9">
        <v>12</v>
      </c>
      <c r="H258" s="10">
        <v>1.3333333333333299</v>
      </c>
      <c r="I258" s="10">
        <v>2.5</v>
      </c>
      <c r="J258" s="11">
        <v>0.33333333333333298</v>
      </c>
      <c r="K258" s="11">
        <v>0.83333333333333304</v>
      </c>
      <c r="L258" s="11">
        <v>0.83333333333333304</v>
      </c>
      <c r="M258" s="11">
        <v>0.41666666666666702</v>
      </c>
      <c r="N258" s="11">
        <v>0.33333333333333298</v>
      </c>
      <c r="O258" s="11">
        <v>0.5</v>
      </c>
      <c r="P258" s="10">
        <v>1.55555555555556</v>
      </c>
      <c r="Q258" s="10">
        <v>1.2472191289246499</v>
      </c>
      <c r="R258" s="8" t="s">
        <v>10653</v>
      </c>
      <c r="S258" s="10">
        <v>9</v>
      </c>
      <c r="T258" s="10">
        <v>7</v>
      </c>
      <c r="U258" s="10">
        <v>16</v>
      </c>
      <c r="V258" s="10">
        <v>1.3333333333333299</v>
      </c>
      <c r="W258" s="10">
        <v>5</v>
      </c>
      <c r="X258" s="10">
        <v>11</v>
      </c>
      <c r="Y258" s="10">
        <v>16</v>
      </c>
      <c r="Z258" s="10">
        <v>1.3333333333333299</v>
      </c>
      <c r="AA258" s="10">
        <v>1.5</v>
      </c>
      <c r="AB258" s="10">
        <v>0.83333333333333304</v>
      </c>
      <c r="AC258" s="10">
        <v>1.1666666666666701</v>
      </c>
      <c r="AD258" s="10">
        <v>1.8333333333333299</v>
      </c>
    </row>
    <row r="259" spans="1:30" x14ac:dyDescent="0.3">
      <c r="A259" s="7" t="s">
        <v>6674</v>
      </c>
      <c r="B259" s="12" t="s">
        <v>1338</v>
      </c>
      <c r="C259" s="10">
        <v>3</v>
      </c>
      <c r="D259" s="10">
        <v>2.4</v>
      </c>
      <c r="E259" s="9">
        <v>7</v>
      </c>
      <c r="F259" s="9">
        <v>5</v>
      </c>
      <c r="G259" s="9">
        <v>12</v>
      </c>
      <c r="H259" s="10">
        <v>1.25</v>
      </c>
      <c r="I259" s="10">
        <v>2.5</v>
      </c>
      <c r="J259" s="11">
        <v>0.41666666666666702</v>
      </c>
      <c r="K259" s="11">
        <v>1</v>
      </c>
      <c r="L259" s="11">
        <v>1</v>
      </c>
      <c r="M259" s="11">
        <v>0.5</v>
      </c>
      <c r="N259" s="11">
        <v>0.25</v>
      </c>
      <c r="O259" s="11">
        <v>0.33333333333333298</v>
      </c>
      <c r="P259" s="10">
        <v>1.6875</v>
      </c>
      <c r="Q259" s="10">
        <v>1.29903810567666</v>
      </c>
      <c r="R259" s="8" t="s">
        <v>10653</v>
      </c>
      <c r="S259" s="10">
        <v>11</v>
      </c>
      <c r="T259" s="10">
        <v>4</v>
      </c>
      <c r="U259" s="10">
        <v>15</v>
      </c>
      <c r="V259" s="10">
        <v>1.25</v>
      </c>
      <c r="W259" s="10">
        <v>10</v>
      </c>
      <c r="X259" s="10">
        <v>8</v>
      </c>
      <c r="Y259" s="10">
        <v>18</v>
      </c>
      <c r="Z259" s="10">
        <v>1.5</v>
      </c>
      <c r="AA259" s="10">
        <v>1.5714285714285701</v>
      </c>
      <c r="AB259" s="10">
        <v>1.4285714285714299</v>
      </c>
      <c r="AC259" s="10">
        <v>0.8</v>
      </c>
      <c r="AD259" s="10">
        <v>1.6</v>
      </c>
    </row>
    <row r="260" spans="1:30" x14ac:dyDescent="0.3">
      <c r="A260" s="7" t="s">
        <v>6420</v>
      </c>
      <c r="B260" s="12" t="s">
        <v>960</v>
      </c>
      <c r="C260" s="10">
        <v>3.6666666666666701</v>
      </c>
      <c r="D260" s="10">
        <v>3</v>
      </c>
      <c r="E260" s="9">
        <v>6</v>
      </c>
      <c r="F260" s="9">
        <v>6</v>
      </c>
      <c r="G260" s="9">
        <v>12</v>
      </c>
      <c r="H260" s="10">
        <v>2.0833333333333299</v>
      </c>
      <c r="I260" s="10">
        <v>2.5</v>
      </c>
      <c r="J260" s="11">
        <v>8.3333333333333301E-2</v>
      </c>
      <c r="K260" s="11">
        <v>1</v>
      </c>
      <c r="L260" s="11">
        <v>1</v>
      </c>
      <c r="M260" s="11">
        <v>0.66666666666666696</v>
      </c>
      <c r="N260" s="11">
        <v>0.41666666666666702</v>
      </c>
      <c r="O260" s="11">
        <v>0.58333333333333304</v>
      </c>
      <c r="P260" s="10">
        <v>1.24305555555555</v>
      </c>
      <c r="Q260" s="10">
        <v>1.11492401335497</v>
      </c>
      <c r="R260" s="8" t="s">
        <v>10653</v>
      </c>
      <c r="S260" s="10">
        <v>11</v>
      </c>
      <c r="T260" s="10">
        <v>14</v>
      </c>
      <c r="U260" s="10">
        <v>25</v>
      </c>
      <c r="V260" s="10">
        <v>2.0833333333333299</v>
      </c>
      <c r="W260" s="10">
        <v>11</v>
      </c>
      <c r="X260" s="10">
        <v>4</v>
      </c>
      <c r="Y260" s="10">
        <v>15</v>
      </c>
      <c r="Z260" s="10">
        <v>1.25</v>
      </c>
      <c r="AA260" s="10">
        <v>1.8333333333333299</v>
      </c>
      <c r="AB260" s="10">
        <v>1.8333333333333299</v>
      </c>
      <c r="AC260" s="10">
        <v>2.3333333333333299</v>
      </c>
      <c r="AD260" s="10">
        <v>0.66666666666666696</v>
      </c>
    </row>
    <row r="261" spans="1:30" x14ac:dyDescent="0.3">
      <c r="A261" s="7" t="s">
        <v>5855</v>
      </c>
      <c r="B261" s="12" t="s">
        <v>1340</v>
      </c>
      <c r="C261" s="10">
        <v>3.28571428571429</v>
      </c>
      <c r="D261" s="10">
        <v>3.8</v>
      </c>
      <c r="E261" s="9">
        <v>7</v>
      </c>
      <c r="F261" s="9">
        <v>5</v>
      </c>
      <c r="G261" s="9">
        <v>12</v>
      </c>
      <c r="H261" s="10">
        <v>1.8333333333333299</v>
      </c>
      <c r="I261" s="10">
        <v>2.5</v>
      </c>
      <c r="J261" s="11">
        <v>0.16666666666666699</v>
      </c>
      <c r="K261" s="11">
        <v>1</v>
      </c>
      <c r="L261" s="11">
        <v>0.91666666666666696</v>
      </c>
      <c r="M261" s="11">
        <v>0.83333333333333304</v>
      </c>
      <c r="N261" s="11">
        <v>0.41666666666666702</v>
      </c>
      <c r="O261" s="11">
        <v>0.58333333333333304</v>
      </c>
      <c r="P261" s="10">
        <v>1.4722222222222201</v>
      </c>
      <c r="Q261" s="10">
        <v>1.2133516482134199</v>
      </c>
      <c r="R261" s="8" t="s">
        <v>10653</v>
      </c>
      <c r="S261" s="10">
        <v>15</v>
      </c>
      <c r="T261" s="10">
        <v>7</v>
      </c>
      <c r="U261" s="10">
        <v>22</v>
      </c>
      <c r="V261" s="10">
        <v>1.8333333333333299</v>
      </c>
      <c r="W261" s="10">
        <v>8</v>
      </c>
      <c r="X261" s="10">
        <v>12</v>
      </c>
      <c r="Y261" s="10">
        <v>20</v>
      </c>
      <c r="Z261" s="10">
        <v>1.6666666666666701</v>
      </c>
      <c r="AA261" s="10">
        <v>2.1428571428571401</v>
      </c>
      <c r="AB261" s="10">
        <v>1.1428571428571399</v>
      </c>
      <c r="AC261" s="10">
        <v>1.4</v>
      </c>
      <c r="AD261" s="10">
        <v>2.4</v>
      </c>
    </row>
    <row r="262" spans="1:30" x14ac:dyDescent="0.3">
      <c r="A262" s="7" t="s">
        <v>895</v>
      </c>
      <c r="B262" s="12" t="s">
        <v>851</v>
      </c>
      <c r="C262" s="10">
        <v>3</v>
      </c>
      <c r="D262" s="10">
        <v>4</v>
      </c>
      <c r="E262" s="9">
        <v>8</v>
      </c>
      <c r="F262" s="9">
        <v>4</v>
      </c>
      <c r="G262" s="9">
        <v>12</v>
      </c>
      <c r="H262" s="10">
        <v>2.5</v>
      </c>
      <c r="I262" s="10">
        <v>3.76</v>
      </c>
      <c r="J262" s="11">
        <v>0</v>
      </c>
      <c r="K262" s="11">
        <v>1</v>
      </c>
      <c r="L262" s="11">
        <v>0.66666666666666696</v>
      </c>
      <c r="M262" s="11">
        <v>0.5</v>
      </c>
      <c r="N262" s="11">
        <v>0.33333333333333298</v>
      </c>
      <c r="O262" s="11">
        <v>0.41666666666666702</v>
      </c>
      <c r="P262" s="10">
        <v>2.9166666666666701</v>
      </c>
      <c r="Q262" s="10">
        <v>1.7078251276599301</v>
      </c>
      <c r="R262" s="8" t="s">
        <v>10653</v>
      </c>
      <c r="S262" s="10">
        <v>19</v>
      </c>
      <c r="T262" s="10">
        <v>11</v>
      </c>
      <c r="U262" s="10">
        <v>30</v>
      </c>
      <c r="V262" s="10">
        <v>2.5</v>
      </c>
      <c r="W262" s="10">
        <v>5</v>
      </c>
      <c r="X262" s="10">
        <v>5</v>
      </c>
      <c r="Y262" s="10">
        <v>10</v>
      </c>
      <c r="Z262" s="10">
        <v>0.83333333333333304</v>
      </c>
      <c r="AA262" s="10">
        <v>2.375</v>
      </c>
      <c r="AB262" s="10">
        <v>0.625</v>
      </c>
      <c r="AC262" s="10">
        <v>2.75</v>
      </c>
      <c r="AD262" s="10">
        <v>1.25</v>
      </c>
    </row>
    <row r="263" spans="1:30" x14ac:dyDescent="0.3">
      <c r="A263" s="7" t="s">
        <v>5065</v>
      </c>
      <c r="B263" s="12" t="s">
        <v>954</v>
      </c>
      <c r="C263" s="10">
        <v>2.6666666666666701</v>
      </c>
      <c r="D263" s="10">
        <v>3.5</v>
      </c>
      <c r="E263" s="9">
        <v>6</v>
      </c>
      <c r="F263" s="9">
        <v>6</v>
      </c>
      <c r="G263" s="9">
        <v>12</v>
      </c>
      <c r="H263" s="10">
        <v>1.6666666666666701</v>
      </c>
      <c r="I263" s="10">
        <v>2.5</v>
      </c>
      <c r="J263" s="11">
        <v>0.16666666666666699</v>
      </c>
      <c r="K263" s="11">
        <v>0.91666666666666696</v>
      </c>
      <c r="L263" s="11">
        <v>0.75</v>
      </c>
      <c r="M263" s="11">
        <v>0.66666666666666696</v>
      </c>
      <c r="N263" s="11">
        <v>0.5</v>
      </c>
      <c r="O263" s="11">
        <v>0.75</v>
      </c>
      <c r="P263" s="10">
        <v>1.3888888888888899</v>
      </c>
      <c r="Q263" s="10">
        <v>1.1785113019775799</v>
      </c>
      <c r="R263" s="8" t="s">
        <v>10653</v>
      </c>
      <c r="S263" s="10">
        <v>8</v>
      </c>
      <c r="T263" s="10">
        <v>12</v>
      </c>
      <c r="U263" s="10">
        <v>20</v>
      </c>
      <c r="V263" s="10">
        <v>1.6666666666666701</v>
      </c>
      <c r="W263" s="10">
        <v>8</v>
      </c>
      <c r="X263" s="10">
        <v>9</v>
      </c>
      <c r="Y263" s="10">
        <v>17</v>
      </c>
      <c r="Z263" s="10">
        <v>1.4166666666666701</v>
      </c>
      <c r="AA263" s="10">
        <v>1.3333333333333299</v>
      </c>
      <c r="AB263" s="10">
        <v>1.3333333333333299</v>
      </c>
      <c r="AC263" s="10">
        <v>2</v>
      </c>
      <c r="AD263" s="10">
        <v>1.5</v>
      </c>
    </row>
    <row r="264" spans="1:30" x14ac:dyDescent="0.3">
      <c r="A264" s="7" t="s">
        <v>1846</v>
      </c>
      <c r="B264" s="12" t="s">
        <v>1334</v>
      </c>
      <c r="C264" s="10">
        <v>3</v>
      </c>
      <c r="D264" s="10">
        <v>2.3333333333333299</v>
      </c>
      <c r="E264" s="10">
        <v>6</v>
      </c>
      <c r="F264" s="10">
        <v>6</v>
      </c>
      <c r="G264" s="10">
        <v>12</v>
      </c>
      <c r="H264" s="10">
        <v>1.25</v>
      </c>
      <c r="I264" s="10">
        <v>2.31</v>
      </c>
      <c r="J264" s="11">
        <v>0.41666666666666702</v>
      </c>
      <c r="K264" s="11">
        <v>0.91666666666666696</v>
      </c>
      <c r="L264" s="11">
        <v>0.66666666666666696</v>
      </c>
      <c r="M264" s="11">
        <v>0.5</v>
      </c>
      <c r="N264" s="11">
        <v>0.33333333333333298</v>
      </c>
      <c r="O264" s="11">
        <v>0.41666666666666702</v>
      </c>
      <c r="P264" s="10">
        <v>2.1875</v>
      </c>
      <c r="Q264" s="10">
        <v>1.4790199457749</v>
      </c>
      <c r="R264" s="8" t="s">
        <v>1541</v>
      </c>
      <c r="S264" s="10">
        <v>11</v>
      </c>
      <c r="T264" s="10">
        <v>4</v>
      </c>
      <c r="U264" s="10">
        <v>15</v>
      </c>
      <c r="V264" s="10">
        <v>1.25</v>
      </c>
      <c r="W264" s="10">
        <v>7</v>
      </c>
      <c r="X264" s="10">
        <v>10</v>
      </c>
      <c r="Y264" s="10">
        <v>17</v>
      </c>
      <c r="Z264" s="10">
        <v>1.4166666666666701</v>
      </c>
      <c r="AA264" s="10">
        <v>1.8333333333333299</v>
      </c>
      <c r="AB264" s="10">
        <v>1.1666666666666701</v>
      </c>
      <c r="AC264" s="10">
        <v>0.66666666666666696</v>
      </c>
      <c r="AD264" s="10">
        <v>1.6666666666666701</v>
      </c>
    </row>
    <row r="265" spans="1:30" x14ac:dyDescent="0.3">
      <c r="A265" s="7" t="s">
        <v>3837</v>
      </c>
      <c r="B265" s="12" t="s">
        <v>3663</v>
      </c>
      <c r="C265" s="10">
        <v>3.1666666666666701</v>
      </c>
      <c r="D265" s="10">
        <v>3</v>
      </c>
      <c r="E265" s="9">
        <v>6</v>
      </c>
      <c r="F265" s="9">
        <v>6</v>
      </c>
      <c r="G265" s="9">
        <v>12</v>
      </c>
      <c r="H265" s="10">
        <v>1.6666666666666701</v>
      </c>
      <c r="I265" s="10">
        <v>2.5</v>
      </c>
      <c r="J265" s="11">
        <v>8.3333333333333301E-2</v>
      </c>
      <c r="K265" s="11">
        <v>0.91666666666666696</v>
      </c>
      <c r="L265" s="11">
        <v>0.75</v>
      </c>
      <c r="M265" s="11">
        <v>0.66666666666666696</v>
      </c>
      <c r="N265" s="11">
        <v>0.5</v>
      </c>
      <c r="O265" s="11">
        <v>0.58333333333333304</v>
      </c>
      <c r="P265" s="10">
        <v>1.2222222222222201</v>
      </c>
      <c r="Q265" s="10">
        <v>1.1055415967851301</v>
      </c>
      <c r="R265" s="8" t="s">
        <v>10653</v>
      </c>
      <c r="S265" s="10">
        <v>10</v>
      </c>
      <c r="T265" s="10">
        <v>10</v>
      </c>
      <c r="U265" s="10">
        <v>20</v>
      </c>
      <c r="V265" s="10">
        <v>1.6666666666666701</v>
      </c>
      <c r="W265" s="10">
        <v>9</v>
      </c>
      <c r="X265" s="10">
        <v>8</v>
      </c>
      <c r="Y265" s="10">
        <v>17</v>
      </c>
      <c r="Z265" s="10">
        <v>1.4166666666666701</v>
      </c>
      <c r="AA265" s="10">
        <v>1.6666666666666701</v>
      </c>
      <c r="AB265" s="10">
        <v>1.5</v>
      </c>
      <c r="AC265" s="10">
        <v>1.6666666666666701</v>
      </c>
      <c r="AD265" s="10">
        <v>1.3333333333333299</v>
      </c>
    </row>
    <row r="266" spans="1:30" x14ac:dyDescent="0.3">
      <c r="A266" s="7" t="s">
        <v>284</v>
      </c>
      <c r="B266" s="12" t="s">
        <v>1339</v>
      </c>
      <c r="C266" s="10">
        <v>4.75</v>
      </c>
      <c r="D266" s="10">
        <v>2.75</v>
      </c>
      <c r="E266" s="9">
        <v>4</v>
      </c>
      <c r="F266" s="9">
        <v>8</v>
      </c>
      <c r="G266" s="9">
        <v>12</v>
      </c>
      <c r="H266" s="10">
        <v>2</v>
      </c>
      <c r="I266" s="10">
        <v>2.5</v>
      </c>
      <c r="J266" s="11">
        <v>8.3333333333333301E-2</v>
      </c>
      <c r="K266" s="11">
        <v>0.91666666666666696</v>
      </c>
      <c r="L266" s="11">
        <v>0.83333333333333304</v>
      </c>
      <c r="M266" s="11">
        <v>0.58333333333333304</v>
      </c>
      <c r="N266" s="11">
        <v>0.5</v>
      </c>
      <c r="O266" s="11">
        <v>0.75</v>
      </c>
      <c r="P266" s="10">
        <v>2</v>
      </c>
      <c r="Q266" s="10">
        <v>1.4142135623731</v>
      </c>
      <c r="R266" s="8" t="s">
        <v>10653</v>
      </c>
      <c r="S266" s="10">
        <v>12</v>
      </c>
      <c r="T266" s="10">
        <v>12</v>
      </c>
      <c r="U266" s="10">
        <v>24</v>
      </c>
      <c r="V266" s="10">
        <v>2</v>
      </c>
      <c r="W266" s="10">
        <v>7</v>
      </c>
      <c r="X266" s="10">
        <v>10</v>
      </c>
      <c r="Y266" s="10">
        <v>17</v>
      </c>
      <c r="Z266" s="10">
        <v>1.4166666666666701</v>
      </c>
      <c r="AA266" s="10">
        <v>3</v>
      </c>
      <c r="AB266" s="10">
        <v>1.75</v>
      </c>
      <c r="AC266" s="10">
        <v>1.5</v>
      </c>
      <c r="AD266" s="10">
        <v>1.25</v>
      </c>
    </row>
    <row r="267" spans="1:30" x14ac:dyDescent="0.3">
      <c r="A267" s="7" t="s">
        <v>6949</v>
      </c>
      <c r="B267" s="12" t="s">
        <v>987</v>
      </c>
      <c r="C267" s="10">
        <v>4.1666666666666696</v>
      </c>
      <c r="D267" s="10">
        <v>3</v>
      </c>
      <c r="E267" s="9">
        <v>6</v>
      </c>
      <c r="F267" s="9">
        <v>6</v>
      </c>
      <c r="G267" s="9">
        <v>12</v>
      </c>
      <c r="H267" s="10">
        <v>1.5</v>
      </c>
      <c r="I267" s="10">
        <v>2.5</v>
      </c>
      <c r="J267" s="11">
        <v>0.33333333333333298</v>
      </c>
      <c r="K267" s="11">
        <v>0.91666666666666696</v>
      </c>
      <c r="L267" s="11">
        <v>0.75</v>
      </c>
      <c r="M267" s="11">
        <v>0.66666666666666696</v>
      </c>
      <c r="N267" s="11">
        <v>0.41666666666666702</v>
      </c>
      <c r="O267" s="11">
        <v>0.5</v>
      </c>
      <c r="P267" s="10">
        <v>2.9166666666666701</v>
      </c>
      <c r="Q267" s="10">
        <v>1.7078251276599301</v>
      </c>
      <c r="R267" s="8" t="s">
        <v>1541</v>
      </c>
      <c r="S267" s="10">
        <v>11</v>
      </c>
      <c r="T267" s="10">
        <v>7</v>
      </c>
      <c r="U267" s="10">
        <v>18</v>
      </c>
      <c r="V267" s="10">
        <v>1.5</v>
      </c>
      <c r="W267" s="10">
        <v>14</v>
      </c>
      <c r="X267" s="10">
        <v>11</v>
      </c>
      <c r="Y267" s="10">
        <v>25</v>
      </c>
      <c r="Z267" s="10">
        <v>2.0833333333333299</v>
      </c>
      <c r="AA267" s="10">
        <v>1.8333333333333299</v>
      </c>
      <c r="AB267" s="10">
        <v>2.3333333333333299</v>
      </c>
      <c r="AC267" s="10">
        <v>1.1666666666666701</v>
      </c>
      <c r="AD267" s="10">
        <v>1.8333333333333299</v>
      </c>
    </row>
    <row r="268" spans="1:30" x14ac:dyDescent="0.3">
      <c r="A268" s="7" t="s">
        <v>4084</v>
      </c>
      <c r="B268" s="12" t="s">
        <v>4055</v>
      </c>
      <c r="C268" s="10">
        <v>2.6</v>
      </c>
      <c r="D268" s="10">
        <v>2.5714285714285698</v>
      </c>
      <c r="E268" s="9">
        <v>5</v>
      </c>
      <c r="F268" s="9">
        <v>7</v>
      </c>
      <c r="G268" s="9">
        <v>12</v>
      </c>
      <c r="H268" s="10">
        <v>1.5833333333333299</v>
      </c>
      <c r="I268" s="10">
        <v>2.5</v>
      </c>
      <c r="J268" s="11">
        <v>0.16666666666666699</v>
      </c>
      <c r="K268" s="11">
        <v>1</v>
      </c>
      <c r="L268" s="11">
        <v>0.83333333333333304</v>
      </c>
      <c r="M268" s="11">
        <v>0.58333333333333304</v>
      </c>
      <c r="N268" s="11">
        <v>8.3333333333333301E-2</v>
      </c>
      <c r="O268" s="11">
        <v>0.5</v>
      </c>
      <c r="P268" s="10">
        <v>1.24305555555556</v>
      </c>
      <c r="Q268" s="10">
        <v>1.11492401335497</v>
      </c>
      <c r="R268" s="8" t="s">
        <v>10653</v>
      </c>
      <c r="S268" s="10">
        <v>8</v>
      </c>
      <c r="T268" s="10">
        <v>11</v>
      </c>
      <c r="U268" s="10">
        <v>19</v>
      </c>
      <c r="V268" s="10">
        <v>1.5833333333333299</v>
      </c>
      <c r="W268" s="10">
        <v>5</v>
      </c>
      <c r="X268" s="10">
        <v>7</v>
      </c>
      <c r="Y268" s="10">
        <v>12</v>
      </c>
      <c r="Z268" s="10">
        <v>1</v>
      </c>
      <c r="AA268" s="10">
        <v>1.6</v>
      </c>
      <c r="AB268" s="10">
        <v>1</v>
      </c>
      <c r="AC268" s="10">
        <v>1.5714285714285701</v>
      </c>
      <c r="AD268" s="10">
        <v>1</v>
      </c>
    </row>
    <row r="269" spans="1:30" x14ac:dyDescent="0.3">
      <c r="A269" s="7" t="s">
        <v>256</v>
      </c>
      <c r="B269" s="12" t="s">
        <v>851</v>
      </c>
      <c r="C269" s="10">
        <v>4.8333333333333304</v>
      </c>
      <c r="D269" s="10">
        <v>4.6666666666666696</v>
      </c>
      <c r="E269" s="9">
        <v>6</v>
      </c>
      <c r="F269" s="9">
        <v>6</v>
      </c>
      <c r="G269" s="9">
        <v>12</v>
      </c>
      <c r="H269" s="10">
        <v>2</v>
      </c>
      <c r="I269" s="10">
        <v>3.76</v>
      </c>
      <c r="J269" s="11">
        <v>0.16666666666666699</v>
      </c>
      <c r="K269" s="11">
        <v>1</v>
      </c>
      <c r="L269" s="11">
        <v>1</v>
      </c>
      <c r="M269" s="11">
        <v>1</v>
      </c>
      <c r="N269" s="11">
        <v>0.66666666666666696</v>
      </c>
      <c r="O269" s="11">
        <v>0.83333333333333304</v>
      </c>
      <c r="P269" s="10">
        <v>1.5</v>
      </c>
      <c r="Q269" s="10">
        <v>1.2247448713915901</v>
      </c>
      <c r="R269" s="8" t="s">
        <v>10653</v>
      </c>
      <c r="S269" s="10">
        <v>11</v>
      </c>
      <c r="T269" s="10">
        <v>13</v>
      </c>
      <c r="U269" s="10">
        <v>24</v>
      </c>
      <c r="V269" s="10">
        <v>2</v>
      </c>
      <c r="W269" s="10">
        <v>18</v>
      </c>
      <c r="X269" s="10">
        <v>15</v>
      </c>
      <c r="Y269" s="10">
        <v>33</v>
      </c>
      <c r="Z269" s="10">
        <v>2.75</v>
      </c>
      <c r="AA269" s="10">
        <v>1.8333333333333299</v>
      </c>
      <c r="AB269" s="10">
        <v>3</v>
      </c>
      <c r="AC269" s="10">
        <v>2.1666666666666701</v>
      </c>
      <c r="AD269" s="10">
        <v>2.5</v>
      </c>
    </row>
    <row r="270" spans="1:30" x14ac:dyDescent="0.3">
      <c r="A270" s="7" t="s">
        <v>4771</v>
      </c>
      <c r="B270" s="12" t="s">
        <v>1000</v>
      </c>
      <c r="C270" s="10">
        <v>4.5</v>
      </c>
      <c r="D270" s="10">
        <v>3.1666666666666701</v>
      </c>
      <c r="E270" s="10">
        <v>6</v>
      </c>
      <c r="F270" s="10">
        <v>6</v>
      </c>
      <c r="G270" s="10">
        <v>12</v>
      </c>
      <c r="H270" s="10">
        <v>2</v>
      </c>
      <c r="I270" s="10">
        <v>2.5</v>
      </c>
      <c r="J270" s="11">
        <v>0</v>
      </c>
      <c r="K270" s="11">
        <v>1</v>
      </c>
      <c r="L270" s="11">
        <v>0.83333333333333304</v>
      </c>
      <c r="M270" s="11">
        <v>0.83333333333333304</v>
      </c>
      <c r="N270" s="11">
        <v>0.58333333333333304</v>
      </c>
      <c r="O270" s="11">
        <v>0.75</v>
      </c>
      <c r="P270" s="10">
        <v>1.5</v>
      </c>
      <c r="Q270" s="10">
        <v>1.2247448713915901</v>
      </c>
      <c r="R270" s="8" t="s">
        <v>10653</v>
      </c>
      <c r="S270" s="10">
        <v>15</v>
      </c>
      <c r="T270" s="10">
        <v>9</v>
      </c>
      <c r="U270" s="10">
        <v>24</v>
      </c>
      <c r="V270" s="10">
        <v>2</v>
      </c>
      <c r="W270" s="10">
        <v>12</v>
      </c>
      <c r="X270" s="10">
        <v>10</v>
      </c>
      <c r="Y270" s="10">
        <v>22</v>
      </c>
      <c r="Z270" s="10">
        <v>1.8333333333333299</v>
      </c>
      <c r="AA270" s="10">
        <v>2.5</v>
      </c>
      <c r="AB270" s="10">
        <v>2</v>
      </c>
      <c r="AC270" s="10">
        <v>1.5</v>
      </c>
      <c r="AD270" s="10">
        <v>1.6666666666666701</v>
      </c>
    </row>
    <row r="271" spans="1:30" x14ac:dyDescent="0.3">
      <c r="A271" s="7" t="s">
        <v>2177</v>
      </c>
      <c r="B271" s="12" t="s">
        <v>2230</v>
      </c>
      <c r="C271" s="10">
        <v>2.28571428571429</v>
      </c>
      <c r="D271" s="10">
        <v>2.6</v>
      </c>
      <c r="E271" s="10">
        <v>7</v>
      </c>
      <c r="F271" s="10">
        <v>5</v>
      </c>
      <c r="G271" s="10">
        <v>12</v>
      </c>
      <c r="H271" s="10">
        <v>1.5833333333333299</v>
      </c>
      <c r="I271" s="10">
        <v>2.72</v>
      </c>
      <c r="J271" s="11">
        <v>0.25</v>
      </c>
      <c r="K271" s="11">
        <v>0.83333333333333304</v>
      </c>
      <c r="L271" s="11">
        <v>0.75</v>
      </c>
      <c r="M271" s="11">
        <v>0.41666666666666702</v>
      </c>
      <c r="N271" s="11">
        <v>0.25</v>
      </c>
      <c r="O271" s="11">
        <v>0.5</v>
      </c>
      <c r="P271" s="10">
        <v>1.5763888888888899</v>
      </c>
      <c r="Q271" s="10">
        <v>1.25554326444328</v>
      </c>
      <c r="R271" s="8" t="s">
        <v>10653</v>
      </c>
      <c r="S271" s="10">
        <v>13</v>
      </c>
      <c r="T271" s="10">
        <v>6</v>
      </c>
      <c r="U271" s="10">
        <v>19</v>
      </c>
      <c r="V271" s="10">
        <v>1.5833333333333299</v>
      </c>
      <c r="W271" s="10">
        <v>3</v>
      </c>
      <c r="X271" s="10">
        <v>7</v>
      </c>
      <c r="Y271" s="10">
        <v>10</v>
      </c>
      <c r="Z271" s="10">
        <v>0.83333333333333304</v>
      </c>
      <c r="AA271" s="10">
        <v>1.8571428571428601</v>
      </c>
      <c r="AB271" s="10">
        <v>0.42857142857142899</v>
      </c>
      <c r="AC271" s="10">
        <v>1.2</v>
      </c>
      <c r="AD271" s="10">
        <v>1.4</v>
      </c>
    </row>
    <row r="272" spans="1:30" x14ac:dyDescent="0.3">
      <c r="A272" s="7" t="s">
        <v>147</v>
      </c>
      <c r="B272" s="12" t="s">
        <v>4055</v>
      </c>
      <c r="C272" s="10">
        <v>1.4285714285714299</v>
      </c>
      <c r="D272" s="10">
        <v>2.6</v>
      </c>
      <c r="E272" s="10">
        <v>7</v>
      </c>
      <c r="F272" s="10">
        <v>5</v>
      </c>
      <c r="G272" s="10">
        <v>12</v>
      </c>
      <c r="H272" s="10">
        <v>0.58333333333333304</v>
      </c>
      <c r="I272" s="10">
        <v>2.5</v>
      </c>
      <c r="J272" s="11">
        <v>0.58333333333333304</v>
      </c>
      <c r="K272" s="11">
        <v>0.83333333333333304</v>
      </c>
      <c r="L272" s="11">
        <v>0.5</v>
      </c>
      <c r="M272" s="11">
        <v>0.41666666666666702</v>
      </c>
      <c r="N272" s="11">
        <v>0.16666666666666699</v>
      </c>
      <c r="O272" s="11">
        <v>0.41666666666666702</v>
      </c>
      <c r="P272" s="10">
        <v>0.57638888888888895</v>
      </c>
      <c r="Q272" s="10">
        <v>0.75920279826202497</v>
      </c>
      <c r="R272" s="8" t="s">
        <v>10653</v>
      </c>
      <c r="S272" s="10">
        <v>4</v>
      </c>
      <c r="T272" s="10">
        <v>3</v>
      </c>
      <c r="U272" s="10">
        <v>7</v>
      </c>
      <c r="V272" s="10">
        <v>0.58333333333333304</v>
      </c>
      <c r="W272" s="10">
        <v>6</v>
      </c>
      <c r="X272" s="10">
        <v>10</v>
      </c>
      <c r="Y272" s="10">
        <v>16</v>
      </c>
      <c r="Z272" s="10">
        <v>1.3333333333333299</v>
      </c>
      <c r="AA272" s="10">
        <v>0.57142857142857095</v>
      </c>
      <c r="AB272" s="10">
        <v>0.85714285714285698</v>
      </c>
      <c r="AC272" s="10">
        <v>0.6</v>
      </c>
      <c r="AD272" s="10">
        <v>2</v>
      </c>
    </row>
    <row r="273" spans="1:30" x14ac:dyDescent="0.3">
      <c r="A273" s="7" t="s">
        <v>4572</v>
      </c>
      <c r="B273" s="12" t="s">
        <v>4657</v>
      </c>
      <c r="C273" s="10">
        <v>1.8571428571428601</v>
      </c>
      <c r="D273" s="10">
        <v>0.6</v>
      </c>
      <c r="E273" s="10">
        <v>7</v>
      </c>
      <c r="F273" s="10">
        <v>5</v>
      </c>
      <c r="G273" s="10">
        <v>12</v>
      </c>
      <c r="H273" s="10">
        <v>0.66666666666666696</v>
      </c>
      <c r="I273" s="10">
        <v>2.09</v>
      </c>
      <c r="J273" s="11">
        <v>0.66666666666666696</v>
      </c>
      <c r="K273" s="11">
        <v>0.58333333333333304</v>
      </c>
      <c r="L273" s="11">
        <v>0.33333333333333298</v>
      </c>
      <c r="M273" s="11">
        <v>0.33333333333333298</v>
      </c>
      <c r="N273" s="11">
        <v>8.3333333333333301E-2</v>
      </c>
      <c r="O273" s="11">
        <v>0.33333333333333298</v>
      </c>
      <c r="P273" s="10">
        <v>1.05555555555556</v>
      </c>
      <c r="Q273" s="10">
        <v>1.0274023338281599</v>
      </c>
      <c r="R273" s="8" t="s">
        <v>10653</v>
      </c>
      <c r="S273" s="10">
        <v>7</v>
      </c>
      <c r="T273" s="10">
        <v>1</v>
      </c>
      <c r="U273" s="10">
        <v>8</v>
      </c>
      <c r="V273" s="10">
        <v>0.66666666666666696</v>
      </c>
      <c r="W273" s="10">
        <v>6</v>
      </c>
      <c r="X273" s="10">
        <v>2</v>
      </c>
      <c r="Y273" s="10">
        <v>8</v>
      </c>
      <c r="Z273" s="10">
        <v>0.66666666666666696</v>
      </c>
      <c r="AA273" s="10">
        <v>1</v>
      </c>
      <c r="AB273" s="10">
        <v>0.85714285714285698</v>
      </c>
      <c r="AC273" s="10">
        <v>0.2</v>
      </c>
      <c r="AD273" s="10">
        <v>0.4</v>
      </c>
    </row>
    <row r="274" spans="1:30" x14ac:dyDescent="0.3">
      <c r="A274" s="7" t="s">
        <v>268</v>
      </c>
      <c r="B274" s="12" t="s">
        <v>2230</v>
      </c>
      <c r="C274" s="10">
        <v>1.44444444444444</v>
      </c>
      <c r="D274" s="10">
        <v>3</v>
      </c>
      <c r="E274" s="10">
        <v>9</v>
      </c>
      <c r="F274" s="10">
        <v>3</v>
      </c>
      <c r="G274" s="10">
        <v>12</v>
      </c>
      <c r="H274" s="10">
        <v>1.0833333333333299</v>
      </c>
      <c r="I274" s="10">
        <v>2.72</v>
      </c>
      <c r="J274" s="11">
        <v>0.25</v>
      </c>
      <c r="K274" s="11">
        <v>0.91666666666666696</v>
      </c>
      <c r="L274" s="11">
        <v>0.58333333333333304</v>
      </c>
      <c r="M274" s="11">
        <v>0.25</v>
      </c>
      <c r="N274" s="11">
        <v>8.3333333333333301E-2</v>
      </c>
      <c r="O274" s="11">
        <v>0.33333333333333298</v>
      </c>
      <c r="P274" s="10">
        <v>0.74305555555555602</v>
      </c>
      <c r="Q274" s="10">
        <v>0.862006702732384</v>
      </c>
      <c r="R274" s="8" t="s">
        <v>10653</v>
      </c>
      <c r="S274" s="10">
        <v>10</v>
      </c>
      <c r="T274" s="10">
        <v>3</v>
      </c>
      <c r="U274" s="10">
        <v>13</v>
      </c>
      <c r="V274" s="10">
        <v>1.0833333333333299</v>
      </c>
      <c r="W274" s="10">
        <v>3</v>
      </c>
      <c r="X274" s="10">
        <v>6</v>
      </c>
      <c r="Y274" s="10">
        <v>9</v>
      </c>
      <c r="Z274" s="10">
        <v>0.75</v>
      </c>
      <c r="AA274" s="10">
        <v>1.1111111111111101</v>
      </c>
      <c r="AB274" s="10">
        <v>0.33333333333333298</v>
      </c>
      <c r="AC274" s="10">
        <v>1</v>
      </c>
      <c r="AD274" s="10">
        <v>2</v>
      </c>
    </row>
    <row r="275" spans="1:30" x14ac:dyDescent="0.3">
      <c r="A275" s="7" t="s">
        <v>4587</v>
      </c>
      <c r="B275" s="12" t="s">
        <v>4657</v>
      </c>
      <c r="C275" s="10">
        <v>3.3333333333333299</v>
      </c>
      <c r="D275" s="10">
        <v>2.8333333333333299</v>
      </c>
      <c r="E275" s="9">
        <v>6</v>
      </c>
      <c r="F275" s="9">
        <v>6</v>
      </c>
      <c r="G275" s="9">
        <v>12</v>
      </c>
      <c r="H275" s="10">
        <v>1.5833333333333299</v>
      </c>
      <c r="I275" s="10">
        <v>2.09</v>
      </c>
      <c r="J275" s="11">
        <v>0.25</v>
      </c>
      <c r="K275" s="11">
        <v>0.91666666666666696</v>
      </c>
      <c r="L275" s="11">
        <v>0.83333333333333304</v>
      </c>
      <c r="M275" s="11">
        <v>0.58333333333333304</v>
      </c>
      <c r="N275" s="11">
        <v>0.41666666666666702</v>
      </c>
      <c r="O275" s="11">
        <v>0.58333333333333304</v>
      </c>
      <c r="P275" s="10">
        <v>2.2430555555555598</v>
      </c>
      <c r="Q275" s="10">
        <v>1.4976833963009499</v>
      </c>
      <c r="R275" s="8" t="s">
        <v>10653</v>
      </c>
      <c r="S275" s="10">
        <v>9</v>
      </c>
      <c r="T275" s="10">
        <v>10</v>
      </c>
      <c r="U275" s="10">
        <v>19</v>
      </c>
      <c r="V275" s="10">
        <v>1.5833333333333299</v>
      </c>
      <c r="W275" s="10">
        <v>11</v>
      </c>
      <c r="X275" s="10">
        <v>7</v>
      </c>
      <c r="Y275" s="10">
        <v>18</v>
      </c>
      <c r="Z275" s="10">
        <v>1.5</v>
      </c>
      <c r="AA275" s="10">
        <v>1.5</v>
      </c>
      <c r="AB275" s="10">
        <v>1.8333333333333299</v>
      </c>
      <c r="AC275" s="10">
        <v>1.6666666666666701</v>
      </c>
      <c r="AD275" s="10">
        <v>1.1666666666666701</v>
      </c>
    </row>
    <row r="276" spans="1:30" x14ac:dyDescent="0.3">
      <c r="A276" s="7" t="s">
        <v>7590</v>
      </c>
      <c r="B276" s="12" t="s">
        <v>7895</v>
      </c>
      <c r="C276" s="10">
        <v>4</v>
      </c>
      <c r="D276" s="10">
        <v>2.4285714285714302</v>
      </c>
      <c r="E276" s="9">
        <v>5</v>
      </c>
      <c r="F276" s="9">
        <v>7</v>
      </c>
      <c r="G276" s="9">
        <v>12</v>
      </c>
      <c r="H276" s="10">
        <v>1.25</v>
      </c>
      <c r="I276" s="10">
        <v>2.5</v>
      </c>
      <c r="J276" s="11">
        <v>0.25</v>
      </c>
      <c r="K276" s="11">
        <v>1</v>
      </c>
      <c r="L276" s="11">
        <v>0.83333333333333304</v>
      </c>
      <c r="M276" s="11">
        <v>0.58333333333333304</v>
      </c>
      <c r="N276" s="11">
        <v>0.5</v>
      </c>
      <c r="O276" s="11">
        <v>0.58333333333333304</v>
      </c>
      <c r="P276" s="10">
        <v>1.0208333333333299</v>
      </c>
      <c r="Q276" s="10">
        <v>1.01036297108185</v>
      </c>
      <c r="R276" s="8" t="s">
        <v>10653</v>
      </c>
      <c r="S276" s="10">
        <v>9</v>
      </c>
      <c r="T276" s="10">
        <v>6</v>
      </c>
      <c r="U276" s="10">
        <v>15</v>
      </c>
      <c r="V276" s="10">
        <v>1.25</v>
      </c>
      <c r="W276" s="10">
        <v>11</v>
      </c>
      <c r="X276" s="10">
        <v>11</v>
      </c>
      <c r="Y276" s="10">
        <v>22</v>
      </c>
      <c r="Z276" s="10">
        <v>1.8333333333333299</v>
      </c>
      <c r="AA276" s="10">
        <v>1.8</v>
      </c>
      <c r="AB276" s="10">
        <v>2.2000000000000002</v>
      </c>
      <c r="AC276" s="10">
        <v>0.85714285714285698</v>
      </c>
      <c r="AD276" s="10">
        <v>1.5714285714285701</v>
      </c>
    </row>
    <row r="277" spans="1:30" x14ac:dyDescent="0.3">
      <c r="A277" s="7" t="s">
        <v>2383</v>
      </c>
      <c r="B277" s="12" t="s">
        <v>1330</v>
      </c>
      <c r="C277" s="10">
        <v>3</v>
      </c>
      <c r="D277" s="10">
        <v>3.125</v>
      </c>
      <c r="E277" s="9">
        <v>4</v>
      </c>
      <c r="F277" s="9">
        <v>8</v>
      </c>
      <c r="G277" s="9">
        <v>12</v>
      </c>
      <c r="H277" s="10">
        <v>2</v>
      </c>
      <c r="I277" s="10">
        <v>2.5</v>
      </c>
      <c r="J277" s="11">
        <v>0.25</v>
      </c>
      <c r="K277" s="11">
        <v>1</v>
      </c>
      <c r="L277" s="11">
        <v>0.75</v>
      </c>
      <c r="M277" s="11">
        <v>0.58333333333333304</v>
      </c>
      <c r="N277" s="11">
        <v>0.41666666666666702</v>
      </c>
      <c r="O277" s="11">
        <v>0.41666666666666702</v>
      </c>
      <c r="P277" s="10">
        <v>3.3333333333333299</v>
      </c>
      <c r="Q277" s="10">
        <v>1.82574185835055</v>
      </c>
      <c r="R277" s="8" t="s">
        <v>1541</v>
      </c>
      <c r="S277" s="10">
        <v>6</v>
      </c>
      <c r="T277" s="10">
        <v>18</v>
      </c>
      <c r="U277" s="10">
        <v>24</v>
      </c>
      <c r="V277" s="10">
        <v>2</v>
      </c>
      <c r="W277" s="10">
        <v>6</v>
      </c>
      <c r="X277" s="10">
        <v>7</v>
      </c>
      <c r="Y277" s="10">
        <v>13</v>
      </c>
      <c r="Z277" s="10">
        <v>1.0833333333333299</v>
      </c>
      <c r="AA277" s="10">
        <v>1.5</v>
      </c>
      <c r="AB277" s="10">
        <v>1.5</v>
      </c>
      <c r="AC277" s="10">
        <v>2.25</v>
      </c>
      <c r="AD277" s="10">
        <v>0.875</v>
      </c>
    </row>
    <row r="278" spans="1:30" x14ac:dyDescent="0.3">
      <c r="A278" s="7" t="s">
        <v>976</v>
      </c>
      <c r="B278" s="12" t="s">
        <v>973</v>
      </c>
      <c r="C278" s="10">
        <v>3</v>
      </c>
      <c r="D278" s="10">
        <v>3.8571428571428599</v>
      </c>
      <c r="E278" s="9">
        <v>5</v>
      </c>
      <c r="F278" s="9">
        <v>7</v>
      </c>
      <c r="G278" s="9">
        <v>12</v>
      </c>
      <c r="H278" s="10">
        <v>2.3333333333333299</v>
      </c>
      <c r="I278" s="10">
        <v>3.7</v>
      </c>
      <c r="J278" s="11">
        <v>0.16666666666666699</v>
      </c>
      <c r="K278" s="11">
        <v>1</v>
      </c>
      <c r="L278" s="11">
        <v>0.75</v>
      </c>
      <c r="M278" s="11">
        <v>0.66666666666666696</v>
      </c>
      <c r="N278" s="11">
        <v>0.5</v>
      </c>
      <c r="O278" s="11">
        <v>0.5</v>
      </c>
      <c r="P278" s="10">
        <v>5.55555555555555</v>
      </c>
      <c r="Q278" s="10">
        <v>2.3570226039551598</v>
      </c>
      <c r="R278" s="8" t="s">
        <v>1541</v>
      </c>
      <c r="S278" s="10">
        <v>10</v>
      </c>
      <c r="T278" s="10">
        <v>18</v>
      </c>
      <c r="U278" s="10">
        <v>28</v>
      </c>
      <c r="V278" s="10">
        <v>2.3333333333333299</v>
      </c>
      <c r="W278" s="10">
        <v>5</v>
      </c>
      <c r="X278" s="10">
        <v>9</v>
      </c>
      <c r="Y278" s="10">
        <v>14</v>
      </c>
      <c r="Z278" s="10">
        <v>1.1666666666666701</v>
      </c>
      <c r="AA278" s="10">
        <v>2</v>
      </c>
      <c r="AB278" s="10">
        <v>1</v>
      </c>
      <c r="AC278" s="10">
        <v>2.5714285714285698</v>
      </c>
      <c r="AD278" s="10">
        <v>1.28571428571429</v>
      </c>
    </row>
    <row r="279" spans="1:30" x14ac:dyDescent="0.3">
      <c r="A279" s="7" t="s">
        <v>323</v>
      </c>
      <c r="B279" s="12" t="s">
        <v>1335</v>
      </c>
      <c r="C279" s="10">
        <v>3.4</v>
      </c>
      <c r="D279" s="10">
        <v>2.4285714285714302</v>
      </c>
      <c r="E279" s="9">
        <v>5</v>
      </c>
      <c r="F279" s="9">
        <v>7</v>
      </c>
      <c r="G279" s="9">
        <v>12</v>
      </c>
      <c r="H279" s="10">
        <v>1.3333333333333299</v>
      </c>
      <c r="I279" s="10">
        <v>2.5099999999999998</v>
      </c>
      <c r="J279" s="11">
        <v>0.16666666666666699</v>
      </c>
      <c r="K279" s="11">
        <v>1</v>
      </c>
      <c r="L279" s="11">
        <v>0.75</v>
      </c>
      <c r="M279" s="11">
        <v>0.58333333333333304</v>
      </c>
      <c r="N279" s="11">
        <v>0.33333333333333298</v>
      </c>
      <c r="O279" s="11">
        <v>0.66666666666666696</v>
      </c>
      <c r="P279" s="10">
        <v>0.72222222222222199</v>
      </c>
      <c r="Q279" s="10">
        <v>0.84983658559879705</v>
      </c>
      <c r="R279" s="8" t="s">
        <v>10653</v>
      </c>
      <c r="S279" s="10">
        <v>10</v>
      </c>
      <c r="T279" s="10">
        <v>6</v>
      </c>
      <c r="U279" s="10">
        <v>16</v>
      </c>
      <c r="V279" s="10">
        <v>1.3333333333333299</v>
      </c>
      <c r="W279" s="10">
        <v>7</v>
      </c>
      <c r="X279" s="10">
        <v>11</v>
      </c>
      <c r="Y279" s="10">
        <v>18</v>
      </c>
      <c r="Z279" s="10">
        <v>1.5</v>
      </c>
      <c r="AA279" s="10">
        <v>2</v>
      </c>
      <c r="AB279" s="10">
        <v>1.4</v>
      </c>
      <c r="AC279" s="10">
        <v>0.85714285714285698</v>
      </c>
      <c r="AD279" s="10">
        <v>1.5714285714285701</v>
      </c>
    </row>
    <row r="280" spans="1:30" x14ac:dyDescent="0.3">
      <c r="A280" s="7" t="s">
        <v>3775</v>
      </c>
      <c r="B280" s="12" t="s">
        <v>3663</v>
      </c>
      <c r="C280" s="10">
        <v>1.71428571428571</v>
      </c>
      <c r="D280" s="10">
        <v>3</v>
      </c>
      <c r="E280" s="9">
        <v>7</v>
      </c>
      <c r="F280" s="9">
        <v>5</v>
      </c>
      <c r="G280" s="9">
        <v>12</v>
      </c>
      <c r="H280" s="10">
        <v>1.1666666666666701</v>
      </c>
      <c r="I280" s="10">
        <v>2.5</v>
      </c>
      <c r="J280" s="11">
        <v>0.25</v>
      </c>
      <c r="K280" s="11">
        <v>0.91666666666666696</v>
      </c>
      <c r="L280" s="11">
        <v>0.66666666666666696</v>
      </c>
      <c r="M280" s="11">
        <v>0.41666666666666702</v>
      </c>
      <c r="N280" s="11">
        <v>0.16666666666666699</v>
      </c>
      <c r="O280" s="11">
        <v>0.58333333333333304</v>
      </c>
      <c r="P280" s="10">
        <v>0.80555555555555503</v>
      </c>
      <c r="Q280" s="10">
        <v>0.89752746785574999</v>
      </c>
      <c r="R280" s="8" t="s">
        <v>10653</v>
      </c>
      <c r="S280" s="10">
        <v>6</v>
      </c>
      <c r="T280" s="10">
        <v>8</v>
      </c>
      <c r="U280" s="10">
        <v>14</v>
      </c>
      <c r="V280" s="10">
        <v>1.1666666666666701</v>
      </c>
      <c r="W280" s="10">
        <v>6</v>
      </c>
      <c r="X280" s="10">
        <v>7</v>
      </c>
      <c r="Y280" s="10">
        <v>13</v>
      </c>
      <c r="Z280" s="10">
        <v>1.0833333333333299</v>
      </c>
      <c r="AA280" s="10">
        <v>0.85714285714285698</v>
      </c>
      <c r="AB280" s="10">
        <v>0.85714285714285698</v>
      </c>
      <c r="AC280" s="10">
        <v>1.6</v>
      </c>
      <c r="AD280" s="10">
        <v>1.4</v>
      </c>
    </row>
    <row r="281" spans="1:30" x14ac:dyDescent="0.3">
      <c r="A281" s="7" t="s">
        <v>135</v>
      </c>
      <c r="B281" s="12" t="s">
        <v>1333</v>
      </c>
      <c r="C281" s="10">
        <v>2.28571428571429</v>
      </c>
      <c r="D281" s="10">
        <v>2.2000000000000002</v>
      </c>
      <c r="E281" s="9">
        <v>7</v>
      </c>
      <c r="F281" s="9">
        <v>5</v>
      </c>
      <c r="G281" s="9">
        <v>12</v>
      </c>
      <c r="H281" s="10">
        <v>1.0833333333333299</v>
      </c>
      <c r="I281" s="10">
        <v>2.59</v>
      </c>
      <c r="J281" s="11">
        <v>0.25</v>
      </c>
      <c r="K281" s="11">
        <v>1</v>
      </c>
      <c r="L281" s="11">
        <v>0.66666666666666696</v>
      </c>
      <c r="M281" s="11">
        <v>0.5</v>
      </c>
      <c r="N281" s="11">
        <v>8.3333333333333301E-2</v>
      </c>
      <c r="O281" s="11">
        <v>0.66666666666666696</v>
      </c>
      <c r="P281" s="10">
        <v>0.57638888888888895</v>
      </c>
      <c r="Q281" s="10">
        <v>0.75920279826202497</v>
      </c>
      <c r="R281" s="8" t="s">
        <v>10653</v>
      </c>
      <c r="S281" s="10">
        <v>9</v>
      </c>
      <c r="T281" s="10">
        <v>4</v>
      </c>
      <c r="U281" s="10">
        <v>13</v>
      </c>
      <c r="V281" s="10">
        <v>1.0833333333333299</v>
      </c>
      <c r="W281" s="10">
        <v>7</v>
      </c>
      <c r="X281" s="10">
        <v>7</v>
      </c>
      <c r="Y281" s="10">
        <v>14</v>
      </c>
      <c r="Z281" s="10">
        <v>1.1666666666666701</v>
      </c>
      <c r="AA281" s="10">
        <v>1.28571428571429</v>
      </c>
      <c r="AB281" s="10">
        <v>1</v>
      </c>
      <c r="AC281" s="10">
        <v>0.8</v>
      </c>
      <c r="AD281" s="10">
        <v>1.4</v>
      </c>
    </row>
    <row r="282" spans="1:30" x14ac:dyDescent="0.3">
      <c r="A282" s="7" t="s">
        <v>4751</v>
      </c>
      <c r="B282" s="12" t="s">
        <v>1000</v>
      </c>
      <c r="C282" s="10">
        <v>1.4</v>
      </c>
      <c r="D282" s="10">
        <v>3.5714285714285698</v>
      </c>
      <c r="E282" s="9">
        <v>5</v>
      </c>
      <c r="F282" s="9">
        <v>7</v>
      </c>
      <c r="G282" s="9">
        <v>12</v>
      </c>
      <c r="H282" s="10">
        <v>1.4166666666666701</v>
      </c>
      <c r="I282" s="10">
        <v>2.5</v>
      </c>
      <c r="J282" s="11">
        <v>0.33333333333333298</v>
      </c>
      <c r="K282" s="11">
        <v>0.83333333333333304</v>
      </c>
      <c r="L282" s="11">
        <v>0.66666666666666696</v>
      </c>
      <c r="M282" s="11">
        <v>0.41666666666666702</v>
      </c>
      <c r="N282" s="11">
        <v>0.25</v>
      </c>
      <c r="O282" s="11">
        <v>0.58333333333333304</v>
      </c>
      <c r="P282" s="10">
        <v>2.0763888888888902</v>
      </c>
      <c r="Q282" s="10">
        <v>1.4409680388158801</v>
      </c>
      <c r="R282" s="8" t="s">
        <v>10653</v>
      </c>
      <c r="S282" s="10">
        <v>3</v>
      </c>
      <c r="T282" s="10">
        <v>14</v>
      </c>
      <c r="U282" s="10">
        <v>17</v>
      </c>
      <c r="V282" s="10">
        <v>1.4166666666666701</v>
      </c>
      <c r="W282" s="10">
        <v>4</v>
      </c>
      <c r="X282" s="10">
        <v>11</v>
      </c>
      <c r="Y282" s="10">
        <v>15</v>
      </c>
      <c r="Z282" s="10">
        <v>1.25</v>
      </c>
      <c r="AA282" s="10">
        <v>0.6</v>
      </c>
      <c r="AB282" s="10">
        <v>0.8</v>
      </c>
      <c r="AC282" s="10">
        <v>2</v>
      </c>
      <c r="AD282" s="10">
        <v>1.5714285714285701</v>
      </c>
    </row>
    <row r="283" spans="1:30" x14ac:dyDescent="0.3">
      <c r="A283" s="7" t="s">
        <v>6654</v>
      </c>
      <c r="B283" s="12" t="s">
        <v>1338</v>
      </c>
      <c r="C283" s="10">
        <v>3.8</v>
      </c>
      <c r="D283" s="10">
        <v>3</v>
      </c>
      <c r="E283" s="9">
        <v>5</v>
      </c>
      <c r="F283" s="9">
        <v>7</v>
      </c>
      <c r="G283" s="9">
        <v>12</v>
      </c>
      <c r="H283" s="10">
        <v>1.8333333333333299</v>
      </c>
      <c r="I283" s="10">
        <v>2.5</v>
      </c>
      <c r="J283" s="11">
        <v>8.3333333333333301E-2</v>
      </c>
      <c r="K283" s="11">
        <v>1</v>
      </c>
      <c r="L283" s="11">
        <v>0.83333333333333304</v>
      </c>
      <c r="M283" s="11">
        <v>0.66666666666666696</v>
      </c>
      <c r="N283" s="11">
        <v>0.33333333333333298</v>
      </c>
      <c r="O283" s="11">
        <v>0.75</v>
      </c>
      <c r="P283" s="10">
        <v>1.9722222222222201</v>
      </c>
      <c r="Q283" s="10">
        <v>1.4043582955293901</v>
      </c>
      <c r="R283" s="8" t="s">
        <v>10653</v>
      </c>
      <c r="S283" s="10">
        <v>12</v>
      </c>
      <c r="T283" s="10">
        <v>10</v>
      </c>
      <c r="U283" s="10">
        <v>22</v>
      </c>
      <c r="V283" s="10">
        <v>1.8333333333333299</v>
      </c>
      <c r="W283" s="10">
        <v>7</v>
      </c>
      <c r="X283" s="10">
        <v>11</v>
      </c>
      <c r="Y283" s="10">
        <v>18</v>
      </c>
      <c r="Z283" s="10">
        <v>1.5</v>
      </c>
      <c r="AA283" s="10">
        <v>2.4</v>
      </c>
      <c r="AB283" s="10">
        <v>1.4</v>
      </c>
      <c r="AC283" s="10">
        <v>1.4285714285714299</v>
      </c>
      <c r="AD283" s="10">
        <v>1.5714285714285701</v>
      </c>
    </row>
    <row r="284" spans="1:30" x14ac:dyDescent="0.3">
      <c r="A284" s="7" t="s">
        <v>261</v>
      </c>
      <c r="B284" s="12" t="s">
        <v>851</v>
      </c>
      <c r="C284" s="10">
        <v>5.8</v>
      </c>
      <c r="D284" s="10">
        <v>2.5714285714285698</v>
      </c>
      <c r="E284" s="9">
        <v>5</v>
      </c>
      <c r="F284" s="9">
        <v>7</v>
      </c>
      <c r="G284" s="9">
        <v>12</v>
      </c>
      <c r="H284" s="10">
        <v>1.9166666666666701</v>
      </c>
      <c r="I284" s="10">
        <v>3.76</v>
      </c>
      <c r="J284" s="11">
        <v>0.25</v>
      </c>
      <c r="K284" s="11">
        <v>0.91666666666666696</v>
      </c>
      <c r="L284" s="11">
        <v>0.83333333333333304</v>
      </c>
      <c r="M284" s="11">
        <v>0.66666666666666696</v>
      </c>
      <c r="N284" s="11">
        <v>0.5</v>
      </c>
      <c r="O284" s="11">
        <v>0.66666666666666696</v>
      </c>
      <c r="P284" s="10">
        <v>2.5763888888888902</v>
      </c>
      <c r="Q284" s="10">
        <v>1.6051133570215199</v>
      </c>
      <c r="R284" s="8" t="s">
        <v>10653</v>
      </c>
      <c r="S284" s="10">
        <v>14</v>
      </c>
      <c r="T284" s="10">
        <v>9</v>
      </c>
      <c r="U284" s="10">
        <v>23</v>
      </c>
      <c r="V284" s="10">
        <v>1.9166666666666701</v>
      </c>
      <c r="W284" s="10">
        <v>15</v>
      </c>
      <c r="X284" s="10">
        <v>9</v>
      </c>
      <c r="Y284" s="10">
        <v>24</v>
      </c>
      <c r="Z284" s="10">
        <v>2</v>
      </c>
      <c r="AA284" s="10">
        <v>2.8</v>
      </c>
      <c r="AB284" s="10">
        <v>3</v>
      </c>
      <c r="AC284" s="10">
        <v>1.28571428571429</v>
      </c>
      <c r="AD284" s="10">
        <v>1.28571428571429</v>
      </c>
    </row>
    <row r="285" spans="1:30" x14ac:dyDescent="0.3">
      <c r="A285" s="7" t="s">
        <v>6988</v>
      </c>
      <c r="B285" s="12" t="s">
        <v>987</v>
      </c>
      <c r="C285" s="10">
        <v>4.1666666666666696</v>
      </c>
      <c r="D285" s="10">
        <v>4.3333333333333304</v>
      </c>
      <c r="E285" s="9">
        <v>6</v>
      </c>
      <c r="F285" s="9">
        <v>6</v>
      </c>
      <c r="G285" s="9">
        <v>12</v>
      </c>
      <c r="H285" s="10">
        <v>1.75</v>
      </c>
      <c r="I285" s="10">
        <v>2.5</v>
      </c>
      <c r="J285" s="11">
        <v>8.3333333333333301E-2</v>
      </c>
      <c r="K285" s="11">
        <v>1</v>
      </c>
      <c r="L285" s="11">
        <v>1</v>
      </c>
      <c r="M285" s="11">
        <v>0.91666666666666696</v>
      </c>
      <c r="N285" s="11">
        <v>0.66666666666666696</v>
      </c>
      <c r="O285" s="11">
        <v>0.91666666666666696</v>
      </c>
      <c r="P285" s="10">
        <v>1.1875</v>
      </c>
      <c r="Q285" s="10">
        <v>1.08972473588517</v>
      </c>
      <c r="R285" s="8" t="s">
        <v>10653</v>
      </c>
      <c r="S285" s="10">
        <v>10</v>
      </c>
      <c r="T285" s="10">
        <v>11</v>
      </c>
      <c r="U285" s="10">
        <v>21</v>
      </c>
      <c r="V285" s="10">
        <v>1.75</v>
      </c>
      <c r="W285" s="10">
        <v>15</v>
      </c>
      <c r="X285" s="10">
        <v>15</v>
      </c>
      <c r="Y285" s="10">
        <v>30</v>
      </c>
      <c r="Z285" s="10">
        <v>2.5</v>
      </c>
      <c r="AA285" s="10">
        <v>1.6666666666666701</v>
      </c>
      <c r="AB285" s="10">
        <v>2.5</v>
      </c>
      <c r="AC285" s="10">
        <v>1.8333333333333299</v>
      </c>
      <c r="AD285" s="10">
        <v>2.5</v>
      </c>
    </row>
    <row r="286" spans="1:30" x14ac:dyDescent="0.3">
      <c r="A286" s="7" t="s">
        <v>6109</v>
      </c>
      <c r="B286" s="12" t="s">
        <v>6105</v>
      </c>
      <c r="C286" s="10">
        <v>2.1666666666666701</v>
      </c>
      <c r="D286" s="10">
        <v>3</v>
      </c>
      <c r="E286" s="9">
        <v>6</v>
      </c>
      <c r="F286" s="9">
        <v>6</v>
      </c>
      <c r="G286" s="9">
        <v>12</v>
      </c>
      <c r="H286" s="10">
        <v>1.25</v>
      </c>
      <c r="I286" s="10">
        <v>2.5</v>
      </c>
      <c r="J286" s="11">
        <v>0.5</v>
      </c>
      <c r="K286" s="11">
        <v>0.91666666666666696</v>
      </c>
      <c r="L286" s="11">
        <v>0.66666666666666696</v>
      </c>
      <c r="M286" s="11">
        <v>0.41666666666666702</v>
      </c>
      <c r="N286" s="11">
        <v>0.33333333333333298</v>
      </c>
      <c r="O286" s="11">
        <v>0.33333333333333298</v>
      </c>
      <c r="P286" s="10">
        <v>1.8541666666666701</v>
      </c>
      <c r="Q286" s="10">
        <v>1.36167788653068</v>
      </c>
      <c r="R286" s="8" t="s">
        <v>10653</v>
      </c>
      <c r="S286" s="10">
        <v>5</v>
      </c>
      <c r="T286" s="10">
        <v>10</v>
      </c>
      <c r="U286" s="10">
        <v>15</v>
      </c>
      <c r="V286" s="10">
        <v>1.25</v>
      </c>
      <c r="W286" s="10">
        <v>8</v>
      </c>
      <c r="X286" s="10">
        <v>8</v>
      </c>
      <c r="Y286" s="10">
        <v>16</v>
      </c>
      <c r="Z286" s="10">
        <v>1.3333333333333299</v>
      </c>
      <c r="AA286" s="10">
        <v>0.83333333333333304</v>
      </c>
      <c r="AB286" s="10">
        <v>1.3333333333333299</v>
      </c>
      <c r="AC286" s="10">
        <v>1.6666666666666701</v>
      </c>
      <c r="AD286" s="10">
        <v>1.3333333333333299</v>
      </c>
    </row>
    <row r="287" spans="1:30" x14ac:dyDescent="0.3">
      <c r="A287" s="7" t="s">
        <v>439</v>
      </c>
      <c r="B287" s="12" t="s">
        <v>882</v>
      </c>
      <c r="C287" s="10">
        <v>3.3333333333333299</v>
      </c>
      <c r="D287" s="10">
        <v>5.5</v>
      </c>
      <c r="E287" s="9">
        <v>6</v>
      </c>
      <c r="F287" s="9">
        <v>6</v>
      </c>
      <c r="G287" s="9">
        <v>12</v>
      </c>
      <c r="H287" s="10">
        <v>1.3333333333333299</v>
      </c>
      <c r="I287" s="10">
        <v>3.56</v>
      </c>
      <c r="J287" s="11">
        <v>0.25</v>
      </c>
      <c r="K287" s="11">
        <v>0.91666666666666696</v>
      </c>
      <c r="L287" s="11">
        <v>0.91666666666666696</v>
      </c>
      <c r="M287" s="11">
        <v>0.75</v>
      </c>
      <c r="N287" s="11">
        <v>0.58333333333333304</v>
      </c>
      <c r="O287" s="11">
        <v>0.66666666666666696</v>
      </c>
      <c r="P287" s="10">
        <v>1.05555555555556</v>
      </c>
      <c r="Q287" s="10">
        <v>1.0274023338281599</v>
      </c>
      <c r="R287" s="8" t="s">
        <v>10653</v>
      </c>
      <c r="S287" s="10">
        <v>9</v>
      </c>
      <c r="T287" s="10">
        <v>7</v>
      </c>
      <c r="U287" s="10">
        <v>16</v>
      </c>
      <c r="V287" s="10">
        <v>1.3333333333333299</v>
      </c>
      <c r="W287" s="10">
        <v>11</v>
      </c>
      <c r="X287" s="10">
        <v>26</v>
      </c>
      <c r="Y287" s="10">
        <v>37</v>
      </c>
      <c r="Z287" s="10">
        <v>3.0833333333333299</v>
      </c>
      <c r="AA287" s="10">
        <v>1.5</v>
      </c>
      <c r="AB287" s="10">
        <v>1.8333333333333299</v>
      </c>
      <c r="AC287" s="10">
        <v>1.1666666666666701</v>
      </c>
      <c r="AD287" s="10">
        <v>4.3333333333333304</v>
      </c>
    </row>
    <row r="288" spans="1:30" x14ac:dyDescent="0.3">
      <c r="A288" s="7" t="s">
        <v>4077</v>
      </c>
      <c r="B288" s="12" t="s">
        <v>4055</v>
      </c>
      <c r="C288" s="10">
        <v>3</v>
      </c>
      <c r="D288" s="10">
        <v>3.3333333333333299</v>
      </c>
      <c r="E288" s="9">
        <v>6</v>
      </c>
      <c r="F288" s="9">
        <v>6</v>
      </c>
      <c r="G288" s="9">
        <v>12</v>
      </c>
      <c r="H288" s="10">
        <v>1.4166666666666701</v>
      </c>
      <c r="I288" s="10">
        <v>2.5</v>
      </c>
      <c r="J288" s="11">
        <v>0.16666666666666699</v>
      </c>
      <c r="K288" s="11">
        <v>0.91666666666666696</v>
      </c>
      <c r="L288" s="11">
        <v>0.91666666666666696</v>
      </c>
      <c r="M288" s="11">
        <v>0.75</v>
      </c>
      <c r="N288" s="11">
        <v>0.41666666666666702</v>
      </c>
      <c r="O288" s="11">
        <v>0.75</v>
      </c>
      <c r="P288" s="10">
        <v>0.90972222222222199</v>
      </c>
      <c r="Q288" s="10">
        <v>0.95379359518829998</v>
      </c>
      <c r="R288" s="8" t="s">
        <v>10653</v>
      </c>
      <c r="S288" s="10">
        <v>6</v>
      </c>
      <c r="T288" s="10">
        <v>11</v>
      </c>
      <c r="U288" s="10">
        <v>17</v>
      </c>
      <c r="V288" s="10">
        <v>1.4166666666666701</v>
      </c>
      <c r="W288" s="10">
        <v>12</v>
      </c>
      <c r="X288" s="10">
        <v>9</v>
      </c>
      <c r="Y288" s="10">
        <v>21</v>
      </c>
      <c r="Z288" s="10">
        <v>1.75</v>
      </c>
      <c r="AA288" s="10">
        <v>1</v>
      </c>
      <c r="AB288" s="10">
        <v>2</v>
      </c>
      <c r="AC288" s="10">
        <v>1.8333333333333299</v>
      </c>
      <c r="AD288" s="10">
        <v>1.5</v>
      </c>
    </row>
    <row r="289" spans="1:30" x14ac:dyDescent="0.3">
      <c r="A289" s="7" t="s">
        <v>298</v>
      </c>
      <c r="B289" s="12" t="s">
        <v>1336</v>
      </c>
      <c r="C289" s="10">
        <v>1.8</v>
      </c>
      <c r="D289" s="10">
        <v>4.4285714285714297</v>
      </c>
      <c r="E289" s="9">
        <v>5</v>
      </c>
      <c r="F289" s="9">
        <v>7</v>
      </c>
      <c r="G289" s="9">
        <v>12</v>
      </c>
      <c r="H289" s="10">
        <v>1</v>
      </c>
      <c r="I289" s="10">
        <v>3.79</v>
      </c>
      <c r="J289" s="11">
        <v>0.25</v>
      </c>
      <c r="K289" s="11">
        <v>0.83333333333333304</v>
      </c>
      <c r="L289" s="11">
        <v>0.83333333333333304</v>
      </c>
      <c r="M289" s="11">
        <v>0.66666666666666696</v>
      </c>
      <c r="N289" s="11">
        <v>0.5</v>
      </c>
      <c r="O289" s="11">
        <v>0.66666666666666696</v>
      </c>
      <c r="P289" s="10">
        <v>0.5</v>
      </c>
      <c r="Q289" s="10">
        <v>0.70710678118654802</v>
      </c>
      <c r="R289" s="8" t="s">
        <v>10653</v>
      </c>
      <c r="S289" s="10">
        <v>4</v>
      </c>
      <c r="T289" s="10">
        <v>8</v>
      </c>
      <c r="U289" s="10">
        <v>12</v>
      </c>
      <c r="V289" s="10">
        <v>1</v>
      </c>
      <c r="W289" s="10">
        <v>5</v>
      </c>
      <c r="X289" s="10">
        <v>23</v>
      </c>
      <c r="Y289" s="10">
        <v>28</v>
      </c>
      <c r="Z289" s="10">
        <v>2.3333333333333299</v>
      </c>
      <c r="AA289" s="10">
        <v>0.8</v>
      </c>
      <c r="AB289" s="10">
        <v>1</v>
      </c>
      <c r="AC289" s="10">
        <v>1.1428571428571399</v>
      </c>
      <c r="AD289" s="10">
        <v>3.28571428571429</v>
      </c>
    </row>
    <row r="290" spans="1:30" x14ac:dyDescent="0.3">
      <c r="A290" s="7" t="s">
        <v>668</v>
      </c>
      <c r="B290" s="12" t="s">
        <v>1332</v>
      </c>
      <c r="C290" s="10">
        <v>3.8</v>
      </c>
      <c r="D290" s="10">
        <v>2.5714285714285698</v>
      </c>
      <c r="E290" s="9">
        <v>5</v>
      </c>
      <c r="F290" s="9">
        <v>7</v>
      </c>
      <c r="G290" s="9">
        <v>12</v>
      </c>
      <c r="H290" s="10">
        <v>1.3333333333333299</v>
      </c>
      <c r="I290" s="10">
        <v>3.62</v>
      </c>
      <c r="J290" s="11">
        <v>8.3333333333333301E-2</v>
      </c>
      <c r="K290" s="11">
        <v>1</v>
      </c>
      <c r="L290" s="11">
        <v>0.91666666666666696</v>
      </c>
      <c r="M290" s="11">
        <v>0.58333333333333304</v>
      </c>
      <c r="N290" s="11">
        <v>0.33333333333333298</v>
      </c>
      <c r="O290" s="11">
        <v>0.83333333333333304</v>
      </c>
      <c r="P290" s="10">
        <v>0.88888888888888895</v>
      </c>
      <c r="Q290" s="10">
        <v>0.94280904158206302</v>
      </c>
      <c r="R290" s="8" t="s">
        <v>10653</v>
      </c>
      <c r="S290" s="10">
        <v>10</v>
      </c>
      <c r="T290" s="10">
        <v>6</v>
      </c>
      <c r="U290" s="10">
        <v>16</v>
      </c>
      <c r="V290" s="10">
        <v>1.3333333333333299</v>
      </c>
      <c r="W290" s="10">
        <v>9</v>
      </c>
      <c r="X290" s="10">
        <v>12</v>
      </c>
      <c r="Y290" s="10">
        <v>21</v>
      </c>
      <c r="Z290" s="10">
        <v>1.75</v>
      </c>
      <c r="AA290" s="10">
        <v>2</v>
      </c>
      <c r="AB290" s="10">
        <v>1.8</v>
      </c>
      <c r="AC290" s="10">
        <v>0.85714285714285698</v>
      </c>
      <c r="AD290" s="10">
        <v>1.71428571428571</v>
      </c>
    </row>
    <row r="291" spans="1:30" x14ac:dyDescent="0.3">
      <c r="A291" s="7" t="s">
        <v>7595</v>
      </c>
      <c r="B291" s="12" t="s">
        <v>7895</v>
      </c>
      <c r="C291" s="10">
        <v>2.1666666666666701</v>
      </c>
      <c r="D291" s="10">
        <v>2.1666666666666701</v>
      </c>
      <c r="E291" s="9">
        <v>6</v>
      </c>
      <c r="F291" s="9">
        <v>6</v>
      </c>
      <c r="G291" s="9">
        <v>12</v>
      </c>
      <c r="H291" s="10">
        <v>1.0833333333333299</v>
      </c>
      <c r="I291" s="10">
        <v>2.5</v>
      </c>
      <c r="J291" s="11">
        <v>0.16666666666666699</v>
      </c>
      <c r="K291" s="11">
        <v>1</v>
      </c>
      <c r="L291" s="11">
        <v>0.75</v>
      </c>
      <c r="M291" s="11">
        <v>0.33333333333333298</v>
      </c>
      <c r="N291" s="11">
        <v>8.3333333333333301E-2</v>
      </c>
      <c r="O291" s="11">
        <v>0.58333333333333304</v>
      </c>
      <c r="P291" s="10">
        <v>0.57638888888888895</v>
      </c>
      <c r="Q291" s="10">
        <v>0.75920279826202497</v>
      </c>
      <c r="R291" s="8" t="s">
        <v>10653</v>
      </c>
      <c r="S291" s="10">
        <v>8</v>
      </c>
      <c r="T291" s="10">
        <v>5</v>
      </c>
      <c r="U291" s="10">
        <v>13</v>
      </c>
      <c r="V291" s="10">
        <v>1.0833333333333299</v>
      </c>
      <c r="W291" s="10">
        <v>5</v>
      </c>
      <c r="X291" s="10">
        <v>8</v>
      </c>
      <c r="Y291" s="10">
        <v>13</v>
      </c>
      <c r="Z291" s="10">
        <v>1.0833333333333299</v>
      </c>
      <c r="AA291" s="10">
        <v>1.3333333333333299</v>
      </c>
      <c r="AB291" s="10">
        <v>0.83333333333333304</v>
      </c>
      <c r="AC291" s="10">
        <v>0.83333333333333304</v>
      </c>
      <c r="AD291" s="10">
        <v>1.3333333333333299</v>
      </c>
    </row>
    <row r="292" spans="1:30" x14ac:dyDescent="0.3">
      <c r="A292" s="7" t="s">
        <v>7608</v>
      </c>
      <c r="B292" s="12" t="s">
        <v>7895</v>
      </c>
      <c r="C292" s="10">
        <v>2.8</v>
      </c>
      <c r="D292" s="10">
        <v>1.8571428571428601</v>
      </c>
      <c r="E292" s="9">
        <v>5</v>
      </c>
      <c r="F292" s="9">
        <v>7</v>
      </c>
      <c r="G292" s="9">
        <v>12</v>
      </c>
      <c r="H292" s="10">
        <v>1.3333333333333299</v>
      </c>
      <c r="I292" s="10">
        <v>2.5</v>
      </c>
      <c r="J292" s="11">
        <v>0.16666666666666699</v>
      </c>
      <c r="K292" s="11">
        <v>0.83333333333333304</v>
      </c>
      <c r="L292" s="11">
        <v>0.66666666666666696</v>
      </c>
      <c r="M292" s="11">
        <v>0.33333333333333298</v>
      </c>
      <c r="N292" s="11">
        <v>0.25</v>
      </c>
      <c r="O292" s="11">
        <v>0.58333333333333304</v>
      </c>
      <c r="P292" s="10">
        <v>1.55555555555556</v>
      </c>
      <c r="Q292" s="10">
        <v>1.2472191289246499</v>
      </c>
      <c r="R292" s="8" t="s">
        <v>10653</v>
      </c>
      <c r="S292" s="10">
        <v>10</v>
      </c>
      <c r="T292" s="10">
        <v>6</v>
      </c>
      <c r="U292" s="10">
        <v>16</v>
      </c>
      <c r="V292" s="10">
        <v>1.3333333333333299</v>
      </c>
      <c r="W292" s="10">
        <v>4</v>
      </c>
      <c r="X292" s="10">
        <v>7</v>
      </c>
      <c r="Y292" s="10">
        <v>11</v>
      </c>
      <c r="Z292" s="10">
        <v>0.91666666666666696</v>
      </c>
      <c r="AA292" s="10">
        <v>2</v>
      </c>
      <c r="AB292" s="10">
        <v>0.8</v>
      </c>
      <c r="AC292" s="10">
        <v>0.85714285714285698</v>
      </c>
      <c r="AD292" s="10">
        <v>1</v>
      </c>
    </row>
    <row r="293" spans="1:30" x14ac:dyDescent="0.3">
      <c r="A293" s="7" t="s">
        <v>210</v>
      </c>
      <c r="B293" s="12" t="s">
        <v>845</v>
      </c>
      <c r="C293" s="10">
        <v>5.4285714285714297</v>
      </c>
      <c r="D293" s="10">
        <v>4.8</v>
      </c>
      <c r="E293" s="9">
        <v>7</v>
      </c>
      <c r="F293" s="9">
        <v>5</v>
      </c>
      <c r="G293" s="9">
        <v>12</v>
      </c>
      <c r="H293" s="10">
        <v>2.9166666666666701</v>
      </c>
      <c r="I293" s="10">
        <v>4.32</v>
      </c>
      <c r="J293" s="11">
        <v>0</v>
      </c>
      <c r="K293" s="11">
        <v>1</v>
      </c>
      <c r="L293" s="11">
        <v>1</v>
      </c>
      <c r="M293" s="11">
        <v>1</v>
      </c>
      <c r="N293" s="11">
        <v>0.75</v>
      </c>
      <c r="O293" s="11">
        <v>0.83333333333333304</v>
      </c>
      <c r="P293" s="10">
        <v>4.2430555555555598</v>
      </c>
      <c r="Q293" s="10">
        <v>2.05986784905138</v>
      </c>
      <c r="R293" s="8" t="s">
        <v>10653</v>
      </c>
      <c r="S293" s="10">
        <v>24</v>
      </c>
      <c r="T293" s="10">
        <v>11</v>
      </c>
      <c r="U293" s="10">
        <v>35</v>
      </c>
      <c r="V293" s="10">
        <v>2.9166666666666701</v>
      </c>
      <c r="W293" s="10">
        <v>14</v>
      </c>
      <c r="X293" s="10">
        <v>13</v>
      </c>
      <c r="Y293" s="10">
        <v>27</v>
      </c>
      <c r="Z293" s="10">
        <v>2.25</v>
      </c>
      <c r="AA293" s="10">
        <v>3.4285714285714302</v>
      </c>
      <c r="AB293" s="10">
        <v>2</v>
      </c>
      <c r="AC293" s="10">
        <v>2.2000000000000002</v>
      </c>
      <c r="AD293" s="10">
        <v>2.6</v>
      </c>
    </row>
    <row r="294" spans="1:30" x14ac:dyDescent="0.3">
      <c r="A294" s="7" t="s">
        <v>3672</v>
      </c>
      <c r="B294" s="12" t="s">
        <v>3662</v>
      </c>
      <c r="C294" s="10">
        <v>3.3333333333333299</v>
      </c>
      <c r="D294" s="10">
        <v>2.1666666666666701</v>
      </c>
      <c r="E294" s="9">
        <v>6</v>
      </c>
      <c r="F294" s="9">
        <v>6</v>
      </c>
      <c r="G294" s="9">
        <v>12</v>
      </c>
      <c r="H294" s="10">
        <v>1.8333333333333299</v>
      </c>
      <c r="I294" s="10">
        <v>2.5</v>
      </c>
      <c r="J294" s="11">
        <v>0.16666666666666699</v>
      </c>
      <c r="K294" s="11">
        <v>0.91666666666666696</v>
      </c>
      <c r="L294" s="11">
        <v>0.66666666666666696</v>
      </c>
      <c r="M294" s="11">
        <v>0.58333333333333304</v>
      </c>
      <c r="N294" s="11">
        <v>0.33333333333333298</v>
      </c>
      <c r="O294" s="11">
        <v>0.5</v>
      </c>
      <c r="P294" s="10">
        <v>1.30555555555556</v>
      </c>
      <c r="Q294" s="10">
        <v>1.1426091000668399</v>
      </c>
      <c r="R294" s="8" t="s">
        <v>10653</v>
      </c>
      <c r="S294" s="10">
        <v>13</v>
      </c>
      <c r="T294" s="10">
        <v>9</v>
      </c>
      <c r="U294" s="10">
        <v>22</v>
      </c>
      <c r="V294" s="10">
        <v>1.8333333333333299</v>
      </c>
      <c r="W294" s="10">
        <v>7</v>
      </c>
      <c r="X294" s="10">
        <v>4</v>
      </c>
      <c r="Y294" s="10">
        <v>11</v>
      </c>
      <c r="Z294" s="10">
        <v>0.91666666666666696</v>
      </c>
      <c r="AA294" s="10">
        <v>2.1666666666666701</v>
      </c>
      <c r="AB294" s="10">
        <v>1.1666666666666701</v>
      </c>
      <c r="AC294" s="10">
        <v>1.5</v>
      </c>
      <c r="AD294" s="10">
        <v>0.66666666666666696</v>
      </c>
    </row>
    <row r="295" spans="1:30" x14ac:dyDescent="0.3">
      <c r="A295" s="7" t="s">
        <v>1852</v>
      </c>
      <c r="B295" s="12" t="s">
        <v>1334</v>
      </c>
      <c r="C295" s="10">
        <v>1.3333333333333299</v>
      </c>
      <c r="D295" s="10">
        <v>3</v>
      </c>
      <c r="E295" s="9">
        <v>6</v>
      </c>
      <c r="F295" s="9">
        <v>6</v>
      </c>
      <c r="G295" s="9">
        <v>12</v>
      </c>
      <c r="H295" s="10">
        <v>0.83333333333333304</v>
      </c>
      <c r="I295" s="10">
        <v>2.31</v>
      </c>
      <c r="J295" s="11">
        <v>0.5</v>
      </c>
      <c r="K295" s="11">
        <v>0.83333333333333304</v>
      </c>
      <c r="L295" s="11">
        <v>0.58333333333333304</v>
      </c>
      <c r="M295" s="11">
        <v>0.33333333333333298</v>
      </c>
      <c r="N295" s="11">
        <v>0.16666666666666699</v>
      </c>
      <c r="O295" s="11">
        <v>0.41666666666666702</v>
      </c>
      <c r="P295" s="10">
        <v>0.97222222222222199</v>
      </c>
      <c r="Q295" s="10">
        <v>0.98601329718326902</v>
      </c>
      <c r="R295" s="8" t="s">
        <v>10653</v>
      </c>
      <c r="S295" s="10">
        <v>4</v>
      </c>
      <c r="T295" s="10">
        <v>6</v>
      </c>
      <c r="U295" s="10">
        <v>10</v>
      </c>
      <c r="V295" s="10">
        <v>0.83333333333333304</v>
      </c>
      <c r="W295" s="10">
        <v>4</v>
      </c>
      <c r="X295" s="10">
        <v>12</v>
      </c>
      <c r="Y295" s="10">
        <v>16</v>
      </c>
      <c r="Z295" s="10">
        <v>1.3333333333333299</v>
      </c>
      <c r="AA295" s="10">
        <v>0.66666666666666696</v>
      </c>
      <c r="AB295" s="10">
        <v>0.66666666666666696</v>
      </c>
      <c r="AC295" s="10">
        <v>1</v>
      </c>
      <c r="AD295" s="10">
        <v>2</v>
      </c>
    </row>
    <row r="296" spans="1:30" x14ac:dyDescent="0.3">
      <c r="A296" s="7" t="s">
        <v>3675</v>
      </c>
      <c r="B296" s="12" t="s">
        <v>3662</v>
      </c>
      <c r="C296" s="10">
        <v>2.5</v>
      </c>
      <c r="D296" s="10">
        <v>2.5</v>
      </c>
      <c r="E296" s="9">
        <v>8</v>
      </c>
      <c r="F296" s="9">
        <v>4</v>
      </c>
      <c r="G296" s="9">
        <v>12</v>
      </c>
      <c r="H296" s="10">
        <v>1.3333333333333299</v>
      </c>
      <c r="I296" s="10">
        <v>2.5</v>
      </c>
      <c r="J296" s="11">
        <v>0.33333333333333298</v>
      </c>
      <c r="K296" s="11">
        <v>0.91666666666666696</v>
      </c>
      <c r="L296" s="11">
        <v>0.75</v>
      </c>
      <c r="M296" s="11">
        <v>0.58333333333333304</v>
      </c>
      <c r="N296" s="11">
        <v>0.16666666666666699</v>
      </c>
      <c r="O296" s="11">
        <v>0.58333333333333304</v>
      </c>
      <c r="P296" s="10">
        <v>1.3888888888888899</v>
      </c>
      <c r="Q296" s="10">
        <v>1.1785113019775799</v>
      </c>
      <c r="R296" s="8" t="s">
        <v>10653</v>
      </c>
      <c r="S296" s="10">
        <v>11</v>
      </c>
      <c r="T296" s="10">
        <v>5</v>
      </c>
      <c r="U296" s="10">
        <v>16</v>
      </c>
      <c r="V296" s="10">
        <v>1.3333333333333299</v>
      </c>
      <c r="W296" s="10">
        <v>9</v>
      </c>
      <c r="X296" s="10">
        <v>5</v>
      </c>
      <c r="Y296" s="10">
        <v>14</v>
      </c>
      <c r="Z296" s="10">
        <v>1.1666666666666701</v>
      </c>
      <c r="AA296" s="10">
        <v>1.375</v>
      </c>
      <c r="AB296" s="10">
        <v>1.125</v>
      </c>
      <c r="AC296" s="10">
        <v>1.25</v>
      </c>
      <c r="AD296" s="10">
        <v>1.25</v>
      </c>
    </row>
    <row r="297" spans="1:30" x14ac:dyDescent="0.3">
      <c r="A297" s="7" t="s">
        <v>3703</v>
      </c>
      <c r="B297" s="12" t="s">
        <v>3662</v>
      </c>
      <c r="C297" s="10">
        <v>3.6666666666666701</v>
      </c>
      <c r="D297" s="10">
        <v>2</v>
      </c>
      <c r="E297" s="9">
        <v>6</v>
      </c>
      <c r="F297" s="9">
        <v>6</v>
      </c>
      <c r="G297" s="9">
        <v>12</v>
      </c>
      <c r="H297" s="10">
        <v>1.4166666666666701</v>
      </c>
      <c r="I297" s="10">
        <v>2.5</v>
      </c>
      <c r="J297" s="11">
        <v>0.25</v>
      </c>
      <c r="K297" s="11">
        <v>1</v>
      </c>
      <c r="L297" s="11">
        <v>0.83333333333333304</v>
      </c>
      <c r="M297" s="11">
        <v>0.5</v>
      </c>
      <c r="N297" s="11">
        <v>0.16666666666666699</v>
      </c>
      <c r="O297" s="11">
        <v>0.58333333333333304</v>
      </c>
      <c r="P297" s="10">
        <v>1.5763888888888899</v>
      </c>
      <c r="Q297" s="10">
        <v>1.25554326444328</v>
      </c>
      <c r="R297" s="8" t="s">
        <v>10653</v>
      </c>
      <c r="S297" s="10">
        <v>12</v>
      </c>
      <c r="T297" s="10">
        <v>5</v>
      </c>
      <c r="U297" s="10">
        <v>17</v>
      </c>
      <c r="V297" s="10">
        <v>1.4166666666666701</v>
      </c>
      <c r="W297" s="10">
        <v>10</v>
      </c>
      <c r="X297" s="10">
        <v>7</v>
      </c>
      <c r="Y297" s="10">
        <v>17</v>
      </c>
      <c r="Z297" s="10">
        <v>1.4166666666666701</v>
      </c>
      <c r="AA297" s="10">
        <v>2</v>
      </c>
      <c r="AB297" s="10">
        <v>1.6666666666666701</v>
      </c>
      <c r="AC297" s="10">
        <v>0.83333333333333304</v>
      </c>
      <c r="AD297" s="10">
        <v>1.1666666666666701</v>
      </c>
    </row>
    <row r="298" spans="1:30" x14ac:dyDescent="0.3">
      <c r="A298" s="7" t="s">
        <v>3720</v>
      </c>
      <c r="B298" s="12" t="s">
        <v>3662</v>
      </c>
      <c r="C298" s="10">
        <v>4</v>
      </c>
      <c r="D298" s="10">
        <v>3.6666666666666701</v>
      </c>
      <c r="E298" s="9">
        <v>6</v>
      </c>
      <c r="F298" s="9">
        <v>6</v>
      </c>
      <c r="G298" s="9">
        <v>12</v>
      </c>
      <c r="H298" s="10">
        <v>1.6666666666666701</v>
      </c>
      <c r="I298" s="10">
        <v>2.5</v>
      </c>
      <c r="J298" s="11">
        <v>0.25</v>
      </c>
      <c r="K298" s="11">
        <v>1</v>
      </c>
      <c r="L298" s="11">
        <v>1</v>
      </c>
      <c r="M298" s="11">
        <v>0.66666666666666696</v>
      </c>
      <c r="N298" s="11">
        <v>0.58333333333333304</v>
      </c>
      <c r="O298" s="11">
        <v>0.75</v>
      </c>
      <c r="P298" s="10">
        <v>1.7222222222222201</v>
      </c>
      <c r="Q298" s="10">
        <v>1.31233464566864</v>
      </c>
      <c r="R298" s="8" t="s">
        <v>10653</v>
      </c>
      <c r="S298" s="10">
        <v>11</v>
      </c>
      <c r="T298" s="10">
        <v>9</v>
      </c>
      <c r="U298" s="10">
        <v>20</v>
      </c>
      <c r="V298" s="10">
        <v>1.6666666666666701</v>
      </c>
      <c r="W298" s="10">
        <v>13</v>
      </c>
      <c r="X298" s="10">
        <v>13</v>
      </c>
      <c r="Y298" s="10">
        <v>26</v>
      </c>
      <c r="Z298" s="10">
        <v>2.1666666666666701</v>
      </c>
      <c r="AA298" s="10">
        <v>1.8333333333333299</v>
      </c>
      <c r="AB298" s="10">
        <v>2.1666666666666701</v>
      </c>
      <c r="AC298" s="10">
        <v>1.5</v>
      </c>
      <c r="AD298" s="10">
        <v>2.1666666666666701</v>
      </c>
    </row>
    <row r="299" spans="1:30" x14ac:dyDescent="0.3">
      <c r="A299" s="7" t="s">
        <v>7591</v>
      </c>
      <c r="B299" s="12" t="s">
        <v>7895</v>
      </c>
      <c r="C299" s="10">
        <v>2.8571428571428599</v>
      </c>
      <c r="D299" s="10">
        <v>2.4</v>
      </c>
      <c r="E299" s="9">
        <v>7</v>
      </c>
      <c r="F299" s="9">
        <v>5</v>
      </c>
      <c r="G299" s="9">
        <v>12</v>
      </c>
      <c r="H299" s="10">
        <v>1.6666666666666701</v>
      </c>
      <c r="I299" s="10">
        <v>2.5</v>
      </c>
      <c r="J299" s="11">
        <v>0</v>
      </c>
      <c r="K299" s="11">
        <v>1</v>
      </c>
      <c r="L299" s="11">
        <v>0.75</v>
      </c>
      <c r="M299" s="11">
        <v>0.58333333333333304</v>
      </c>
      <c r="N299" s="11">
        <v>0.16666666666666699</v>
      </c>
      <c r="O299" s="11">
        <v>0.66666666666666696</v>
      </c>
      <c r="P299" s="10">
        <v>0.55555555555555503</v>
      </c>
      <c r="Q299" s="10">
        <v>0.74535599249993001</v>
      </c>
      <c r="R299" s="8" t="s">
        <v>10653</v>
      </c>
      <c r="S299" s="10">
        <v>11</v>
      </c>
      <c r="T299" s="10">
        <v>9</v>
      </c>
      <c r="U299" s="10">
        <v>20</v>
      </c>
      <c r="V299" s="10">
        <v>1.6666666666666701</v>
      </c>
      <c r="W299" s="10">
        <v>9</v>
      </c>
      <c r="X299" s="10">
        <v>3</v>
      </c>
      <c r="Y299" s="10">
        <v>12</v>
      </c>
      <c r="Z299" s="10">
        <v>1</v>
      </c>
      <c r="AA299" s="10">
        <v>1.5714285714285701</v>
      </c>
      <c r="AB299" s="10">
        <v>1.28571428571429</v>
      </c>
      <c r="AC299" s="10">
        <v>1.8</v>
      </c>
      <c r="AD299" s="10">
        <v>0.6</v>
      </c>
    </row>
    <row r="300" spans="1:30" x14ac:dyDescent="0.3">
      <c r="A300" s="7" t="s">
        <v>97</v>
      </c>
      <c r="B300" s="12" t="s">
        <v>4291</v>
      </c>
      <c r="C300" s="10">
        <v>4.1428571428571397</v>
      </c>
      <c r="D300" s="10">
        <v>2.8</v>
      </c>
      <c r="E300" s="9">
        <v>7</v>
      </c>
      <c r="F300" s="9">
        <v>5</v>
      </c>
      <c r="G300" s="9">
        <v>12</v>
      </c>
      <c r="H300" s="10">
        <v>2.0833333333333299</v>
      </c>
      <c r="I300" s="10">
        <v>3.55</v>
      </c>
      <c r="J300" s="11">
        <v>8.3333333333333301E-2</v>
      </c>
      <c r="K300" s="11">
        <v>1</v>
      </c>
      <c r="L300" s="11">
        <v>0.75</v>
      </c>
      <c r="M300" s="11">
        <v>0.66666666666666696</v>
      </c>
      <c r="N300" s="11">
        <v>0.41666666666666702</v>
      </c>
      <c r="O300" s="11">
        <v>0.58333333333333304</v>
      </c>
      <c r="P300" s="10">
        <v>2.5763888888888902</v>
      </c>
      <c r="Q300" s="10">
        <v>1.6051133570215199</v>
      </c>
      <c r="R300" s="8" t="s">
        <v>10653</v>
      </c>
      <c r="S300" s="10">
        <v>19</v>
      </c>
      <c r="T300" s="10">
        <v>6</v>
      </c>
      <c r="U300" s="10">
        <v>25</v>
      </c>
      <c r="V300" s="10">
        <v>2.0833333333333299</v>
      </c>
      <c r="W300" s="10">
        <v>10</v>
      </c>
      <c r="X300" s="10">
        <v>8</v>
      </c>
      <c r="Y300" s="10">
        <v>18</v>
      </c>
      <c r="Z300" s="10">
        <v>1.5</v>
      </c>
      <c r="AA300" s="10">
        <v>2.71428571428571</v>
      </c>
      <c r="AB300" s="10">
        <v>1.4285714285714299</v>
      </c>
      <c r="AC300" s="10">
        <v>1.2</v>
      </c>
      <c r="AD300" s="10">
        <v>1.6</v>
      </c>
    </row>
    <row r="301" spans="1:30" x14ac:dyDescent="0.3">
      <c r="A301" s="7" t="s">
        <v>445</v>
      </c>
      <c r="B301" s="12" t="s">
        <v>882</v>
      </c>
      <c r="C301" s="10">
        <v>3.1666666666666701</v>
      </c>
      <c r="D301" s="10">
        <v>3.3333333333333299</v>
      </c>
      <c r="E301" s="9">
        <v>6</v>
      </c>
      <c r="F301" s="9">
        <v>6</v>
      </c>
      <c r="G301" s="9">
        <v>12</v>
      </c>
      <c r="H301" s="10">
        <v>0.33333333333333298</v>
      </c>
      <c r="I301" s="10">
        <v>3.56</v>
      </c>
      <c r="J301" s="11">
        <v>0.66666666666666696</v>
      </c>
      <c r="K301" s="11">
        <v>0.91666666666666696</v>
      </c>
      <c r="L301" s="11">
        <v>0.75</v>
      </c>
      <c r="M301" s="11">
        <v>0.58333333333333304</v>
      </c>
      <c r="N301" s="11">
        <v>0.33333333333333298</v>
      </c>
      <c r="O301" s="11">
        <v>0.33333333333333298</v>
      </c>
      <c r="P301" s="10">
        <v>0.22222222222222199</v>
      </c>
      <c r="Q301" s="10">
        <v>0.47140452079103201</v>
      </c>
      <c r="R301" s="8" t="s">
        <v>10653</v>
      </c>
      <c r="S301" s="10">
        <v>3</v>
      </c>
      <c r="T301" s="10">
        <v>1</v>
      </c>
      <c r="U301" s="10">
        <v>4</v>
      </c>
      <c r="V301" s="10">
        <v>0.33333333333333298</v>
      </c>
      <c r="W301" s="10">
        <v>16</v>
      </c>
      <c r="X301" s="10">
        <v>19</v>
      </c>
      <c r="Y301" s="10">
        <v>35</v>
      </c>
      <c r="Z301" s="10">
        <v>2.9166666666666701</v>
      </c>
      <c r="AA301" s="10">
        <v>0.5</v>
      </c>
      <c r="AB301" s="10">
        <v>2.6666666666666701</v>
      </c>
      <c r="AC301" s="10">
        <v>0.16666666666666699</v>
      </c>
      <c r="AD301" s="10">
        <v>3.1666666666666701</v>
      </c>
    </row>
    <row r="302" spans="1:30" x14ac:dyDescent="0.3">
      <c r="A302" s="7" t="s">
        <v>4992</v>
      </c>
      <c r="B302" s="12" t="s">
        <v>954</v>
      </c>
      <c r="C302" s="10">
        <v>3.3333333333333299</v>
      </c>
      <c r="D302" s="10">
        <v>1.6666666666666701</v>
      </c>
      <c r="E302" s="9">
        <v>6</v>
      </c>
      <c r="F302" s="9">
        <v>6</v>
      </c>
      <c r="G302" s="9">
        <v>12</v>
      </c>
      <c r="H302" s="10">
        <v>1.25</v>
      </c>
      <c r="I302" s="10">
        <v>2.5</v>
      </c>
      <c r="J302" s="11">
        <v>0.16666666666666699</v>
      </c>
      <c r="K302" s="11">
        <v>0.91666666666666696</v>
      </c>
      <c r="L302" s="11">
        <v>0.83333333333333304</v>
      </c>
      <c r="M302" s="11">
        <v>0.25</v>
      </c>
      <c r="N302" s="11">
        <v>0.25</v>
      </c>
      <c r="O302" s="11">
        <v>0.58333333333333304</v>
      </c>
      <c r="P302" s="10">
        <v>0.6875</v>
      </c>
      <c r="Q302" s="10">
        <v>0.82915619758884995</v>
      </c>
      <c r="R302" s="8" t="s">
        <v>10653</v>
      </c>
      <c r="S302" s="10">
        <v>10</v>
      </c>
      <c r="T302" s="10">
        <v>5</v>
      </c>
      <c r="U302" s="10">
        <v>15</v>
      </c>
      <c r="V302" s="10">
        <v>1.25</v>
      </c>
      <c r="W302" s="10">
        <v>10</v>
      </c>
      <c r="X302" s="10">
        <v>5</v>
      </c>
      <c r="Y302" s="10">
        <v>15</v>
      </c>
      <c r="Z302" s="10">
        <v>1.25</v>
      </c>
      <c r="AA302" s="10">
        <v>1.6666666666666701</v>
      </c>
      <c r="AB302" s="10">
        <v>1.6666666666666701</v>
      </c>
      <c r="AC302" s="10">
        <v>0.83333333333333304</v>
      </c>
      <c r="AD302" s="10">
        <v>0.83333333333333304</v>
      </c>
    </row>
    <row r="303" spans="1:30" x14ac:dyDescent="0.3">
      <c r="A303" s="7" t="s">
        <v>5039</v>
      </c>
      <c r="B303" s="12" t="s">
        <v>954</v>
      </c>
      <c r="C303" s="10">
        <v>2.8333333333333299</v>
      </c>
      <c r="D303" s="10">
        <v>2</v>
      </c>
      <c r="E303" s="9">
        <v>6</v>
      </c>
      <c r="F303" s="9">
        <v>6</v>
      </c>
      <c r="G303" s="9">
        <v>12</v>
      </c>
      <c r="H303" s="10">
        <v>1.25</v>
      </c>
      <c r="I303" s="10">
        <v>2.5</v>
      </c>
      <c r="J303" s="11">
        <v>0.33333333333333298</v>
      </c>
      <c r="K303" s="11">
        <v>0.83333333333333304</v>
      </c>
      <c r="L303" s="11">
        <v>0.75</v>
      </c>
      <c r="M303" s="11">
        <v>0.5</v>
      </c>
      <c r="N303" s="11">
        <v>0.33333333333333298</v>
      </c>
      <c r="O303" s="11">
        <v>0.58333333333333304</v>
      </c>
      <c r="P303" s="10">
        <v>1.1875</v>
      </c>
      <c r="Q303" s="10">
        <v>1.08972473588517</v>
      </c>
      <c r="R303" s="8" t="s">
        <v>10653</v>
      </c>
      <c r="S303" s="10">
        <v>10</v>
      </c>
      <c r="T303" s="10">
        <v>5</v>
      </c>
      <c r="U303" s="10">
        <v>15</v>
      </c>
      <c r="V303" s="10">
        <v>1.25</v>
      </c>
      <c r="W303" s="10">
        <v>7</v>
      </c>
      <c r="X303" s="10">
        <v>7</v>
      </c>
      <c r="Y303" s="10">
        <v>14</v>
      </c>
      <c r="Z303" s="10">
        <v>1.1666666666666701</v>
      </c>
      <c r="AA303" s="10">
        <v>1.6666666666666701</v>
      </c>
      <c r="AB303" s="10">
        <v>1.1666666666666701</v>
      </c>
      <c r="AC303" s="10">
        <v>0.83333333333333304</v>
      </c>
      <c r="AD303" s="10">
        <v>1.1666666666666701</v>
      </c>
    </row>
    <row r="304" spans="1:30" x14ac:dyDescent="0.3">
      <c r="A304" s="7" t="s">
        <v>167</v>
      </c>
      <c r="B304" s="12" t="s">
        <v>1340</v>
      </c>
      <c r="C304" s="10">
        <v>3.4285714285714302</v>
      </c>
      <c r="D304" s="10">
        <v>4.2</v>
      </c>
      <c r="E304" s="9">
        <v>7</v>
      </c>
      <c r="F304" s="9">
        <v>5</v>
      </c>
      <c r="G304" s="9">
        <v>12</v>
      </c>
      <c r="H304" s="10">
        <v>1.9166666666666701</v>
      </c>
      <c r="I304" s="10">
        <v>2.5</v>
      </c>
      <c r="J304" s="11">
        <v>0.25</v>
      </c>
      <c r="K304" s="11">
        <v>0.91666666666666696</v>
      </c>
      <c r="L304" s="11">
        <v>0.91666666666666696</v>
      </c>
      <c r="M304" s="11">
        <v>0.83333333333333304</v>
      </c>
      <c r="N304" s="11">
        <v>0.66666666666666696</v>
      </c>
      <c r="O304" s="11">
        <v>0.5</v>
      </c>
      <c r="P304" s="10">
        <v>2.0763888888888902</v>
      </c>
      <c r="Q304" s="10">
        <v>1.4409680388158801</v>
      </c>
      <c r="R304" s="8" t="s">
        <v>10653</v>
      </c>
      <c r="S304" s="10">
        <v>18</v>
      </c>
      <c r="T304" s="10">
        <v>5</v>
      </c>
      <c r="U304" s="10">
        <v>23</v>
      </c>
      <c r="V304" s="10">
        <v>1.9166666666666701</v>
      </c>
      <c r="W304" s="10">
        <v>6</v>
      </c>
      <c r="X304" s="10">
        <v>16</v>
      </c>
      <c r="Y304" s="10">
        <v>22</v>
      </c>
      <c r="Z304" s="10">
        <v>1.8333333333333299</v>
      </c>
      <c r="AA304" s="10">
        <v>2.5714285714285698</v>
      </c>
      <c r="AB304" s="10">
        <v>0.85714285714285698</v>
      </c>
      <c r="AC304" s="10">
        <v>1</v>
      </c>
      <c r="AD304" s="10">
        <v>3.2</v>
      </c>
    </row>
    <row r="305" spans="1:30" x14ac:dyDescent="0.3">
      <c r="A305" s="7" t="s">
        <v>1855</v>
      </c>
      <c r="B305" s="12" t="s">
        <v>1334</v>
      </c>
      <c r="C305" s="10">
        <v>2.5</v>
      </c>
      <c r="D305" s="10">
        <v>2.8333333333333299</v>
      </c>
      <c r="E305" s="9">
        <v>6</v>
      </c>
      <c r="F305" s="9">
        <v>6</v>
      </c>
      <c r="G305" s="9">
        <v>12</v>
      </c>
      <c r="H305" s="10">
        <v>1.75</v>
      </c>
      <c r="I305" s="10">
        <v>2.31</v>
      </c>
      <c r="J305" s="11">
        <v>0.25</v>
      </c>
      <c r="K305" s="11">
        <v>1</v>
      </c>
      <c r="L305" s="11">
        <v>0.75</v>
      </c>
      <c r="M305" s="11">
        <v>0.58333333333333304</v>
      </c>
      <c r="N305" s="11">
        <v>0.25</v>
      </c>
      <c r="O305" s="11">
        <v>0.5</v>
      </c>
      <c r="P305" s="10">
        <v>1.8541666666666701</v>
      </c>
      <c r="Q305" s="10">
        <v>1.36167788653068</v>
      </c>
      <c r="R305" s="8" t="s">
        <v>10653</v>
      </c>
      <c r="S305" s="10">
        <v>9</v>
      </c>
      <c r="T305" s="10">
        <v>12</v>
      </c>
      <c r="U305" s="10">
        <v>21</v>
      </c>
      <c r="V305" s="10">
        <v>1.75</v>
      </c>
      <c r="W305" s="10">
        <v>6</v>
      </c>
      <c r="X305" s="10">
        <v>5</v>
      </c>
      <c r="Y305" s="10">
        <v>11</v>
      </c>
      <c r="Z305" s="10">
        <v>0.91666666666666696</v>
      </c>
      <c r="AA305" s="10">
        <v>1.5</v>
      </c>
      <c r="AB305" s="10">
        <v>1</v>
      </c>
      <c r="AC305" s="10">
        <v>2</v>
      </c>
      <c r="AD305" s="10">
        <v>0.83333333333333304</v>
      </c>
    </row>
    <row r="306" spans="1:30" x14ac:dyDescent="0.3">
      <c r="A306" s="7" t="s">
        <v>3364</v>
      </c>
      <c r="B306" s="12" t="s">
        <v>3426</v>
      </c>
      <c r="C306" s="10">
        <v>2.8333333333333299</v>
      </c>
      <c r="D306" s="10">
        <v>2.8333333333333299</v>
      </c>
      <c r="E306" s="9">
        <v>6</v>
      </c>
      <c r="F306" s="9">
        <v>6</v>
      </c>
      <c r="G306" s="9">
        <v>12</v>
      </c>
      <c r="H306" s="10">
        <v>1.4166666666666701</v>
      </c>
      <c r="I306" s="10">
        <v>2.5</v>
      </c>
      <c r="J306" s="11">
        <v>0.16666666666666699</v>
      </c>
      <c r="K306" s="11">
        <v>0.91666666666666696</v>
      </c>
      <c r="L306" s="11">
        <v>0.75</v>
      </c>
      <c r="M306" s="11">
        <v>0.41666666666666702</v>
      </c>
      <c r="N306" s="11">
        <v>0.41666666666666702</v>
      </c>
      <c r="O306" s="11">
        <v>0.5</v>
      </c>
      <c r="P306" s="10">
        <v>0.57638888888888895</v>
      </c>
      <c r="Q306" s="10">
        <v>0.75920279826202497</v>
      </c>
      <c r="R306" s="8" t="s">
        <v>10653</v>
      </c>
      <c r="S306" s="10">
        <v>9</v>
      </c>
      <c r="T306" s="10">
        <v>8</v>
      </c>
      <c r="U306" s="10">
        <v>17</v>
      </c>
      <c r="V306" s="10">
        <v>1.4166666666666701</v>
      </c>
      <c r="W306" s="10">
        <v>8</v>
      </c>
      <c r="X306" s="10">
        <v>9</v>
      </c>
      <c r="Y306" s="10">
        <v>17</v>
      </c>
      <c r="Z306" s="10">
        <v>1.4166666666666701</v>
      </c>
      <c r="AA306" s="10">
        <v>1.5</v>
      </c>
      <c r="AB306" s="10">
        <v>1.3333333333333299</v>
      </c>
      <c r="AC306" s="10">
        <v>1.3333333333333299</v>
      </c>
      <c r="AD306" s="10">
        <v>1.5</v>
      </c>
    </row>
    <row r="307" spans="1:30" x14ac:dyDescent="0.3">
      <c r="A307" s="7" t="s">
        <v>2208</v>
      </c>
      <c r="B307" s="12" t="s">
        <v>2230</v>
      </c>
      <c r="C307" s="10">
        <v>3.3333333333333299</v>
      </c>
      <c r="D307" s="10">
        <v>1.8333333333333299</v>
      </c>
      <c r="E307" s="9">
        <v>6</v>
      </c>
      <c r="F307" s="9">
        <v>6</v>
      </c>
      <c r="G307" s="9">
        <v>12</v>
      </c>
      <c r="H307" s="10">
        <v>1.1666666666666701</v>
      </c>
      <c r="I307" s="10">
        <v>2.72</v>
      </c>
      <c r="J307" s="11">
        <v>0.41666666666666702</v>
      </c>
      <c r="K307" s="11">
        <v>1</v>
      </c>
      <c r="L307" s="11">
        <v>0.75</v>
      </c>
      <c r="M307" s="11">
        <v>0.5</v>
      </c>
      <c r="N307" s="11">
        <v>0.33333333333333298</v>
      </c>
      <c r="O307" s="11">
        <v>0.41666666666666702</v>
      </c>
      <c r="P307" s="10">
        <v>1.4722222222222201</v>
      </c>
      <c r="Q307" s="10">
        <v>1.2133516482134199</v>
      </c>
      <c r="R307" s="8" t="s">
        <v>10653</v>
      </c>
      <c r="S307" s="10">
        <v>12</v>
      </c>
      <c r="T307" s="10">
        <v>2</v>
      </c>
      <c r="U307" s="10">
        <v>14</v>
      </c>
      <c r="V307" s="10">
        <v>1.1666666666666701</v>
      </c>
      <c r="W307" s="10">
        <v>8</v>
      </c>
      <c r="X307" s="10">
        <v>9</v>
      </c>
      <c r="Y307" s="10">
        <v>17</v>
      </c>
      <c r="Z307" s="10">
        <v>1.4166666666666701</v>
      </c>
      <c r="AA307" s="10">
        <v>2</v>
      </c>
      <c r="AB307" s="10">
        <v>1.3333333333333299</v>
      </c>
      <c r="AC307" s="10">
        <v>0.33333333333333298</v>
      </c>
      <c r="AD307" s="10">
        <v>1.5</v>
      </c>
    </row>
    <row r="308" spans="1:30" x14ac:dyDescent="0.3">
      <c r="A308" s="7" t="s">
        <v>2377</v>
      </c>
      <c r="B308" s="12" t="s">
        <v>1330</v>
      </c>
      <c r="C308" s="10">
        <v>3</v>
      </c>
      <c r="D308" s="10">
        <v>1.28571428571429</v>
      </c>
      <c r="E308" s="9">
        <v>5</v>
      </c>
      <c r="F308" s="9">
        <v>7</v>
      </c>
      <c r="G308" s="9">
        <v>12</v>
      </c>
      <c r="H308" s="10">
        <v>1.4166666666666701</v>
      </c>
      <c r="I308" s="10">
        <v>2.5</v>
      </c>
      <c r="J308" s="11">
        <v>8.3333333333333301E-2</v>
      </c>
      <c r="K308" s="11">
        <v>0.91666666666666696</v>
      </c>
      <c r="L308" s="11">
        <v>0.66666666666666696</v>
      </c>
      <c r="M308" s="11">
        <v>0.25</v>
      </c>
      <c r="N308" s="11">
        <v>0.16666666666666699</v>
      </c>
      <c r="O308" s="11">
        <v>0.41666666666666702</v>
      </c>
      <c r="P308" s="10">
        <v>0.57638888888888895</v>
      </c>
      <c r="Q308" s="10">
        <v>0.75920279826202497</v>
      </c>
      <c r="R308" s="8" t="s">
        <v>10653</v>
      </c>
      <c r="S308" s="10">
        <v>10</v>
      </c>
      <c r="T308" s="10">
        <v>7</v>
      </c>
      <c r="U308" s="10">
        <v>17</v>
      </c>
      <c r="V308" s="10">
        <v>1.4166666666666701</v>
      </c>
      <c r="W308" s="10">
        <v>5</v>
      </c>
      <c r="X308" s="10">
        <v>2</v>
      </c>
      <c r="Y308" s="10">
        <v>7</v>
      </c>
      <c r="Z308" s="10">
        <v>0.58333333333333304</v>
      </c>
      <c r="AA308" s="10">
        <v>2</v>
      </c>
      <c r="AB308" s="10">
        <v>1</v>
      </c>
      <c r="AC308" s="10">
        <v>1</v>
      </c>
      <c r="AD308" s="10">
        <v>0.28571428571428598</v>
      </c>
    </row>
    <row r="309" spans="1:30" x14ac:dyDescent="0.3">
      <c r="A309" s="7" t="s">
        <v>6945</v>
      </c>
      <c r="B309" s="12" t="s">
        <v>987</v>
      </c>
      <c r="C309" s="10">
        <v>3.5</v>
      </c>
      <c r="D309" s="10">
        <v>3.3333333333333299</v>
      </c>
      <c r="E309" s="9">
        <v>6</v>
      </c>
      <c r="F309" s="9">
        <v>6</v>
      </c>
      <c r="G309" s="9">
        <v>12</v>
      </c>
      <c r="H309" s="10">
        <v>1.8333333333333299</v>
      </c>
      <c r="I309" s="10">
        <v>2.5</v>
      </c>
      <c r="J309" s="11">
        <v>0.16666666666666699</v>
      </c>
      <c r="K309" s="11">
        <v>0.83333333333333304</v>
      </c>
      <c r="L309" s="11">
        <v>0.75</v>
      </c>
      <c r="M309" s="11">
        <v>0.75</v>
      </c>
      <c r="N309" s="11">
        <v>0.58333333333333304</v>
      </c>
      <c r="O309" s="11">
        <v>0.66666666666666696</v>
      </c>
      <c r="P309" s="10">
        <v>1.4722222222222201</v>
      </c>
      <c r="Q309" s="10">
        <v>1.2133516482134199</v>
      </c>
      <c r="R309" s="8" t="s">
        <v>10653</v>
      </c>
      <c r="S309" s="10">
        <v>13</v>
      </c>
      <c r="T309" s="10">
        <v>9</v>
      </c>
      <c r="U309" s="10">
        <v>22</v>
      </c>
      <c r="V309" s="10">
        <v>1.8333333333333299</v>
      </c>
      <c r="W309" s="10">
        <v>8</v>
      </c>
      <c r="X309" s="10">
        <v>11</v>
      </c>
      <c r="Y309" s="10">
        <v>19</v>
      </c>
      <c r="Z309" s="10">
        <v>1.5833333333333299</v>
      </c>
      <c r="AA309" s="10">
        <v>2.1666666666666701</v>
      </c>
      <c r="AB309" s="10">
        <v>1.3333333333333299</v>
      </c>
      <c r="AC309" s="10">
        <v>1.5</v>
      </c>
      <c r="AD309" s="10">
        <v>1.8333333333333299</v>
      </c>
    </row>
    <row r="310" spans="1:30" x14ac:dyDescent="0.3">
      <c r="A310" s="7" t="s">
        <v>3435</v>
      </c>
      <c r="B310" s="12" t="s">
        <v>3426</v>
      </c>
      <c r="C310" s="10">
        <v>3</v>
      </c>
      <c r="D310" s="10">
        <v>2.8571428571428599</v>
      </c>
      <c r="E310" s="9">
        <v>5</v>
      </c>
      <c r="F310" s="9">
        <v>7</v>
      </c>
      <c r="G310" s="9">
        <v>12</v>
      </c>
      <c r="H310" s="10">
        <v>1.25</v>
      </c>
      <c r="I310" s="10">
        <v>2.5</v>
      </c>
      <c r="J310" s="11">
        <v>0.41666666666666702</v>
      </c>
      <c r="K310" s="11">
        <v>0.91666666666666696</v>
      </c>
      <c r="L310" s="11">
        <v>0.83333333333333304</v>
      </c>
      <c r="M310" s="11">
        <v>0.5</v>
      </c>
      <c r="N310" s="11">
        <v>0.33333333333333298</v>
      </c>
      <c r="O310" s="11">
        <v>0.5</v>
      </c>
      <c r="P310" s="10">
        <v>1.3541666666666701</v>
      </c>
      <c r="Q310" s="10">
        <v>1.16368667031408</v>
      </c>
      <c r="R310" s="8" t="s">
        <v>10653</v>
      </c>
      <c r="S310" s="10">
        <v>5</v>
      </c>
      <c r="T310" s="10">
        <v>10</v>
      </c>
      <c r="U310" s="10">
        <v>15</v>
      </c>
      <c r="V310" s="10">
        <v>1.25</v>
      </c>
      <c r="W310" s="10">
        <v>10</v>
      </c>
      <c r="X310" s="10">
        <v>10</v>
      </c>
      <c r="Y310" s="10">
        <v>20</v>
      </c>
      <c r="Z310" s="10">
        <v>1.6666666666666701</v>
      </c>
      <c r="AA310" s="10">
        <v>1</v>
      </c>
      <c r="AB310" s="10">
        <v>2</v>
      </c>
      <c r="AC310" s="10">
        <v>1.4285714285714299</v>
      </c>
      <c r="AD310" s="10">
        <v>1.4285714285714299</v>
      </c>
    </row>
    <row r="311" spans="1:30" x14ac:dyDescent="0.3">
      <c r="A311" s="7" t="s">
        <v>772</v>
      </c>
      <c r="B311" s="12" t="s">
        <v>844</v>
      </c>
      <c r="C311" s="10">
        <v>4.1666666666666696</v>
      </c>
      <c r="D311" s="10">
        <v>2.8333333333333299</v>
      </c>
      <c r="E311" s="9">
        <v>6</v>
      </c>
      <c r="F311" s="9">
        <v>6</v>
      </c>
      <c r="G311" s="9">
        <v>12</v>
      </c>
      <c r="H311" s="10">
        <v>1.75</v>
      </c>
      <c r="I311" s="10">
        <v>3.57</v>
      </c>
      <c r="J311" s="11">
        <v>0.16666666666666699</v>
      </c>
      <c r="K311" s="11">
        <v>1</v>
      </c>
      <c r="L311" s="11">
        <v>0.91666666666666696</v>
      </c>
      <c r="M311" s="11">
        <v>0.66666666666666696</v>
      </c>
      <c r="N311" s="11">
        <v>0.41666666666666702</v>
      </c>
      <c r="O311" s="11">
        <v>0.75</v>
      </c>
      <c r="P311" s="10">
        <v>2.1875</v>
      </c>
      <c r="Q311" s="10">
        <v>1.4790199457749</v>
      </c>
      <c r="R311" s="8" t="s">
        <v>10653</v>
      </c>
      <c r="S311" s="10">
        <v>15</v>
      </c>
      <c r="T311" s="10">
        <v>6</v>
      </c>
      <c r="U311" s="10">
        <v>21</v>
      </c>
      <c r="V311" s="10">
        <v>1.75</v>
      </c>
      <c r="W311" s="10">
        <v>10</v>
      </c>
      <c r="X311" s="10">
        <v>11</v>
      </c>
      <c r="Y311" s="10">
        <v>21</v>
      </c>
      <c r="Z311" s="10">
        <v>1.75</v>
      </c>
      <c r="AA311" s="10">
        <v>2.5</v>
      </c>
      <c r="AB311" s="10">
        <v>1.6666666666666701</v>
      </c>
      <c r="AC311" s="10">
        <v>1</v>
      </c>
      <c r="AD311" s="10">
        <v>1.8333333333333299</v>
      </c>
    </row>
    <row r="312" spans="1:30" x14ac:dyDescent="0.3">
      <c r="A312" s="7" t="s">
        <v>1390</v>
      </c>
      <c r="B312" s="12" t="s">
        <v>1405</v>
      </c>
      <c r="C312" s="10">
        <v>4.2</v>
      </c>
      <c r="D312" s="10">
        <v>4.28571428571429</v>
      </c>
      <c r="E312" s="9">
        <v>5</v>
      </c>
      <c r="F312" s="9">
        <v>7</v>
      </c>
      <c r="G312" s="9">
        <v>12</v>
      </c>
      <c r="H312" s="10">
        <v>2.5833333333333299</v>
      </c>
      <c r="I312" s="10">
        <v>3.31</v>
      </c>
      <c r="J312" s="11">
        <v>8.3333333333333301E-2</v>
      </c>
      <c r="K312" s="11">
        <v>1</v>
      </c>
      <c r="L312" s="11">
        <v>1</v>
      </c>
      <c r="M312" s="11">
        <v>0.91666666666666696</v>
      </c>
      <c r="N312" s="11">
        <v>0.5</v>
      </c>
      <c r="O312" s="11">
        <v>0.83333333333333304</v>
      </c>
      <c r="P312" s="10">
        <v>2.74305555555555</v>
      </c>
      <c r="Q312" s="10">
        <v>1.65621724286265</v>
      </c>
      <c r="R312" s="8" t="s">
        <v>10653</v>
      </c>
      <c r="S312" s="10">
        <v>10</v>
      </c>
      <c r="T312" s="10">
        <v>21</v>
      </c>
      <c r="U312" s="10">
        <v>31</v>
      </c>
      <c r="V312" s="10">
        <v>2.5833333333333299</v>
      </c>
      <c r="W312" s="10">
        <v>11</v>
      </c>
      <c r="X312" s="10">
        <v>9</v>
      </c>
      <c r="Y312" s="10">
        <v>20</v>
      </c>
      <c r="Z312" s="10">
        <v>1.6666666666666701</v>
      </c>
      <c r="AA312" s="10">
        <v>2</v>
      </c>
      <c r="AB312" s="10">
        <v>2.2000000000000002</v>
      </c>
      <c r="AC312" s="10">
        <v>3</v>
      </c>
      <c r="AD312" s="10">
        <v>1.28571428571429</v>
      </c>
    </row>
    <row r="313" spans="1:30" x14ac:dyDescent="0.3">
      <c r="A313" s="7" t="s">
        <v>6384</v>
      </c>
      <c r="B313" s="12" t="s">
        <v>960</v>
      </c>
      <c r="C313" s="10">
        <v>3.6666666666666701</v>
      </c>
      <c r="D313" s="10">
        <v>2.3333333333333299</v>
      </c>
      <c r="E313" s="9">
        <v>6</v>
      </c>
      <c r="F313" s="9">
        <v>6</v>
      </c>
      <c r="G313" s="9">
        <v>12</v>
      </c>
      <c r="H313" s="10">
        <v>1.75</v>
      </c>
      <c r="I313" s="10">
        <v>2.5</v>
      </c>
      <c r="J313" s="11">
        <v>0.16666666666666699</v>
      </c>
      <c r="K313" s="11">
        <v>0.83333333333333304</v>
      </c>
      <c r="L313" s="11">
        <v>0.83333333333333304</v>
      </c>
      <c r="M313" s="11">
        <v>0.58333333333333304</v>
      </c>
      <c r="N313" s="11">
        <v>0.33333333333333298</v>
      </c>
      <c r="O313" s="11">
        <v>0.66666666666666696</v>
      </c>
      <c r="P313" s="10">
        <v>1.6875</v>
      </c>
      <c r="Q313" s="10">
        <v>1.29903810567666</v>
      </c>
      <c r="R313" s="8" t="s">
        <v>10653</v>
      </c>
      <c r="S313" s="10">
        <v>13</v>
      </c>
      <c r="T313" s="10">
        <v>8</v>
      </c>
      <c r="U313" s="10">
        <v>21</v>
      </c>
      <c r="V313" s="10">
        <v>1.75</v>
      </c>
      <c r="W313" s="10">
        <v>9</v>
      </c>
      <c r="X313" s="10">
        <v>6</v>
      </c>
      <c r="Y313" s="10">
        <v>15</v>
      </c>
      <c r="Z313" s="10">
        <v>1.25</v>
      </c>
      <c r="AA313" s="10">
        <v>2.1666666666666701</v>
      </c>
      <c r="AB313" s="10">
        <v>1.5</v>
      </c>
      <c r="AC313" s="10">
        <v>1.3333333333333299</v>
      </c>
      <c r="AD313" s="10">
        <v>1</v>
      </c>
    </row>
    <row r="314" spans="1:30" x14ac:dyDescent="0.3">
      <c r="A314" s="7" t="s">
        <v>89</v>
      </c>
      <c r="B314" s="12" t="s">
        <v>1334</v>
      </c>
      <c r="C314" s="10">
        <v>3</v>
      </c>
      <c r="D314" s="10">
        <v>3</v>
      </c>
      <c r="E314" s="9">
        <v>6</v>
      </c>
      <c r="F314" s="9">
        <v>6</v>
      </c>
      <c r="G314" s="9">
        <v>12</v>
      </c>
      <c r="H314" s="10">
        <v>1.6666666666666701</v>
      </c>
      <c r="I314" s="10">
        <v>2.31</v>
      </c>
      <c r="J314" s="11">
        <v>0</v>
      </c>
      <c r="K314" s="11">
        <v>1</v>
      </c>
      <c r="L314" s="11">
        <v>0.83333333333333304</v>
      </c>
      <c r="M314" s="11">
        <v>0.75</v>
      </c>
      <c r="N314" s="11">
        <v>0.33333333333333298</v>
      </c>
      <c r="O314" s="11">
        <v>0.75</v>
      </c>
      <c r="P314" s="10">
        <v>0.55555555555555503</v>
      </c>
      <c r="Q314" s="10">
        <v>0.74535599249993001</v>
      </c>
      <c r="R314" s="8" t="s">
        <v>10653</v>
      </c>
      <c r="S314" s="10">
        <v>10</v>
      </c>
      <c r="T314" s="10">
        <v>10</v>
      </c>
      <c r="U314" s="10">
        <v>20</v>
      </c>
      <c r="V314" s="10">
        <v>1.6666666666666701</v>
      </c>
      <c r="W314" s="10">
        <v>8</v>
      </c>
      <c r="X314" s="10">
        <v>8</v>
      </c>
      <c r="Y314" s="10">
        <v>16</v>
      </c>
      <c r="Z314" s="10">
        <v>1.3333333333333299</v>
      </c>
      <c r="AA314" s="10">
        <v>1.6666666666666701</v>
      </c>
      <c r="AB314" s="10">
        <v>1.3333333333333299</v>
      </c>
      <c r="AC314" s="10">
        <v>1.6666666666666701</v>
      </c>
      <c r="AD314" s="10">
        <v>1.3333333333333299</v>
      </c>
    </row>
    <row r="315" spans="1:30" x14ac:dyDescent="0.3">
      <c r="A315" s="7" t="s">
        <v>5014</v>
      </c>
      <c r="B315" s="12" t="s">
        <v>954</v>
      </c>
      <c r="C315" s="10">
        <v>2</v>
      </c>
      <c r="D315" s="10">
        <v>3.4285714285714302</v>
      </c>
      <c r="E315" s="9">
        <v>5</v>
      </c>
      <c r="F315" s="9">
        <v>7</v>
      </c>
      <c r="G315" s="9">
        <v>12</v>
      </c>
      <c r="H315" s="10">
        <v>0.91666666666666696</v>
      </c>
      <c r="I315" s="10">
        <v>2.5</v>
      </c>
      <c r="J315" s="11">
        <v>0.25</v>
      </c>
      <c r="K315" s="11">
        <v>0.91666666666666696</v>
      </c>
      <c r="L315" s="11">
        <v>0.75</v>
      </c>
      <c r="M315" s="11">
        <v>0.5</v>
      </c>
      <c r="N315" s="11">
        <v>0.41666666666666702</v>
      </c>
      <c r="O315" s="11">
        <v>0.66666666666666696</v>
      </c>
      <c r="P315" s="10">
        <v>0.40972222222222199</v>
      </c>
      <c r="Q315" s="10">
        <v>0.64009547898905095</v>
      </c>
      <c r="R315" s="8" t="s">
        <v>10653</v>
      </c>
      <c r="S315" s="10">
        <v>3</v>
      </c>
      <c r="T315" s="10">
        <v>8</v>
      </c>
      <c r="U315" s="10">
        <v>11</v>
      </c>
      <c r="V315" s="10">
        <v>0.91666666666666696</v>
      </c>
      <c r="W315" s="10">
        <v>7</v>
      </c>
      <c r="X315" s="10">
        <v>16</v>
      </c>
      <c r="Y315" s="10">
        <v>23</v>
      </c>
      <c r="Z315" s="10">
        <v>1.9166666666666701</v>
      </c>
      <c r="AA315" s="10">
        <v>0.6</v>
      </c>
      <c r="AB315" s="10">
        <v>1.4</v>
      </c>
      <c r="AC315" s="10">
        <v>1.1428571428571399</v>
      </c>
      <c r="AD315" s="10">
        <v>2.28571428571429</v>
      </c>
    </row>
    <row r="316" spans="1:30" x14ac:dyDescent="0.3">
      <c r="A316" s="7" t="s">
        <v>4065</v>
      </c>
      <c r="B316" s="12" t="s">
        <v>4055</v>
      </c>
      <c r="C316" s="10">
        <v>3</v>
      </c>
      <c r="D316" s="10">
        <v>2</v>
      </c>
      <c r="E316" s="9">
        <v>6</v>
      </c>
      <c r="F316" s="9">
        <v>6</v>
      </c>
      <c r="G316" s="9">
        <v>12</v>
      </c>
      <c r="H316" s="10">
        <v>0.91666666666666696</v>
      </c>
      <c r="I316" s="10">
        <v>2.5</v>
      </c>
      <c r="J316" s="11">
        <v>0.33333333333333298</v>
      </c>
      <c r="K316" s="11">
        <v>0.91666666666666696</v>
      </c>
      <c r="L316" s="11">
        <v>0.83333333333333304</v>
      </c>
      <c r="M316" s="11">
        <v>0.58333333333333304</v>
      </c>
      <c r="N316" s="11">
        <v>8.3333333333333301E-2</v>
      </c>
      <c r="O316" s="11">
        <v>0.5</v>
      </c>
      <c r="P316" s="10">
        <v>0.57638888888888895</v>
      </c>
      <c r="Q316" s="10">
        <v>0.75920279826202497</v>
      </c>
      <c r="R316" s="8" t="s">
        <v>10653</v>
      </c>
      <c r="S316" s="10">
        <v>8</v>
      </c>
      <c r="T316" s="10">
        <v>3</v>
      </c>
      <c r="U316" s="10">
        <v>11</v>
      </c>
      <c r="V316" s="10">
        <v>0.91666666666666696</v>
      </c>
      <c r="W316" s="10">
        <v>10</v>
      </c>
      <c r="X316" s="10">
        <v>9</v>
      </c>
      <c r="Y316" s="10">
        <v>19</v>
      </c>
      <c r="Z316" s="10">
        <v>1.5833333333333299</v>
      </c>
      <c r="AA316" s="10">
        <v>1.3333333333333299</v>
      </c>
      <c r="AB316" s="10">
        <v>1.6666666666666701</v>
      </c>
      <c r="AC316" s="10">
        <v>0.5</v>
      </c>
      <c r="AD316" s="10">
        <v>1.5</v>
      </c>
    </row>
    <row r="317" spans="1:30" x14ac:dyDescent="0.3">
      <c r="A317" s="7" t="s">
        <v>4743</v>
      </c>
      <c r="B317" s="12" t="s">
        <v>1000</v>
      </c>
      <c r="C317" s="10">
        <v>4.1666666666666696</v>
      </c>
      <c r="D317" s="10">
        <v>2.6666666666666701</v>
      </c>
      <c r="E317" s="9">
        <v>6</v>
      </c>
      <c r="F317" s="9">
        <v>6</v>
      </c>
      <c r="G317" s="9">
        <v>12</v>
      </c>
      <c r="H317" s="10">
        <v>1.25</v>
      </c>
      <c r="I317" s="10">
        <v>2.5</v>
      </c>
      <c r="J317" s="11">
        <v>0.5</v>
      </c>
      <c r="K317" s="11">
        <v>0.91666666666666696</v>
      </c>
      <c r="L317" s="11">
        <v>0.91666666666666696</v>
      </c>
      <c r="M317" s="11">
        <v>0.58333333333333304</v>
      </c>
      <c r="N317" s="11">
        <v>0.41666666666666702</v>
      </c>
      <c r="O317" s="11">
        <v>0.41666666666666702</v>
      </c>
      <c r="P317" s="10">
        <v>2.0208333333333299</v>
      </c>
      <c r="Q317" s="10">
        <v>1.4215601757693299</v>
      </c>
      <c r="R317" s="8" t="s">
        <v>10653</v>
      </c>
      <c r="S317" s="10">
        <v>12</v>
      </c>
      <c r="T317" s="10">
        <v>3</v>
      </c>
      <c r="U317" s="10">
        <v>15</v>
      </c>
      <c r="V317" s="10">
        <v>1.25</v>
      </c>
      <c r="W317" s="10">
        <v>13</v>
      </c>
      <c r="X317" s="10">
        <v>13</v>
      </c>
      <c r="Y317" s="10">
        <v>26</v>
      </c>
      <c r="Z317" s="10">
        <v>2.1666666666666701</v>
      </c>
      <c r="AA317" s="10">
        <v>2</v>
      </c>
      <c r="AB317" s="10">
        <v>2.1666666666666701</v>
      </c>
      <c r="AC317" s="10">
        <v>0.5</v>
      </c>
      <c r="AD317" s="10">
        <v>2.1666666666666701</v>
      </c>
    </row>
    <row r="318" spans="1:30" x14ac:dyDescent="0.3">
      <c r="A318" s="7" t="s">
        <v>662</v>
      </c>
      <c r="B318" s="12" t="s">
        <v>1332</v>
      </c>
      <c r="C318" s="10">
        <v>2.8333333333333299</v>
      </c>
      <c r="D318" s="10">
        <v>3</v>
      </c>
      <c r="E318" s="9">
        <v>6</v>
      </c>
      <c r="F318" s="9">
        <v>6</v>
      </c>
      <c r="G318" s="9">
        <v>12</v>
      </c>
      <c r="H318" s="10">
        <v>1.6666666666666701</v>
      </c>
      <c r="I318" s="10">
        <v>3.62</v>
      </c>
      <c r="J318" s="11">
        <v>0.16666666666666699</v>
      </c>
      <c r="K318" s="11">
        <v>1</v>
      </c>
      <c r="L318" s="11">
        <v>0.75</v>
      </c>
      <c r="M318" s="11">
        <v>0.66666666666666696</v>
      </c>
      <c r="N318" s="11">
        <v>0.41666666666666702</v>
      </c>
      <c r="O318" s="11">
        <v>0.58333333333333304</v>
      </c>
      <c r="P318" s="10">
        <v>1.7222222222222201</v>
      </c>
      <c r="Q318" s="10">
        <v>1.31233464566864</v>
      </c>
      <c r="R318" s="8" t="s">
        <v>10653</v>
      </c>
      <c r="S318" s="10">
        <v>13</v>
      </c>
      <c r="T318" s="10">
        <v>7</v>
      </c>
      <c r="U318" s="10">
        <v>20</v>
      </c>
      <c r="V318" s="10">
        <v>1.6666666666666701</v>
      </c>
      <c r="W318" s="10">
        <v>4</v>
      </c>
      <c r="X318" s="10">
        <v>11</v>
      </c>
      <c r="Y318" s="10">
        <v>15</v>
      </c>
      <c r="Z318" s="10">
        <v>1.25</v>
      </c>
      <c r="AA318" s="10">
        <v>2.1666666666666701</v>
      </c>
      <c r="AB318" s="10">
        <v>0.66666666666666696</v>
      </c>
      <c r="AC318" s="10">
        <v>1.1666666666666701</v>
      </c>
      <c r="AD318" s="10">
        <v>1.8333333333333299</v>
      </c>
    </row>
    <row r="319" spans="1:30" x14ac:dyDescent="0.3">
      <c r="A319" s="7" t="s">
        <v>3683</v>
      </c>
      <c r="B319" s="12" t="s">
        <v>3662</v>
      </c>
      <c r="C319" s="10">
        <v>3.2</v>
      </c>
      <c r="D319" s="10">
        <v>4.71428571428571</v>
      </c>
      <c r="E319" s="9">
        <v>5</v>
      </c>
      <c r="F319" s="9">
        <v>7</v>
      </c>
      <c r="G319" s="9">
        <v>12</v>
      </c>
      <c r="H319" s="10">
        <v>2.0833333333333299</v>
      </c>
      <c r="I319" s="10">
        <v>2.5</v>
      </c>
      <c r="J319" s="11">
        <v>0.16666666666666699</v>
      </c>
      <c r="K319" s="11">
        <v>1</v>
      </c>
      <c r="L319" s="11">
        <v>0.83333333333333304</v>
      </c>
      <c r="M319" s="11">
        <v>0.58333333333333304</v>
      </c>
      <c r="N319" s="11">
        <v>0.58333333333333304</v>
      </c>
      <c r="O319" s="11">
        <v>0.66666666666666696</v>
      </c>
      <c r="P319" s="10">
        <v>2.24305555555555</v>
      </c>
      <c r="Q319" s="10">
        <v>1.4976833963009499</v>
      </c>
      <c r="R319" s="8" t="s">
        <v>10653</v>
      </c>
      <c r="S319" s="10">
        <v>10</v>
      </c>
      <c r="T319" s="10">
        <v>15</v>
      </c>
      <c r="U319" s="10">
        <v>25</v>
      </c>
      <c r="V319" s="10">
        <v>2.0833333333333299</v>
      </c>
      <c r="W319" s="10">
        <v>6</v>
      </c>
      <c r="X319" s="10">
        <v>18</v>
      </c>
      <c r="Y319" s="10">
        <v>24</v>
      </c>
      <c r="Z319" s="10">
        <v>2</v>
      </c>
      <c r="AA319" s="10">
        <v>2</v>
      </c>
      <c r="AB319" s="10">
        <v>1.2</v>
      </c>
      <c r="AC319" s="10">
        <v>2.1428571428571401</v>
      </c>
      <c r="AD319" s="10">
        <v>2.5714285714285698</v>
      </c>
    </row>
    <row r="320" spans="1:30" x14ac:dyDescent="0.3">
      <c r="A320" s="7" t="s">
        <v>5866</v>
      </c>
      <c r="B320" s="12" t="s">
        <v>1340</v>
      </c>
      <c r="C320" s="10">
        <v>3.8</v>
      </c>
      <c r="D320" s="10">
        <v>3</v>
      </c>
      <c r="E320" s="9">
        <v>5</v>
      </c>
      <c r="F320" s="9">
        <v>7</v>
      </c>
      <c r="G320" s="9">
        <v>12</v>
      </c>
      <c r="H320" s="10">
        <v>2</v>
      </c>
      <c r="I320" s="10">
        <v>2.5</v>
      </c>
      <c r="J320" s="11">
        <v>0.33333333333333298</v>
      </c>
      <c r="K320" s="11">
        <v>1</v>
      </c>
      <c r="L320" s="11">
        <v>0.83333333333333304</v>
      </c>
      <c r="M320" s="11">
        <v>0.5</v>
      </c>
      <c r="N320" s="11">
        <v>0.41666666666666702</v>
      </c>
      <c r="O320" s="11">
        <v>0.5</v>
      </c>
      <c r="P320" s="10">
        <v>4.5</v>
      </c>
      <c r="Q320" s="10">
        <v>2.1213203435596402</v>
      </c>
      <c r="R320" s="8" t="s">
        <v>1541</v>
      </c>
      <c r="S320" s="10">
        <v>14</v>
      </c>
      <c r="T320" s="10">
        <v>10</v>
      </c>
      <c r="U320" s="10">
        <v>24</v>
      </c>
      <c r="V320" s="10">
        <v>2</v>
      </c>
      <c r="W320" s="10">
        <v>5</v>
      </c>
      <c r="X320" s="10">
        <v>11</v>
      </c>
      <c r="Y320" s="10">
        <v>16</v>
      </c>
      <c r="Z320" s="10">
        <v>1.3333333333333299</v>
      </c>
      <c r="AA320" s="10">
        <v>2.8</v>
      </c>
      <c r="AB320" s="10">
        <v>1</v>
      </c>
      <c r="AC320" s="10">
        <v>1.4285714285714299</v>
      </c>
      <c r="AD320" s="10">
        <v>1.5714285714285701</v>
      </c>
    </row>
    <row r="321" spans="1:30" x14ac:dyDescent="0.3">
      <c r="A321" s="7" t="s">
        <v>5847</v>
      </c>
      <c r="B321" s="12" t="s">
        <v>1340</v>
      </c>
      <c r="C321" s="10">
        <v>3.5</v>
      </c>
      <c r="D321" s="10">
        <v>2.3333333333333299</v>
      </c>
      <c r="E321" s="9">
        <v>6</v>
      </c>
      <c r="F321" s="9">
        <v>6</v>
      </c>
      <c r="G321" s="9">
        <v>12</v>
      </c>
      <c r="H321" s="10">
        <v>1.6666666666666701</v>
      </c>
      <c r="I321" s="10">
        <v>2.5</v>
      </c>
      <c r="J321" s="11">
        <v>0.16666666666666699</v>
      </c>
      <c r="K321" s="11">
        <v>0.91666666666666696</v>
      </c>
      <c r="L321" s="11">
        <v>0.91666666666666696</v>
      </c>
      <c r="M321" s="11">
        <v>0.66666666666666696</v>
      </c>
      <c r="N321" s="11">
        <v>0.25</v>
      </c>
      <c r="O321" s="11">
        <v>0.75</v>
      </c>
      <c r="P321" s="10">
        <v>1.3888888888888899</v>
      </c>
      <c r="Q321" s="10">
        <v>1.1785113019775799</v>
      </c>
      <c r="R321" s="8" t="s">
        <v>10653</v>
      </c>
      <c r="S321" s="10">
        <v>12</v>
      </c>
      <c r="T321" s="10">
        <v>8</v>
      </c>
      <c r="U321" s="10">
        <v>20</v>
      </c>
      <c r="V321" s="10">
        <v>1.6666666666666701</v>
      </c>
      <c r="W321" s="10">
        <v>9</v>
      </c>
      <c r="X321" s="10">
        <v>6</v>
      </c>
      <c r="Y321" s="10">
        <v>15</v>
      </c>
      <c r="Z321" s="10">
        <v>1.25</v>
      </c>
      <c r="AA321" s="10">
        <v>2</v>
      </c>
      <c r="AB321" s="10">
        <v>1.5</v>
      </c>
      <c r="AC321" s="10">
        <v>1.3333333333333299</v>
      </c>
      <c r="AD321" s="10">
        <v>1</v>
      </c>
    </row>
    <row r="322" spans="1:30" x14ac:dyDescent="0.3">
      <c r="A322" s="7" t="s">
        <v>5010</v>
      </c>
      <c r="B322" s="12" t="s">
        <v>954</v>
      </c>
      <c r="C322" s="10">
        <v>3.125</v>
      </c>
      <c r="D322" s="10">
        <v>2.5</v>
      </c>
      <c r="E322" s="9">
        <v>8</v>
      </c>
      <c r="F322" s="9">
        <v>4</v>
      </c>
      <c r="G322" s="9">
        <v>12</v>
      </c>
      <c r="H322" s="10">
        <v>1.5833333333333299</v>
      </c>
      <c r="I322" s="10">
        <v>2.5</v>
      </c>
      <c r="J322" s="11">
        <v>0.25</v>
      </c>
      <c r="K322" s="11">
        <v>1</v>
      </c>
      <c r="L322" s="11">
        <v>0.75</v>
      </c>
      <c r="M322" s="11">
        <v>0.66666666666666696</v>
      </c>
      <c r="N322" s="11">
        <v>0.33333333333333298</v>
      </c>
      <c r="O322" s="11">
        <v>0.41666666666666702</v>
      </c>
      <c r="P322" s="10">
        <v>1.74305555555556</v>
      </c>
      <c r="Q322" s="10">
        <v>1.32024829314624</v>
      </c>
      <c r="R322" s="8" t="s">
        <v>10653</v>
      </c>
      <c r="S322" s="10">
        <v>14</v>
      </c>
      <c r="T322" s="10">
        <v>5</v>
      </c>
      <c r="U322" s="10">
        <v>19</v>
      </c>
      <c r="V322" s="10">
        <v>1.5833333333333299</v>
      </c>
      <c r="W322" s="10">
        <v>11</v>
      </c>
      <c r="X322" s="10">
        <v>5</v>
      </c>
      <c r="Y322" s="10">
        <v>16</v>
      </c>
      <c r="Z322" s="10">
        <v>1.3333333333333299</v>
      </c>
      <c r="AA322" s="10">
        <v>1.75</v>
      </c>
      <c r="AB322" s="10">
        <v>1.375</v>
      </c>
      <c r="AC322" s="10">
        <v>1.25</v>
      </c>
      <c r="AD322" s="10">
        <v>1.25</v>
      </c>
    </row>
    <row r="323" spans="1:30" x14ac:dyDescent="0.3">
      <c r="A323" s="7" t="s">
        <v>950</v>
      </c>
      <c r="B323" s="12" t="s">
        <v>954</v>
      </c>
      <c r="C323" s="10">
        <v>2.3333333333333299</v>
      </c>
      <c r="D323" s="10">
        <v>2.8333333333333299</v>
      </c>
      <c r="E323" s="9">
        <v>6</v>
      </c>
      <c r="F323" s="9">
        <v>6</v>
      </c>
      <c r="G323" s="9">
        <v>12</v>
      </c>
      <c r="H323" s="10">
        <v>1.5833333333333299</v>
      </c>
      <c r="I323" s="10">
        <v>2.5</v>
      </c>
      <c r="J323" s="11">
        <v>0.16666666666666699</v>
      </c>
      <c r="K323" s="11">
        <v>1</v>
      </c>
      <c r="L323" s="11">
        <v>0.75</v>
      </c>
      <c r="M323" s="11">
        <v>0.33333333333333298</v>
      </c>
      <c r="N323" s="11">
        <v>0.25</v>
      </c>
      <c r="O323" s="11">
        <v>0.5</v>
      </c>
      <c r="P323" s="10">
        <v>1.24305555555556</v>
      </c>
      <c r="Q323" s="10">
        <v>1.11492401335497</v>
      </c>
      <c r="R323" s="8" t="s">
        <v>10653</v>
      </c>
      <c r="S323" s="10">
        <v>9</v>
      </c>
      <c r="T323" s="10">
        <v>10</v>
      </c>
      <c r="U323" s="10">
        <v>19</v>
      </c>
      <c r="V323" s="10">
        <v>1.5833333333333299</v>
      </c>
      <c r="W323" s="10">
        <v>5</v>
      </c>
      <c r="X323" s="10">
        <v>7</v>
      </c>
      <c r="Y323" s="10">
        <v>12</v>
      </c>
      <c r="Z323" s="10">
        <v>1</v>
      </c>
      <c r="AA323" s="10">
        <v>1.5</v>
      </c>
      <c r="AB323" s="10">
        <v>0.83333333333333304</v>
      </c>
      <c r="AC323" s="10">
        <v>1.6666666666666701</v>
      </c>
      <c r="AD323" s="10">
        <v>1.1666666666666701</v>
      </c>
    </row>
    <row r="324" spans="1:30" x14ac:dyDescent="0.3">
      <c r="A324" s="7" t="s">
        <v>198</v>
      </c>
      <c r="B324" s="12" t="s">
        <v>2574</v>
      </c>
      <c r="C324" s="10">
        <v>2.5714285714285698</v>
      </c>
      <c r="D324" s="10">
        <v>4</v>
      </c>
      <c r="E324" s="9">
        <v>7</v>
      </c>
      <c r="F324" s="9">
        <v>5</v>
      </c>
      <c r="G324" s="9">
        <v>12</v>
      </c>
      <c r="H324" s="10">
        <v>1</v>
      </c>
      <c r="I324" s="10">
        <v>2.5</v>
      </c>
      <c r="J324" s="11">
        <v>0.25</v>
      </c>
      <c r="K324" s="11">
        <v>1</v>
      </c>
      <c r="L324" s="11">
        <v>0.83333333333333304</v>
      </c>
      <c r="M324" s="11">
        <v>0.66666666666666696</v>
      </c>
      <c r="N324" s="11">
        <v>0.33333333333333298</v>
      </c>
      <c r="O324" s="11">
        <v>0.75</v>
      </c>
      <c r="P324" s="10">
        <v>0.5</v>
      </c>
      <c r="Q324" s="10">
        <v>0.70710678118654802</v>
      </c>
      <c r="R324" s="8" t="s">
        <v>10653</v>
      </c>
      <c r="S324" s="10">
        <v>6</v>
      </c>
      <c r="T324" s="10">
        <v>6</v>
      </c>
      <c r="U324" s="10">
        <v>12</v>
      </c>
      <c r="V324" s="10">
        <v>1</v>
      </c>
      <c r="W324" s="10">
        <v>12</v>
      </c>
      <c r="X324" s="10">
        <v>14</v>
      </c>
      <c r="Y324" s="10">
        <v>26</v>
      </c>
      <c r="Z324" s="10">
        <v>2.1666666666666701</v>
      </c>
      <c r="AA324" s="10">
        <v>0.85714285714285698</v>
      </c>
      <c r="AB324" s="10">
        <v>1.71428571428571</v>
      </c>
      <c r="AC324" s="10">
        <v>1.2</v>
      </c>
      <c r="AD324" s="10">
        <v>2.8</v>
      </c>
    </row>
    <row r="325" spans="1:30" x14ac:dyDescent="0.3">
      <c r="A325" s="7" t="s">
        <v>3376</v>
      </c>
      <c r="B325" s="12" t="s">
        <v>3426</v>
      </c>
      <c r="C325" s="10">
        <v>2.2000000000000002</v>
      </c>
      <c r="D325" s="10">
        <v>2.8571428571428599</v>
      </c>
      <c r="E325" s="9">
        <v>5</v>
      </c>
      <c r="F325" s="9">
        <v>7</v>
      </c>
      <c r="G325" s="9">
        <v>12</v>
      </c>
      <c r="H325" s="10">
        <v>1.25</v>
      </c>
      <c r="I325" s="10">
        <v>2.5</v>
      </c>
      <c r="J325" s="11">
        <v>0.33333333333333298</v>
      </c>
      <c r="K325" s="11">
        <v>0.91666666666666696</v>
      </c>
      <c r="L325" s="11">
        <v>0.58333333333333304</v>
      </c>
      <c r="M325" s="11">
        <v>0.5</v>
      </c>
      <c r="N325" s="11">
        <v>0.16666666666666699</v>
      </c>
      <c r="O325" s="11">
        <v>0.5</v>
      </c>
      <c r="P325" s="10">
        <v>1.8541666666666701</v>
      </c>
      <c r="Q325" s="10">
        <v>1.36167788653068</v>
      </c>
      <c r="R325" s="8" t="s">
        <v>10653</v>
      </c>
      <c r="S325" s="10">
        <v>8</v>
      </c>
      <c r="T325" s="10">
        <v>7</v>
      </c>
      <c r="U325" s="10">
        <v>15</v>
      </c>
      <c r="V325" s="10">
        <v>1.25</v>
      </c>
      <c r="W325" s="10">
        <v>3</v>
      </c>
      <c r="X325" s="10">
        <v>13</v>
      </c>
      <c r="Y325" s="10">
        <v>16</v>
      </c>
      <c r="Z325" s="10">
        <v>1.3333333333333299</v>
      </c>
      <c r="AA325" s="10">
        <v>1.6</v>
      </c>
      <c r="AB325" s="10">
        <v>0.6</v>
      </c>
      <c r="AC325" s="10">
        <v>1</v>
      </c>
      <c r="AD325" s="10">
        <v>1.8571428571428601</v>
      </c>
    </row>
    <row r="326" spans="1:30" x14ac:dyDescent="0.3">
      <c r="A326" s="7" t="s">
        <v>151</v>
      </c>
      <c r="B326" s="12" t="s">
        <v>1333</v>
      </c>
      <c r="C326" s="10">
        <v>1.8</v>
      </c>
      <c r="D326" s="10">
        <v>2.4285714285714302</v>
      </c>
      <c r="E326" s="9">
        <v>5</v>
      </c>
      <c r="F326" s="9">
        <v>7</v>
      </c>
      <c r="G326" s="9">
        <v>12</v>
      </c>
      <c r="H326" s="10">
        <v>1.5833333333333299</v>
      </c>
      <c r="I326" s="10">
        <v>2.59</v>
      </c>
      <c r="J326" s="11">
        <v>8.3333333333333301E-2</v>
      </c>
      <c r="K326" s="11">
        <v>0.91666666666666696</v>
      </c>
      <c r="L326" s="11">
        <v>0.66666666666666696</v>
      </c>
      <c r="M326" s="11">
        <v>0.41666666666666702</v>
      </c>
      <c r="N326" s="11">
        <v>0.16666666666666699</v>
      </c>
      <c r="O326" s="11">
        <v>0.5</v>
      </c>
      <c r="P326" s="10">
        <v>1.24305555555556</v>
      </c>
      <c r="Q326" s="10">
        <v>1.11492401335497</v>
      </c>
      <c r="R326" s="8" t="s">
        <v>10653</v>
      </c>
      <c r="S326" s="10">
        <v>5</v>
      </c>
      <c r="T326" s="10">
        <v>14</v>
      </c>
      <c r="U326" s="10">
        <v>19</v>
      </c>
      <c r="V326" s="10">
        <v>1.5833333333333299</v>
      </c>
      <c r="W326" s="10">
        <v>4</v>
      </c>
      <c r="X326" s="10">
        <v>3</v>
      </c>
      <c r="Y326" s="10">
        <v>7</v>
      </c>
      <c r="Z326" s="10">
        <v>0.58333333333333304</v>
      </c>
      <c r="AA326" s="10">
        <v>1</v>
      </c>
      <c r="AB326" s="10">
        <v>0.8</v>
      </c>
      <c r="AC326" s="10">
        <v>2</v>
      </c>
      <c r="AD326" s="10">
        <v>0.42857142857142899</v>
      </c>
    </row>
    <row r="327" spans="1:30" x14ac:dyDescent="0.3">
      <c r="A327" s="7" t="s">
        <v>1282</v>
      </c>
      <c r="B327" s="12" t="s">
        <v>973</v>
      </c>
      <c r="C327" s="10">
        <v>5.8</v>
      </c>
      <c r="D327" s="10">
        <v>5.1428571428571397</v>
      </c>
      <c r="E327" s="9">
        <v>5</v>
      </c>
      <c r="F327" s="9">
        <v>7</v>
      </c>
      <c r="G327" s="9">
        <v>12</v>
      </c>
      <c r="H327" s="10">
        <v>0.58333333333333304</v>
      </c>
      <c r="I327" s="10">
        <v>3.7</v>
      </c>
      <c r="J327" s="11">
        <v>0.58333333333333304</v>
      </c>
      <c r="K327" s="11">
        <v>1</v>
      </c>
      <c r="L327" s="11">
        <v>1</v>
      </c>
      <c r="M327" s="11">
        <v>0.83333333333333304</v>
      </c>
      <c r="N327" s="11">
        <v>0.66666666666666696</v>
      </c>
      <c r="O327" s="11">
        <v>0.41666666666666702</v>
      </c>
      <c r="P327" s="10">
        <v>0.57638888888888895</v>
      </c>
      <c r="Q327" s="10">
        <v>0.75920279826202497</v>
      </c>
      <c r="R327" s="8" t="s">
        <v>10653</v>
      </c>
      <c r="S327" s="10">
        <v>4</v>
      </c>
      <c r="T327" s="10">
        <v>3</v>
      </c>
      <c r="U327" s="10">
        <v>7</v>
      </c>
      <c r="V327" s="10">
        <v>0.58333333333333304</v>
      </c>
      <c r="W327" s="10">
        <v>25</v>
      </c>
      <c r="X327" s="10">
        <v>33</v>
      </c>
      <c r="Y327" s="10">
        <v>58</v>
      </c>
      <c r="Z327" s="10">
        <v>4.8333333333333304</v>
      </c>
      <c r="AA327" s="10">
        <v>0.8</v>
      </c>
      <c r="AB327" s="10">
        <v>5</v>
      </c>
      <c r="AC327" s="10">
        <v>0.42857142857142899</v>
      </c>
      <c r="AD327" s="10">
        <v>4.71428571428571</v>
      </c>
    </row>
    <row r="328" spans="1:30" x14ac:dyDescent="0.3">
      <c r="A328" s="7" t="s">
        <v>4563</v>
      </c>
      <c r="B328" s="12" t="s">
        <v>4657</v>
      </c>
      <c r="C328" s="10">
        <v>3.5</v>
      </c>
      <c r="D328" s="10">
        <v>1.8333333333333299</v>
      </c>
      <c r="E328" s="9">
        <v>6</v>
      </c>
      <c r="F328" s="9">
        <v>6</v>
      </c>
      <c r="G328" s="9">
        <v>12</v>
      </c>
      <c r="H328" s="10">
        <v>1.25</v>
      </c>
      <c r="I328" s="10">
        <v>2.09</v>
      </c>
      <c r="J328" s="11">
        <v>0.16666666666666699</v>
      </c>
      <c r="K328" s="11">
        <v>1</v>
      </c>
      <c r="L328" s="11">
        <v>0.75</v>
      </c>
      <c r="M328" s="11">
        <v>0.66666666666666696</v>
      </c>
      <c r="N328" s="11">
        <v>0.16666666666666699</v>
      </c>
      <c r="O328" s="11">
        <v>0.66666666666666696</v>
      </c>
      <c r="P328" s="10">
        <v>0.6875</v>
      </c>
      <c r="Q328" s="10">
        <v>0.82915619758884995</v>
      </c>
      <c r="R328" s="8" t="s">
        <v>10653</v>
      </c>
      <c r="S328" s="10">
        <v>11</v>
      </c>
      <c r="T328" s="10">
        <v>4</v>
      </c>
      <c r="U328" s="10">
        <v>15</v>
      </c>
      <c r="V328" s="10">
        <v>1.25</v>
      </c>
      <c r="W328" s="10">
        <v>10</v>
      </c>
      <c r="X328" s="10">
        <v>7</v>
      </c>
      <c r="Y328" s="10">
        <v>17</v>
      </c>
      <c r="Z328" s="10">
        <v>1.4166666666666701</v>
      </c>
      <c r="AA328" s="10">
        <v>1.8333333333333299</v>
      </c>
      <c r="AB328" s="10">
        <v>1.6666666666666701</v>
      </c>
      <c r="AC328" s="10">
        <v>0.66666666666666696</v>
      </c>
      <c r="AD328" s="10">
        <v>1.1666666666666701</v>
      </c>
    </row>
    <row r="329" spans="1:30" x14ac:dyDescent="0.3">
      <c r="A329" s="7" t="s">
        <v>202</v>
      </c>
      <c r="B329" s="12" t="s">
        <v>851</v>
      </c>
      <c r="C329" s="10">
        <v>3.3333333333333299</v>
      </c>
      <c r="D329" s="10">
        <v>3.4444444444444402</v>
      </c>
      <c r="E329" s="9">
        <v>3</v>
      </c>
      <c r="F329" s="9">
        <v>9</v>
      </c>
      <c r="G329" s="9">
        <v>12</v>
      </c>
      <c r="H329" s="10">
        <v>2.0833333333333299</v>
      </c>
      <c r="I329" s="10">
        <v>3.76</v>
      </c>
      <c r="J329" s="11">
        <v>0.16666666666666699</v>
      </c>
      <c r="K329" s="11">
        <v>0.91666666666666696</v>
      </c>
      <c r="L329" s="11">
        <v>0.83333333333333304</v>
      </c>
      <c r="M329" s="11">
        <v>0.75</v>
      </c>
      <c r="N329" s="11">
        <v>0.66666666666666696</v>
      </c>
      <c r="O329" s="11">
        <v>0.66666666666666696</v>
      </c>
      <c r="P329" s="10">
        <v>1.74305555555555</v>
      </c>
      <c r="Q329" s="10">
        <v>1.32024829314624</v>
      </c>
      <c r="R329" s="8" t="s">
        <v>10653</v>
      </c>
      <c r="S329" s="10">
        <v>4</v>
      </c>
      <c r="T329" s="10">
        <v>21</v>
      </c>
      <c r="U329" s="10">
        <v>25</v>
      </c>
      <c r="V329" s="10">
        <v>2.0833333333333299</v>
      </c>
      <c r="W329" s="10">
        <v>6</v>
      </c>
      <c r="X329" s="10">
        <v>10</v>
      </c>
      <c r="Y329" s="10">
        <v>16</v>
      </c>
      <c r="Z329" s="10">
        <v>1.3333333333333299</v>
      </c>
      <c r="AA329" s="10">
        <v>1.3333333333333299</v>
      </c>
      <c r="AB329" s="10">
        <v>2</v>
      </c>
      <c r="AC329" s="10">
        <v>2.3333333333333299</v>
      </c>
      <c r="AD329" s="10">
        <v>1.1111111111111101</v>
      </c>
    </row>
    <row r="330" spans="1:30" x14ac:dyDescent="0.3">
      <c r="A330" s="7" t="s">
        <v>300</v>
      </c>
      <c r="B330" s="12" t="s">
        <v>1336</v>
      </c>
      <c r="C330" s="10">
        <v>3.5</v>
      </c>
      <c r="D330" s="10">
        <v>2.6666666666666701</v>
      </c>
      <c r="E330" s="9">
        <v>6</v>
      </c>
      <c r="F330" s="9">
        <v>6</v>
      </c>
      <c r="G330" s="9">
        <v>12</v>
      </c>
      <c r="H330" s="10">
        <v>1.6666666666666701</v>
      </c>
      <c r="I330" s="10">
        <v>3.79</v>
      </c>
      <c r="J330" s="11">
        <v>0.16666666666666699</v>
      </c>
      <c r="K330" s="11">
        <v>0.91666666666666696</v>
      </c>
      <c r="L330" s="11">
        <v>0.91666666666666696</v>
      </c>
      <c r="M330" s="11">
        <v>0.58333333333333304</v>
      </c>
      <c r="N330" s="11">
        <v>0.33333333333333298</v>
      </c>
      <c r="O330" s="11">
        <v>0.66666666666666696</v>
      </c>
      <c r="P330" s="10">
        <v>1.2222222222222201</v>
      </c>
      <c r="Q330" s="10">
        <v>1.1055415967851301</v>
      </c>
      <c r="R330" s="8" t="s">
        <v>10653</v>
      </c>
      <c r="S330" s="10">
        <v>14</v>
      </c>
      <c r="T330" s="10">
        <v>6</v>
      </c>
      <c r="U330" s="10">
        <v>20</v>
      </c>
      <c r="V330" s="10">
        <v>1.6666666666666701</v>
      </c>
      <c r="W330" s="10">
        <v>7</v>
      </c>
      <c r="X330" s="10">
        <v>10</v>
      </c>
      <c r="Y330" s="10">
        <v>17</v>
      </c>
      <c r="Z330" s="10">
        <v>1.4166666666666701</v>
      </c>
      <c r="AA330" s="10">
        <v>2.3333333333333299</v>
      </c>
      <c r="AB330" s="10">
        <v>1.1666666666666701</v>
      </c>
      <c r="AC330" s="10">
        <v>1</v>
      </c>
      <c r="AD330" s="10">
        <v>1.6666666666666701</v>
      </c>
    </row>
    <row r="331" spans="1:30" x14ac:dyDescent="0.3">
      <c r="A331" s="7" t="s">
        <v>1388</v>
      </c>
      <c r="B331" s="12" t="s">
        <v>1405</v>
      </c>
      <c r="C331" s="10">
        <v>4</v>
      </c>
      <c r="D331" s="10">
        <v>4.125</v>
      </c>
      <c r="E331" s="9">
        <v>4</v>
      </c>
      <c r="F331" s="9">
        <v>8</v>
      </c>
      <c r="G331" s="9">
        <v>12</v>
      </c>
      <c r="H331" s="10">
        <v>2.25</v>
      </c>
      <c r="I331" s="10">
        <v>3.31</v>
      </c>
      <c r="J331" s="11">
        <v>8.3333333333333301E-2</v>
      </c>
      <c r="K331" s="11">
        <v>1</v>
      </c>
      <c r="L331" s="11">
        <v>1</v>
      </c>
      <c r="M331" s="11">
        <v>0.66666666666666696</v>
      </c>
      <c r="N331" s="11">
        <v>0.58333333333333304</v>
      </c>
      <c r="O331" s="11">
        <v>0.91666666666666696</v>
      </c>
      <c r="P331" s="10">
        <v>1.6875</v>
      </c>
      <c r="Q331" s="10">
        <v>1.29903810567666</v>
      </c>
      <c r="R331" s="8" t="s">
        <v>10653</v>
      </c>
      <c r="S331" s="10">
        <v>7</v>
      </c>
      <c r="T331" s="10">
        <v>20</v>
      </c>
      <c r="U331" s="10">
        <v>27</v>
      </c>
      <c r="V331" s="10">
        <v>2.25</v>
      </c>
      <c r="W331" s="10">
        <v>9</v>
      </c>
      <c r="X331" s="10">
        <v>13</v>
      </c>
      <c r="Y331" s="10">
        <v>22</v>
      </c>
      <c r="Z331" s="10">
        <v>1.8333333333333299</v>
      </c>
      <c r="AA331" s="10">
        <v>1.75</v>
      </c>
      <c r="AB331" s="10">
        <v>2.25</v>
      </c>
      <c r="AC331" s="10">
        <v>2.5</v>
      </c>
      <c r="AD331" s="10">
        <v>1.625</v>
      </c>
    </row>
    <row r="332" spans="1:30" x14ac:dyDescent="0.3">
      <c r="A332" s="7" t="s">
        <v>1397</v>
      </c>
      <c r="B332" s="12" t="s">
        <v>1405</v>
      </c>
      <c r="C332" s="10">
        <v>3.4444444444444402</v>
      </c>
      <c r="D332" s="10">
        <v>5.3333333333333304</v>
      </c>
      <c r="E332" s="9">
        <v>9</v>
      </c>
      <c r="F332" s="9">
        <v>3</v>
      </c>
      <c r="G332" s="9">
        <v>12</v>
      </c>
      <c r="H332" s="10">
        <v>1.9166666666666701</v>
      </c>
      <c r="I332" s="10">
        <v>3.31</v>
      </c>
      <c r="J332" s="11">
        <v>0</v>
      </c>
      <c r="K332" s="11">
        <v>1</v>
      </c>
      <c r="L332" s="11">
        <v>0.91666666666666696</v>
      </c>
      <c r="M332" s="11">
        <v>0.83333333333333304</v>
      </c>
      <c r="N332" s="11">
        <v>0.66666666666666696</v>
      </c>
      <c r="O332" s="11">
        <v>0.83333333333333304</v>
      </c>
      <c r="P332" s="10">
        <v>0.90972222222222099</v>
      </c>
      <c r="Q332" s="10">
        <v>0.95379359518829898</v>
      </c>
      <c r="R332" s="8" t="s">
        <v>10653</v>
      </c>
      <c r="S332" s="10">
        <v>16</v>
      </c>
      <c r="T332" s="10">
        <v>7</v>
      </c>
      <c r="U332" s="10">
        <v>23</v>
      </c>
      <c r="V332" s="10">
        <v>1.9166666666666701</v>
      </c>
      <c r="W332" s="10">
        <v>15</v>
      </c>
      <c r="X332" s="10">
        <v>9</v>
      </c>
      <c r="Y332" s="10">
        <v>24</v>
      </c>
      <c r="Z332" s="10">
        <v>2</v>
      </c>
      <c r="AA332" s="10">
        <v>1.7777777777777799</v>
      </c>
      <c r="AB332" s="10">
        <v>1.6666666666666701</v>
      </c>
      <c r="AC332" s="10">
        <v>2.3333333333333299</v>
      </c>
      <c r="AD332" s="10">
        <v>3</v>
      </c>
    </row>
    <row r="333" spans="1:30" x14ac:dyDescent="0.3">
      <c r="A333" s="7" t="s">
        <v>1394</v>
      </c>
      <c r="B333" s="12" t="s">
        <v>1405</v>
      </c>
      <c r="C333" s="10">
        <v>2.3333333333333299</v>
      </c>
      <c r="D333" s="10">
        <v>2.5</v>
      </c>
      <c r="E333" s="9">
        <v>6</v>
      </c>
      <c r="F333" s="9">
        <v>6</v>
      </c>
      <c r="G333" s="9">
        <v>12</v>
      </c>
      <c r="H333" s="10">
        <v>1.25</v>
      </c>
      <c r="I333" s="10">
        <v>3.31</v>
      </c>
      <c r="J333" s="11">
        <v>0.33333333333333298</v>
      </c>
      <c r="K333" s="11">
        <v>0.91666666666666696</v>
      </c>
      <c r="L333" s="11">
        <v>0.66666666666666696</v>
      </c>
      <c r="M333" s="11">
        <v>0.58333333333333304</v>
      </c>
      <c r="N333" s="11">
        <v>0.16666666666666699</v>
      </c>
      <c r="O333" s="11">
        <v>0.5</v>
      </c>
      <c r="P333" s="10">
        <v>1.3541666666666701</v>
      </c>
      <c r="Q333" s="10">
        <v>1.16368667031408</v>
      </c>
      <c r="R333" s="8" t="s">
        <v>10653</v>
      </c>
      <c r="S333" s="10">
        <v>8</v>
      </c>
      <c r="T333" s="10">
        <v>7</v>
      </c>
      <c r="U333" s="10">
        <v>15</v>
      </c>
      <c r="V333" s="10">
        <v>1.25</v>
      </c>
      <c r="W333" s="10">
        <v>6</v>
      </c>
      <c r="X333" s="10">
        <v>8</v>
      </c>
      <c r="Y333" s="10">
        <v>14</v>
      </c>
      <c r="Z333" s="10">
        <v>1.1666666666666701</v>
      </c>
      <c r="AA333" s="10">
        <v>1.3333333333333299</v>
      </c>
      <c r="AB333" s="10">
        <v>1</v>
      </c>
      <c r="AC333" s="10">
        <v>1.1666666666666701</v>
      </c>
      <c r="AD333" s="10">
        <v>1.3333333333333299</v>
      </c>
    </row>
    <row r="334" spans="1:30" x14ac:dyDescent="0.3">
      <c r="A334" s="7" t="s">
        <v>3695</v>
      </c>
      <c r="B334" s="12" t="s">
        <v>3662</v>
      </c>
      <c r="C334" s="10">
        <v>2</v>
      </c>
      <c r="D334" s="10">
        <v>5.1666666666666696</v>
      </c>
      <c r="E334" s="9">
        <v>6</v>
      </c>
      <c r="F334" s="9">
        <v>6</v>
      </c>
      <c r="G334" s="9">
        <v>12</v>
      </c>
      <c r="H334" s="10">
        <v>1.75</v>
      </c>
      <c r="I334" s="10">
        <v>2.5</v>
      </c>
      <c r="J334" s="11">
        <v>0.25</v>
      </c>
      <c r="K334" s="11">
        <v>0.83333333333333304</v>
      </c>
      <c r="L334" s="11">
        <v>0.75</v>
      </c>
      <c r="M334" s="11">
        <v>0.58333333333333304</v>
      </c>
      <c r="N334" s="11">
        <v>0.41666666666666702</v>
      </c>
      <c r="O334" s="11">
        <v>0.66666666666666696</v>
      </c>
      <c r="P334" s="10">
        <v>1.8541666666666701</v>
      </c>
      <c r="Q334" s="10">
        <v>1.36167788653068</v>
      </c>
      <c r="R334" s="8" t="s">
        <v>10653</v>
      </c>
      <c r="S334" s="10">
        <v>8</v>
      </c>
      <c r="T334" s="10">
        <v>13</v>
      </c>
      <c r="U334" s="10">
        <v>21</v>
      </c>
      <c r="V334" s="10">
        <v>1.75</v>
      </c>
      <c r="W334" s="10">
        <v>4</v>
      </c>
      <c r="X334" s="10">
        <v>18</v>
      </c>
      <c r="Y334" s="10">
        <v>22</v>
      </c>
      <c r="Z334" s="10">
        <v>1.8333333333333299</v>
      </c>
      <c r="AA334" s="10">
        <v>1.3333333333333299</v>
      </c>
      <c r="AB334" s="10">
        <v>0.66666666666666696</v>
      </c>
      <c r="AC334" s="10">
        <v>2.1666666666666701</v>
      </c>
      <c r="AD334" s="10">
        <v>3</v>
      </c>
    </row>
    <row r="335" spans="1:30" x14ac:dyDescent="0.3">
      <c r="A335" s="7" t="s">
        <v>436</v>
      </c>
      <c r="B335" s="12" t="s">
        <v>882</v>
      </c>
      <c r="C335" s="10">
        <v>3.8</v>
      </c>
      <c r="D335" s="10">
        <v>2.5714285714285698</v>
      </c>
      <c r="E335" s="9">
        <v>5</v>
      </c>
      <c r="F335" s="9">
        <v>7</v>
      </c>
      <c r="G335" s="9">
        <v>12</v>
      </c>
      <c r="H335" s="10">
        <v>1.6666666666666701</v>
      </c>
      <c r="I335" s="10">
        <v>3.56</v>
      </c>
      <c r="J335" s="11">
        <v>0.16666666666666699</v>
      </c>
      <c r="K335" s="11">
        <v>1</v>
      </c>
      <c r="L335" s="11">
        <v>0.91666666666666696</v>
      </c>
      <c r="M335" s="11">
        <v>0.5</v>
      </c>
      <c r="N335" s="11">
        <v>0.33333333333333298</v>
      </c>
      <c r="O335" s="11">
        <v>0.5</v>
      </c>
      <c r="P335" s="10">
        <v>1.7222222222222201</v>
      </c>
      <c r="Q335" s="10">
        <v>1.31233464566864</v>
      </c>
      <c r="R335" s="8" t="s">
        <v>10653</v>
      </c>
      <c r="S335" s="10">
        <v>13</v>
      </c>
      <c r="T335" s="10">
        <v>7</v>
      </c>
      <c r="U335" s="10">
        <v>20</v>
      </c>
      <c r="V335" s="10">
        <v>1.6666666666666701</v>
      </c>
      <c r="W335" s="10">
        <v>6</v>
      </c>
      <c r="X335" s="10">
        <v>11</v>
      </c>
      <c r="Y335" s="10">
        <v>17</v>
      </c>
      <c r="Z335" s="10">
        <v>1.4166666666666701</v>
      </c>
      <c r="AA335" s="10">
        <v>2.6</v>
      </c>
      <c r="AB335" s="10">
        <v>1.2</v>
      </c>
      <c r="AC335" s="10">
        <v>1</v>
      </c>
      <c r="AD335" s="10">
        <v>1.5714285714285701</v>
      </c>
    </row>
    <row r="336" spans="1:30" x14ac:dyDescent="0.3">
      <c r="A336" s="7" t="s">
        <v>5567</v>
      </c>
      <c r="B336" s="12" t="s">
        <v>966</v>
      </c>
      <c r="C336" s="10">
        <v>3.5</v>
      </c>
      <c r="D336" s="10">
        <v>3</v>
      </c>
      <c r="E336" s="9">
        <v>6</v>
      </c>
      <c r="F336" s="9">
        <v>6</v>
      </c>
      <c r="G336" s="9">
        <v>12</v>
      </c>
      <c r="H336" s="10">
        <v>1.1666666666666701</v>
      </c>
      <c r="I336" s="10">
        <v>2.5</v>
      </c>
      <c r="J336" s="11">
        <v>0.33333333333333298</v>
      </c>
      <c r="K336" s="11">
        <v>0.91666666666666696</v>
      </c>
      <c r="L336" s="11">
        <v>0.91666666666666696</v>
      </c>
      <c r="M336" s="11">
        <v>0.66666666666666696</v>
      </c>
      <c r="N336" s="11">
        <v>0.5</v>
      </c>
      <c r="O336" s="11">
        <v>0.66666666666666696</v>
      </c>
      <c r="P336" s="10">
        <v>0.97222222222222199</v>
      </c>
      <c r="Q336" s="10">
        <v>0.98601329718326902</v>
      </c>
      <c r="R336" s="8" t="s">
        <v>10653</v>
      </c>
      <c r="S336" s="10">
        <v>6</v>
      </c>
      <c r="T336" s="10">
        <v>8</v>
      </c>
      <c r="U336" s="10">
        <v>14</v>
      </c>
      <c r="V336" s="10">
        <v>1.1666666666666701</v>
      </c>
      <c r="W336" s="10">
        <v>15</v>
      </c>
      <c r="X336" s="10">
        <v>10</v>
      </c>
      <c r="Y336" s="10">
        <v>25</v>
      </c>
      <c r="Z336" s="10">
        <v>2.0833333333333299</v>
      </c>
      <c r="AA336" s="10">
        <v>1</v>
      </c>
      <c r="AB336" s="10">
        <v>2.5</v>
      </c>
      <c r="AC336" s="10">
        <v>1.3333333333333299</v>
      </c>
      <c r="AD336" s="10">
        <v>1.6666666666666701</v>
      </c>
    </row>
    <row r="337" spans="1:30" x14ac:dyDescent="0.3">
      <c r="A337" s="7" t="s">
        <v>340</v>
      </c>
      <c r="B337" s="12" t="s">
        <v>1335</v>
      </c>
      <c r="C337" s="10">
        <v>3.2</v>
      </c>
      <c r="D337" s="10">
        <v>2</v>
      </c>
      <c r="E337" s="9">
        <v>5</v>
      </c>
      <c r="F337" s="9">
        <v>7</v>
      </c>
      <c r="G337" s="9">
        <v>12</v>
      </c>
      <c r="H337" s="10">
        <v>1.8333333333333299</v>
      </c>
      <c r="I337" s="10">
        <v>2.5099999999999998</v>
      </c>
      <c r="J337" s="11">
        <v>8.3333333333333301E-2</v>
      </c>
      <c r="K337" s="11">
        <v>0.91666666666666696</v>
      </c>
      <c r="L337" s="11">
        <v>0.66666666666666696</v>
      </c>
      <c r="M337" s="11">
        <v>0.5</v>
      </c>
      <c r="N337" s="11">
        <v>0.25</v>
      </c>
      <c r="O337" s="11">
        <v>0.41666666666666702</v>
      </c>
      <c r="P337" s="10">
        <v>1.80555555555556</v>
      </c>
      <c r="Q337" s="10">
        <v>1.34370962471643</v>
      </c>
      <c r="R337" s="8" t="s">
        <v>10653</v>
      </c>
      <c r="S337" s="10">
        <v>8</v>
      </c>
      <c r="T337" s="10">
        <v>14</v>
      </c>
      <c r="U337" s="10">
        <v>22</v>
      </c>
      <c r="V337" s="10">
        <v>1.8333333333333299</v>
      </c>
      <c r="W337" s="10">
        <v>8</v>
      </c>
      <c r="X337" s="10">
        <v>0</v>
      </c>
      <c r="Y337" s="10">
        <v>8</v>
      </c>
      <c r="Z337" s="10">
        <v>0.66666666666666696</v>
      </c>
      <c r="AA337" s="10">
        <v>1.6</v>
      </c>
      <c r="AB337" s="10">
        <v>1.6</v>
      </c>
      <c r="AC337" s="10">
        <v>2</v>
      </c>
      <c r="AD337" s="10">
        <v>0</v>
      </c>
    </row>
    <row r="338" spans="1:30" x14ac:dyDescent="0.3">
      <c r="A338" s="7" t="s">
        <v>1296</v>
      </c>
      <c r="B338" s="12" t="s">
        <v>973</v>
      </c>
      <c r="C338" s="10">
        <v>2.4285714285714302</v>
      </c>
      <c r="D338" s="10">
        <v>2.6</v>
      </c>
      <c r="E338" s="9">
        <v>7</v>
      </c>
      <c r="F338" s="9">
        <v>5</v>
      </c>
      <c r="G338" s="9">
        <v>12</v>
      </c>
      <c r="H338" s="10">
        <v>1.0833333333333299</v>
      </c>
      <c r="I338" s="10">
        <v>3.7</v>
      </c>
      <c r="J338" s="11">
        <v>0.5</v>
      </c>
      <c r="K338" s="11">
        <v>0.83333333333333304</v>
      </c>
      <c r="L338" s="11">
        <v>0.41666666666666702</v>
      </c>
      <c r="M338" s="11">
        <v>0.41666666666666702</v>
      </c>
      <c r="N338" s="11">
        <v>0.41666666666666702</v>
      </c>
      <c r="O338" s="11">
        <v>0.41666666666666702</v>
      </c>
      <c r="P338" s="10">
        <v>2.0763888888888902</v>
      </c>
      <c r="Q338" s="10">
        <v>1.4409680388158801</v>
      </c>
      <c r="R338" s="8" t="s">
        <v>1541</v>
      </c>
      <c r="S338" s="10">
        <v>8</v>
      </c>
      <c r="T338" s="10">
        <v>5</v>
      </c>
      <c r="U338" s="10">
        <v>13</v>
      </c>
      <c r="V338" s="10">
        <v>1.0833333333333299</v>
      </c>
      <c r="W338" s="10">
        <v>9</v>
      </c>
      <c r="X338" s="10">
        <v>8</v>
      </c>
      <c r="Y338" s="10">
        <v>17</v>
      </c>
      <c r="Z338" s="10">
        <v>1.4166666666666701</v>
      </c>
      <c r="AA338" s="10">
        <v>1.1428571428571399</v>
      </c>
      <c r="AB338" s="10">
        <v>1.28571428571429</v>
      </c>
      <c r="AC338" s="10">
        <v>1</v>
      </c>
      <c r="AD338" s="10">
        <v>1.6</v>
      </c>
    </row>
    <row r="339" spans="1:30" x14ac:dyDescent="0.3">
      <c r="A339" s="7" t="s">
        <v>101</v>
      </c>
      <c r="B339" s="12" t="s">
        <v>1334</v>
      </c>
      <c r="C339" s="10">
        <v>2.1666666666666701</v>
      </c>
      <c r="D339" s="10">
        <v>3.3333333333333299</v>
      </c>
      <c r="E339" s="9">
        <v>6</v>
      </c>
      <c r="F339" s="9">
        <v>6</v>
      </c>
      <c r="G339" s="9">
        <v>12</v>
      </c>
      <c r="H339" s="10">
        <v>0.66666666666666696</v>
      </c>
      <c r="I339" s="10">
        <v>2.31</v>
      </c>
      <c r="J339" s="11">
        <v>0.5</v>
      </c>
      <c r="K339" s="11">
        <v>0.91666666666666696</v>
      </c>
      <c r="L339" s="11">
        <v>0.91666666666666696</v>
      </c>
      <c r="M339" s="11">
        <v>0.5</v>
      </c>
      <c r="N339" s="11">
        <v>0.16666666666666699</v>
      </c>
      <c r="O339" s="11">
        <v>0.5</v>
      </c>
      <c r="P339" s="10">
        <v>0.55555555555555602</v>
      </c>
      <c r="Q339" s="10">
        <v>0.74535599249993001</v>
      </c>
      <c r="R339" s="8" t="s">
        <v>10653</v>
      </c>
      <c r="S339" s="10">
        <v>4</v>
      </c>
      <c r="T339" s="10">
        <v>4</v>
      </c>
      <c r="U339" s="10">
        <v>8</v>
      </c>
      <c r="V339" s="10">
        <v>0.66666666666666696</v>
      </c>
      <c r="W339" s="10">
        <v>9</v>
      </c>
      <c r="X339" s="10">
        <v>16</v>
      </c>
      <c r="Y339" s="10">
        <v>25</v>
      </c>
      <c r="Z339" s="10">
        <v>2.0833333333333299</v>
      </c>
      <c r="AA339" s="10">
        <v>0.66666666666666696</v>
      </c>
      <c r="AB339" s="10">
        <v>1.5</v>
      </c>
      <c r="AC339" s="10">
        <v>0.66666666666666696</v>
      </c>
      <c r="AD339" s="10">
        <v>2.6666666666666701</v>
      </c>
    </row>
    <row r="340" spans="1:30" x14ac:dyDescent="0.3">
      <c r="A340" s="7" t="s">
        <v>245</v>
      </c>
      <c r="B340" s="12" t="s">
        <v>3663</v>
      </c>
      <c r="C340" s="10">
        <v>3.8333333333333299</v>
      </c>
      <c r="D340" s="10">
        <v>3.1666666666666701</v>
      </c>
      <c r="E340" s="9">
        <v>6</v>
      </c>
      <c r="F340" s="9">
        <v>6</v>
      </c>
      <c r="G340" s="9">
        <v>12</v>
      </c>
      <c r="H340" s="10">
        <v>2</v>
      </c>
      <c r="I340" s="10">
        <v>2.5</v>
      </c>
      <c r="J340" s="11">
        <v>0.25</v>
      </c>
      <c r="K340" s="11">
        <v>1</v>
      </c>
      <c r="L340" s="11">
        <v>1</v>
      </c>
      <c r="M340" s="11">
        <v>0.75</v>
      </c>
      <c r="N340" s="11">
        <v>0.41666666666666702</v>
      </c>
      <c r="O340" s="11">
        <v>0.66666666666666696</v>
      </c>
      <c r="P340" s="10">
        <v>3.1666666666666701</v>
      </c>
      <c r="Q340" s="10">
        <v>1.7795130420052201</v>
      </c>
      <c r="R340" s="8" t="s">
        <v>10653</v>
      </c>
      <c r="S340" s="10">
        <v>15</v>
      </c>
      <c r="T340" s="10">
        <v>9</v>
      </c>
      <c r="U340" s="10">
        <v>24</v>
      </c>
      <c r="V340" s="10">
        <v>2</v>
      </c>
      <c r="W340" s="10">
        <v>8</v>
      </c>
      <c r="X340" s="10">
        <v>10</v>
      </c>
      <c r="Y340" s="10">
        <v>18</v>
      </c>
      <c r="Z340" s="10">
        <v>1.5</v>
      </c>
      <c r="AA340" s="10">
        <v>2.5</v>
      </c>
      <c r="AB340" s="10">
        <v>1.3333333333333299</v>
      </c>
      <c r="AC340" s="10">
        <v>1.5</v>
      </c>
      <c r="AD340" s="10">
        <v>1.6666666666666701</v>
      </c>
    </row>
    <row r="341" spans="1:30" x14ac:dyDescent="0.3">
      <c r="A341" s="7" t="s">
        <v>288</v>
      </c>
      <c r="B341" s="12" t="s">
        <v>1336</v>
      </c>
      <c r="C341" s="10">
        <v>3.3333333333333299</v>
      </c>
      <c r="D341" s="10">
        <v>3.8333333333333299</v>
      </c>
      <c r="E341" s="9">
        <v>6</v>
      </c>
      <c r="F341" s="9">
        <v>6</v>
      </c>
      <c r="G341" s="9">
        <v>12</v>
      </c>
      <c r="H341" s="10">
        <v>1.8333333333333299</v>
      </c>
      <c r="I341" s="10">
        <v>3.79</v>
      </c>
      <c r="J341" s="11">
        <v>8.3333333333333301E-2</v>
      </c>
      <c r="K341" s="11">
        <v>1</v>
      </c>
      <c r="L341" s="11">
        <v>0.91666666666666696</v>
      </c>
      <c r="M341" s="11">
        <v>0.91666666666666696</v>
      </c>
      <c r="N341" s="11">
        <v>0.5</v>
      </c>
      <c r="O341" s="11">
        <v>0.83333333333333304</v>
      </c>
      <c r="P341" s="10">
        <v>0.80555555555555602</v>
      </c>
      <c r="Q341" s="10">
        <v>0.89752746785575099</v>
      </c>
      <c r="R341" s="8" t="s">
        <v>10653</v>
      </c>
      <c r="S341" s="10">
        <v>11</v>
      </c>
      <c r="T341" s="10">
        <v>11</v>
      </c>
      <c r="U341" s="10">
        <v>22</v>
      </c>
      <c r="V341" s="10">
        <v>1.8333333333333299</v>
      </c>
      <c r="W341" s="10">
        <v>9</v>
      </c>
      <c r="X341" s="10">
        <v>12</v>
      </c>
      <c r="Y341" s="10">
        <v>21</v>
      </c>
      <c r="Z341" s="10">
        <v>1.75</v>
      </c>
      <c r="AA341" s="10">
        <v>1.8333333333333299</v>
      </c>
      <c r="AB341" s="10">
        <v>1.5</v>
      </c>
      <c r="AC341" s="10">
        <v>1.8333333333333299</v>
      </c>
      <c r="AD341" s="10">
        <v>2</v>
      </c>
    </row>
    <row r="342" spans="1:30" x14ac:dyDescent="0.3">
      <c r="A342" s="7" t="s">
        <v>2385</v>
      </c>
      <c r="B342" s="12" t="s">
        <v>1330</v>
      </c>
      <c r="C342" s="10">
        <v>2</v>
      </c>
      <c r="D342" s="10">
        <v>1.5714285714285701</v>
      </c>
      <c r="E342" s="9">
        <v>5</v>
      </c>
      <c r="F342" s="9">
        <v>7</v>
      </c>
      <c r="G342" s="9">
        <v>12</v>
      </c>
      <c r="H342" s="10">
        <v>1.1666666666666701</v>
      </c>
      <c r="I342" s="10">
        <v>2.5</v>
      </c>
      <c r="J342" s="11">
        <v>0.25</v>
      </c>
      <c r="K342" s="11">
        <v>0.91666666666666696</v>
      </c>
      <c r="L342" s="11">
        <v>0.33333333333333298</v>
      </c>
      <c r="M342" s="11">
        <v>0.25</v>
      </c>
      <c r="N342" s="11">
        <v>0.16666666666666699</v>
      </c>
      <c r="O342" s="11">
        <v>0.25</v>
      </c>
      <c r="P342" s="10">
        <v>0.80555555555555503</v>
      </c>
      <c r="Q342" s="10">
        <v>0.89752746785574999</v>
      </c>
      <c r="R342" s="8" t="s">
        <v>10653</v>
      </c>
      <c r="S342" s="10">
        <v>6</v>
      </c>
      <c r="T342" s="10">
        <v>8</v>
      </c>
      <c r="U342" s="10">
        <v>14</v>
      </c>
      <c r="V342" s="10">
        <v>1.1666666666666701</v>
      </c>
      <c r="W342" s="10">
        <v>4</v>
      </c>
      <c r="X342" s="10">
        <v>3</v>
      </c>
      <c r="Y342" s="10">
        <v>7</v>
      </c>
      <c r="Z342" s="10">
        <v>0.58333333333333304</v>
      </c>
      <c r="AA342" s="10">
        <v>1.2</v>
      </c>
      <c r="AB342" s="10">
        <v>0.8</v>
      </c>
      <c r="AC342" s="10">
        <v>1.1428571428571399</v>
      </c>
      <c r="AD342" s="10">
        <v>0.42857142857142899</v>
      </c>
    </row>
    <row r="343" spans="1:30" x14ac:dyDescent="0.3">
      <c r="A343" s="7" t="s">
        <v>292</v>
      </c>
      <c r="B343" s="12" t="s">
        <v>1336</v>
      </c>
      <c r="C343" s="10">
        <v>3.28571428571429</v>
      </c>
      <c r="D343" s="10">
        <v>4.4000000000000004</v>
      </c>
      <c r="E343" s="9">
        <v>7</v>
      </c>
      <c r="F343" s="9">
        <v>5</v>
      </c>
      <c r="G343" s="9">
        <v>12</v>
      </c>
      <c r="H343" s="10">
        <v>1.4166666666666701</v>
      </c>
      <c r="I343" s="10">
        <v>3.79</v>
      </c>
      <c r="J343" s="11">
        <v>0.33333333333333298</v>
      </c>
      <c r="K343" s="11">
        <v>1</v>
      </c>
      <c r="L343" s="11">
        <v>1</v>
      </c>
      <c r="M343" s="11">
        <v>0.66666666666666696</v>
      </c>
      <c r="N343" s="11">
        <v>0.5</v>
      </c>
      <c r="O343" s="11">
        <v>0.66666666666666696</v>
      </c>
      <c r="P343" s="10">
        <v>1.9097222222222201</v>
      </c>
      <c r="Q343" s="10">
        <v>1.38192699598142</v>
      </c>
      <c r="R343" s="8" t="s">
        <v>10653</v>
      </c>
      <c r="S343" s="10">
        <v>12</v>
      </c>
      <c r="T343" s="10">
        <v>5</v>
      </c>
      <c r="U343" s="10">
        <v>17</v>
      </c>
      <c r="V343" s="10">
        <v>1.4166666666666701</v>
      </c>
      <c r="W343" s="10">
        <v>11</v>
      </c>
      <c r="X343" s="10">
        <v>17</v>
      </c>
      <c r="Y343" s="10">
        <v>28</v>
      </c>
      <c r="Z343" s="10">
        <v>2.3333333333333299</v>
      </c>
      <c r="AA343" s="10">
        <v>1.71428571428571</v>
      </c>
      <c r="AB343" s="10">
        <v>1.5714285714285701</v>
      </c>
      <c r="AC343" s="10">
        <v>1</v>
      </c>
      <c r="AD343" s="10">
        <v>3.4</v>
      </c>
    </row>
    <row r="344" spans="1:30" x14ac:dyDescent="0.3">
      <c r="A344" s="7" t="s">
        <v>7259</v>
      </c>
      <c r="B344" s="12" t="s">
        <v>847</v>
      </c>
      <c r="C344" s="10">
        <v>2.6666666666666701</v>
      </c>
      <c r="D344" s="10">
        <v>4.5</v>
      </c>
      <c r="E344" s="9">
        <v>6</v>
      </c>
      <c r="F344" s="9">
        <v>6</v>
      </c>
      <c r="G344" s="9">
        <v>12</v>
      </c>
      <c r="H344" s="10">
        <v>1.3333333333333299</v>
      </c>
      <c r="I344" s="10">
        <v>2.5</v>
      </c>
      <c r="J344" s="11">
        <v>0.33333333333333298</v>
      </c>
      <c r="K344" s="11">
        <v>1</v>
      </c>
      <c r="L344" s="11">
        <v>0.83333333333333304</v>
      </c>
      <c r="M344" s="11">
        <v>0.58333333333333304</v>
      </c>
      <c r="N344" s="11">
        <v>0.5</v>
      </c>
      <c r="O344" s="11">
        <v>0.66666666666666696</v>
      </c>
      <c r="P344" s="10">
        <v>1.55555555555556</v>
      </c>
      <c r="Q344" s="10">
        <v>1.2472191289246499</v>
      </c>
      <c r="R344" s="8" t="s">
        <v>10653</v>
      </c>
      <c r="S344" s="10">
        <v>8</v>
      </c>
      <c r="T344" s="10">
        <v>8</v>
      </c>
      <c r="U344" s="10">
        <v>16</v>
      </c>
      <c r="V344" s="10">
        <v>1.3333333333333299</v>
      </c>
      <c r="W344" s="10">
        <v>8</v>
      </c>
      <c r="X344" s="10">
        <v>19</v>
      </c>
      <c r="Y344" s="10">
        <v>27</v>
      </c>
      <c r="Z344" s="10">
        <v>2.25</v>
      </c>
      <c r="AA344" s="10">
        <v>1.3333333333333299</v>
      </c>
      <c r="AB344" s="10">
        <v>1.3333333333333299</v>
      </c>
      <c r="AC344" s="10">
        <v>1.3333333333333299</v>
      </c>
      <c r="AD344" s="10">
        <v>3.1666666666666701</v>
      </c>
    </row>
    <row r="345" spans="1:30" x14ac:dyDescent="0.3">
      <c r="A345" s="7" t="s">
        <v>7251</v>
      </c>
      <c r="B345" s="12" t="s">
        <v>847</v>
      </c>
      <c r="C345" s="10">
        <v>2.71428571428571</v>
      </c>
      <c r="D345" s="10">
        <v>2.8</v>
      </c>
      <c r="E345" s="9">
        <v>7</v>
      </c>
      <c r="F345" s="9">
        <v>5</v>
      </c>
      <c r="G345" s="9">
        <v>12</v>
      </c>
      <c r="H345" s="10">
        <v>1.5833333333333299</v>
      </c>
      <c r="I345" s="10">
        <v>2.5</v>
      </c>
      <c r="J345" s="11">
        <v>0.16666666666666699</v>
      </c>
      <c r="K345" s="11">
        <v>0.91666666666666696</v>
      </c>
      <c r="L345" s="11">
        <v>0.83333333333333304</v>
      </c>
      <c r="M345" s="11">
        <v>0.5</v>
      </c>
      <c r="N345" s="11">
        <v>0.33333333333333298</v>
      </c>
      <c r="O345" s="11">
        <v>0.66666666666666696</v>
      </c>
      <c r="P345" s="10">
        <v>1.0763888888888899</v>
      </c>
      <c r="Q345" s="10">
        <v>1.03749163316573</v>
      </c>
      <c r="R345" s="8" t="s">
        <v>10653</v>
      </c>
      <c r="S345" s="10">
        <v>12</v>
      </c>
      <c r="T345" s="10">
        <v>7</v>
      </c>
      <c r="U345" s="10">
        <v>19</v>
      </c>
      <c r="V345" s="10">
        <v>1.5833333333333299</v>
      </c>
      <c r="W345" s="10">
        <v>7</v>
      </c>
      <c r="X345" s="10">
        <v>7</v>
      </c>
      <c r="Y345" s="10">
        <v>14</v>
      </c>
      <c r="Z345" s="10">
        <v>1.1666666666666701</v>
      </c>
      <c r="AA345" s="10">
        <v>1.71428571428571</v>
      </c>
      <c r="AB345" s="10">
        <v>1</v>
      </c>
      <c r="AC345" s="10">
        <v>1.4</v>
      </c>
      <c r="AD345" s="10">
        <v>1.4</v>
      </c>
    </row>
    <row r="346" spans="1:30" x14ac:dyDescent="0.3">
      <c r="A346" s="7" t="s">
        <v>272</v>
      </c>
      <c r="B346" s="12" t="s">
        <v>960</v>
      </c>
      <c r="C346" s="10">
        <v>4</v>
      </c>
      <c r="D346" s="10">
        <v>3.3333333333333299</v>
      </c>
      <c r="E346" s="9">
        <v>6</v>
      </c>
      <c r="F346" s="9">
        <v>6</v>
      </c>
      <c r="G346" s="9">
        <v>12</v>
      </c>
      <c r="H346" s="10">
        <v>1.9166666666666701</v>
      </c>
      <c r="I346" s="10">
        <v>2.5</v>
      </c>
      <c r="J346" s="11">
        <v>8.3333333333333301E-2</v>
      </c>
      <c r="K346" s="11">
        <v>1</v>
      </c>
      <c r="L346" s="11">
        <v>1</v>
      </c>
      <c r="M346" s="11">
        <v>0.91666666666666696</v>
      </c>
      <c r="N346" s="11">
        <v>0.58333333333333304</v>
      </c>
      <c r="O346" s="11">
        <v>0.83333333333333304</v>
      </c>
      <c r="P346" s="10">
        <v>0.90972222222222099</v>
      </c>
      <c r="Q346" s="10">
        <v>0.95379359518829898</v>
      </c>
      <c r="R346" s="8" t="s">
        <v>10653</v>
      </c>
      <c r="S346" s="10">
        <v>14</v>
      </c>
      <c r="T346" s="10">
        <v>9</v>
      </c>
      <c r="U346" s="10">
        <v>23</v>
      </c>
      <c r="V346" s="10">
        <v>1.9166666666666701</v>
      </c>
      <c r="W346" s="10">
        <v>10</v>
      </c>
      <c r="X346" s="10">
        <v>11</v>
      </c>
      <c r="Y346" s="10">
        <v>21</v>
      </c>
      <c r="Z346" s="10">
        <v>1.75</v>
      </c>
      <c r="AA346" s="10">
        <v>2.3333333333333299</v>
      </c>
      <c r="AB346" s="10">
        <v>1.6666666666666701</v>
      </c>
      <c r="AC346" s="10">
        <v>1.5</v>
      </c>
      <c r="AD346" s="10">
        <v>1.8333333333333299</v>
      </c>
    </row>
    <row r="347" spans="1:30" x14ac:dyDescent="0.3">
      <c r="A347" s="7" t="s">
        <v>6957</v>
      </c>
      <c r="B347" s="12" t="s">
        <v>987</v>
      </c>
      <c r="C347" s="10">
        <v>5.3333333333333304</v>
      </c>
      <c r="D347" s="10">
        <v>5.1666666666666696</v>
      </c>
      <c r="E347" s="9">
        <v>6</v>
      </c>
      <c r="F347" s="9">
        <v>6</v>
      </c>
      <c r="G347" s="9">
        <v>12</v>
      </c>
      <c r="H347" s="10">
        <v>2.4166666666666701</v>
      </c>
      <c r="I347" s="10">
        <v>2.5</v>
      </c>
      <c r="J347" s="11">
        <v>8.3333333333333301E-2</v>
      </c>
      <c r="K347" s="11">
        <v>1</v>
      </c>
      <c r="L347" s="11">
        <v>1</v>
      </c>
      <c r="M347" s="11">
        <v>0.91666666666666696</v>
      </c>
      <c r="N347" s="11">
        <v>0.83333333333333304</v>
      </c>
      <c r="O347" s="11">
        <v>0.91666666666666696</v>
      </c>
      <c r="P347" s="10">
        <v>2.0763888888888902</v>
      </c>
      <c r="Q347" s="10">
        <v>1.4409680388158801</v>
      </c>
      <c r="R347" s="8" t="s">
        <v>10653</v>
      </c>
      <c r="S347" s="10">
        <v>17</v>
      </c>
      <c r="T347" s="10">
        <v>12</v>
      </c>
      <c r="U347" s="10">
        <v>29</v>
      </c>
      <c r="V347" s="10">
        <v>2.4166666666666701</v>
      </c>
      <c r="W347" s="10">
        <v>15</v>
      </c>
      <c r="X347" s="10">
        <v>19</v>
      </c>
      <c r="Y347" s="10">
        <v>34</v>
      </c>
      <c r="Z347" s="10">
        <v>2.8333333333333299</v>
      </c>
      <c r="AA347" s="10">
        <v>2.8333333333333299</v>
      </c>
      <c r="AB347" s="10">
        <v>2.5</v>
      </c>
      <c r="AC347" s="10">
        <v>2</v>
      </c>
      <c r="AD347" s="10">
        <v>3.1666666666666701</v>
      </c>
    </row>
    <row r="348" spans="1:30" x14ac:dyDescent="0.3">
      <c r="A348" s="7" t="s">
        <v>5874</v>
      </c>
      <c r="B348" s="12" t="s">
        <v>1340</v>
      </c>
      <c r="C348" s="10">
        <v>2.6666666666666701</v>
      </c>
      <c r="D348" s="10">
        <v>3.3333333333333299</v>
      </c>
      <c r="E348" s="9">
        <v>6</v>
      </c>
      <c r="F348" s="9">
        <v>6</v>
      </c>
      <c r="G348" s="9">
        <v>12</v>
      </c>
      <c r="H348" s="10">
        <v>0.91666666666666696</v>
      </c>
      <c r="I348" s="10">
        <v>2.5</v>
      </c>
      <c r="J348" s="11">
        <v>0.25</v>
      </c>
      <c r="K348" s="11">
        <v>1</v>
      </c>
      <c r="L348" s="11">
        <v>0.83333333333333304</v>
      </c>
      <c r="M348" s="11">
        <v>0.66666666666666696</v>
      </c>
      <c r="N348" s="11">
        <v>0.25</v>
      </c>
      <c r="O348" s="11">
        <v>0.58333333333333304</v>
      </c>
      <c r="P348" s="10">
        <v>0.40972222222222199</v>
      </c>
      <c r="Q348" s="10">
        <v>0.64009547898905095</v>
      </c>
      <c r="R348" s="8" t="s">
        <v>10653</v>
      </c>
      <c r="S348" s="10">
        <v>4</v>
      </c>
      <c r="T348" s="10">
        <v>7</v>
      </c>
      <c r="U348" s="10">
        <v>11</v>
      </c>
      <c r="V348" s="10">
        <v>0.91666666666666696</v>
      </c>
      <c r="W348" s="10">
        <v>12</v>
      </c>
      <c r="X348" s="10">
        <v>13</v>
      </c>
      <c r="Y348" s="10">
        <v>25</v>
      </c>
      <c r="Z348" s="10">
        <v>2.0833333333333299</v>
      </c>
      <c r="AA348" s="10">
        <v>0.66666666666666696</v>
      </c>
      <c r="AB348" s="10">
        <v>2</v>
      </c>
      <c r="AC348" s="10">
        <v>1.1666666666666701</v>
      </c>
      <c r="AD348" s="10">
        <v>2.1666666666666701</v>
      </c>
    </row>
    <row r="349" spans="1:30" x14ac:dyDescent="0.3">
      <c r="A349" s="7" t="s">
        <v>6965</v>
      </c>
      <c r="B349" s="12" t="s">
        <v>987</v>
      </c>
      <c r="C349" s="10">
        <v>3</v>
      </c>
      <c r="D349" s="10">
        <v>4.6666666666666696</v>
      </c>
      <c r="E349" s="9">
        <v>6</v>
      </c>
      <c r="F349" s="9">
        <v>6</v>
      </c>
      <c r="G349" s="9">
        <v>12</v>
      </c>
      <c r="H349" s="10">
        <v>1.4166666666666701</v>
      </c>
      <c r="I349" s="10">
        <v>2.5</v>
      </c>
      <c r="J349" s="11">
        <v>0.33333333333333298</v>
      </c>
      <c r="K349" s="11">
        <v>1</v>
      </c>
      <c r="L349" s="11">
        <v>0.83333333333333304</v>
      </c>
      <c r="M349" s="11">
        <v>0.75</v>
      </c>
      <c r="N349" s="11">
        <v>0.33333333333333298</v>
      </c>
      <c r="O349" s="11">
        <v>0.5</v>
      </c>
      <c r="P349" s="10">
        <v>1.4097222222222201</v>
      </c>
      <c r="Q349" s="10">
        <v>1.1873172373979199</v>
      </c>
      <c r="R349" s="8" t="s">
        <v>10653</v>
      </c>
      <c r="S349" s="10">
        <v>10</v>
      </c>
      <c r="T349" s="10">
        <v>7</v>
      </c>
      <c r="U349" s="10">
        <v>17</v>
      </c>
      <c r="V349" s="10">
        <v>1.4166666666666701</v>
      </c>
      <c r="W349" s="10">
        <v>8</v>
      </c>
      <c r="X349" s="10">
        <v>21</v>
      </c>
      <c r="Y349" s="10">
        <v>29</v>
      </c>
      <c r="Z349" s="10">
        <v>2.4166666666666701</v>
      </c>
      <c r="AA349" s="10">
        <v>1.6666666666666701</v>
      </c>
      <c r="AB349" s="10">
        <v>1.3333333333333299</v>
      </c>
      <c r="AC349" s="10">
        <v>1.1666666666666701</v>
      </c>
      <c r="AD349" s="10">
        <v>3.5</v>
      </c>
    </row>
    <row r="350" spans="1:30" x14ac:dyDescent="0.3">
      <c r="A350" s="7" t="s">
        <v>225</v>
      </c>
      <c r="B350" s="12" t="s">
        <v>1332</v>
      </c>
      <c r="C350" s="10">
        <v>4.5999999999999996</v>
      </c>
      <c r="D350" s="10">
        <v>3.71428571428571</v>
      </c>
      <c r="E350" s="9">
        <v>5</v>
      </c>
      <c r="F350" s="9">
        <v>7</v>
      </c>
      <c r="G350" s="9">
        <v>12</v>
      </c>
      <c r="H350" s="10">
        <v>1.75</v>
      </c>
      <c r="I350" s="10">
        <v>3.62</v>
      </c>
      <c r="J350" s="11">
        <v>0.16666666666666699</v>
      </c>
      <c r="K350" s="11">
        <v>1</v>
      </c>
      <c r="L350" s="11">
        <v>1</v>
      </c>
      <c r="M350" s="11">
        <v>0.91666666666666696</v>
      </c>
      <c r="N350" s="11">
        <v>0.58333333333333304</v>
      </c>
      <c r="O350" s="11">
        <v>0.83333333333333304</v>
      </c>
      <c r="P350" s="10">
        <v>1.6875</v>
      </c>
      <c r="Q350" s="10">
        <v>1.29903810567666</v>
      </c>
      <c r="R350" s="8" t="s">
        <v>10653</v>
      </c>
      <c r="S350" s="10">
        <v>9</v>
      </c>
      <c r="T350" s="10">
        <v>12</v>
      </c>
      <c r="U350" s="10">
        <v>21</v>
      </c>
      <c r="V350" s="10">
        <v>1.75</v>
      </c>
      <c r="W350" s="10">
        <v>14</v>
      </c>
      <c r="X350" s="10">
        <v>14</v>
      </c>
      <c r="Y350" s="10">
        <v>28</v>
      </c>
      <c r="Z350" s="10">
        <v>2.3333333333333299</v>
      </c>
      <c r="AA350" s="10">
        <v>1.8</v>
      </c>
      <c r="AB350" s="10">
        <v>2.8</v>
      </c>
      <c r="AC350" s="10">
        <v>1.71428571428571</v>
      </c>
      <c r="AD350" s="10">
        <v>2</v>
      </c>
    </row>
    <row r="351" spans="1:30" x14ac:dyDescent="0.3">
      <c r="A351" s="7" t="s">
        <v>1553</v>
      </c>
      <c r="B351" s="12" t="s">
        <v>1332</v>
      </c>
      <c r="C351" s="10">
        <v>2.71428571428571</v>
      </c>
      <c r="D351" s="10">
        <v>2</v>
      </c>
      <c r="E351" s="9">
        <v>7</v>
      </c>
      <c r="F351" s="9">
        <v>5</v>
      </c>
      <c r="G351" s="9">
        <v>12</v>
      </c>
      <c r="H351" s="10">
        <v>1.5833333333333299</v>
      </c>
      <c r="I351" s="10">
        <v>3.62</v>
      </c>
      <c r="J351" s="11">
        <v>0.25</v>
      </c>
      <c r="K351" s="11">
        <v>0.83333333333333304</v>
      </c>
      <c r="L351" s="11">
        <v>0.83333333333333304</v>
      </c>
      <c r="M351" s="11">
        <v>0.5</v>
      </c>
      <c r="N351" s="11">
        <v>0.16666666666666699</v>
      </c>
      <c r="O351" s="11">
        <v>0.5</v>
      </c>
      <c r="P351" s="10">
        <v>2.0763888888888902</v>
      </c>
      <c r="Q351" s="10">
        <v>1.4409680388158801</v>
      </c>
      <c r="R351" s="8" t="s">
        <v>10653</v>
      </c>
      <c r="S351" s="10">
        <v>15</v>
      </c>
      <c r="T351" s="10">
        <v>4</v>
      </c>
      <c r="U351" s="10">
        <v>19</v>
      </c>
      <c r="V351" s="10">
        <v>1.5833333333333299</v>
      </c>
      <c r="W351" s="10">
        <v>4</v>
      </c>
      <c r="X351" s="10">
        <v>6</v>
      </c>
      <c r="Y351" s="10">
        <v>10</v>
      </c>
      <c r="Z351" s="10">
        <v>0.83333333333333304</v>
      </c>
      <c r="AA351" s="10">
        <v>2.1428571428571401</v>
      </c>
      <c r="AB351" s="10">
        <v>0.57142857142857095</v>
      </c>
      <c r="AC351" s="10">
        <v>0.8</v>
      </c>
      <c r="AD351" s="10">
        <v>1.2</v>
      </c>
    </row>
    <row r="352" spans="1:30" x14ac:dyDescent="0.3">
      <c r="A352" s="7" t="s">
        <v>3823</v>
      </c>
      <c r="B352" s="12" t="s">
        <v>3663</v>
      </c>
      <c r="C352" s="10">
        <v>3.3333333333333299</v>
      </c>
      <c r="D352" s="10">
        <v>3</v>
      </c>
      <c r="E352" s="9">
        <v>6</v>
      </c>
      <c r="F352" s="9">
        <v>6</v>
      </c>
      <c r="G352" s="9">
        <v>12</v>
      </c>
      <c r="H352" s="10">
        <v>1.6666666666666701</v>
      </c>
      <c r="I352" s="10">
        <v>2.5</v>
      </c>
      <c r="J352" s="11">
        <v>8.3333333333333301E-2</v>
      </c>
      <c r="K352" s="11">
        <v>1</v>
      </c>
      <c r="L352" s="11">
        <v>1</v>
      </c>
      <c r="M352" s="11">
        <v>0.66666666666666696</v>
      </c>
      <c r="N352" s="11">
        <v>0.33333333333333298</v>
      </c>
      <c r="O352" s="11">
        <v>0.75</v>
      </c>
      <c r="P352" s="10">
        <v>1.2222222222222201</v>
      </c>
      <c r="Q352" s="10">
        <v>1.1055415967851301</v>
      </c>
      <c r="R352" s="8" t="s">
        <v>10653</v>
      </c>
      <c r="S352" s="10">
        <v>14</v>
      </c>
      <c r="T352" s="10">
        <v>6</v>
      </c>
      <c r="U352" s="10">
        <v>20</v>
      </c>
      <c r="V352" s="10">
        <v>1.6666666666666701</v>
      </c>
      <c r="W352" s="10">
        <v>6</v>
      </c>
      <c r="X352" s="10">
        <v>12</v>
      </c>
      <c r="Y352" s="10">
        <v>18</v>
      </c>
      <c r="Z352" s="10">
        <v>1.5</v>
      </c>
      <c r="AA352" s="10">
        <v>2.3333333333333299</v>
      </c>
      <c r="AB352" s="10">
        <v>1</v>
      </c>
      <c r="AC352" s="10">
        <v>1</v>
      </c>
      <c r="AD352" s="10">
        <v>2</v>
      </c>
    </row>
    <row r="353" spans="1:30" x14ac:dyDescent="0.3">
      <c r="A353" s="7" t="s">
        <v>189</v>
      </c>
      <c r="B353" s="12" t="s">
        <v>1332</v>
      </c>
      <c r="C353" s="10">
        <v>1.8333333333333299</v>
      </c>
      <c r="D353" s="10">
        <v>4</v>
      </c>
      <c r="E353" s="9">
        <v>6</v>
      </c>
      <c r="F353" s="9">
        <v>6</v>
      </c>
      <c r="G353" s="9">
        <v>12</v>
      </c>
      <c r="H353" s="10">
        <v>0.75</v>
      </c>
      <c r="I353" s="10">
        <v>3.62</v>
      </c>
      <c r="J353" s="11">
        <v>0.41666666666666702</v>
      </c>
      <c r="K353" s="11">
        <v>0.91666666666666696</v>
      </c>
      <c r="L353" s="11">
        <v>0.75</v>
      </c>
      <c r="M353" s="11">
        <v>0.58333333333333304</v>
      </c>
      <c r="N353" s="11">
        <v>0.33333333333333298</v>
      </c>
      <c r="O353" s="11">
        <v>0.5</v>
      </c>
      <c r="P353" s="10">
        <v>0.52083333333333304</v>
      </c>
      <c r="Q353" s="10">
        <v>0.72168783648703205</v>
      </c>
      <c r="R353" s="8" t="s">
        <v>10653</v>
      </c>
      <c r="S353" s="10">
        <v>5</v>
      </c>
      <c r="T353" s="10">
        <v>4</v>
      </c>
      <c r="U353" s="10">
        <v>9</v>
      </c>
      <c r="V353" s="10">
        <v>0.75</v>
      </c>
      <c r="W353" s="10">
        <v>6</v>
      </c>
      <c r="X353" s="10">
        <v>20</v>
      </c>
      <c r="Y353" s="10">
        <v>26</v>
      </c>
      <c r="Z353" s="10">
        <v>2.1666666666666701</v>
      </c>
      <c r="AA353" s="10">
        <v>0.83333333333333304</v>
      </c>
      <c r="AB353" s="10">
        <v>1</v>
      </c>
      <c r="AC353" s="10">
        <v>0.66666666666666696</v>
      </c>
      <c r="AD353" s="10">
        <v>3.3333333333333299</v>
      </c>
    </row>
    <row r="354" spans="1:30" x14ac:dyDescent="0.3">
      <c r="A354" s="7" t="s">
        <v>1695</v>
      </c>
      <c r="B354" s="12" t="s">
        <v>1333</v>
      </c>
      <c r="C354" s="10">
        <v>2.6666666666666701</v>
      </c>
      <c r="D354" s="10">
        <v>2.3333333333333299</v>
      </c>
      <c r="E354" s="9">
        <v>6</v>
      </c>
      <c r="F354" s="9">
        <v>6</v>
      </c>
      <c r="G354" s="9">
        <v>12</v>
      </c>
      <c r="H354" s="10">
        <v>1.6666666666666701</v>
      </c>
      <c r="I354" s="10">
        <v>2.59</v>
      </c>
      <c r="J354" s="11">
        <v>0.25</v>
      </c>
      <c r="K354" s="11">
        <v>0.91666666666666696</v>
      </c>
      <c r="L354" s="11">
        <v>0.75</v>
      </c>
      <c r="M354" s="11">
        <v>0.5</v>
      </c>
      <c r="N354" s="11">
        <v>0.16666666666666699</v>
      </c>
      <c r="O354" s="11">
        <v>0.41666666666666702</v>
      </c>
      <c r="P354" s="10">
        <v>1.7222222222222201</v>
      </c>
      <c r="Q354" s="10">
        <v>1.31233464566864</v>
      </c>
      <c r="R354" s="8" t="s">
        <v>10653</v>
      </c>
      <c r="S354" s="10">
        <v>12</v>
      </c>
      <c r="T354" s="10">
        <v>8</v>
      </c>
      <c r="U354" s="10">
        <v>20</v>
      </c>
      <c r="V354" s="10">
        <v>1.6666666666666701</v>
      </c>
      <c r="W354" s="10">
        <v>4</v>
      </c>
      <c r="X354" s="10">
        <v>6</v>
      </c>
      <c r="Y354" s="10">
        <v>10</v>
      </c>
      <c r="Z354" s="10">
        <v>0.83333333333333304</v>
      </c>
      <c r="AA354" s="10">
        <v>2</v>
      </c>
      <c r="AB354" s="10">
        <v>0.66666666666666696</v>
      </c>
      <c r="AC354" s="10">
        <v>1.3333333333333299</v>
      </c>
      <c r="AD354" s="10">
        <v>1</v>
      </c>
    </row>
    <row r="355" spans="1:30" x14ac:dyDescent="0.3">
      <c r="A355" s="7" t="s">
        <v>2987</v>
      </c>
      <c r="B355" s="12" t="s">
        <v>1336</v>
      </c>
      <c r="C355" s="10">
        <v>4</v>
      </c>
      <c r="D355" s="10">
        <v>4.4285714285714297</v>
      </c>
      <c r="E355" s="9">
        <v>5</v>
      </c>
      <c r="F355" s="9">
        <v>7</v>
      </c>
      <c r="G355" s="9">
        <v>12</v>
      </c>
      <c r="H355" s="10">
        <v>2.1666666666666701</v>
      </c>
      <c r="I355" s="10">
        <v>3.79</v>
      </c>
      <c r="J355" s="11">
        <v>8.3333333333333301E-2</v>
      </c>
      <c r="K355" s="11">
        <v>1</v>
      </c>
      <c r="L355" s="11">
        <v>0.91666666666666696</v>
      </c>
      <c r="M355" s="11">
        <v>0.91666666666666696</v>
      </c>
      <c r="N355" s="11">
        <v>0.66666666666666696</v>
      </c>
      <c r="O355" s="11">
        <v>0.75</v>
      </c>
      <c r="P355" s="10">
        <v>2.1388888888888902</v>
      </c>
      <c r="Q355" s="10">
        <v>1.4624940645653499</v>
      </c>
      <c r="R355" s="8" t="s">
        <v>10653</v>
      </c>
      <c r="S355" s="10">
        <v>14</v>
      </c>
      <c r="T355" s="10">
        <v>12</v>
      </c>
      <c r="U355" s="10">
        <v>26</v>
      </c>
      <c r="V355" s="10">
        <v>2.1666666666666701</v>
      </c>
      <c r="W355" s="10">
        <v>6</v>
      </c>
      <c r="X355" s="10">
        <v>19</v>
      </c>
      <c r="Y355" s="10">
        <v>25</v>
      </c>
      <c r="Z355" s="10">
        <v>2.0833333333333299</v>
      </c>
      <c r="AA355" s="10">
        <v>2.8</v>
      </c>
      <c r="AB355" s="10">
        <v>1.2</v>
      </c>
      <c r="AC355" s="10">
        <v>1.71428571428571</v>
      </c>
      <c r="AD355" s="10">
        <v>2.71428571428571</v>
      </c>
    </row>
    <row r="356" spans="1:30" x14ac:dyDescent="0.3">
      <c r="A356" s="7" t="s">
        <v>136</v>
      </c>
      <c r="B356" s="12" t="s">
        <v>1333</v>
      </c>
      <c r="C356" s="10">
        <v>1.8333333333333299</v>
      </c>
      <c r="D356" s="10">
        <v>3.3333333333333299</v>
      </c>
      <c r="E356" s="9">
        <v>6</v>
      </c>
      <c r="F356" s="9">
        <v>6</v>
      </c>
      <c r="G356" s="9">
        <v>12</v>
      </c>
      <c r="H356" s="10">
        <v>1.1666666666666701</v>
      </c>
      <c r="I356" s="10">
        <v>2.59</v>
      </c>
      <c r="J356" s="11">
        <v>0.25</v>
      </c>
      <c r="K356" s="11">
        <v>0.91666666666666696</v>
      </c>
      <c r="L356" s="11">
        <v>0.75</v>
      </c>
      <c r="M356" s="11">
        <v>0.5</v>
      </c>
      <c r="N356" s="11">
        <v>0.16666666666666699</v>
      </c>
      <c r="O356" s="11">
        <v>0.58333333333333304</v>
      </c>
      <c r="P356" s="10">
        <v>0.80555555555555503</v>
      </c>
      <c r="Q356" s="10">
        <v>0.89752746785574999</v>
      </c>
      <c r="R356" s="8" t="s">
        <v>10653</v>
      </c>
      <c r="S356" s="10">
        <v>6</v>
      </c>
      <c r="T356" s="10">
        <v>8</v>
      </c>
      <c r="U356" s="10">
        <v>14</v>
      </c>
      <c r="V356" s="10">
        <v>1.1666666666666701</v>
      </c>
      <c r="W356" s="10">
        <v>5</v>
      </c>
      <c r="X356" s="10">
        <v>12</v>
      </c>
      <c r="Y356" s="10">
        <v>17</v>
      </c>
      <c r="Z356" s="10">
        <v>1.4166666666666701</v>
      </c>
      <c r="AA356" s="10">
        <v>1</v>
      </c>
      <c r="AB356" s="10">
        <v>0.83333333333333304</v>
      </c>
      <c r="AC356" s="10">
        <v>1.3333333333333299</v>
      </c>
      <c r="AD356" s="10">
        <v>2</v>
      </c>
    </row>
    <row r="357" spans="1:30" x14ac:dyDescent="0.3">
      <c r="A357" s="7" t="s">
        <v>1147</v>
      </c>
      <c r="B357" s="12" t="s">
        <v>851</v>
      </c>
      <c r="C357" s="10">
        <v>4.28571428571429</v>
      </c>
      <c r="D357" s="10">
        <v>3.4</v>
      </c>
      <c r="E357" s="9">
        <v>7</v>
      </c>
      <c r="F357" s="9">
        <v>5</v>
      </c>
      <c r="G357" s="9">
        <v>12</v>
      </c>
      <c r="H357" s="10">
        <v>1.75</v>
      </c>
      <c r="I357" s="10">
        <v>3.76</v>
      </c>
      <c r="J357" s="11">
        <v>0.16666666666666699</v>
      </c>
      <c r="K357" s="11">
        <v>1</v>
      </c>
      <c r="L357" s="11">
        <v>1</v>
      </c>
      <c r="M357" s="11">
        <v>0.83333333333333304</v>
      </c>
      <c r="N357" s="11">
        <v>0.58333333333333304</v>
      </c>
      <c r="O357" s="11">
        <v>0.75</v>
      </c>
      <c r="P357" s="10">
        <v>1.6875</v>
      </c>
      <c r="Q357" s="10">
        <v>1.29903810567666</v>
      </c>
      <c r="R357" s="8" t="s">
        <v>10653</v>
      </c>
      <c r="S357" s="10">
        <v>17</v>
      </c>
      <c r="T357" s="10">
        <v>4</v>
      </c>
      <c r="U357" s="10">
        <v>21</v>
      </c>
      <c r="V357" s="10">
        <v>1.75</v>
      </c>
      <c r="W357" s="10">
        <v>13</v>
      </c>
      <c r="X357" s="10">
        <v>13</v>
      </c>
      <c r="Y357" s="10">
        <v>26</v>
      </c>
      <c r="Z357" s="10">
        <v>2.1666666666666701</v>
      </c>
      <c r="AA357" s="10">
        <v>2.4285714285714302</v>
      </c>
      <c r="AB357" s="10">
        <v>1.8571428571428601</v>
      </c>
      <c r="AC357" s="10">
        <v>0.8</v>
      </c>
      <c r="AD357" s="10">
        <v>2.6</v>
      </c>
    </row>
    <row r="358" spans="1:30" x14ac:dyDescent="0.3">
      <c r="A358" s="7" t="s">
        <v>2184</v>
      </c>
      <c r="B358" s="12" t="s">
        <v>2230</v>
      </c>
      <c r="C358" s="10">
        <v>2.8</v>
      </c>
      <c r="D358" s="10">
        <v>2.8571428571428599</v>
      </c>
      <c r="E358" s="9">
        <v>5</v>
      </c>
      <c r="F358" s="9">
        <v>7</v>
      </c>
      <c r="G358" s="9">
        <v>12</v>
      </c>
      <c r="H358" s="10">
        <v>1.5</v>
      </c>
      <c r="I358" s="10">
        <v>2.72</v>
      </c>
      <c r="J358" s="11">
        <v>0.33333333333333298</v>
      </c>
      <c r="K358" s="11">
        <v>1</v>
      </c>
      <c r="L358" s="11">
        <v>0.75</v>
      </c>
      <c r="M358" s="11">
        <v>0.41666666666666702</v>
      </c>
      <c r="N358" s="11">
        <v>0.33333333333333298</v>
      </c>
      <c r="O358" s="11">
        <v>0.5</v>
      </c>
      <c r="P358" s="10">
        <v>3.0833333333333299</v>
      </c>
      <c r="Q358" s="10">
        <v>1.7559422921421199</v>
      </c>
      <c r="R358" s="8" t="s">
        <v>1541</v>
      </c>
      <c r="S358" s="10">
        <v>3</v>
      </c>
      <c r="T358" s="10">
        <v>15</v>
      </c>
      <c r="U358" s="10">
        <v>18</v>
      </c>
      <c r="V358" s="10">
        <v>1.5</v>
      </c>
      <c r="W358" s="10">
        <v>11</v>
      </c>
      <c r="X358" s="10">
        <v>5</v>
      </c>
      <c r="Y358" s="10">
        <v>16</v>
      </c>
      <c r="Z358" s="10">
        <v>1.3333333333333299</v>
      </c>
      <c r="AA358" s="10">
        <v>0.6</v>
      </c>
      <c r="AB358" s="10">
        <v>2.2000000000000002</v>
      </c>
      <c r="AC358" s="10">
        <v>2.1428571428571401</v>
      </c>
      <c r="AD358" s="10">
        <v>0.71428571428571397</v>
      </c>
    </row>
    <row r="359" spans="1:30" x14ac:dyDescent="0.3">
      <c r="A359" s="7" t="s">
        <v>2926</v>
      </c>
      <c r="B359" s="12" t="s">
        <v>844</v>
      </c>
      <c r="C359" s="10">
        <v>3.5714285714285698</v>
      </c>
      <c r="D359" s="10">
        <v>3.2</v>
      </c>
      <c r="E359" s="9">
        <v>7</v>
      </c>
      <c r="F359" s="9">
        <v>5</v>
      </c>
      <c r="G359" s="9">
        <v>12</v>
      </c>
      <c r="H359" s="10">
        <v>2</v>
      </c>
      <c r="I359" s="10">
        <v>3.57</v>
      </c>
      <c r="J359" s="11">
        <v>8.3333333333333301E-2</v>
      </c>
      <c r="K359" s="11">
        <v>1</v>
      </c>
      <c r="L359" s="11">
        <v>0.83333333333333304</v>
      </c>
      <c r="M359" s="11">
        <v>0.5</v>
      </c>
      <c r="N359" s="11">
        <v>0.41666666666666702</v>
      </c>
      <c r="O359" s="11">
        <v>0.58333333333333304</v>
      </c>
      <c r="P359" s="10">
        <v>1.3333333333333299</v>
      </c>
      <c r="Q359" s="10">
        <v>1.1547005383792499</v>
      </c>
      <c r="R359" s="8" t="s">
        <v>10653</v>
      </c>
      <c r="S359" s="10">
        <v>15</v>
      </c>
      <c r="T359" s="10">
        <v>9</v>
      </c>
      <c r="U359" s="10">
        <v>24</v>
      </c>
      <c r="V359" s="10">
        <v>2</v>
      </c>
      <c r="W359" s="10">
        <v>10</v>
      </c>
      <c r="X359" s="10">
        <v>7</v>
      </c>
      <c r="Y359" s="10">
        <v>17</v>
      </c>
      <c r="Z359" s="10">
        <v>1.4166666666666701</v>
      </c>
      <c r="AA359" s="10">
        <v>2.1428571428571401</v>
      </c>
      <c r="AB359" s="10">
        <v>1.4285714285714299</v>
      </c>
      <c r="AC359" s="10">
        <v>1.8</v>
      </c>
      <c r="AD359" s="10">
        <v>1.4</v>
      </c>
    </row>
    <row r="360" spans="1:30" x14ac:dyDescent="0.3">
      <c r="A360" s="7" t="s">
        <v>6707</v>
      </c>
      <c r="B360" s="12" t="s">
        <v>1338</v>
      </c>
      <c r="C360" s="10">
        <v>3.3333333333333299</v>
      </c>
      <c r="D360" s="10">
        <v>2.5</v>
      </c>
      <c r="E360" s="9">
        <v>6</v>
      </c>
      <c r="F360" s="9">
        <v>6</v>
      </c>
      <c r="G360" s="9">
        <v>12</v>
      </c>
      <c r="H360" s="10">
        <v>1.75</v>
      </c>
      <c r="I360" s="10">
        <v>2.5</v>
      </c>
      <c r="J360" s="11">
        <v>0.25</v>
      </c>
      <c r="K360" s="11">
        <v>0.91666666666666696</v>
      </c>
      <c r="L360" s="11">
        <v>0.91666666666666696</v>
      </c>
      <c r="M360" s="11">
        <v>0.58333333333333304</v>
      </c>
      <c r="N360" s="11">
        <v>0.33333333333333298</v>
      </c>
      <c r="O360" s="11">
        <v>0.33333333333333298</v>
      </c>
      <c r="P360" s="10">
        <v>1.5208333333333299</v>
      </c>
      <c r="Q360" s="10">
        <v>1.23322071557906</v>
      </c>
      <c r="R360" s="8" t="s">
        <v>10653</v>
      </c>
      <c r="S360" s="10">
        <v>14</v>
      </c>
      <c r="T360" s="10">
        <v>7</v>
      </c>
      <c r="U360" s="10">
        <v>21</v>
      </c>
      <c r="V360" s="10">
        <v>1.75</v>
      </c>
      <c r="W360" s="10">
        <v>6</v>
      </c>
      <c r="X360" s="10">
        <v>8</v>
      </c>
      <c r="Y360" s="10">
        <v>14</v>
      </c>
      <c r="Z360" s="10">
        <v>1.1666666666666701</v>
      </c>
      <c r="AA360" s="10">
        <v>2.3333333333333299</v>
      </c>
      <c r="AB360" s="10">
        <v>1</v>
      </c>
      <c r="AC360" s="10">
        <v>1.1666666666666701</v>
      </c>
      <c r="AD360" s="10">
        <v>1.3333333333333299</v>
      </c>
    </row>
    <row r="361" spans="1:30" x14ac:dyDescent="0.3">
      <c r="A361" s="7" t="s">
        <v>1092</v>
      </c>
      <c r="B361" s="12" t="s">
        <v>1332</v>
      </c>
      <c r="C361" s="10">
        <v>2.8571428571428599</v>
      </c>
      <c r="D361" s="10">
        <v>2.8</v>
      </c>
      <c r="E361" s="9">
        <v>7</v>
      </c>
      <c r="F361" s="9">
        <v>5</v>
      </c>
      <c r="G361" s="9">
        <v>12</v>
      </c>
      <c r="H361" s="10">
        <v>1.0833333333333299</v>
      </c>
      <c r="I361" s="10">
        <v>3.62</v>
      </c>
      <c r="J361" s="11">
        <v>0.33333333333333298</v>
      </c>
      <c r="K361" s="11">
        <v>0.91666666666666696</v>
      </c>
      <c r="L361" s="11">
        <v>0.83333333333333304</v>
      </c>
      <c r="M361" s="11">
        <v>0.66666666666666696</v>
      </c>
      <c r="N361" s="11">
        <v>0.33333333333333298</v>
      </c>
      <c r="O361" s="11">
        <v>0.58333333333333304</v>
      </c>
      <c r="P361" s="10">
        <v>0.74305555555555602</v>
      </c>
      <c r="Q361" s="10">
        <v>0.862006702732384</v>
      </c>
      <c r="R361" s="8" t="s">
        <v>10653</v>
      </c>
      <c r="S361" s="10">
        <v>11</v>
      </c>
      <c r="T361" s="10">
        <v>2</v>
      </c>
      <c r="U361" s="10">
        <v>13</v>
      </c>
      <c r="V361" s="10">
        <v>1.0833333333333299</v>
      </c>
      <c r="W361" s="10">
        <v>9</v>
      </c>
      <c r="X361" s="10">
        <v>12</v>
      </c>
      <c r="Y361" s="10">
        <v>21</v>
      </c>
      <c r="Z361" s="10">
        <v>1.75</v>
      </c>
      <c r="AA361" s="10">
        <v>1.5714285714285701</v>
      </c>
      <c r="AB361" s="10">
        <v>1.28571428571429</v>
      </c>
      <c r="AC361" s="10">
        <v>0.4</v>
      </c>
      <c r="AD361" s="10">
        <v>2.4</v>
      </c>
    </row>
    <row r="362" spans="1:30" x14ac:dyDescent="0.3">
      <c r="A362" s="7" t="s">
        <v>745</v>
      </c>
      <c r="B362" s="12" t="s">
        <v>844</v>
      </c>
      <c r="C362" s="10">
        <v>4.2</v>
      </c>
      <c r="D362" s="10">
        <v>3</v>
      </c>
      <c r="E362" s="9">
        <v>5</v>
      </c>
      <c r="F362" s="9">
        <v>7</v>
      </c>
      <c r="G362" s="9">
        <v>12</v>
      </c>
      <c r="H362" s="10">
        <v>1.6666666666666701</v>
      </c>
      <c r="I362" s="10">
        <v>3.57</v>
      </c>
      <c r="J362" s="11">
        <v>0.25</v>
      </c>
      <c r="K362" s="11">
        <v>1</v>
      </c>
      <c r="L362" s="11">
        <v>0.83333333333333304</v>
      </c>
      <c r="M362" s="11">
        <v>0.75</v>
      </c>
      <c r="N362" s="11">
        <v>0.41666666666666702</v>
      </c>
      <c r="O362" s="11">
        <v>0.66666666666666696</v>
      </c>
      <c r="P362" s="10">
        <v>1.7222222222222201</v>
      </c>
      <c r="Q362" s="10">
        <v>1.31233464566864</v>
      </c>
      <c r="R362" s="8" t="s">
        <v>10653</v>
      </c>
      <c r="S362" s="10">
        <v>12</v>
      </c>
      <c r="T362" s="10">
        <v>8</v>
      </c>
      <c r="U362" s="10">
        <v>20</v>
      </c>
      <c r="V362" s="10">
        <v>1.6666666666666701</v>
      </c>
      <c r="W362" s="10">
        <v>9</v>
      </c>
      <c r="X362" s="10">
        <v>13</v>
      </c>
      <c r="Y362" s="10">
        <v>22</v>
      </c>
      <c r="Z362" s="10">
        <v>1.8333333333333299</v>
      </c>
      <c r="AA362" s="10">
        <v>2.4</v>
      </c>
      <c r="AB362" s="10">
        <v>1.8</v>
      </c>
      <c r="AC362" s="10">
        <v>1.1428571428571399</v>
      </c>
      <c r="AD362" s="10">
        <v>1.8571428571428601</v>
      </c>
    </row>
    <row r="363" spans="1:30" x14ac:dyDescent="0.3">
      <c r="A363" s="7" t="s">
        <v>3761</v>
      </c>
      <c r="B363" s="12" t="s">
        <v>3663</v>
      </c>
      <c r="C363" s="10">
        <v>4</v>
      </c>
      <c r="D363" s="10">
        <v>2.4</v>
      </c>
      <c r="E363" s="9">
        <v>7</v>
      </c>
      <c r="F363" s="9">
        <v>5</v>
      </c>
      <c r="G363" s="9">
        <v>12</v>
      </c>
      <c r="H363" s="10">
        <v>1.5833333333333299</v>
      </c>
      <c r="I363" s="10">
        <v>2.5</v>
      </c>
      <c r="J363" s="11">
        <v>0.16666666666666699</v>
      </c>
      <c r="K363" s="11">
        <v>1</v>
      </c>
      <c r="L363" s="11">
        <v>0.75</v>
      </c>
      <c r="M363" s="11">
        <v>0.58333333333333304</v>
      </c>
      <c r="N363" s="11">
        <v>0.41666666666666702</v>
      </c>
      <c r="O363" s="11">
        <v>0.66666666666666696</v>
      </c>
      <c r="P363" s="10">
        <v>1.74305555555556</v>
      </c>
      <c r="Q363" s="10">
        <v>1.32024829314624</v>
      </c>
      <c r="R363" s="8" t="s">
        <v>10653</v>
      </c>
      <c r="S363" s="10">
        <v>15</v>
      </c>
      <c r="T363" s="10">
        <v>4</v>
      </c>
      <c r="U363" s="10">
        <v>19</v>
      </c>
      <c r="V363" s="10">
        <v>1.5833333333333299</v>
      </c>
      <c r="W363" s="10">
        <v>13</v>
      </c>
      <c r="X363" s="10">
        <v>8</v>
      </c>
      <c r="Y363" s="10">
        <v>21</v>
      </c>
      <c r="Z363" s="10">
        <v>1.75</v>
      </c>
      <c r="AA363" s="10">
        <v>2.1428571428571401</v>
      </c>
      <c r="AB363" s="10">
        <v>1.8571428571428601</v>
      </c>
      <c r="AC363" s="10">
        <v>0.8</v>
      </c>
      <c r="AD363" s="10">
        <v>1.6</v>
      </c>
    </row>
    <row r="364" spans="1:30" x14ac:dyDescent="0.3">
      <c r="A364" s="7" t="s">
        <v>239</v>
      </c>
      <c r="B364" s="12" t="s">
        <v>3663</v>
      </c>
      <c r="C364" s="10">
        <v>3.8</v>
      </c>
      <c r="D364" s="10">
        <v>4.4285714285714297</v>
      </c>
      <c r="E364" s="9">
        <v>5</v>
      </c>
      <c r="F364" s="9">
        <v>7</v>
      </c>
      <c r="G364" s="9">
        <v>12</v>
      </c>
      <c r="H364" s="10">
        <v>2.25</v>
      </c>
      <c r="I364" s="10">
        <v>2.5</v>
      </c>
      <c r="J364" s="11">
        <v>8.3333333333333301E-2</v>
      </c>
      <c r="K364" s="11">
        <v>1</v>
      </c>
      <c r="L364" s="11">
        <v>1</v>
      </c>
      <c r="M364" s="11">
        <v>0.75</v>
      </c>
      <c r="N364" s="11">
        <v>0.75</v>
      </c>
      <c r="O364" s="11">
        <v>0.91666666666666696</v>
      </c>
      <c r="P364" s="10">
        <v>1.8541666666666701</v>
      </c>
      <c r="Q364" s="10">
        <v>1.36167788653068</v>
      </c>
      <c r="R364" s="8" t="s">
        <v>10653</v>
      </c>
      <c r="S364" s="10">
        <v>9</v>
      </c>
      <c r="T364" s="10">
        <v>18</v>
      </c>
      <c r="U364" s="10">
        <v>27</v>
      </c>
      <c r="V364" s="10">
        <v>2.25</v>
      </c>
      <c r="W364" s="10">
        <v>10</v>
      </c>
      <c r="X364" s="10">
        <v>13</v>
      </c>
      <c r="Y364" s="10">
        <v>23</v>
      </c>
      <c r="Z364" s="10">
        <v>1.9166666666666701</v>
      </c>
      <c r="AA364" s="10">
        <v>1.8</v>
      </c>
      <c r="AB364" s="10">
        <v>2</v>
      </c>
      <c r="AC364" s="10">
        <v>2.5714285714285698</v>
      </c>
      <c r="AD364" s="10">
        <v>1.8571428571428601</v>
      </c>
    </row>
    <row r="365" spans="1:30" x14ac:dyDescent="0.3">
      <c r="A365" s="7" t="s">
        <v>6666</v>
      </c>
      <c r="B365" s="12" t="s">
        <v>1338</v>
      </c>
      <c r="C365" s="10">
        <v>1.8571428571428601</v>
      </c>
      <c r="D365" s="10">
        <v>3</v>
      </c>
      <c r="E365" s="9">
        <v>7</v>
      </c>
      <c r="F365" s="9">
        <v>5</v>
      </c>
      <c r="G365" s="9">
        <v>12</v>
      </c>
      <c r="H365" s="10">
        <v>0.83333333333333304</v>
      </c>
      <c r="I365" s="10">
        <v>2.5</v>
      </c>
      <c r="J365" s="11">
        <v>0.33333333333333298</v>
      </c>
      <c r="K365" s="11">
        <v>0.91666666666666696</v>
      </c>
      <c r="L365" s="11">
        <v>0.66666666666666696</v>
      </c>
      <c r="M365" s="11">
        <v>0.5</v>
      </c>
      <c r="N365" s="11">
        <v>0.25</v>
      </c>
      <c r="O365" s="11">
        <v>0.5</v>
      </c>
      <c r="P365" s="10">
        <v>0.47222222222222199</v>
      </c>
      <c r="Q365" s="10">
        <v>0.68718427093627699</v>
      </c>
      <c r="R365" s="8" t="s">
        <v>10653</v>
      </c>
      <c r="S365" s="10">
        <v>6</v>
      </c>
      <c r="T365" s="10">
        <v>4</v>
      </c>
      <c r="U365" s="10">
        <v>10</v>
      </c>
      <c r="V365" s="10">
        <v>0.83333333333333304</v>
      </c>
      <c r="W365" s="10">
        <v>7</v>
      </c>
      <c r="X365" s="10">
        <v>11</v>
      </c>
      <c r="Y365" s="10">
        <v>18</v>
      </c>
      <c r="Z365" s="10">
        <v>1.5</v>
      </c>
      <c r="AA365" s="10">
        <v>0.85714285714285698</v>
      </c>
      <c r="AB365" s="10">
        <v>1</v>
      </c>
      <c r="AC365" s="10">
        <v>0.8</v>
      </c>
      <c r="AD365" s="10">
        <v>2.2000000000000002</v>
      </c>
    </row>
    <row r="366" spans="1:30" x14ac:dyDescent="0.3">
      <c r="A366" s="7" t="s">
        <v>290</v>
      </c>
      <c r="B366" s="12" t="s">
        <v>987</v>
      </c>
      <c r="C366" s="10">
        <v>4</v>
      </c>
      <c r="D366" s="10">
        <v>3.4</v>
      </c>
      <c r="E366" s="9">
        <v>7</v>
      </c>
      <c r="F366" s="9">
        <v>5</v>
      </c>
      <c r="G366" s="9">
        <v>12</v>
      </c>
      <c r="H366" s="10">
        <v>1.75</v>
      </c>
      <c r="I366" s="10">
        <v>2.5</v>
      </c>
      <c r="J366" s="11">
        <v>0.25</v>
      </c>
      <c r="K366" s="11">
        <v>1</v>
      </c>
      <c r="L366" s="11">
        <v>0.91666666666666696</v>
      </c>
      <c r="M366" s="11">
        <v>0.5</v>
      </c>
      <c r="N366" s="11">
        <v>0.41666666666666702</v>
      </c>
      <c r="O366" s="11">
        <v>0.5</v>
      </c>
      <c r="P366" s="10">
        <v>2.0208333333333299</v>
      </c>
      <c r="Q366" s="10">
        <v>1.4215601757693299</v>
      </c>
      <c r="R366" s="8" t="s">
        <v>10653</v>
      </c>
      <c r="S366" s="10">
        <v>15</v>
      </c>
      <c r="T366" s="10">
        <v>6</v>
      </c>
      <c r="U366" s="10">
        <v>21</v>
      </c>
      <c r="V366" s="10">
        <v>1.75</v>
      </c>
      <c r="W366" s="10">
        <v>13</v>
      </c>
      <c r="X366" s="10">
        <v>11</v>
      </c>
      <c r="Y366" s="10">
        <v>24</v>
      </c>
      <c r="Z366" s="10">
        <v>2</v>
      </c>
      <c r="AA366" s="10">
        <v>2.1428571428571401</v>
      </c>
      <c r="AB366" s="10">
        <v>1.8571428571428601</v>
      </c>
      <c r="AC366" s="10">
        <v>1.2</v>
      </c>
      <c r="AD366" s="10">
        <v>2.2000000000000002</v>
      </c>
    </row>
    <row r="367" spans="1:30" x14ac:dyDescent="0.3">
      <c r="A367" s="7" t="s">
        <v>5018</v>
      </c>
      <c r="B367" s="12" t="s">
        <v>954</v>
      </c>
      <c r="C367" s="10">
        <v>4.5999999999999996</v>
      </c>
      <c r="D367" s="10">
        <v>2.28571428571429</v>
      </c>
      <c r="E367" s="9">
        <v>5</v>
      </c>
      <c r="F367" s="9">
        <v>7</v>
      </c>
      <c r="G367" s="9">
        <v>12</v>
      </c>
      <c r="H367" s="10">
        <v>1.9166666666666701</v>
      </c>
      <c r="I367" s="10">
        <v>2.5</v>
      </c>
      <c r="J367" s="11">
        <v>0.25</v>
      </c>
      <c r="K367" s="11">
        <v>1</v>
      </c>
      <c r="L367" s="11">
        <v>0.75</v>
      </c>
      <c r="M367" s="11">
        <v>0.66666666666666696</v>
      </c>
      <c r="N367" s="11">
        <v>0.33333333333333298</v>
      </c>
      <c r="O367" s="11">
        <v>0.5</v>
      </c>
      <c r="P367" s="10">
        <v>2.9097222222222201</v>
      </c>
      <c r="Q367" s="10">
        <v>1.7057907908715599</v>
      </c>
      <c r="R367" s="8" t="s">
        <v>10653</v>
      </c>
      <c r="S367" s="10">
        <v>16</v>
      </c>
      <c r="T367" s="10">
        <v>7</v>
      </c>
      <c r="U367" s="10">
        <v>23</v>
      </c>
      <c r="V367" s="10">
        <v>1.9166666666666701</v>
      </c>
      <c r="W367" s="10">
        <v>7</v>
      </c>
      <c r="X367" s="10">
        <v>9</v>
      </c>
      <c r="Y367" s="10">
        <v>16</v>
      </c>
      <c r="Z367" s="10">
        <v>1.3333333333333299</v>
      </c>
      <c r="AA367" s="10">
        <v>3.2</v>
      </c>
      <c r="AB367" s="10">
        <v>1.4</v>
      </c>
      <c r="AC367" s="10">
        <v>1</v>
      </c>
      <c r="AD367" s="10">
        <v>1.28571428571429</v>
      </c>
    </row>
    <row r="368" spans="1:30" x14ac:dyDescent="0.3">
      <c r="A368" s="7" t="s">
        <v>4594</v>
      </c>
      <c r="B368" s="12" t="s">
        <v>4657</v>
      </c>
      <c r="C368" s="10">
        <v>1.4</v>
      </c>
      <c r="D368" s="10">
        <v>2.5714285714285698</v>
      </c>
      <c r="E368" s="9">
        <v>5</v>
      </c>
      <c r="F368" s="9">
        <v>7</v>
      </c>
      <c r="G368" s="9">
        <v>12</v>
      </c>
      <c r="H368" s="10">
        <v>1.25</v>
      </c>
      <c r="I368" s="10">
        <v>2.09</v>
      </c>
      <c r="J368" s="11">
        <v>0.25</v>
      </c>
      <c r="K368" s="11">
        <v>1</v>
      </c>
      <c r="L368" s="11">
        <v>0.58333333333333304</v>
      </c>
      <c r="M368" s="11">
        <v>0.33333333333333298</v>
      </c>
      <c r="N368" s="11">
        <v>0.16666666666666699</v>
      </c>
      <c r="O368" s="11">
        <v>0.5</v>
      </c>
      <c r="P368" s="10">
        <v>0.85416666666666696</v>
      </c>
      <c r="Q368" s="10">
        <v>0.92421137553411803</v>
      </c>
      <c r="R368" s="8" t="s">
        <v>10653</v>
      </c>
      <c r="S368" s="10">
        <v>4</v>
      </c>
      <c r="T368" s="10">
        <v>11</v>
      </c>
      <c r="U368" s="10">
        <v>15</v>
      </c>
      <c r="V368" s="10">
        <v>1.25</v>
      </c>
      <c r="W368" s="10">
        <v>3</v>
      </c>
      <c r="X368" s="10">
        <v>7</v>
      </c>
      <c r="Y368" s="10">
        <v>10</v>
      </c>
      <c r="Z368" s="10">
        <v>0.83333333333333304</v>
      </c>
      <c r="AA368" s="10">
        <v>0.8</v>
      </c>
      <c r="AB368" s="10">
        <v>0.6</v>
      </c>
      <c r="AC368" s="10">
        <v>1.5714285714285701</v>
      </c>
      <c r="AD368" s="10">
        <v>1</v>
      </c>
    </row>
    <row r="369" spans="1:30" x14ac:dyDescent="0.3">
      <c r="A369" s="7" t="s">
        <v>479</v>
      </c>
      <c r="B369" s="12" t="s">
        <v>1333</v>
      </c>
      <c r="C369" s="10">
        <v>3</v>
      </c>
      <c r="D369" s="10">
        <v>3.6</v>
      </c>
      <c r="E369" s="9">
        <v>7</v>
      </c>
      <c r="F369" s="9">
        <v>5</v>
      </c>
      <c r="G369" s="9">
        <v>12</v>
      </c>
      <c r="H369" s="10">
        <v>1.5833333333333299</v>
      </c>
      <c r="I369" s="10">
        <v>2.59</v>
      </c>
      <c r="J369" s="11">
        <v>8.3333333333333301E-2</v>
      </c>
      <c r="K369" s="11">
        <v>1</v>
      </c>
      <c r="L369" s="11">
        <v>0.91666666666666696</v>
      </c>
      <c r="M369" s="11">
        <v>0.66666666666666696</v>
      </c>
      <c r="N369" s="11">
        <v>0.5</v>
      </c>
      <c r="O369" s="11">
        <v>0.66666666666666696</v>
      </c>
      <c r="P369" s="10">
        <v>0.57638888888888895</v>
      </c>
      <c r="Q369" s="10">
        <v>0.75920279826202497</v>
      </c>
      <c r="R369" s="8" t="s">
        <v>10653</v>
      </c>
      <c r="S369" s="10">
        <v>12</v>
      </c>
      <c r="T369" s="10">
        <v>7</v>
      </c>
      <c r="U369" s="10">
        <v>19</v>
      </c>
      <c r="V369" s="10">
        <v>1.5833333333333299</v>
      </c>
      <c r="W369" s="10">
        <v>9</v>
      </c>
      <c r="X369" s="10">
        <v>11</v>
      </c>
      <c r="Y369" s="10">
        <v>20</v>
      </c>
      <c r="Z369" s="10">
        <v>1.6666666666666701</v>
      </c>
      <c r="AA369" s="10">
        <v>1.71428571428571</v>
      </c>
      <c r="AB369" s="10">
        <v>1.28571428571429</v>
      </c>
      <c r="AC369" s="10">
        <v>1.4</v>
      </c>
      <c r="AD369" s="10">
        <v>2.2000000000000002</v>
      </c>
    </row>
    <row r="370" spans="1:30" x14ac:dyDescent="0.3">
      <c r="A370" s="7" t="s">
        <v>1858</v>
      </c>
      <c r="B370" s="12" t="s">
        <v>1334</v>
      </c>
      <c r="C370" s="10">
        <v>2.6666666666666701</v>
      </c>
      <c r="D370" s="10">
        <v>2.8333333333333299</v>
      </c>
      <c r="E370" s="9">
        <v>6</v>
      </c>
      <c r="F370" s="9">
        <v>6</v>
      </c>
      <c r="G370" s="9">
        <v>12</v>
      </c>
      <c r="H370" s="10">
        <v>1.3333333333333299</v>
      </c>
      <c r="I370" s="10">
        <v>2.31</v>
      </c>
      <c r="J370" s="11">
        <v>0.25</v>
      </c>
      <c r="K370" s="11">
        <v>0.91666666666666696</v>
      </c>
      <c r="L370" s="11">
        <v>0.66666666666666696</v>
      </c>
      <c r="M370" s="11">
        <v>0.5</v>
      </c>
      <c r="N370" s="11">
        <v>0.33333333333333298</v>
      </c>
      <c r="O370" s="11">
        <v>0.66666666666666696</v>
      </c>
      <c r="P370" s="10">
        <v>1.2222222222222201</v>
      </c>
      <c r="Q370" s="10">
        <v>1.1055415967851301</v>
      </c>
      <c r="R370" s="8" t="s">
        <v>10653</v>
      </c>
      <c r="S370" s="10">
        <v>7</v>
      </c>
      <c r="T370" s="10">
        <v>9</v>
      </c>
      <c r="U370" s="10">
        <v>16</v>
      </c>
      <c r="V370" s="10">
        <v>1.3333333333333299</v>
      </c>
      <c r="W370" s="10">
        <v>9</v>
      </c>
      <c r="X370" s="10">
        <v>8</v>
      </c>
      <c r="Y370" s="10">
        <v>17</v>
      </c>
      <c r="Z370" s="10">
        <v>1.4166666666666701</v>
      </c>
      <c r="AA370" s="10">
        <v>1.1666666666666701</v>
      </c>
      <c r="AB370" s="10">
        <v>1.5</v>
      </c>
      <c r="AC370" s="10">
        <v>1.5</v>
      </c>
      <c r="AD370" s="10">
        <v>1.3333333333333299</v>
      </c>
    </row>
    <row r="371" spans="1:30" x14ac:dyDescent="0.3">
      <c r="A371" s="7" t="s">
        <v>509</v>
      </c>
      <c r="B371" s="12" t="s">
        <v>1333</v>
      </c>
      <c r="C371" s="10">
        <v>3</v>
      </c>
      <c r="D371" s="10">
        <v>2.5714285714285698</v>
      </c>
      <c r="E371" s="9">
        <v>5</v>
      </c>
      <c r="F371" s="9">
        <v>7</v>
      </c>
      <c r="G371" s="9">
        <v>12</v>
      </c>
      <c r="H371" s="10">
        <v>1.25</v>
      </c>
      <c r="I371" s="10">
        <v>2.59</v>
      </c>
      <c r="J371" s="11">
        <v>0.16666666666666699</v>
      </c>
      <c r="K371" s="11">
        <v>1</v>
      </c>
      <c r="L371" s="11">
        <v>0.83333333333333304</v>
      </c>
      <c r="M371" s="11">
        <v>0.5</v>
      </c>
      <c r="N371" s="11">
        <v>0.25</v>
      </c>
      <c r="O371" s="11">
        <v>0.75</v>
      </c>
      <c r="P371" s="10">
        <v>1.0208333333333299</v>
      </c>
      <c r="Q371" s="10">
        <v>1.01036297108185</v>
      </c>
      <c r="R371" s="8" t="s">
        <v>10653</v>
      </c>
      <c r="S371" s="10">
        <v>9</v>
      </c>
      <c r="T371" s="10">
        <v>6</v>
      </c>
      <c r="U371" s="10">
        <v>15</v>
      </c>
      <c r="V371" s="10">
        <v>1.25</v>
      </c>
      <c r="W371" s="10">
        <v>6</v>
      </c>
      <c r="X371" s="10">
        <v>12</v>
      </c>
      <c r="Y371" s="10">
        <v>18</v>
      </c>
      <c r="Z371" s="10">
        <v>1.5</v>
      </c>
      <c r="AA371" s="10">
        <v>1.8</v>
      </c>
      <c r="AB371" s="10">
        <v>1.2</v>
      </c>
      <c r="AC371" s="10">
        <v>0.85714285714285698</v>
      </c>
      <c r="AD371" s="10">
        <v>1.71428571428571</v>
      </c>
    </row>
    <row r="372" spans="1:30" x14ac:dyDescent="0.3">
      <c r="A372" s="7" t="s">
        <v>6670</v>
      </c>
      <c r="B372" s="12" t="s">
        <v>1338</v>
      </c>
      <c r="C372" s="10">
        <v>1.8</v>
      </c>
      <c r="D372" s="10">
        <v>3.1428571428571401</v>
      </c>
      <c r="E372" s="9">
        <v>5</v>
      </c>
      <c r="F372" s="9">
        <v>7</v>
      </c>
      <c r="G372" s="9">
        <v>12</v>
      </c>
      <c r="H372" s="10">
        <v>1.1666666666666701</v>
      </c>
      <c r="I372" s="10">
        <v>2.5</v>
      </c>
      <c r="J372" s="11">
        <v>0.33333333333333298</v>
      </c>
      <c r="K372" s="11">
        <v>0.91666666666666696</v>
      </c>
      <c r="L372" s="11">
        <v>0.58333333333333304</v>
      </c>
      <c r="M372" s="11">
        <v>0.58333333333333304</v>
      </c>
      <c r="N372" s="11">
        <v>0.25</v>
      </c>
      <c r="O372" s="11">
        <v>0.5</v>
      </c>
      <c r="P372" s="10">
        <v>0.97222222222222199</v>
      </c>
      <c r="Q372" s="10">
        <v>0.98601329718326902</v>
      </c>
      <c r="R372" s="8" t="s">
        <v>10653</v>
      </c>
      <c r="S372" s="10">
        <v>6</v>
      </c>
      <c r="T372" s="10">
        <v>8</v>
      </c>
      <c r="U372" s="10">
        <v>14</v>
      </c>
      <c r="V372" s="10">
        <v>1.1666666666666701</v>
      </c>
      <c r="W372" s="10">
        <v>3</v>
      </c>
      <c r="X372" s="10">
        <v>14</v>
      </c>
      <c r="Y372" s="10">
        <v>17</v>
      </c>
      <c r="Z372" s="10">
        <v>1.4166666666666701</v>
      </c>
      <c r="AA372" s="10">
        <v>1.2</v>
      </c>
      <c r="AB372" s="10">
        <v>0.6</v>
      </c>
      <c r="AC372" s="10">
        <v>1.1428571428571399</v>
      </c>
      <c r="AD372" s="10">
        <v>2</v>
      </c>
    </row>
    <row r="373" spans="1:30" x14ac:dyDescent="0.3">
      <c r="A373" s="7" t="s">
        <v>2178</v>
      </c>
      <c r="B373" s="12" t="s">
        <v>2230</v>
      </c>
      <c r="C373" s="10">
        <v>2.8333333333333299</v>
      </c>
      <c r="D373" s="10">
        <v>2.5</v>
      </c>
      <c r="E373" s="9">
        <v>6</v>
      </c>
      <c r="F373" s="9">
        <v>6</v>
      </c>
      <c r="G373" s="9">
        <v>12</v>
      </c>
      <c r="H373" s="10">
        <v>1.5833333333333299</v>
      </c>
      <c r="I373" s="10">
        <v>2.72</v>
      </c>
      <c r="J373" s="11">
        <v>0.25</v>
      </c>
      <c r="K373" s="11">
        <v>1</v>
      </c>
      <c r="L373" s="11">
        <v>0.66666666666666696</v>
      </c>
      <c r="M373" s="11">
        <v>0.5</v>
      </c>
      <c r="N373" s="11">
        <v>0.33333333333333298</v>
      </c>
      <c r="O373" s="11">
        <v>0.5</v>
      </c>
      <c r="P373" s="10">
        <v>1.4097222222222201</v>
      </c>
      <c r="Q373" s="10">
        <v>1.1873172373979199</v>
      </c>
      <c r="R373" s="8" t="s">
        <v>10653</v>
      </c>
      <c r="S373" s="10">
        <v>11</v>
      </c>
      <c r="T373" s="10">
        <v>8</v>
      </c>
      <c r="U373" s="10">
        <v>19</v>
      </c>
      <c r="V373" s="10">
        <v>1.5833333333333299</v>
      </c>
      <c r="W373" s="10">
        <v>6</v>
      </c>
      <c r="X373" s="10">
        <v>7</v>
      </c>
      <c r="Y373" s="10">
        <v>13</v>
      </c>
      <c r="Z373" s="10">
        <v>1.0833333333333299</v>
      </c>
      <c r="AA373" s="10">
        <v>1.8333333333333299</v>
      </c>
      <c r="AB373" s="10">
        <v>1</v>
      </c>
      <c r="AC373" s="10">
        <v>1.3333333333333299</v>
      </c>
      <c r="AD373" s="10">
        <v>1.1666666666666701</v>
      </c>
    </row>
    <row r="374" spans="1:30" x14ac:dyDescent="0.3">
      <c r="A374" s="7" t="s">
        <v>3886</v>
      </c>
      <c r="B374" s="12" t="s">
        <v>3663</v>
      </c>
      <c r="C374" s="10">
        <v>3.8333333333333299</v>
      </c>
      <c r="D374" s="10">
        <v>2</v>
      </c>
      <c r="E374" s="9">
        <v>6</v>
      </c>
      <c r="F374" s="9">
        <v>6</v>
      </c>
      <c r="G374" s="9">
        <v>12</v>
      </c>
      <c r="H374" s="10">
        <v>1.25</v>
      </c>
      <c r="I374" s="10">
        <v>2.5</v>
      </c>
      <c r="J374" s="11">
        <v>0.25</v>
      </c>
      <c r="K374" s="11">
        <v>1</v>
      </c>
      <c r="L374" s="11">
        <v>0.75</v>
      </c>
      <c r="M374" s="11">
        <v>0.5</v>
      </c>
      <c r="N374" s="11">
        <v>0.33333333333333298</v>
      </c>
      <c r="O374" s="11">
        <v>0.66666666666666696</v>
      </c>
      <c r="P374" s="10">
        <v>1.3541666666666701</v>
      </c>
      <c r="Q374" s="10">
        <v>1.16368667031408</v>
      </c>
      <c r="R374" s="8" t="s">
        <v>10653</v>
      </c>
      <c r="S374" s="10">
        <v>11</v>
      </c>
      <c r="T374" s="10">
        <v>4</v>
      </c>
      <c r="U374" s="10">
        <v>15</v>
      </c>
      <c r="V374" s="10">
        <v>1.25</v>
      </c>
      <c r="W374" s="10">
        <v>12</v>
      </c>
      <c r="X374" s="10">
        <v>8</v>
      </c>
      <c r="Y374" s="10">
        <v>20</v>
      </c>
      <c r="Z374" s="10">
        <v>1.6666666666666701</v>
      </c>
      <c r="AA374" s="10">
        <v>1.8333333333333299</v>
      </c>
      <c r="AB374" s="10">
        <v>2</v>
      </c>
      <c r="AC374" s="10">
        <v>0.66666666666666696</v>
      </c>
      <c r="AD374" s="10">
        <v>1.3333333333333299</v>
      </c>
    </row>
    <row r="375" spans="1:30" x14ac:dyDescent="0.3">
      <c r="A375" s="7" t="s">
        <v>7621</v>
      </c>
      <c r="B375" s="12" t="s">
        <v>7895</v>
      </c>
      <c r="C375" s="10">
        <v>2.6</v>
      </c>
      <c r="D375" s="10">
        <v>3.28571428571429</v>
      </c>
      <c r="E375" s="9">
        <v>5</v>
      </c>
      <c r="F375" s="9">
        <v>7</v>
      </c>
      <c r="G375" s="9">
        <v>12</v>
      </c>
      <c r="H375" s="10">
        <v>1.9166666666666701</v>
      </c>
      <c r="I375" s="10">
        <v>2.5</v>
      </c>
      <c r="J375" s="11">
        <v>0.16666666666666699</v>
      </c>
      <c r="K375" s="11">
        <v>1</v>
      </c>
      <c r="L375" s="11">
        <v>0.91666666666666696</v>
      </c>
      <c r="M375" s="11">
        <v>0.75</v>
      </c>
      <c r="N375" s="11">
        <v>0.25</v>
      </c>
      <c r="O375" s="11">
        <v>0.5</v>
      </c>
      <c r="P375" s="10">
        <v>2.2430555555555598</v>
      </c>
      <c r="Q375" s="10">
        <v>1.4976833963009499</v>
      </c>
      <c r="R375" s="8" t="s">
        <v>10653</v>
      </c>
      <c r="S375" s="10">
        <v>10</v>
      </c>
      <c r="T375" s="10">
        <v>13</v>
      </c>
      <c r="U375" s="10">
        <v>23</v>
      </c>
      <c r="V375" s="10">
        <v>1.9166666666666701</v>
      </c>
      <c r="W375" s="10">
        <v>3</v>
      </c>
      <c r="X375" s="10">
        <v>10</v>
      </c>
      <c r="Y375" s="10">
        <v>13</v>
      </c>
      <c r="Z375" s="10">
        <v>1.0833333333333299</v>
      </c>
      <c r="AA375" s="10">
        <v>2</v>
      </c>
      <c r="AB375" s="10">
        <v>0.6</v>
      </c>
      <c r="AC375" s="10">
        <v>1.8571428571428601</v>
      </c>
      <c r="AD375" s="10">
        <v>1.4285714285714299</v>
      </c>
    </row>
    <row r="376" spans="1:30" x14ac:dyDescent="0.3">
      <c r="A376" s="7" t="s">
        <v>7266</v>
      </c>
      <c r="B376" s="12" t="s">
        <v>847</v>
      </c>
      <c r="C376" s="10">
        <v>4.5999999999999996</v>
      </c>
      <c r="D376" s="10">
        <v>3.1428571428571401</v>
      </c>
      <c r="E376" s="9">
        <v>5</v>
      </c>
      <c r="F376" s="9">
        <v>7</v>
      </c>
      <c r="G376" s="9">
        <v>12</v>
      </c>
      <c r="H376" s="10">
        <v>1.9166666666666701</v>
      </c>
      <c r="I376" s="10">
        <v>2.5</v>
      </c>
      <c r="J376" s="11">
        <v>0.16666666666666699</v>
      </c>
      <c r="K376" s="11">
        <v>1</v>
      </c>
      <c r="L376" s="11">
        <v>0.83333333333333304</v>
      </c>
      <c r="M376" s="11">
        <v>0.75</v>
      </c>
      <c r="N376" s="11">
        <v>0.5</v>
      </c>
      <c r="O376" s="11">
        <v>0.75</v>
      </c>
      <c r="P376" s="10">
        <v>2.2430555555555598</v>
      </c>
      <c r="Q376" s="10">
        <v>1.4976833963009499</v>
      </c>
      <c r="R376" s="8" t="s">
        <v>10653</v>
      </c>
      <c r="S376" s="10">
        <v>13</v>
      </c>
      <c r="T376" s="10">
        <v>10</v>
      </c>
      <c r="U376" s="10">
        <v>23</v>
      </c>
      <c r="V376" s="10">
        <v>1.9166666666666701</v>
      </c>
      <c r="W376" s="10">
        <v>10</v>
      </c>
      <c r="X376" s="10">
        <v>12</v>
      </c>
      <c r="Y376" s="10">
        <v>22</v>
      </c>
      <c r="Z376" s="10">
        <v>1.8333333333333299</v>
      </c>
      <c r="AA376" s="10">
        <v>2.6</v>
      </c>
      <c r="AB376" s="10">
        <v>2</v>
      </c>
      <c r="AC376" s="10">
        <v>1.4285714285714299</v>
      </c>
      <c r="AD376" s="10">
        <v>1.71428571428571</v>
      </c>
    </row>
    <row r="377" spans="1:30" x14ac:dyDescent="0.3">
      <c r="A377" s="7" t="s">
        <v>7274</v>
      </c>
      <c r="B377" s="12" t="s">
        <v>847</v>
      </c>
      <c r="C377" s="10">
        <v>2.2000000000000002</v>
      </c>
      <c r="D377" s="10">
        <v>3.5714285714285698</v>
      </c>
      <c r="E377" s="9">
        <v>5</v>
      </c>
      <c r="F377" s="9">
        <v>7</v>
      </c>
      <c r="G377" s="9">
        <v>12</v>
      </c>
      <c r="H377" s="10">
        <v>1.5833333333333299</v>
      </c>
      <c r="I377" s="10">
        <v>2.5</v>
      </c>
      <c r="J377" s="11">
        <v>8.3333333333333301E-2</v>
      </c>
      <c r="K377" s="11">
        <v>1</v>
      </c>
      <c r="L377" s="11">
        <v>0.83333333333333304</v>
      </c>
      <c r="M377" s="11">
        <v>0.58333333333333304</v>
      </c>
      <c r="N377" s="11">
        <v>0.41666666666666702</v>
      </c>
      <c r="O377" s="11">
        <v>0.75</v>
      </c>
      <c r="P377" s="10">
        <v>0.57638888888888895</v>
      </c>
      <c r="Q377" s="10">
        <v>0.75920279826202497</v>
      </c>
      <c r="R377" s="8" t="s">
        <v>10653</v>
      </c>
      <c r="S377" s="10">
        <v>6</v>
      </c>
      <c r="T377" s="10">
        <v>13</v>
      </c>
      <c r="U377" s="10">
        <v>19</v>
      </c>
      <c r="V377" s="10">
        <v>1.5833333333333299</v>
      </c>
      <c r="W377" s="10">
        <v>5</v>
      </c>
      <c r="X377" s="10">
        <v>12</v>
      </c>
      <c r="Y377" s="10">
        <v>17</v>
      </c>
      <c r="Z377" s="10">
        <v>1.4166666666666701</v>
      </c>
      <c r="AA377" s="10">
        <v>1.2</v>
      </c>
      <c r="AB377" s="10">
        <v>1</v>
      </c>
      <c r="AC377" s="10">
        <v>1.8571428571428601</v>
      </c>
      <c r="AD377" s="10">
        <v>1.71428571428571</v>
      </c>
    </row>
    <row r="378" spans="1:30" x14ac:dyDescent="0.3">
      <c r="A378" s="7" t="s">
        <v>7306</v>
      </c>
      <c r="B378" s="12" t="s">
        <v>847</v>
      </c>
      <c r="C378" s="10">
        <v>3.6</v>
      </c>
      <c r="D378" s="10">
        <v>3.1428571428571401</v>
      </c>
      <c r="E378" s="9">
        <v>5</v>
      </c>
      <c r="F378" s="9">
        <v>7</v>
      </c>
      <c r="G378" s="9">
        <v>12</v>
      </c>
      <c r="H378" s="10">
        <v>1.4166666666666701</v>
      </c>
      <c r="I378" s="10">
        <v>2.5</v>
      </c>
      <c r="J378" s="11">
        <v>0.25</v>
      </c>
      <c r="K378" s="11">
        <v>1</v>
      </c>
      <c r="L378" s="11">
        <v>0.83333333333333304</v>
      </c>
      <c r="M378" s="11">
        <v>0.66666666666666696</v>
      </c>
      <c r="N378" s="11">
        <v>0.58333333333333304</v>
      </c>
      <c r="O378" s="11">
        <v>0.66666666666666696</v>
      </c>
      <c r="P378" s="10">
        <v>1.4097222222222201</v>
      </c>
      <c r="Q378" s="10">
        <v>1.1873172373979199</v>
      </c>
      <c r="R378" s="8" t="s">
        <v>10653</v>
      </c>
      <c r="S378" s="10">
        <v>8</v>
      </c>
      <c r="T378" s="10">
        <v>9</v>
      </c>
      <c r="U378" s="10">
        <v>17</v>
      </c>
      <c r="V378" s="10">
        <v>1.4166666666666701</v>
      </c>
      <c r="W378" s="10">
        <v>10</v>
      </c>
      <c r="X378" s="10">
        <v>13</v>
      </c>
      <c r="Y378" s="10">
        <v>23</v>
      </c>
      <c r="Z378" s="10">
        <v>1.9166666666666701</v>
      </c>
      <c r="AA378" s="10">
        <v>1.6</v>
      </c>
      <c r="AB378" s="10">
        <v>2</v>
      </c>
      <c r="AC378" s="10">
        <v>1.28571428571429</v>
      </c>
      <c r="AD378" s="10">
        <v>1.8571428571428601</v>
      </c>
    </row>
    <row r="379" spans="1:30" x14ac:dyDescent="0.3">
      <c r="A379" s="7" t="s">
        <v>7634</v>
      </c>
      <c r="B379" s="12" t="s">
        <v>7895</v>
      </c>
      <c r="C379" s="10">
        <v>2.2000000000000002</v>
      </c>
      <c r="D379" s="10">
        <v>3.1428571428571401</v>
      </c>
      <c r="E379" s="9">
        <v>5</v>
      </c>
      <c r="F379" s="9">
        <v>7</v>
      </c>
      <c r="G379" s="9">
        <v>12</v>
      </c>
      <c r="H379" s="10">
        <v>1.6666666666666701</v>
      </c>
      <c r="I379" s="10">
        <v>2.5</v>
      </c>
      <c r="J379" s="11">
        <v>0.33333333333333298</v>
      </c>
      <c r="K379" s="11">
        <v>0.75</v>
      </c>
      <c r="L379" s="11">
        <v>0.58333333333333304</v>
      </c>
      <c r="M379" s="11">
        <v>0.41666666666666702</v>
      </c>
      <c r="N379" s="11">
        <v>0.33333333333333298</v>
      </c>
      <c r="O379" s="11">
        <v>0.33333333333333298</v>
      </c>
      <c r="P379" s="10">
        <v>2.55555555555555</v>
      </c>
      <c r="Q379" s="10">
        <v>1.5986105077709101</v>
      </c>
      <c r="R379" s="8" t="s">
        <v>10653</v>
      </c>
      <c r="S379" s="10">
        <v>7</v>
      </c>
      <c r="T379" s="10">
        <v>13</v>
      </c>
      <c r="U379" s="10">
        <v>20</v>
      </c>
      <c r="V379" s="10">
        <v>1.6666666666666701</v>
      </c>
      <c r="W379" s="10">
        <v>4</v>
      </c>
      <c r="X379" s="10">
        <v>9</v>
      </c>
      <c r="Y379" s="10">
        <v>13</v>
      </c>
      <c r="Z379" s="10">
        <v>1.0833333333333299</v>
      </c>
      <c r="AA379" s="10">
        <v>1.4</v>
      </c>
      <c r="AB379" s="10">
        <v>0.8</v>
      </c>
      <c r="AC379" s="10">
        <v>1.8571428571428601</v>
      </c>
      <c r="AD379" s="10">
        <v>1.28571428571429</v>
      </c>
    </row>
    <row r="380" spans="1:30" x14ac:dyDescent="0.3">
      <c r="A380" s="7" t="s">
        <v>892</v>
      </c>
      <c r="B380" s="12" t="s">
        <v>847</v>
      </c>
      <c r="C380" s="10">
        <v>3.3333333333333299</v>
      </c>
      <c r="D380" s="10">
        <v>3.3333333333333299</v>
      </c>
      <c r="E380" s="9">
        <v>6</v>
      </c>
      <c r="F380" s="9">
        <v>6</v>
      </c>
      <c r="G380" s="9">
        <v>12</v>
      </c>
      <c r="H380" s="10">
        <v>1.4166666666666701</v>
      </c>
      <c r="I380" s="10">
        <v>2.5</v>
      </c>
      <c r="J380" s="11">
        <v>0.33333333333333298</v>
      </c>
      <c r="K380" s="11">
        <v>1</v>
      </c>
      <c r="L380" s="11">
        <v>0.91666666666666696</v>
      </c>
      <c r="M380" s="11">
        <v>0.66666666666666696</v>
      </c>
      <c r="N380" s="11">
        <v>0.33333333333333298</v>
      </c>
      <c r="O380" s="11">
        <v>0.5</v>
      </c>
      <c r="P380" s="10">
        <v>1.4097222222222201</v>
      </c>
      <c r="Q380" s="10">
        <v>1.1873172373979199</v>
      </c>
      <c r="R380" s="8" t="s">
        <v>10653</v>
      </c>
      <c r="S380" s="10">
        <v>12</v>
      </c>
      <c r="T380" s="10">
        <v>5</v>
      </c>
      <c r="U380" s="10">
        <v>17</v>
      </c>
      <c r="V380" s="10">
        <v>1.4166666666666701</v>
      </c>
      <c r="W380" s="10">
        <v>8</v>
      </c>
      <c r="X380" s="10">
        <v>15</v>
      </c>
      <c r="Y380" s="10">
        <v>23</v>
      </c>
      <c r="Z380" s="10">
        <v>1.9166666666666701</v>
      </c>
      <c r="AA380" s="10">
        <v>2</v>
      </c>
      <c r="AB380" s="10">
        <v>1.3333333333333299</v>
      </c>
      <c r="AC380" s="10">
        <v>0.83333333333333304</v>
      </c>
      <c r="AD380" s="10">
        <v>2.5</v>
      </c>
    </row>
    <row r="381" spans="1:30" x14ac:dyDescent="0.3">
      <c r="A381" s="7" t="s">
        <v>7599</v>
      </c>
      <c r="B381" s="12" t="s">
        <v>7895</v>
      </c>
      <c r="C381" s="10">
        <v>2</v>
      </c>
      <c r="D381" s="10">
        <v>2.2000000000000002</v>
      </c>
      <c r="E381" s="9">
        <v>7</v>
      </c>
      <c r="F381" s="9">
        <v>5</v>
      </c>
      <c r="G381" s="9">
        <v>12</v>
      </c>
      <c r="H381" s="10">
        <v>0.75</v>
      </c>
      <c r="I381" s="10">
        <v>2.5</v>
      </c>
      <c r="J381" s="11">
        <v>0.5</v>
      </c>
      <c r="K381" s="11">
        <v>0.83333333333333304</v>
      </c>
      <c r="L381" s="11">
        <v>0.75</v>
      </c>
      <c r="M381" s="11">
        <v>0.41666666666666702</v>
      </c>
      <c r="N381" s="11">
        <v>8.3333333333333301E-2</v>
      </c>
      <c r="O381" s="11">
        <v>0.5</v>
      </c>
      <c r="P381" s="10">
        <v>0.6875</v>
      </c>
      <c r="Q381" s="10">
        <v>0.82915619758884995</v>
      </c>
      <c r="R381" s="8" t="s">
        <v>10653</v>
      </c>
      <c r="S381" s="10">
        <v>6</v>
      </c>
      <c r="T381" s="10">
        <v>3</v>
      </c>
      <c r="U381" s="10">
        <v>9</v>
      </c>
      <c r="V381" s="10">
        <v>0.75</v>
      </c>
      <c r="W381" s="10">
        <v>8</v>
      </c>
      <c r="X381" s="10">
        <v>8</v>
      </c>
      <c r="Y381" s="10">
        <v>16</v>
      </c>
      <c r="Z381" s="10">
        <v>1.3333333333333299</v>
      </c>
      <c r="AA381" s="10">
        <v>0.85714285714285698</v>
      </c>
      <c r="AB381" s="10">
        <v>1.1428571428571399</v>
      </c>
      <c r="AC381" s="10">
        <v>0.6</v>
      </c>
      <c r="AD381" s="10">
        <v>1.6</v>
      </c>
    </row>
    <row r="382" spans="1:30" x14ac:dyDescent="0.3">
      <c r="A382" s="7" t="s">
        <v>990</v>
      </c>
      <c r="B382" s="12" t="s">
        <v>994</v>
      </c>
      <c r="C382" s="10">
        <v>3</v>
      </c>
      <c r="D382" s="10">
        <v>2.6</v>
      </c>
      <c r="E382" s="9">
        <v>7</v>
      </c>
      <c r="F382" s="9">
        <v>5</v>
      </c>
      <c r="G382" s="9">
        <v>12</v>
      </c>
      <c r="H382" s="10">
        <v>1.3333333333333299</v>
      </c>
      <c r="I382" s="10">
        <v>2.6</v>
      </c>
      <c r="J382" s="11">
        <v>0.33333333333333298</v>
      </c>
      <c r="K382" s="11">
        <v>0.91666666666666696</v>
      </c>
      <c r="L382" s="11">
        <v>0.75</v>
      </c>
      <c r="M382" s="11">
        <v>0.66666666666666696</v>
      </c>
      <c r="N382" s="11">
        <v>0.41666666666666702</v>
      </c>
      <c r="O382" s="11">
        <v>0.58333333333333304</v>
      </c>
      <c r="P382" s="10">
        <v>1.3888888888888899</v>
      </c>
      <c r="Q382" s="10">
        <v>1.1785113019775799</v>
      </c>
      <c r="R382" s="8" t="s">
        <v>10653</v>
      </c>
      <c r="S382" s="10">
        <v>10</v>
      </c>
      <c r="T382" s="10">
        <v>6</v>
      </c>
      <c r="U382" s="10">
        <v>16</v>
      </c>
      <c r="V382" s="10">
        <v>1.3333333333333299</v>
      </c>
      <c r="W382" s="10">
        <v>11</v>
      </c>
      <c r="X382" s="10">
        <v>7</v>
      </c>
      <c r="Y382" s="10">
        <v>18</v>
      </c>
      <c r="Z382" s="10">
        <v>1.5</v>
      </c>
      <c r="AA382" s="10">
        <v>1.4285714285714299</v>
      </c>
      <c r="AB382" s="10">
        <v>1.5714285714285701</v>
      </c>
      <c r="AC382" s="10">
        <v>1.2</v>
      </c>
      <c r="AD382" s="10">
        <v>1.4</v>
      </c>
    </row>
    <row r="383" spans="1:30" x14ac:dyDescent="0.3">
      <c r="A383" s="7" t="s">
        <v>204</v>
      </c>
      <c r="B383" s="12" t="s">
        <v>1335</v>
      </c>
      <c r="C383" s="10">
        <v>1.3333333333333299</v>
      </c>
      <c r="D383" s="10">
        <v>2.3333333333333299</v>
      </c>
      <c r="E383" s="9">
        <v>6</v>
      </c>
      <c r="F383" s="9">
        <v>6</v>
      </c>
      <c r="G383" s="9">
        <v>12</v>
      </c>
      <c r="H383" s="10">
        <v>0.33333333333333298</v>
      </c>
      <c r="I383" s="10">
        <v>2.5099999999999998</v>
      </c>
      <c r="J383" s="11">
        <v>0.75</v>
      </c>
      <c r="K383" s="11">
        <v>0.83333333333333304</v>
      </c>
      <c r="L383" s="11">
        <v>0.58333333333333304</v>
      </c>
      <c r="M383" s="11">
        <v>0.33333333333333298</v>
      </c>
      <c r="N383" s="11">
        <v>8.3333333333333301E-2</v>
      </c>
      <c r="O383" s="11">
        <v>0.25</v>
      </c>
      <c r="P383" s="10">
        <v>0.38888888888888901</v>
      </c>
      <c r="Q383" s="10">
        <v>0.62360956446232396</v>
      </c>
      <c r="R383" s="8" t="s">
        <v>10653</v>
      </c>
      <c r="S383" s="10">
        <v>1</v>
      </c>
      <c r="T383" s="10">
        <v>3</v>
      </c>
      <c r="U383" s="10">
        <v>4</v>
      </c>
      <c r="V383" s="10">
        <v>0.33333333333333298</v>
      </c>
      <c r="W383" s="10">
        <v>7</v>
      </c>
      <c r="X383" s="10">
        <v>11</v>
      </c>
      <c r="Y383" s="10">
        <v>18</v>
      </c>
      <c r="Z383" s="10">
        <v>1.5</v>
      </c>
      <c r="AA383" s="10">
        <v>0.16666666666666699</v>
      </c>
      <c r="AB383" s="10">
        <v>1.1666666666666701</v>
      </c>
      <c r="AC383" s="10">
        <v>0.5</v>
      </c>
      <c r="AD383" s="10">
        <v>1.8333333333333299</v>
      </c>
    </row>
    <row r="384" spans="1:30" x14ac:dyDescent="0.3">
      <c r="A384" s="7" t="s">
        <v>582</v>
      </c>
      <c r="B384" s="12" t="s">
        <v>845</v>
      </c>
      <c r="C384" s="10">
        <v>3.5</v>
      </c>
      <c r="D384" s="10">
        <v>4.6666666666666696</v>
      </c>
      <c r="E384" s="9">
        <v>6</v>
      </c>
      <c r="F384" s="9">
        <v>6</v>
      </c>
      <c r="G384" s="9">
        <v>12</v>
      </c>
      <c r="H384" s="10">
        <v>1.5</v>
      </c>
      <c r="I384" s="10">
        <v>4.32</v>
      </c>
      <c r="J384" s="11">
        <v>0.41666666666666702</v>
      </c>
      <c r="K384" s="11">
        <v>0.91666666666666696</v>
      </c>
      <c r="L384" s="11">
        <v>0.91666666666666696</v>
      </c>
      <c r="M384" s="11">
        <v>0.91666666666666696</v>
      </c>
      <c r="N384" s="11">
        <v>0.66666666666666696</v>
      </c>
      <c r="O384" s="11">
        <v>0.41666666666666702</v>
      </c>
      <c r="P384" s="10">
        <v>1.75</v>
      </c>
      <c r="Q384" s="10">
        <v>1.3228756555323</v>
      </c>
      <c r="R384" s="8" t="s">
        <v>10653</v>
      </c>
      <c r="S384" s="10">
        <v>11</v>
      </c>
      <c r="T384" s="10">
        <v>7</v>
      </c>
      <c r="U384" s="10">
        <v>18</v>
      </c>
      <c r="V384" s="10">
        <v>1.5</v>
      </c>
      <c r="W384" s="10">
        <v>10</v>
      </c>
      <c r="X384" s="10">
        <v>21</v>
      </c>
      <c r="Y384" s="10">
        <v>31</v>
      </c>
      <c r="Z384" s="10">
        <v>2.5833333333333299</v>
      </c>
      <c r="AA384" s="10">
        <v>1.8333333333333299</v>
      </c>
      <c r="AB384" s="10">
        <v>1.6666666666666701</v>
      </c>
      <c r="AC384" s="10">
        <v>1.1666666666666701</v>
      </c>
      <c r="AD384" s="10">
        <v>3.5</v>
      </c>
    </row>
    <row r="385" spans="1:30" x14ac:dyDescent="0.3">
      <c r="A385" s="7" t="s">
        <v>6662</v>
      </c>
      <c r="B385" s="12" t="s">
        <v>1338</v>
      </c>
      <c r="C385" s="10">
        <v>3.8333333333333299</v>
      </c>
      <c r="D385" s="10">
        <v>3.6666666666666701</v>
      </c>
      <c r="E385" s="9">
        <v>6</v>
      </c>
      <c r="F385" s="9">
        <v>6</v>
      </c>
      <c r="G385" s="9">
        <v>12</v>
      </c>
      <c r="H385" s="10">
        <v>2.0833333333333299</v>
      </c>
      <c r="I385" s="10">
        <v>2.5</v>
      </c>
      <c r="J385" s="11">
        <v>0</v>
      </c>
      <c r="K385" s="11">
        <v>1</v>
      </c>
      <c r="L385" s="11">
        <v>1</v>
      </c>
      <c r="M385" s="11">
        <v>0.91666666666666696</v>
      </c>
      <c r="N385" s="11">
        <v>0.5</v>
      </c>
      <c r="O385" s="11">
        <v>0.91666666666666696</v>
      </c>
      <c r="P385" s="10">
        <v>1.24305555555555</v>
      </c>
      <c r="Q385" s="10">
        <v>1.11492401335497</v>
      </c>
      <c r="R385" s="8" t="s">
        <v>10653</v>
      </c>
      <c r="S385" s="10">
        <v>13</v>
      </c>
      <c r="T385" s="10">
        <v>12</v>
      </c>
      <c r="U385" s="10">
        <v>25</v>
      </c>
      <c r="V385" s="10">
        <v>2.0833333333333299</v>
      </c>
      <c r="W385" s="10">
        <v>10</v>
      </c>
      <c r="X385" s="10">
        <v>10</v>
      </c>
      <c r="Y385" s="10">
        <v>20</v>
      </c>
      <c r="Z385" s="10">
        <v>1.6666666666666701</v>
      </c>
      <c r="AA385" s="10">
        <v>2.1666666666666701</v>
      </c>
      <c r="AB385" s="10">
        <v>1.6666666666666701</v>
      </c>
      <c r="AC385" s="10">
        <v>2</v>
      </c>
      <c r="AD385" s="10">
        <v>1.6666666666666701</v>
      </c>
    </row>
    <row r="386" spans="1:30" x14ac:dyDescent="0.3">
      <c r="A386" s="7" t="s">
        <v>6145</v>
      </c>
      <c r="B386" s="12" t="s">
        <v>6105</v>
      </c>
      <c r="C386" s="10">
        <v>3.1666666666666701</v>
      </c>
      <c r="D386" s="10">
        <v>2.6666666666666701</v>
      </c>
      <c r="E386" s="9">
        <v>6</v>
      </c>
      <c r="F386" s="9">
        <v>6</v>
      </c>
      <c r="G386" s="9">
        <v>12</v>
      </c>
      <c r="H386" s="10">
        <v>2.1666666666666701</v>
      </c>
      <c r="I386" s="10">
        <v>2.5</v>
      </c>
      <c r="J386" s="11">
        <v>0</v>
      </c>
      <c r="K386" s="11">
        <v>1</v>
      </c>
      <c r="L386" s="11">
        <v>0.91666666666666696</v>
      </c>
      <c r="M386" s="11">
        <v>0.5</v>
      </c>
      <c r="N386" s="11">
        <v>0.33333333333333298</v>
      </c>
      <c r="O386" s="11">
        <v>0.66666666666666696</v>
      </c>
      <c r="P386" s="10">
        <v>1.1388888888888899</v>
      </c>
      <c r="Q386" s="10">
        <v>1.0671873729054799</v>
      </c>
      <c r="R386" s="8" t="s">
        <v>10653</v>
      </c>
      <c r="S386" s="10">
        <v>15</v>
      </c>
      <c r="T386" s="10">
        <v>11</v>
      </c>
      <c r="U386" s="10">
        <v>26</v>
      </c>
      <c r="V386" s="10">
        <v>2.1666666666666701</v>
      </c>
      <c r="W386" s="10">
        <v>4</v>
      </c>
      <c r="X386" s="10">
        <v>5</v>
      </c>
      <c r="Y386" s="10">
        <v>9</v>
      </c>
      <c r="Z386" s="10">
        <v>0.75</v>
      </c>
      <c r="AA386" s="10">
        <v>2.5</v>
      </c>
      <c r="AB386" s="10">
        <v>0.66666666666666696</v>
      </c>
      <c r="AC386" s="10">
        <v>1.8333333333333299</v>
      </c>
      <c r="AD386" s="10">
        <v>0.83333333333333304</v>
      </c>
    </row>
    <row r="387" spans="1:30" x14ac:dyDescent="0.3">
      <c r="A387" s="7" t="s">
        <v>5299</v>
      </c>
      <c r="B387" s="12" t="s">
        <v>1339</v>
      </c>
      <c r="C387" s="10">
        <v>2.1666666666666701</v>
      </c>
      <c r="D387" s="10">
        <v>3.5</v>
      </c>
      <c r="E387" s="9">
        <v>6</v>
      </c>
      <c r="F387" s="9">
        <v>6</v>
      </c>
      <c r="G387" s="9">
        <v>12</v>
      </c>
      <c r="H387" s="10">
        <v>0.91666666666666696</v>
      </c>
      <c r="I387" s="10">
        <v>2.5</v>
      </c>
      <c r="J387" s="11">
        <v>0.33333333333333298</v>
      </c>
      <c r="K387" s="11">
        <v>0.91666666666666696</v>
      </c>
      <c r="L387" s="11">
        <v>0.83333333333333304</v>
      </c>
      <c r="M387" s="11">
        <v>0.58333333333333304</v>
      </c>
      <c r="N387" s="11">
        <v>0.41666666666666702</v>
      </c>
      <c r="O387" s="11">
        <v>0.58333333333333304</v>
      </c>
      <c r="P387" s="10">
        <v>0.74305555555555602</v>
      </c>
      <c r="Q387" s="10">
        <v>0.862006702732383</v>
      </c>
      <c r="R387" s="8" t="s">
        <v>10653</v>
      </c>
      <c r="S387" s="10">
        <v>5</v>
      </c>
      <c r="T387" s="10">
        <v>6</v>
      </c>
      <c r="U387" s="10">
        <v>11</v>
      </c>
      <c r="V387" s="10">
        <v>0.91666666666666696</v>
      </c>
      <c r="W387" s="10">
        <v>8</v>
      </c>
      <c r="X387" s="10">
        <v>15</v>
      </c>
      <c r="Y387" s="10">
        <v>23</v>
      </c>
      <c r="Z387" s="10">
        <v>1.9166666666666701</v>
      </c>
      <c r="AA387" s="10">
        <v>0.83333333333333304</v>
      </c>
      <c r="AB387" s="10">
        <v>1.3333333333333299</v>
      </c>
      <c r="AC387" s="10">
        <v>1</v>
      </c>
      <c r="AD387" s="10">
        <v>2.5</v>
      </c>
    </row>
    <row r="388" spans="1:30" x14ac:dyDescent="0.3">
      <c r="A388" s="7" t="s">
        <v>6950</v>
      </c>
      <c r="B388" s="12" t="s">
        <v>987</v>
      </c>
      <c r="C388" s="10">
        <v>4.8333333333333304</v>
      </c>
      <c r="D388" s="10">
        <v>4.3333333333333304</v>
      </c>
      <c r="E388" s="9">
        <v>6</v>
      </c>
      <c r="F388" s="9">
        <v>6</v>
      </c>
      <c r="G388" s="9">
        <v>12</v>
      </c>
      <c r="H388" s="10">
        <v>2.0833333333333299</v>
      </c>
      <c r="I388" s="10">
        <v>2.5</v>
      </c>
      <c r="J388" s="11">
        <v>0.16666666666666699</v>
      </c>
      <c r="K388" s="11">
        <v>1</v>
      </c>
      <c r="L388" s="11">
        <v>1</v>
      </c>
      <c r="M388" s="11">
        <v>0.83333333333333304</v>
      </c>
      <c r="N388" s="11">
        <v>0.83333333333333304</v>
      </c>
      <c r="O388" s="11">
        <v>0.83333333333333304</v>
      </c>
      <c r="P388" s="10">
        <v>2.0763888888888902</v>
      </c>
      <c r="Q388" s="10">
        <v>1.4409680388158801</v>
      </c>
      <c r="R388" s="8" t="s">
        <v>10653</v>
      </c>
      <c r="S388" s="10">
        <v>16</v>
      </c>
      <c r="T388" s="10">
        <v>9</v>
      </c>
      <c r="U388" s="10">
        <v>25</v>
      </c>
      <c r="V388" s="10">
        <v>2.0833333333333299</v>
      </c>
      <c r="W388" s="10">
        <v>13</v>
      </c>
      <c r="X388" s="10">
        <v>17</v>
      </c>
      <c r="Y388" s="10">
        <v>30</v>
      </c>
      <c r="Z388" s="10">
        <v>2.5</v>
      </c>
      <c r="AA388" s="10">
        <v>2.6666666666666701</v>
      </c>
      <c r="AB388" s="10">
        <v>2.1666666666666701</v>
      </c>
      <c r="AC388" s="10">
        <v>1.5</v>
      </c>
      <c r="AD388" s="10">
        <v>2.8333333333333299</v>
      </c>
    </row>
    <row r="389" spans="1:30" x14ac:dyDescent="0.3">
      <c r="A389" s="7" t="s">
        <v>980</v>
      </c>
      <c r="B389" s="12" t="s">
        <v>966</v>
      </c>
      <c r="C389" s="10">
        <v>3</v>
      </c>
      <c r="D389" s="10">
        <v>2.28571428571429</v>
      </c>
      <c r="E389" s="9">
        <v>5</v>
      </c>
      <c r="F389" s="9">
        <v>7</v>
      </c>
      <c r="G389" s="9">
        <v>12</v>
      </c>
      <c r="H389" s="10">
        <v>0.83333333333333304</v>
      </c>
      <c r="I389" s="10">
        <v>2.5</v>
      </c>
      <c r="J389" s="11">
        <v>0.41666666666666702</v>
      </c>
      <c r="K389" s="11">
        <v>0.91666666666666696</v>
      </c>
      <c r="L389" s="11">
        <v>0.83333333333333304</v>
      </c>
      <c r="M389" s="11">
        <v>0.33333333333333298</v>
      </c>
      <c r="N389" s="11">
        <v>0.25</v>
      </c>
      <c r="O389" s="11">
        <v>0.58333333333333304</v>
      </c>
      <c r="P389" s="10">
        <v>0.80555555555555503</v>
      </c>
      <c r="Q389" s="10">
        <v>0.89752746785575099</v>
      </c>
      <c r="R389" s="8" t="s">
        <v>10653</v>
      </c>
      <c r="S389" s="10">
        <v>4</v>
      </c>
      <c r="T389" s="10">
        <v>6</v>
      </c>
      <c r="U389" s="10">
        <v>10</v>
      </c>
      <c r="V389" s="10">
        <v>0.83333333333333304</v>
      </c>
      <c r="W389" s="10">
        <v>11</v>
      </c>
      <c r="X389" s="10">
        <v>10</v>
      </c>
      <c r="Y389" s="10">
        <v>21</v>
      </c>
      <c r="Z389" s="10">
        <v>1.75</v>
      </c>
      <c r="AA389" s="10">
        <v>0.8</v>
      </c>
      <c r="AB389" s="10">
        <v>2.2000000000000002</v>
      </c>
      <c r="AC389" s="10">
        <v>0.85714285714285698</v>
      </c>
      <c r="AD389" s="10">
        <v>1.4285714285714299</v>
      </c>
    </row>
    <row r="390" spans="1:30" x14ac:dyDescent="0.3">
      <c r="A390" s="7" t="s">
        <v>5878</v>
      </c>
      <c r="B390" s="12" t="s">
        <v>1340</v>
      </c>
      <c r="C390" s="10">
        <v>2.6666666666666701</v>
      </c>
      <c r="D390" s="10">
        <v>3.5</v>
      </c>
      <c r="E390" s="9">
        <v>6</v>
      </c>
      <c r="F390" s="9">
        <v>6</v>
      </c>
      <c r="G390" s="9">
        <v>12</v>
      </c>
      <c r="H390" s="10">
        <v>1.1666666666666701</v>
      </c>
      <c r="I390" s="10">
        <v>2.5</v>
      </c>
      <c r="J390" s="11">
        <v>0.25</v>
      </c>
      <c r="K390" s="11">
        <v>1</v>
      </c>
      <c r="L390" s="11">
        <v>0.75</v>
      </c>
      <c r="M390" s="11">
        <v>0.5</v>
      </c>
      <c r="N390" s="11">
        <v>0.41666666666666702</v>
      </c>
      <c r="O390" s="11">
        <v>0.58333333333333304</v>
      </c>
      <c r="P390" s="10">
        <v>0.63888888888888895</v>
      </c>
      <c r="Q390" s="10">
        <v>0.79930525388545304</v>
      </c>
      <c r="R390" s="8" t="s">
        <v>10653</v>
      </c>
      <c r="S390" s="10">
        <v>7</v>
      </c>
      <c r="T390" s="10">
        <v>7</v>
      </c>
      <c r="U390" s="10">
        <v>14</v>
      </c>
      <c r="V390" s="10">
        <v>1.1666666666666701</v>
      </c>
      <c r="W390" s="10">
        <v>9</v>
      </c>
      <c r="X390" s="10">
        <v>14</v>
      </c>
      <c r="Y390" s="10">
        <v>23</v>
      </c>
      <c r="Z390" s="10">
        <v>1.9166666666666701</v>
      </c>
      <c r="AA390" s="10">
        <v>1.1666666666666701</v>
      </c>
      <c r="AB390" s="10">
        <v>1.5</v>
      </c>
      <c r="AC390" s="10">
        <v>1.1666666666666701</v>
      </c>
      <c r="AD390" s="10">
        <v>2.3333333333333299</v>
      </c>
    </row>
    <row r="391" spans="1:30" x14ac:dyDescent="0.3">
      <c r="A391" s="7" t="s">
        <v>1378</v>
      </c>
      <c r="B391" s="12" t="s">
        <v>1405</v>
      </c>
      <c r="C391" s="10">
        <v>2.8333333333333299</v>
      </c>
      <c r="D391" s="10">
        <v>3.6666666666666701</v>
      </c>
      <c r="E391" s="9">
        <v>6</v>
      </c>
      <c r="F391" s="9">
        <v>6</v>
      </c>
      <c r="G391" s="9">
        <v>12</v>
      </c>
      <c r="H391" s="10">
        <v>0.91666666666666696</v>
      </c>
      <c r="I391" s="10">
        <v>3.31</v>
      </c>
      <c r="J391" s="11">
        <v>0.25</v>
      </c>
      <c r="K391" s="11">
        <v>1</v>
      </c>
      <c r="L391" s="11">
        <v>0.83333333333333304</v>
      </c>
      <c r="M391" s="11">
        <v>0.66666666666666696</v>
      </c>
      <c r="N391" s="11">
        <v>0.25</v>
      </c>
      <c r="O391" s="11">
        <v>0.5</v>
      </c>
      <c r="P391" s="10">
        <v>0.57638888888888895</v>
      </c>
      <c r="Q391" s="10">
        <v>0.75920279826202497</v>
      </c>
      <c r="R391" s="8" t="s">
        <v>10653</v>
      </c>
      <c r="S391" s="10">
        <v>4</v>
      </c>
      <c r="T391" s="10">
        <v>7</v>
      </c>
      <c r="U391" s="10">
        <v>11</v>
      </c>
      <c r="V391" s="10">
        <v>0.91666666666666696</v>
      </c>
      <c r="W391" s="10">
        <v>13</v>
      </c>
      <c r="X391" s="10">
        <v>15</v>
      </c>
      <c r="Y391" s="10">
        <v>28</v>
      </c>
      <c r="Z391" s="10">
        <v>2.3333333333333299</v>
      </c>
      <c r="AA391" s="10">
        <v>0.66666666666666696</v>
      </c>
      <c r="AB391" s="10">
        <v>2.1666666666666701</v>
      </c>
      <c r="AC391" s="10">
        <v>1.1666666666666701</v>
      </c>
      <c r="AD391" s="10">
        <v>2.5</v>
      </c>
    </row>
    <row r="392" spans="1:30" x14ac:dyDescent="0.3">
      <c r="A392" s="7" t="s">
        <v>252</v>
      </c>
      <c r="B392" s="12" t="s">
        <v>1330</v>
      </c>
      <c r="C392" s="10">
        <v>2.71428571428571</v>
      </c>
      <c r="D392" s="10">
        <v>3.4</v>
      </c>
      <c r="E392" s="9">
        <v>7</v>
      </c>
      <c r="F392" s="9">
        <v>5</v>
      </c>
      <c r="G392" s="9">
        <v>12</v>
      </c>
      <c r="H392" s="10">
        <v>1.3333333333333299</v>
      </c>
      <c r="I392" s="10">
        <v>2.5</v>
      </c>
      <c r="J392" s="11">
        <v>0.33333333333333298</v>
      </c>
      <c r="K392" s="11">
        <v>0.91666666666666696</v>
      </c>
      <c r="L392" s="11">
        <v>0.83333333333333304</v>
      </c>
      <c r="M392" s="11">
        <v>0.58333333333333304</v>
      </c>
      <c r="N392" s="11">
        <v>0.41666666666666702</v>
      </c>
      <c r="O392" s="11">
        <v>0.41666666666666702</v>
      </c>
      <c r="P392" s="10">
        <v>1.8888888888888899</v>
      </c>
      <c r="Q392" s="10">
        <v>1.37436854187255</v>
      </c>
      <c r="R392" s="8" t="s">
        <v>10653</v>
      </c>
      <c r="S392" s="10">
        <v>6</v>
      </c>
      <c r="T392" s="10">
        <v>10</v>
      </c>
      <c r="U392" s="10">
        <v>16</v>
      </c>
      <c r="V392" s="10">
        <v>1.3333333333333299</v>
      </c>
      <c r="W392" s="10">
        <v>13</v>
      </c>
      <c r="X392" s="10">
        <v>7</v>
      </c>
      <c r="Y392" s="10">
        <v>20</v>
      </c>
      <c r="Z392" s="10">
        <v>1.6666666666666701</v>
      </c>
      <c r="AA392" s="10">
        <v>0.85714285714285698</v>
      </c>
      <c r="AB392" s="10">
        <v>1.8571428571428601</v>
      </c>
      <c r="AC392" s="10">
        <v>2</v>
      </c>
      <c r="AD392" s="10">
        <v>1.4</v>
      </c>
    </row>
    <row r="393" spans="1:30" x14ac:dyDescent="0.3">
      <c r="A393" s="7" t="s">
        <v>92</v>
      </c>
      <c r="B393" s="12" t="s">
        <v>1334</v>
      </c>
      <c r="C393" s="10">
        <v>3</v>
      </c>
      <c r="D393" s="10">
        <v>1.3333333333333299</v>
      </c>
      <c r="E393" s="9">
        <v>6</v>
      </c>
      <c r="F393" s="9">
        <v>6</v>
      </c>
      <c r="G393" s="9">
        <v>12</v>
      </c>
      <c r="H393" s="10">
        <v>1.1666666666666701</v>
      </c>
      <c r="I393" s="10">
        <v>2.31</v>
      </c>
      <c r="J393" s="11">
        <v>0.16666666666666699</v>
      </c>
      <c r="K393" s="11">
        <v>0.91666666666666696</v>
      </c>
      <c r="L393" s="11">
        <v>0.66666666666666696</v>
      </c>
      <c r="M393" s="11">
        <v>0.25</v>
      </c>
      <c r="N393" s="11">
        <v>0.16666666666666699</v>
      </c>
      <c r="O393" s="11">
        <v>0.58333333333333304</v>
      </c>
      <c r="P393" s="10">
        <v>0.63888888888888895</v>
      </c>
      <c r="Q393" s="10">
        <v>0.79930525388545304</v>
      </c>
      <c r="R393" s="8" t="s">
        <v>10653</v>
      </c>
      <c r="S393" s="10">
        <v>10</v>
      </c>
      <c r="T393" s="10">
        <v>4</v>
      </c>
      <c r="U393" s="10">
        <v>14</v>
      </c>
      <c r="V393" s="10">
        <v>1.1666666666666701</v>
      </c>
      <c r="W393" s="10">
        <v>8</v>
      </c>
      <c r="X393" s="10">
        <v>4</v>
      </c>
      <c r="Y393" s="10">
        <v>12</v>
      </c>
      <c r="Z393" s="10">
        <v>1</v>
      </c>
      <c r="AA393" s="10">
        <v>1.6666666666666701</v>
      </c>
      <c r="AB393" s="10">
        <v>1.3333333333333299</v>
      </c>
      <c r="AC393" s="10">
        <v>0.66666666666666696</v>
      </c>
      <c r="AD393" s="10">
        <v>0.66666666666666696</v>
      </c>
    </row>
    <row r="394" spans="1:30" x14ac:dyDescent="0.3">
      <c r="A394" s="7" t="s">
        <v>3746</v>
      </c>
      <c r="B394" s="12" t="s">
        <v>3663</v>
      </c>
      <c r="C394" s="10">
        <v>3</v>
      </c>
      <c r="D394" s="10">
        <v>4.3333333333333304</v>
      </c>
      <c r="E394" s="9">
        <v>6</v>
      </c>
      <c r="F394" s="9">
        <v>6</v>
      </c>
      <c r="G394" s="9">
        <v>12</v>
      </c>
      <c r="H394" s="10">
        <v>1</v>
      </c>
      <c r="I394" s="10">
        <v>2.5</v>
      </c>
      <c r="J394" s="11">
        <v>0.41666666666666702</v>
      </c>
      <c r="K394" s="11">
        <v>1</v>
      </c>
      <c r="L394" s="11">
        <v>1</v>
      </c>
      <c r="M394" s="11">
        <v>0.83333333333333304</v>
      </c>
      <c r="N394" s="11">
        <v>0.5</v>
      </c>
      <c r="O394" s="11">
        <v>0.58333333333333304</v>
      </c>
      <c r="P394" s="10">
        <v>1</v>
      </c>
      <c r="Q394" s="10">
        <v>1</v>
      </c>
      <c r="R394" s="8" t="s">
        <v>10653</v>
      </c>
      <c r="S394" s="10">
        <v>8</v>
      </c>
      <c r="T394" s="10">
        <v>4</v>
      </c>
      <c r="U394" s="10">
        <v>12</v>
      </c>
      <c r="V394" s="10">
        <v>1</v>
      </c>
      <c r="W394" s="10">
        <v>10</v>
      </c>
      <c r="X394" s="10">
        <v>22</v>
      </c>
      <c r="Y394" s="10">
        <v>32</v>
      </c>
      <c r="Z394" s="10">
        <v>2.6666666666666701</v>
      </c>
      <c r="AA394" s="10">
        <v>1.3333333333333299</v>
      </c>
      <c r="AB394" s="10">
        <v>1.6666666666666701</v>
      </c>
      <c r="AC394" s="10">
        <v>0.66666666666666696</v>
      </c>
      <c r="AD394" s="10">
        <v>3.6666666666666701</v>
      </c>
    </row>
    <row r="395" spans="1:30" x14ac:dyDescent="0.3">
      <c r="A395" s="7" t="s">
        <v>253</v>
      </c>
      <c r="B395" s="12" t="s">
        <v>1330</v>
      </c>
      <c r="C395" s="10">
        <v>2.6666666666666701</v>
      </c>
      <c r="D395" s="10">
        <v>2.8333333333333299</v>
      </c>
      <c r="E395" s="9">
        <v>6</v>
      </c>
      <c r="F395" s="9">
        <v>6</v>
      </c>
      <c r="G395" s="9">
        <v>12</v>
      </c>
      <c r="H395" s="10">
        <v>1.25</v>
      </c>
      <c r="I395" s="10">
        <v>2.5</v>
      </c>
      <c r="J395" s="11">
        <v>0.25</v>
      </c>
      <c r="K395" s="11">
        <v>1</v>
      </c>
      <c r="L395" s="11">
        <v>0.83333333333333304</v>
      </c>
      <c r="M395" s="11">
        <v>0.5</v>
      </c>
      <c r="N395" s="11">
        <v>0.33333333333333298</v>
      </c>
      <c r="O395" s="11">
        <v>0.66666666666666696</v>
      </c>
      <c r="P395" s="10">
        <v>0.85416666666666696</v>
      </c>
      <c r="Q395" s="10">
        <v>0.92421137553411803</v>
      </c>
      <c r="R395" s="8" t="s">
        <v>10653</v>
      </c>
      <c r="S395" s="10">
        <v>8</v>
      </c>
      <c r="T395" s="10">
        <v>7</v>
      </c>
      <c r="U395" s="10">
        <v>15</v>
      </c>
      <c r="V395" s="10">
        <v>1.25</v>
      </c>
      <c r="W395" s="10">
        <v>8</v>
      </c>
      <c r="X395" s="10">
        <v>10</v>
      </c>
      <c r="Y395" s="10">
        <v>18</v>
      </c>
      <c r="Z395" s="10">
        <v>1.5</v>
      </c>
      <c r="AA395" s="10">
        <v>1.3333333333333299</v>
      </c>
      <c r="AB395" s="10">
        <v>1.3333333333333299</v>
      </c>
      <c r="AC395" s="10">
        <v>1.1666666666666701</v>
      </c>
      <c r="AD395" s="10">
        <v>1.6666666666666701</v>
      </c>
    </row>
    <row r="396" spans="1:30" x14ac:dyDescent="0.3">
      <c r="A396" s="7" t="s">
        <v>269</v>
      </c>
      <c r="B396" s="12" t="s">
        <v>2230</v>
      </c>
      <c r="C396" s="10">
        <v>1.6666666666666701</v>
      </c>
      <c r="D396" s="10">
        <v>2.8333333333333299</v>
      </c>
      <c r="E396" s="9">
        <v>6</v>
      </c>
      <c r="F396" s="9">
        <v>6</v>
      </c>
      <c r="G396" s="9">
        <v>12</v>
      </c>
      <c r="H396" s="10">
        <v>1</v>
      </c>
      <c r="I396" s="10">
        <v>2.72</v>
      </c>
      <c r="J396" s="11">
        <v>0.16666666666666699</v>
      </c>
      <c r="K396" s="11">
        <v>1</v>
      </c>
      <c r="L396" s="11">
        <v>0.58333333333333304</v>
      </c>
      <c r="M396" s="11">
        <v>0.33333333333333298</v>
      </c>
      <c r="N396" s="11">
        <v>0.16666666666666699</v>
      </c>
      <c r="O396" s="11">
        <v>0.41666666666666702</v>
      </c>
      <c r="P396" s="10">
        <v>0.5</v>
      </c>
      <c r="Q396" s="10">
        <v>0.70710678118654802</v>
      </c>
      <c r="R396" s="8" t="s">
        <v>10653</v>
      </c>
      <c r="S396" s="10">
        <v>5</v>
      </c>
      <c r="T396" s="10">
        <v>7</v>
      </c>
      <c r="U396" s="10">
        <v>12</v>
      </c>
      <c r="V396" s="10">
        <v>1</v>
      </c>
      <c r="W396" s="10">
        <v>5</v>
      </c>
      <c r="X396" s="10">
        <v>10</v>
      </c>
      <c r="Y396" s="10">
        <v>15</v>
      </c>
      <c r="Z396" s="10">
        <v>1.25</v>
      </c>
      <c r="AA396" s="10">
        <v>0.83333333333333304</v>
      </c>
      <c r="AB396" s="10">
        <v>0.83333333333333304</v>
      </c>
      <c r="AC396" s="10">
        <v>1.1666666666666701</v>
      </c>
      <c r="AD396" s="10">
        <v>1.6666666666666701</v>
      </c>
    </row>
    <row r="397" spans="1:30" x14ac:dyDescent="0.3">
      <c r="A397" s="7" t="s">
        <v>2181</v>
      </c>
      <c r="B397" s="12" t="s">
        <v>2230</v>
      </c>
      <c r="C397" s="10">
        <v>2.71428571428571</v>
      </c>
      <c r="D397" s="10">
        <v>3</v>
      </c>
      <c r="E397" s="9">
        <v>7</v>
      </c>
      <c r="F397" s="9">
        <v>5</v>
      </c>
      <c r="G397" s="9">
        <v>12</v>
      </c>
      <c r="H397" s="10">
        <v>0.83333333333333304</v>
      </c>
      <c r="I397" s="10">
        <v>2.72</v>
      </c>
      <c r="J397" s="11">
        <v>0.5</v>
      </c>
      <c r="K397" s="11">
        <v>0.83333333333333304</v>
      </c>
      <c r="L397" s="11">
        <v>0.75</v>
      </c>
      <c r="M397" s="11">
        <v>0.5</v>
      </c>
      <c r="N397" s="11">
        <v>0.33333333333333298</v>
      </c>
      <c r="O397" s="11">
        <v>0.5</v>
      </c>
      <c r="P397" s="10">
        <v>1.30555555555556</v>
      </c>
      <c r="Q397" s="10">
        <v>1.1426091000668399</v>
      </c>
      <c r="R397" s="8" t="s">
        <v>10653</v>
      </c>
      <c r="S397" s="10">
        <v>5</v>
      </c>
      <c r="T397" s="10">
        <v>5</v>
      </c>
      <c r="U397" s="10">
        <v>10</v>
      </c>
      <c r="V397" s="10">
        <v>0.83333333333333304</v>
      </c>
      <c r="W397" s="10">
        <v>14</v>
      </c>
      <c r="X397" s="10">
        <v>10</v>
      </c>
      <c r="Y397" s="10">
        <v>24</v>
      </c>
      <c r="Z397" s="10">
        <v>2</v>
      </c>
      <c r="AA397" s="10">
        <v>0.71428571428571397</v>
      </c>
      <c r="AB397" s="10">
        <v>2</v>
      </c>
      <c r="AC397" s="10">
        <v>1</v>
      </c>
      <c r="AD397" s="10">
        <v>2</v>
      </c>
    </row>
    <row r="398" spans="1:30" x14ac:dyDescent="0.3">
      <c r="A398" s="7" t="s">
        <v>3795</v>
      </c>
      <c r="B398" s="12" t="s">
        <v>3663</v>
      </c>
      <c r="C398" s="10">
        <v>3.1666666666666701</v>
      </c>
      <c r="D398" s="10">
        <v>2.6666666666666701</v>
      </c>
      <c r="E398" s="9">
        <v>6</v>
      </c>
      <c r="F398" s="9">
        <v>6</v>
      </c>
      <c r="G398" s="9">
        <v>12</v>
      </c>
      <c r="H398" s="10">
        <v>1.5833333333333299</v>
      </c>
      <c r="I398" s="10">
        <v>2.5</v>
      </c>
      <c r="J398" s="11">
        <v>8.3333333333333301E-2</v>
      </c>
      <c r="K398" s="11">
        <v>1</v>
      </c>
      <c r="L398" s="11">
        <v>0.83333333333333304</v>
      </c>
      <c r="M398" s="11">
        <v>0.5</v>
      </c>
      <c r="N398" s="11">
        <v>0.33333333333333298</v>
      </c>
      <c r="O398" s="11">
        <v>0.66666666666666696</v>
      </c>
      <c r="P398" s="10">
        <v>0.90972222222222199</v>
      </c>
      <c r="Q398" s="10">
        <v>0.95379359518829998</v>
      </c>
      <c r="R398" s="8" t="s">
        <v>10653</v>
      </c>
      <c r="S398" s="10">
        <v>12</v>
      </c>
      <c r="T398" s="10">
        <v>7</v>
      </c>
      <c r="U398" s="10">
        <v>19</v>
      </c>
      <c r="V398" s="10">
        <v>1.5833333333333299</v>
      </c>
      <c r="W398" s="10">
        <v>7</v>
      </c>
      <c r="X398" s="10">
        <v>9</v>
      </c>
      <c r="Y398" s="10">
        <v>16</v>
      </c>
      <c r="Z398" s="10">
        <v>1.3333333333333299</v>
      </c>
      <c r="AA398" s="10">
        <v>2</v>
      </c>
      <c r="AB398" s="10">
        <v>1.1666666666666701</v>
      </c>
      <c r="AC398" s="10">
        <v>1.1666666666666701</v>
      </c>
      <c r="AD398" s="10">
        <v>1.5</v>
      </c>
    </row>
    <row r="399" spans="1:30" x14ac:dyDescent="0.3">
      <c r="A399" s="7" t="s">
        <v>6941</v>
      </c>
      <c r="B399" s="12" t="s">
        <v>987</v>
      </c>
      <c r="C399" s="10">
        <v>4</v>
      </c>
      <c r="D399" s="10">
        <v>3.1666666666666701</v>
      </c>
      <c r="E399" s="9">
        <v>6</v>
      </c>
      <c r="F399" s="9">
        <v>6</v>
      </c>
      <c r="G399" s="9">
        <v>12</v>
      </c>
      <c r="H399" s="10">
        <v>2.5</v>
      </c>
      <c r="I399" s="10">
        <v>2.5</v>
      </c>
      <c r="J399" s="11">
        <v>8.3333333333333301E-2</v>
      </c>
      <c r="K399" s="11">
        <v>1</v>
      </c>
      <c r="L399" s="11">
        <v>0.83333333333333304</v>
      </c>
      <c r="M399" s="11">
        <v>0.58333333333333304</v>
      </c>
      <c r="N399" s="11">
        <v>0.5</v>
      </c>
      <c r="O399" s="11">
        <v>0.5</v>
      </c>
      <c r="P399" s="10">
        <v>2.75</v>
      </c>
      <c r="Q399" s="10">
        <v>1.6583123951776999</v>
      </c>
      <c r="R399" s="8" t="s">
        <v>10653</v>
      </c>
      <c r="S399" s="10">
        <v>18</v>
      </c>
      <c r="T399" s="10">
        <v>12</v>
      </c>
      <c r="U399" s="10">
        <v>30</v>
      </c>
      <c r="V399" s="10">
        <v>2.5</v>
      </c>
      <c r="W399" s="10">
        <v>6</v>
      </c>
      <c r="X399" s="10">
        <v>7</v>
      </c>
      <c r="Y399" s="10">
        <v>13</v>
      </c>
      <c r="Z399" s="10">
        <v>1.0833333333333299</v>
      </c>
      <c r="AA399" s="10">
        <v>3</v>
      </c>
      <c r="AB399" s="10">
        <v>1</v>
      </c>
      <c r="AC399" s="10">
        <v>2</v>
      </c>
      <c r="AD399" s="10">
        <v>1.1666666666666701</v>
      </c>
    </row>
    <row r="400" spans="1:30" x14ac:dyDescent="0.3">
      <c r="A400" s="7" t="s">
        <v>5870</v>
      </c>
      <c r="B400" s="12" t="s">
        <v>1340</v>
      </c>
      <c r="C400" s="10">
        <v>3.8333333333333299</v>
      </c>
      <c r="D400" s="10">
        <v>3</v>
      </c>
      <c r="E400" s="9">
        <v>6</v>
      </c>
      <c r="F400" s="9">
        <v>6</v>
      </c>
      <c r="G400" s="9">
        <v>12</v>
      </c>
      <c r="H400" s="10">
        <v>1.9166666666666701</v>
      </c>
      <c r="I400" s="10">
        <v>2.5</v>
      </c>
      <c r="J400" s="11">
        <v>0.16666666666666699</v>
      </c>
      <c r="K400" s="11">
        <v>0.91666666666666696</v>
      </c>
      <c r="L400" s="11">
        <v>0.91666666666666696</v>
      </c>
      <c r="M400" s="11">
        <v>0.66666666666666696</v>
      </c>
      <c r="N400" s="11">
        <v>0.5</v>
      </c>
      <c r="O400" s="11">
        <v>0.75</v>
      </c>
      <c r="P400" s="10">
        <v>2.2430555555555598</v>
      </c>
      <c r="Q400" s="10">
        <v>1.4976833963009499</v>
      </c>
      <c r="R400" s="8" t="s">
        <v>10653</v>
      </c>
      <c r="S400" s="10">
        <v>14</v>
      </c>
      <c r="T400" s="10">
        <v>9</v>
      </c>
      <c r="U400" s="10">
        <v>23</v>
      </c>
      <c r="V400" s="10">
        <v>1.9166666666666701</v>
      </c>
      <c r="W400" s="10">
        <v>9</v>
      </c>
      <c r="X400" s="10">
        <v>9</v>
      </c>
      <c r="Y400" s="10">
        <v>18</v>
      </c>
      <c r="Z400" s="10">
        <v>1.5</v>
      </c>
      <c r="AA400" s="10">
        <v>2.3333333333333299</v>
      </c>
      <c r="AB400" s="10">
        <v>1.5</v>
      </c>
      <c r="AC400" s="10">
        <v>1.5</v>
      </c>
      <c r="AD400" s="10">
        <v>1.5</v>
      </c>
    </row>
    <row r="401" spans="1:30" x14ac:dyDescent="0.3">
      <c r="A401" s="7" t="s">
        <v>6133</v>
      </c>
      <c r="B401" s="12" t="s">
        <v>6105</v>
      </c>
      <c r="C401" s="10">
        <v>3.5</v>
      </c>
      <c r="D401" s="10">
        <v>3.3333333333333299</v>
      </c>
      <c r="E401" s="9">
        <v>6</v>
      </c>
      <c r="F401" s="9">
        <v>6</v>
      </c>
      <c r="G401" s="9">
        <v>12</v>
      </c>
      <c r="H401" s="10">
        <v>1.8333333333333299</v>
      </c>
      <c r="I401" s="10">
        <v>2.5</v>
      </c>
      <c r="J401" s="11">
        <v>0.33333333333333298</v>
      </c>
      <c r="K401" s="11">
        <v>1</v>
      </c>
      <c r="L401" s="11">
        <v>0.91666666666666696</v>
      </c>
      <c r="M401" s="11">
        <v>0.58333333333333304</v>
      </c>
      <c r="N401" s="11">
        <v>0.5</v>
      </c>
      <c r="O401" s="11">
        <v>0.41666666666666702</v>
      </c>
      <c r="P401" s="10">
        <v>3.9722222222222201</v>
      </c>
      <c r="Q401" s="10">
        <v>1.99304345718357</v>
      </c>
      <c r="R401" s="8" t="s">
        <v>1541</v>
      </c>
      <c r="S401" s="10">
        <v>15</v>
      </c>
      <c r="T401" s="10">
        <v>7</v>
      </c>
      <c r="U401" s="10">
        <v>22</v>
      </c>
      <c r="V401" s="10">
        <v>1.8333333333333299</v>
      </c>
      <c r="W401" s="10">
        <v>6</v>
      </c>
      <c r="X401" s="10">
        <v>13</v>
      </c>
      <c r="Y401" s="10">
        <v>19</v>
      </c>
      <c r="Z401" s="10">
        <v>1.5833333333333299</v>
      </c>
      <c r="AA401" s="10">
        <v>2.5</v>
      </c>
      <c r="AB401" s="10">
        <v>1</v>
      </c>
      <c r="AC401" s="10">
        <v>1.1666666666666701</v>
      </c>
      <c r="AD401" s="10">
        <v>2.1666666666666701</v>
      </c>
    </row>
    <row r="402" spans="1:30" x14ac:dyDescent="0.3">
      <c r="A402" s="1" t="s">
        <v>1402</v>
      </c>
      <c r="B402" s="13" t="s">
        <v>1405</v>
      </c>
      <c r="C402" s="14">
        <v>3</v>
      </c>
      <c r="D402" s="14">
        <v>3.1666666666666701</v>
      </c>
      <c r="E402" s="15">
        <v>6</v>
      </c>
      <c r="F402" s="15">
        <v>6</v>
      </c>
      <c r="G402" s="15">
        <v>12</v>
      </c>
      <c r="H402" s="14">
        <v>1.5</v>
      </c>
      <c r="I402" s="14">
        <v>3.31</v>
      </c>
      <c r="J402" s="16">
        <v>0.25</v>
      </c>
      <c r="K402" s="16">
        <v>1</v>
      </c>
      <c r="L402" s="16">
        <v>0.83333333333333304</v>
      </c>
      <c r="M402" s="16">
        <v>0.58333333333333304</v>
      </c>
      <c r="N402" s="16">
        <v>0.25</v>
      </c>
      <c r="O402" s="16">
        <v>0.66666666666666696</v>
      </c>
      <c r="P402" s="14">
        <v>1.4166666666666701</v>
      </c>
      <c r="Q402" s="14">
        <v>1.1902380714238101</v>
      </c>
      <c r="R402" s="1" t="s">
        <v>10653</v>
      </c>
      <c r="S402" s="14">
        <v>8</v>
      </c>
      <c r="T402" s="14">
        <v>10</v>
      </c>
      <c r="U402" s="14">
        <v>18</v>
      </c>
      <c r="V402" s="14">
        <v>1.5</v>
      </c>
      <c r="W402" s="14">
        <v>10</v>
      </c>
      <c r="X402" s="14">
        <v>9</v>
      </c>
      <c r="Y402" s="14">
        <v>19</v>
      </c>
      <c r="Z402" s="14">
        <v>1.5833333333333299</v>
      </c>
      <c r="AA402" s="14">
        <v>1.3333333333333299</v>
      </c>
      <c r="AB402" s="14">
        <v>1.6666666666666701</v>
      </c>
      <c r="AC402" s="14">
        <v>1.6666666666666701</v>
      </c>
      <c r="AD402" s="14">
        <v>1.5</v>
      </c>
    </row>
    <row r="403" spans="1:30" x14ac:dyDescent="0.3">
      <c r="A403" s="1" t="s">
        <v>938</v>
      </c>
      <c r="B403" s="13" t="s">
        <v>4290</v>
      </c>
      <c r="C403" s="14">
        <v>3.6</v>
      </c>
      <c r="D403" s="14">
        <v>4.1428571428571397</v>
      </c>
      <c r="E403" s="15">
        <v>5</v>
      </c>
      <c r="F403" s="15">
        <v>7</v>
      </c>
      <c r="G403" s="15">
        <v>12</v>
      </c>
      <c r="H403" s="14">
        <v>1.6666666666666701</v>
      </c>
      <c r="I403" s="14">
        <v>2.5</v>
      </c>
      <c r="J403" s="16">
        <v>0.16666666666666699</v>
      </c>
      <c r="K403" s="16">
        <v>1</v>
      </c>
      <c r="L403" s="16">
        <v>0.83333333333333304</v>
      </c>
      <c r="M403" s="16">
        <v>0.75</v>
      </c>
      <c r="N403" s="16">
        <v>0.66666666666666696</v>
      </c>
      <c r="O403" s="16">
        <v>0.75</v>
      </c>
      <c r="P403" s="14">
        <v>1.55555555555555</v>
      </c>
      <c r="Q403" s="14">
        <v>1.2472191289246499</v>
      </c>
      <c r="R403" s="1" t="s">
        <v>10653</v>
      </c>
      <c r="S403" s="14">
        <v>9</v>
      </c>
      <c r="T403" s="14">
        <v>11</v>
      </c>
      <c r="U403" s="14">
        <v>20</v>
      </c>
      <c r="V403" s="14">
        <v>1.6666666666666701</v>
      </c>
      <c r="W403" s="14">
        <v>9</v>
      </c>
      <c r="X403" s="14">
        <v>18</v>
      </c>
      <c r="Y403" s="14">
        <v>27</v>
      </c>
      <c r="Z403" s="14">
        <v>2.25</v>
      </c>
      <c r="AA403" s="14">
        <v>1.8</v>
      </c>
      <c r="AB403" s="14">
        <v>1.8</v>
      </c>
      <c r="AC403" s="14">
        <v>1.5714285714285701</v>
      </c>
      <c r="AD403" s="14">
        <v>2.5714285714285698</v>
      </c>
    </row>
    <row r="404" spans="1:30" x14ac:dyDescent="0.3">
      <c r="A404" s="1" t="s">
        <v>6961</v>
      </c>
      <c r="B404" s="13" t="s">
        <v>987</v>
      </c>
      <c r="C404" s="14">
        <v>3.71428571428571</v>
      </c>
      <c r="D404" s="14">
        <v>2.8</v>
      </c>
      <c r="E404" s="15">
        <v>7</v>
      </c>
      <c r="F404" s="15">
        <v>5</v>
      </c>
      <c r="G404" s="15">
        <v>12</v>
      </c>
      <c r="H404" s="14">
        <v>1.0833333333333299</v>
      </c>
      <c r="I404" s="14">
        <v>2.5</v>
      </c>
      <c r="J404" s="16">
        <v>0.41666666666666702</v>
      </c>
      <c r="K404" s="16">
        <v>0.91666666666666696</v>
      </c>
      <c r="L404" s="16">
        <v>0.66666666666666696</v>
      </c>
      <c r="M404" s="16">
        <v>0.58333333333333304</v>
      </c>
      <c r="N404" s="16">
        <v>0.5</v>
      </c>
      <c r="O404" s="16">
        <v>0.5</v>
      </c>
      <c r="P404" s="14">
        <v>1.24305555555556</v>
      </c>
      <c r="Q404" s="14">
        <v>1.11492401335497</v>
      </c>
      <c r="R404" s="1" t="s">
        <v>10653</v>
      </c>
      <c r="S404" s="14">
        <v>8</v>
      </c>
      <c r="T404" s="14">
        <v>5</v>
      </c>
      <c r="U404" s="14">
        <v>13</v>
      </c>
      <c r="V404" s="14">
        <v>1.0833333333333299</v>
      </c>
      <c r="W404" s="14">
        <v>18</v>
      </c>
      <c r="X404" s="14">
        <v>9</v>
      </c>
      <c r="Y404" s="14">
        <v>27</v>
      </c>
      <c r="Z404" s="14">
        <v>2.25</v>
      </c>
      <c r="AA404" s="14">
        <v>1.1428571428571399</v>
      </c>
      <c r="AB404" s="14">
        <v>2.5714285714285698</v>
      </c>
      <c r="AC404" s="14">
        <v>1</v>
      </c>
      <c r="AD404" s="14">
        <v>1.8</v>
      </c>
    </row>
    <row r="405" spans="1:30" x14ac:dyDescent="0.3">
      <c r="A405" s="2" t="s">
        <v>7043</v>
      </c>
      <c r="B405" s="13" t="s">
        <v>987</v>
      </c>
      <c r="C405" s="14">
        <v>4.1666666666666696</v>
      </c>
      <c r="D405" s="14">
        <v>4.5</v>
      </c>
      <c r="E405" s="15">
        <v>6</v>
      </c>
      <c r="F405" s="15">
        <v>6</v>
      </c>
      <c r="G405" s="15">
        <v>12</v>
      </c>
      <c r="H405" s="14">
        <v>2.75</v>
      </c>
      <c r="I405" s="14">
        <v>2.5</v>
      </c>
      <c r="J405" s="16">
        <v>8.3333333333333301E-2</v>
      </c>
      <c r="K405" s="16">
        <v>1</v>
      </c>
      <c r="L405" s="16">
        <v>0.91666666666666696</v>
      </c>
      <c r="M405" s="16">
        <v>0.58333333333333304</v>
      </c>
      <c r="N405" s="16">
        <v>0.5</v>
      </c>
      <c r="O405" s="16">
        <v>0.58333333333333304</v>
      </c>
      <c r="P405" s="14">
        <v>3.3541666666666701</v>
      </c>
      <c r="Q405" s="14">
        <v>1.8314384146529901</v>
      </c>
      <c r="R405" s="1" t="s">
        <v>10653</v>
      </c>
      <c r="S405" s="14">
        <v>15</v>
      </c>
      <c r="T405" s="14">
        <v>18</v>
      </c>
      <c r="U405" s="14">
        <v>33</v>
      </c>
      <c r="V405" s="14">
        <v>2.75</v>
      </c>
      <c r="W405" s="14">
        <v>10</v>
      </c>
      <c r="X405" s="14">
        <v>9</v>
      </c>
      <c r="Y405" s="14">
        <v>19</v>
      </c>
      <c r="Z405" s="14">
        <v>1.5833333333333299</v>
      </c>
      <c r="AA405" s="14">
        <v>2.5</v>
      </c>
      <c r="AB405" s="14">
        <v>1.6666666666666701</v>
      </c>
      <c r="AC405" s="14">
        <v>3</v>
      </c>
      <c r="AD405" s="14">
        <v>1.5</v>
      </c>
    </row>
    <row r="406" spans="1:30" x14ac:dyDescent="0.3">
      <c r="A406" s="2" t="s">
        <v>1305</v>
      </c>
      <c r="B406" s="13" t="s">
        <v>973</v>
      </c>
      <c r="C406" s="14">
        <v>2.5</v>
      </c>
      <c r="D406" s="14">
        <v>2.75</v>
      </c>
      <c r="E406" s="15">
        <v>4</v>
      </c>
      <c r="F406" s="15">
        <v>8</v>
      </c>
      <c r="G406" s="15">
        <v>12</v>
      </c>
      <c r="H406" s="14">
        <v>1.25</v>
      </c>
      <c r="I406" s="14">
        <v>3.7</v>
      </c>
      <c r="J406" s="16">
        <v>0.41666666666666702</v>
      </c>
      <c r="K406" s="16">
        <v>0.83333333333333304</v>
      </c>
      <c r="L406" s="16">
        <v>0.66666666666666696</v>
      </c>
      <c r="M406" s="16">
        <v>0.41666666666666702</v>
      </c>
      <c r="N406" s="16">
        <v>0.33333333333333298</v>
      </c>
      <c r="O406" s="16">
        <v>0.41666666666666702</v>
      </c>
      <c r="P406" s="14">
        <v>2.8541666666666701</v>
      </c>
      <c r="Q406" s="14">
        <v>1.6894279110594399</v>
      </c>
      <c r="R406" s="1" t="s">
        <v>1541</v>
      </c>
      <c r="S406" s="14">
        <v>9</v>
      </c>
      <c r="T406" s="14">
        <v>6</v>
      </c>
      <c r="U406" s="14">
        <v>15</v>
      </c>
      <c r="V406" s="14">
        <v>1.25</v>
      </c>
      <c r="W406" s="14">
        <v>1</v>
      </c>
      <c r="X406" s="14">
        <v>16</v>
      </c>
      <c r="Y406" s="14">
        <v>17</v>
      </c>
      <c r="Z406" s="14">
        <v>1.4166666666666701</v>
      </c>
      <c r="AA406" s="14">
        <v>2.25</v>
      </c>
      <c r="AB406" s="14">
        <v>0.25</v>
      </c>
      <c r="AC406" s="14">
        <v>0.75</v>
      </c>
      <c r="AD406" s="14">
        <v>2</v>
      </c>
    </row>
    <row r="407" spans="1:30" x14ac:dyDescent="0.3">
      <c r="A407" s="2" t="s">
        <v>119</v>
      </c>
      <c r="B407" s="13" t="s">
        <v>2574</v>
      </c>
      <c r="C407" s="14">
        <v>3.1666666666666701</v>
      </c>
      <c r="D407" s="14">
        <v>3.6666666666666701</v>
      </c>
      <c r="E407" s="15">
        <v>6</v>
      </c>
      <c r="F407" s="15">
        <v>6</v>
      </c>
      <c r="G407" s="15">
        <v>12</v>
      </c>
      <c r="H407" s="14">
        <v>1.5</v>
      </c>
      <c r="I407" s="14">
        <v>2.5</v>
      </c>
      <c r="J407" s="16">
        <v>0.16666666666666699</v>
      </c>
      <c r="K407" s="16">
        <v>1</v>
      </c>
      <c r="L407" s="16">
        <v>0.83333333333333304</v>
      </c>
      <c r="M407" s="16">
        <v>0.66666666666666696</v>
      </c>
      <c r="N407" s="16">
        <v>0.33333333333333298</v>
      </c>
      <c r="O407" s="16">
        <v>0.83333333333333304</v>
      </c>
      <c r="P407" s="14">
        <v>1.0833333333333299</v>
      </c>
      <c r="Q407" s="14">
        <v>1.0408329997330701</v>
      </c>
      <c r="R407" s="1" t="s">
        <v>10653</v>
      </c>
      <c r="S407" s="14">
        <v>8</v>
      </c>
      <c r="T407" s="14">
        <v>10</v>
      </c>
      <c r="U407" s="14">
        <v>18</v>
      </c>
      <c r="V407" s="14">
        <v>1.5</v>
      </c>
      <c r="W407" s="14">
        <v>11</v>
      </c>
      <c r="X407" s="14">
        <v>12</v>
      </c>
      <c r="Y407" s="14">
        <v>23</v>
      </c>
      <c r="Z407" s="14">
        <v>1.9166666666666701</v>
      </c>
      <c r="AA407" s="14">
        <v>1.3333333333333299</v>
      </c>
      <c r="AB407" s="14">
        <v>1.8333333333333299</v>
      </c>
      <c r="AC407" s="14">
        <v>1.6666666666666701</v>
      </c>
      <c r="AD407" s="14">
        <v>2</v>
      </c>
    </row>
    <row r="408" spans="1:30" x14ac:dyDescent="0.3">
      <c r="A408" s="2" t="s">
        <v>2207</v>
      </c>
      <c r="B408" s="13" t="s">
        <v>2230</v>
      </c>
      <c r="C408" s="14">
        <v>2.6666666666666701</v>
      </c>
      <c r="D408" s="14">
        <v>3</v>
      </c>
      <c r="E408" s="15">
        <v>6</v>
      </c>
      <c r="F408" s="15">
        <v>6</v>
      </c>
      <c r="G408" s="15">
        <v>12</v>
      </c>
      <c r="H408" s="14">
        <v>1.8333333333333299</v>
      </c>
      <c r="I408" s="14">
        <v>2.72</v>
      </c>
      <c r="J408" s="16">
        <v>0</v>
      </c>
      <c r="K408" s="16">
        <v>1</v>
      </c>
      <c r="L408" s="16">
        <v>0.83333333333333304</v>
      </c>
      <c r="M408" s="16">
        <v>0.66666666666666696</v>
      </c>
      <c r="N408" s="16">
        <v>0.25</v>
      </c>
      <c r="O408" s="16">
        <v>0.75</v>
      </c>
      <c r="P408" s="14">
        <v>0.80555555555555602</v>
      </c>
      <c r="Q408" s="14">
        <v>0.89752746785575099</v>
      </c>
      <c r="R408" s="1" t="s">
        <v>10653</v>
      </c>
      <c r="S408" s="14">
        <v>9</v>
      </c>
      <c r="T408" s="14">
        <v>13</v>
      </c>
      <c r="U408" s="14">
        <v>22</v>
      </c>
      <c r="V408" s="14">
        <v>1.8333333333333299</v>
      </c>
      <c r="W408" s="14">
        <v>7</v>
      </c>
      <c r="X408" s="14">
        <v>5</v>
      </c>
      <c r="Y408" s="14">
        <v>12</v>
      </c>
      <c r="Z408" s="14">
        <v>1</v>
      </c>
      <c r="AA408" s="14">
        <v>1.5</v>
      </c>
      <c r="AB408" s="14">
        <v>1.1666666666666701</v>
      </c>
      <c r="AC408" s="14">
        <v>2.1666666666666701</v>
      </c>
      <c r="AD408" s="14">
        <v>0.83333333333333304</v>
      </c>
    </row>
    <row r="409" spans="1:30" x14ac:dyDescent="0.3">
      <c r="A409" s="2" t="s">
        <v>7638</v>
      </c>
      <c r="B409" s="13" t="s">
        <v>7895</v>
      </c>
      <c r="C409" s="14">
        <v>2.5714285714285698</v>
      </c>
      <c r="D409" s="14">
        <v>1.8</v>
      </c>
      <c r="E409" s="15">
        <v>7</v>
      </c>
      <c r="F409" s="15">
        <v>5</v>
      </c>
      <c r="G409" s="15">
        <v>12</v>
      </c>
      <c r="H409" s="14">
        <v>0.83333333333333304</v>
      </c>
      <c r="I409" s="14">
        <v>2.5</v>
      </c>
      <c r="J409" s="16">
        <v>0.33333333333333298</v>
      </c>
      <c r="K409" s="16">
        <v>0.83333333333333304</v>
      </c>
      <c r="L409" s="16">
        <v>0.66666666666666696</v>
      </c>
      <c r="M409" s="16">
        <v>0.5</v>
      </c>
      <c r="N409" s="16">
        <v>0.25</v>
      </c>
      <c r="O409" s="16">
        <v>0.58333333333333304</v>
      </c>
      <c r="P409" s="14">
        <v>0.47222222222222199</v>
      </c>
      <c r="Q409" s="14">
        <v>0.68718427093627699</v>
      </c>
      <c r="R409" s="1" t="s">
        <v>10653</v>
      </c>
      <c r="S409" s="14">
        <v>7</v>
      </c>
      <c r="T409" s="14">
        <v>3</v>
      </c>
      <c r="U409" s="14">
        <v>10</v>
      </c>
      <c r="V409" s="14">
        <v>0.83333333333333304</v>
      </c>
      <c r="W409" s="14">
        <v>11</v>
      </c>
      <c r="X409" s="14">
        <v>6</v>
      </c>
      <c r="Y409" s="14">
        <v>17</v>
      </c>
      <c r="Z409" s="14">
        <v>1.4166666666666701</v>
      </c>
      <c r="AA409" s="14">
        <v>1</v>
      </c>
      <c r="AB409" s="14">
        <v>1.5714285714285701</v>
      </c>
      <c r="AC409" s="14">
        <v>0.6</v>
      </c>
      <c r="AD409" s="14">
        <v>1.2</v>
      </c>
    </row>
    <row r="410" spans="1:30" x14ac:dyDescent="0.3">
      <c r="A410" s="2" t="s">
        <v>249</v>
      </c>
      <c r="B410" s="13" t="s">
        <v>2230</v>
      </c>
      <c r="C410" s="14">
        <v>2</v>
      </c>
      <c r="D410" s="14">
        <v>2.75</v>
      </c>
      <c r="E410" s="15">
        <v>4</v>
      </c>
      <c r="F410" s="15">
        <v>8</v>
      </c>
      <c r="G410" s="15">
        <v>12</v>
      </c>
      <c r="H410" s="14">
        <v>1</v>
      </c>
      <c r="I410" s="14">
        <v>2.72</v>
      </c>
      <c r="J410" s="16">
        <v>0.33333333333333298</v>
      </c>
      <c r="K410" s="16">
        <v>0.75</v>
      </c>
      <c r="L410" s="16">
        <v>0.5</v>
      </c>
      <c r="M410" s="16">
        <v>0.41666666666666702</v>
      </c>
      <c r="N410" s="16">
        <v>0.33333333333333298</v>
      </c>
      <c r="O410" s="16">
        <v>0.41666666666666702</v>
      </c>
      <c r="P410" s="14">
        <v>0.83333333333333304</v>
      </c>
      <c r="Q410" s="14">
        <v>0.91287092917527701</v>
      </c>
      <c r="R410" s="1" t="s">
        <v>10653</v>
      </c>
      <c r="S410" s="14">
        <v>2</v>
      </c>
      <c r="T410" s="14">
        <v>10</v>
      </c>
      <c r="U410" s="14">
        <v>12</v>
      </c>
      <c r="V410" s="14">
        <v>1</v>
      </c>
      <c r="W410" s="14">
        <v>6</v>
      </c>
      <c r="X410" s="14">
        <v>12</v>
      </c>
      <c r="Y410" s="14">
        <v>18</v>
      </c>
      <c r="Z410" s="14">
        <v>1.5</v>
      </c>
      <c r="AA410" s="14">
        <v>0.5</v>
      </c>
      <c r="AB410" s="14">
        <v>1.5</v>
      </c>
      <c r="AC410" s="14">
        <v>1.25</v>
      </c>
      <c r="AD410" s="14">
        <v>1.5</v>
      </c>
    </row>
    <row r="411" spans="1:30" x14ac:dyDescent="0.3">
      <c r="A411" s="2" t="s">
        <v>264</v>
      </c>
      <c r="B411" s="13" t="s">
        <v>2230</v>
      </c>
      <c r="C411" s="14">
        <v>3.75</v>
      </c>
      <c r="D411" s="14">
        <v>2.875</v>
      </c>
      <c r="E411" s="15">
        <v>4</v>
      </c>
      <c r="F411" s="15">
        <v>8</v>
      </c>
      <c r="G411" s="15">
        <v>12</v>
      </c>
      <c r="H411" s="14">
        <v>1.25</v>
      </c>
      <c r="I411" s="14">
        <v>2.72</v>
      </c>
      <c r="J411" s="16">
        <v>0.25</v>
      </c>
      <c r="K411" s="16">
        <v>1</v>
      </c>
      <c r="L411" s="16">
        <v>1</v>
      </c>
      <c r="M411" s="16">
        <v>0.66666666666666696</v>
      </c>
      <c r="N411" s="16">
        <v>0.41666666666666702</v>
      </c>
      <c r="O411" s="16">
        <v>0.66666666666666696</v>
      </c>
      <c r="P411" s="14">
        <v>1.0208333333333299</v>
      </c>
      <c r="Q411" s="14">
        <v>1.01036297108185</v>
      </c>
      <c r="R411" s="1" t="s">
        <v>10653</v>
      </c>
      <c r="S411" s="14">
        <v>5</v>
      </c>
      <c r="T411" s="14">
        <v>10</v>
      </c>
      <c r="U411" s="14">
        <v>15</v>
      </c>
      <c r="V411" s="14">
        <v>1.25</v>
      </c>
      <c r="W411" s="14">
        <v>10</v>
      </c>
      <c r="X411" s="14">
        <v>13</v>
      </c>
      <c r="Y411" s="14">
        <v>23</v>
      </c>
      <c r="Z411" s="14">
        <v>1.9166666666666701</v>
      </c>
      <c r="AA411" s="14">
        <v>1.25</v>
      </c>
      <c r="AB411" s="14">
        <v>2.5</v>
      </c>
      <c r="AC411" s="14">
        <v>1.25</v>
      </c>
      <c r="AD411" s="14">
        <v>1.625</v>
      </c>
    </row>
    <row r="412" spans="1:30" x14ac:dyDescent="0.3">
      <c r="A412" s="1" t="s">
        <v>2179</v>
      </c>
      <c r="B412" s="13" t="s">
        <v>2230</v>
      </c>
      <c r="C412" s="14">
        <v>1.25</v>
      </c>
      <c r="D412" s="14">
        <v>1.5</v>
      </c>
      <c r="E412" s="15">
        <v>4</v>
      </c>
      <c r="F412" s="15">
        <v>8</v>
      </c>
      <c r="G412" s="15">
        <v>12</v>
      </c>
      <c r="H412" s="14">
        <v>0.83333333333333304</v>
      </c>
      <c r="I412" s="14">
        <v>2.72</v>
      </c>
      <c r="J412" s="16">
        <v>0.41666666666666702</v>
      </c>
      <c r="K412" s="16">
        <v>0.91666666666666696</v>
      </c>
      <c r="L412" s="16">
        <v>0.41666666666666702</v>
      </c>
      <c r="M412" s="16">
        <v>8.3333333333333301E-2</v>
      </c>
      <c r="N412" s="16">
        <v>0</v>
      </c>
      <c r="O412" s="16">
        <v>0.16666666666666699</v>
      </c>
      <c r="P412" s="14">
        <v>0.63888888888888895</v>
      </c>
      <c r="Q412" s="14">
        <v>0.79930525388545304</v>
      </c>
      <c r="R412" s="1" t="s">
        <v>10653</v>
      </c>
      <c r="S412" s="14">
        <v>4</v>
      </c>
      <c r="T412" s="14">
        <v>6</v>
      </c>
      <c r="U412" s="14">
        <v>10</v>
      </c>
      <c r="V412" s="14">
        <v>0.83333333333333304</v>
      </c>
      <c r="W412" s="14">
        <v>1</v>
      </c>
      <c r="X412" s="14">
        <v>6</v>
      </c>
      <c r="Y412" s="14">
        <v>7</v>
      </c>
      <c r="Z412" s="14">
        <v>0.58333333333333304</v>
      </c>
      <c r="AA412" s="14">
        <v>1</v>
      </c>
      <c r="AB412" s="14">
        <v>0.25</v>
      </c>
      <c r="AC412" s="14">
        <v>0.75</v>
      </c>
      <c r="AD412" s="14">
        <v>0.75</v>
      </c>
    </row>
    <row r="413" spans="1:30" x14ac:dyDescent="0.3">
      <c r="A413" s="1" t="s">
        <v>749</v>
      </c>
      <c r="B413" s="13" t="s">
        <v>844</v>
      </c>
      <c r="C413" s="14">
        <v>3</v>
      </c>
      <c r="D413" s="14">
        <v>2.71428571428571</v>
      </c>
      <c r="E413" s="15">
        <v>5</v>
      </c>
      <c r="F413" s="15">
        <v>7</v>
      </c>
      <c r="G413" s="15">
        <v>12</v>
      </c>
      <c r="H413" s="14">
        <v>2.0833333333333299</v>
      </c>
      <c r="I413" s="14">
        <v>3.57</v>
      </c>
      <c r="J413" s="16">
        <v>0.16666666666666699</v>
      </c>
      <c r="K413" s="16">
        <v>0.91666666666666696</v>
      </c>
      <c r="L413" s="16">
        <v>0.5</v>
      </c>
      <c r="M413" s="16">
        <v>0.5</v>
      </c>
      <c r="N413" s="16">
        <v>0.33333333333333298</v>
      </c>
      <c r="O413" s="16">
        <v>0.25</v>
      </c>
      <c r="P413" s="14">
        <v>2.9097222222222201</v>
      </c>
      <c r="Q413" s="14">
        <v>1.7057907908715599</v>
      </c>
      <c r="R413" s="1" t="s">
        <v>10653</v>
      </c>
      <c r="S413" s="14">
        <v>12</v>
      </c>
      <c r="T413" s="14">
        <v>13</v>
      </c>
      <c r="U413" s="14">
        <v>25</v>
      </c>
      <c r="V413" s="14">
        <v>2.0833333333333299</v>
      </c>
      <c r="W413" s="14">
        <v>3</v>
      </c>
      <c r="X413" s="14">
        <v>6</v>
      </c>
      <c r="Y413" s="14">
        <v>9</v>
      </c>
      <c r="Z413" s="14">
        <v>0.75</v>
      </c>
      <c r="AA413" s="14">
        <v>2.4</v>
      </c>
      <c r="AB413" s="14">
        <v>0.6</v>
      </c>
      <c r="AC413" s="14">
        <v>1.8571428571428601</v>
      </c>
      <c r="AD413" s="14">
        <v>0.85714285714285698</v>
      </c>
    </row>
    <row r="414" spans="1:30" x14ac:dyDescent="0.3">
      <c r="A414" s="1" t="s">
        <v>4068</v>
      </c>
      <c r="B414" s="13" t="s">
        <v>4055</v>
      </c>
      <c r="C414" s="14">
        <v>2.1428571428571401</v>
      </c>
      <c r="D414" s="14">
        <v>3</v>
      </c>
      <c r="E414" s="15">
        <v>7</v>
      </c>
      <c r="F414" s="15">
        <v>5</v>
      </c>
      <c r="G414" s="15">
        <v>12</v>
      </c>
      <c r="H414" s="14">
        <v>0.91666666666666696</v>
      </c>
      <c r="I414" s="14">
        <v>2.5</v>
      </c>
      <c r="J414" s="16">
        <v>0.5</v>
      </c>
      <c r="K414" s="16">
        <v>1</v>
      </c>
      <c r="L414" s="16">
        <v>0.66666666666666696</v>
      </c>
      <c r="M414" s="16">
        <v>0.58333333333333304</v>
      </c>
      <c r="N414" s="16">
        <v>0.16666666666666699</v>
      </c>
      <c r="O414" s="16">
        <v>0.25</v>
      </c>
      <c r="P414" s="14">
        <v>1.4097222222222201</v>
      </c>
      <c r="Q414" s="14">
        <v>1.1873172373979199</v>
      </c>
      <c r="R414" s="1" t="s">
        <v>10653</v>
      </c>
      <c r="S414" s="14">
        <v>8</v>
      </c>
      <c r="T414" s="14">
        <v>3</v>
      </c>
      <c r="U414" s="14">
        <v>11</v>
      </c>
      <c r="V414" s="14">
        <v>0.91666666666666696</v>
      </c>
      <c r="W414" s="14">
        <v>7</v>
      </c>
      <c r="X414" s="14">
        <v>12</v>
      </c>
      <c r="Y414" s="14">
        <v>19</v>
      </c>
      <c r="Z414" s="14">
        <v>1.5833333333333299</v>
      </c>
      <c r="AA414" s="14">
        <v>1.1428571428571399</v>
      </c>
      <c r="AB414" s="14">
        <v>1</v>
      </c>
      <c r="AC414" s="14">
        <v>0.6</v>
      </c>
      <c r="AD414" s="14">
        <v>2.4</v>
      </c>
    </row>
    <row r="415" spans="1:30" x14ac:dyDescent="0.3">
      <c r="A415" s="1" t="s">
        <v>181</v>
      </c>
      <c r="B415" s="13" t="s">
        <v>1332</v>
      </c>
      <c r="C415" s="14">
        <v>2.3333333333333299</v>
      </c>
      <c r="D415" s="14">
        <v>2.1666666666666701</v>
      </c>
      <c r="E415" s="15">
        <v>6</v>
      </c>
      <c r="F415" s="15">
        <v>6</v>
      </c>
      <c r="G415" s="15">
        <v>12</v>
      </c>
      <c r="H415" s="14">
        <v>1.3333333333333299</v>
      </c>
      <c r="I415" s="14">
        <v>3.62</v>
      </c>
      <c r="J415" s="16">
        <v>0.25</v>
      </c>
      <c r="K415" s="16">
        <v>0.75</v>
      </c>
      <c r="L415" s="16">
        <v>0.66666666666666696</v>
      </c>
      <c r="M415" s="16">
        <v>0.41666666666666702</v>
      </c>
      <c r="N415" s="16">
        <v>0.25</v>
      </c>
      <c r="O415" s="16">
        <v>0.66666666666666696</v>
      </c>
      <c r="P415" s="14">
        <v>1.2222222222222201</v>
      </c>
      <c r="Q415" s="14">
        <v>1.1055415967851301</v>
      </c>
      <c r="R415" s="1" t="s">
        <v>10653</v>
      </c>
      <c r="S415" s="14">
        <v>8</v>
      </c>
      <c r="T415" s="14">
        <v>8</v>
      </c>
      <c r="U415" s="14">
        <v>16</v>
      </c>
      <c r="V415" s="14">
        <v>1.3333333333333299</v>
      </c>
      <c r="W415" s="14">
        <v>6</v>
      </c>
      <c r="X415" s="14">
        <v>5</v>
      </c>
      <c r="Y415" s="14">
        <v>11</v>
      </c>
      <c r="Z415" s="14">
        <v>0.91666666666666696</v>
      </c>
      <c r="AA415" s="14">
        <v>1.3333333333333299</v>
      </c>
      <c r="AB415" s="14">
        <v>1</v>
      </c>
      <c r="AC415" s="14">
        <v>1.3333333333333299</v>
      </c>
      <c r="AD415" s="14">
        <v>0.83333333333333304</v>
      </c>
    </row>
    <row r="416" spans="1:30" x14ac:dyDescent="0.3">
      <c r="A416" s="1" t="s">
        <v>4529</v>
      </c>
      <c r="B416" s="13" t="s">
        <v>4290</v>
      </c>
      <c r="C416" s="14">
        <v>4</v>
      </c>
      <c r="D416" s="14">
        <v>2.4</v>
      </c>
      <c r="E416" s="15">
        <v>7</v>
      </c>
      <c r="F416" s="15">
        <v>5</v>
      </c>
      <c r="G416" s="15">
        <v>12</v>
      </c>
      <c r="H416" s="14">
        <v>1.0833333333333299</v>
      </c>
      <c r="I416" s="14">
        <v>2.5</v>
      </c>
      <c r="J416" s="16">
        <v>0.25</v>
      </c>
      <c r="K416" s="16">
        <v>0.91666666666666696</v>
      </c>
      <c r="L416" s="16">
        <v>0.75</v>
      </c>
      <c r="M416" s="16">
        <v>0.58333333333333304</v>
      </c>
      <c r="N416" s="16">
        <v>0.41666666666666702</v>
      </c>
      <c r="O416" s="16">
        <v>0.66666666666666696</v>
      </c>
      <c r="P416" s="14">
        <v>0.74305555555555602</v>
      </c>
      <c r="Q416" s="14">
        <v>0.862006702732384</v>
      </c>
      <c r="R416" s="1" t="s">
        <v>10653</v>
      </c>
      <c r="S416" s="14">
        <v>11</v>
      </c>
      <c r="T416" s="14">
        <v>2</v>
      </c>
      <c r="U416" s="14">
        <v>13</v>
      </c>
      <c r="V416" s="14">
        <v>1.0833333333333299</v>
      </c>
      <c r="W416" s="14">
        <v>17</v>
      </c>
      <c r="X416" s="14">
        <v>10</v>
      </c>
      <c r="Y416" s="14">
        <v>27</v>
      </c>
      <c r="Z416" s="14">
        <v>2.25</v>
      </c>
      <c r="AA416" s="14">
        <v>1.5714285714285701</v>
      </c>
      <c r="AB416" s="14">
        <v>2.4285714285714302</v>
      </c>
      <c r="AC416" s="14">
        <v>0.4</v>
      </c>
      <c r="AD416" s="14">
        <v>2</v>
      </c>
    </row>
    <row r="417" spans="1:30" x14ac:dyDescent="0.3">
      <c r="A417" s="1" t="s">
        <v>4293</v>
      </c>
      <c r="B417" s="13" t="s">
        <v>4291</v>
      </c>
      <c r="C417" s="14">
        <v>2.8333333333333299</v>
      </c>
      <c r="D417" s="14">
        <v>3.1666666666666701</v>
      </c>
      <c r="E417" s="15">
        <v>6</v>
      </c>
      <c r="F417" s="15">
        <v>6</v>
      </c>
      <c r="G417" s="15">
        <v>12</v>
      </c>
      <c r="H417" s="14">
        <v>2.0833333333333299</v>
      </c>
      <c r="I417" s="14">
        <v>3.55</v>
      </c>
      <c r="J417" s="16">
        <v>8.3333333333333301E-2</v>
      </c>
      <c r="K417" s="16">
        <v>1</v>
      </c>
      <c r="L417" s="16">
        <v>0.83333333333333304</v>
      </c>
      <c r="M417" s="16">
        <v>0.41666666666666702</v>
      </c>
      <c r="N417" s="16">
        <v>0.41666666666666702</v>
      </c>
      <c r="O417" s="16">
        <v>0.66666666666666696</v>
      </c>
      <c r="P417" s="14">
        <v>1.9097222222222201</v>
      </c>
      <c r="Q417" s="14">
        <v>1.38192699598142</v>
      </c>
      <c r="R417" s="1" t="s">
        <v>10653</v>
      </c>
      <c r="S417" s="14">
        <v>12</v>
      </c>
      <c r="T417" s="14">
        <v>13</v>
      </c>
      <c r="U417" s="14">
        <v>25</v>
      </c>
      <c r="V417" s="14">
        <v>2.0833333333333299</v>
      </c>
      <c r="W417" s="14">
        <v>5</v>
      </c>
      <c r="X417" s="14">
        <v>6</v>
      </c>
      <c r="Y417" s="14">
        <v>11</v>
      </c>
      <c r="Z417" s="14">
        <v>0.91666666666666696</v>
      </c>
      <c r="AA417" s="14">
        <v>2</v>
      </c>
      <c r="AB417" s="14">
        <v>0.83333333333333304</v>
      </c>
      <c r="AC417" s="14">
        <v>2.1666666666666701</v>
      </c>
      <c r="AD417" s="14">
        <v>1</v>
      </c>
    </row>
    <row r="418" spans="1:30" x14ac:dyDescent="0.3">
      <c r="A418" s="1" t="s">
        <v>7278</v>
      </c>
      <c r="B418" s="13" t="s">
        <v>847</v>
      </c>
      <c r="C418" s="14">
        <v>3</v>
      </c>
      <c r="D418" s="14">
        <v>2</v>
      </c>
      <c r="E418" s="15">
        <v>5</v>
      </c>
      <c r="F418" s="15">
        <v>7</v>
      </c>
      <c r="G418" s="15">
        <v>12</v>
      </c>
      <c r="H418" s="14">
        <v>1.4166666666666701</v>
      </c>
      <c r="I418" s="14">
        <v>2.5</v>
      </c>
      <c r="J418" s="16">
        <v>8.3333333333333301E-2</v>
      </c>
      <c r="K418" s="16">
        <v>1</v>
      </c>
      <c r="L418" s="16">
        <v>0.83333333333333304</v>
      </c>
      <c r="M418" s="16">
        <v>0.41666666666666702</v>
      </c>
      <c r="N418" s="16">
        <v>8.3333333333333301E-2</v>
      </c>
      <c r="O418" s="16">
        <v>0.58333333333333304</v>
      </c>
      <c r="P418" s="14">
        <v>0.74305555555555503</v>
      </c>
      <c r="Q418" s="14">
        <v>0.862006702732383</v>
      </c>
      <c r="R418" s="1" t="s">
        <v>10653</v>
      </c>
      <c r="S418" s="14">
        <v>9</v>
      </c>
      <c r="T418" s="14">
        <v>8</v>
      </c>
      <c r="U418" s="14">
        <v>17</v>
      </c>
      <c r="V418" s="14">
        <v>1.4166666666666701</v>
      </c>
      <c r="W418" s="14">
        <v>6</v>
      </c>
      <c r="X418" s="14">
        <v>6</v>
      </c>
      <c r="Y418" s="14">
        <v>12</v>
      </c>
      <c r="Z418" s="14">
        <v>1</v>
      </c>
      <c r="AA418" s="14">
        <v>1.8</v>
      </c>
      <c r="AB418" s="14">
        <v>1.2</v>
      </c>
      <c r="AC418" s="14">
        <v>1.1428571428571399</v>
      </c>
      <c r="AD418" s="14">
        <v>0.85714285714285698</v>
      </c>
    </row>
    <row r="419" spans="1:30" x14ac:dyDescent="0.3">
      <c r="A419" s="1" t="s">
        <v>5843</v>
      </c>
      <c r="B419" s="13" t="s">
        <v>1340</v>
      </c>
      <c r="C419" s="14">
        <v>3.2</v>
      </c>
      <c r="D419" s="14">
        <v>4.8571428571428603</v>
      </c>
      <c r="E419" s="15">
        <v>5</v>
      </c>
      <c r="F419" s="15">
        <v>7</v>
      </c>
      <c r="G419" s="15">
        <v>12</v>
      </c>
      <c r="H419" s="14">
        <v>1.25</v>
      </c>
      <c r="I419" s="14">
        <v>2.5</v>
      </c>
      <c r="J419" s="16">
        <v>0.25</v>
      </c>
      <c r="K419" s="16">
        <v>1</v>
      </c>
      <c r="L419" s="16">
        <v>1</v>
      </c>
      <c r="M419" s="16">
        <v>0.83333333333333304</v>
      </c>
      <c r="N419" s="16">
        <v>0.66666666666666696</v>
      </c>
      <c r="O419" s="16">
        <v>0.66666666666666696</v>
      </c>
      <c r="P419" s="14">
        <v>0.85416666666666696</v>
      </c>
      <c r="Q419" s="14">
        <v>0.92421137553411803</v>
      </c>
      <c r="R419" s="1" t="s">
        <v>10653</v>
      </c>
      <c r="S419" s="14">
        <v>7</v>
      </c>
      <c r="T419" s="14">
        <v>8</v>
      </c>
      <c r="U419" s="14">
        <v>15</v>
      </c>
      <c r="V419" s="14">
        <v>1.25</v>
      </c>
      <c r="W419" s="14">
        <v>9</v>
      </c>
      <c r="X419" s="14">
        <v>26</v>
      </c>
      <c r="Y419" s="14">
        <v>35</v>
      </c>
      <c r="Z419" s="14">
        <v>2.9166666666666701</v>
      </c>
      <c r="AA419" s="14">
        <v>1.4</v>
      </c>
      <c r="AB419" s="14">
        <v>1.8</v>
      </c>
      <c r="AC419" s="14">
        <v>1.1428571428571399</v>
      </c>
      <c r="AD419" s="14">
        <v>3.71428571428571</v>
      </c>
    </row>
    <row r="420" spans="1:30" x14ac:dyDescent="0.3">
      <c r="A420" s="1" t="s">
        <v>192</v>
      </c>
      <c r="B420" s="13" t="s">
        <v>3662</v>
      </c>
      <c r="C420" s="14">
        <v>4.1666666666666696</v>
      </c>
      <c r="D420" s="14">
        <v>2</v>
      </c>
      <c r="E420" s="15">
        <v>6</v>
      </c>
      <c r="F420" s="15">
        <v>6</v>
      </c>
      <c r="G420" s="15">
        <v>12</v>
      </c>
      <c r="H420" s="14">
        <v>1.25</v>
      </c>
      <c r="I420" s="14">
        <v>2.5</v>
      </c>
      <c r="J420" s="16">
        <v>0.16666666666666699</v>
      </c>
      <c r="K420" s="16">
        <v>0.83333333333333304</v>
      </c>
      <c r="L420" s="16">
        <v>0.83333333333333304</v>
      </c>
      <c r="M420" s="16">
        <v>0.58333333333333304</v>
      </c>
      <c r="N420" s="16">
        <v>0.33333333333333298</v>
      </c>
      <c r="O420" s="16">
        <v>0.83333333333333304</v>
      </c>
      <c r="P420" s="14">
        <v>0.85416666666666696</v>
      </c>
      <c r="Q420" s="14">
        <v>0.92421137553411803</v>
      </c>
      <c r="R420" s="1" t="s">
        <v>10653</v>
      </c>
      <c r="S420" s="14">
        <v>11</v>
      </c>
      <c r="T420" s="14">
        <v>4</v>
      </c>
      <c r="U420" s="14">
        <v>15</v>
      </c>
      <c r="V420" s="14">
        <v>1.25</v>
      </c>
      <c r="W420" s="14">
        <v>14</v>
      </c>
      <c r="X420" s="14">
        <v>8</v>
      </c>
      <c r="Y420" s="14">
        <v>22</v>
      </c>
      <c r="Z420" s="14">
        <v>1.8333333333333299</v>
      </c>
      <c r="AA420" s="14">
        <v>1.8333333333333299</v>
      </c>
      <c r="AB420" s="14">
        <v>2.3333333333333299</v>
      </c>
      <c r="AC420" s="14">
        <v>0.66666666666666696</v>
      </c>
      <c r="AD420" s="14">
        <v>1.3333333333333299</v>
      </c>
    </row>
    <row r="421" spans="1:30" x14ac:dyDescent="0.3">
      <c r="A421" s="1" t="s">
        <v>207</v>
      </c>
      <c r="B421" s="13" t="s">
        <v>960</v>
      </c>
      <c r="C421" s="14">
        <v>2.5</v>
      </c>
      <c r="D421" s="14">
        <v>3.3333333333333299</v>
      </c>
      <c r="E421" s="15">
        <v>6</v>
      </c>
      <c r="F421" s="15">
        <v>6</v>
      </c>
      <c r="G421" s="15">
        <v>12</v>
      </c>
      <c r="H421" s="14">
        <v>1.75</v>
      </c>
      <c r="I421" s="14">
        <v>2.5</v>
      </c>
      <c r="J421" s="16">
        <v>8.3333333333333301E-2</v>
      </c>
      <c r="K421" s="16">
        <v>1</v>
      </c>
      <c r="L421" s="16">
        <v>0.91666666666666696</v>
      </c>
      <c r="M421" s="16">
        <v>0.58333333333333304</v>
      </c>
      <c r="N421" s="16">
        <v>0.25</v>
      </c>
      <c r="O421" s="16">
        <v>0.75</v>
      </c>
      <c r="P421" s="14">
        <v>2.0208333333333299</v>
      </c>
      <c r="Q421" s="14">
        <v>1.4215601757693299</v>
      </c>
      <c r="R421" s="1" t="s">
        <v>10653</v>
      </c>
      <c r="S421" s="14">
        <v>8</v>
      </c>
      <c r="T421" s="14">
        <v>13</v>
      </c>
      <c r="U421" s="14">
        <v>21</v>
      </c>
      <c r="V421" s="14">
        <v>1.75</v>
      </c>
      <c r="W421" s="14">
        <v>7</v>
      </c>
      <c r="X421" s="14">
        <v>7</v>
      </c>
      <c r="Y421" s="14">
        <v>14</v>
      </c>
      <c r="Z421" s="14">
        <v>1.1666666666666701</v>
      </c>
      <c r="AA421" s="14">
        <v>1.3333333333333299</v>
      </c>
      <c r="AB421" s="14">
        <v>1.1666666666666701</v>
      </c>
      <c r="AC421" s="14">
        <v>2.1666666666666701</v>
      </c>
      <c r="AD421" s="14">
        <v>1.1666666666666701</v>
      </c>
    </row>
    <row r="422" spans="1:30" x14ac:dyDescent="0.3">
      <c r="A422" s="1" t="s">
        <v>579</v>
      </c>
      <c r="B422" s="13" t="s">
        <v>845</v>
      </c>
      <c r="C422" s="14">
        <v>4</v>
      </c>
      <c r="D422" s="14">
        <v>2.8</v>
      </c>
      <c r="E422" s="15">
        <v>7</v>
      </c>
      <c r="F422" s="15">
        <v>5</v>
      </c>
      <c r="G422" s="15">
        <v>12</v>
      </c>
      <c r="H422" s="14">
        <v>1.4166666666666701</v>
      </c>
      <c r="I422" s="14">
        <v>4.32</v>
      </c>
      <c r="J422" s="16">
        <v>0.41666666666666702</v>
      </c>
      <c r="K422" s="16">
        <v>0.91666666666666696</v>
      </c>
      <c r="L422" s="16">
        <v>0.83333333333333304</v>
      </c>
      <c r="M422" s="16">
        <v>0.66666666666666696</v>
      </c>
      <c r="N422" s="16">
        <v>0.41666666666666702</v>
      </c>
      <c r="O422" s="16">
        <v>0.58333333333333304</v>
      </c>
      <c r="P422" s="14">
        <v>1.9097222222222201</v>
      </c>
      <c r="Q422" s="14">
        <v>1.38192699598142</v>
      </c>
      <c r="R422" s="1" t="s">
        <v>10653</v>
      </c>
      <c r="S422" s="14">
        <v>13</v>
      </c>
      <c r="T422" s="14">
        <v>4</v>
      </c>
      <c r="U422" s="14">
        <v>17</v>
      </c>
      <c r="V422" s="14">
        <v>1.4166666666666701</v>
      </c>
      <c r="W422" s="14">
        <v>15</v>
      </c>
      <c r="X422" s="14">
        <v>10</v>
      </c>
      <c r="Y422" s="14">
        <v>25</v>
      </c>
      <c r="Z422" s="14">
        <v>2.0833333333333299</v>
      </c>
      <c r="AA422" s="14">
        <v>1.8571428571428601</v>
      </c>
      <c r="AB422" s="14">
        <v>2.1428571428571401</v>
      </c>
      <c r="AC422" s="14">
        <v>0.8</v>
      </c>
      <c r="AD422" s="14">
        <v>2</v>
      </c>
    </row>
    <row r="423" spans="1:30" x14ac:dyDescent="0.3">
      <c r="A423" s="1" t="s">
        <v>2673</v>
      </c>
      <c r="B423" s="13" t="s">
        <v>994</v>
      </c>
      <c r="C423" s="14">
        <v>3.1666666666666701</v>
      </c>
      <c r="D423" s="14">
        <v>1.8333333333333299</v>
      </c>
      <c r="E423" s="15">
        <v>6</v>
      </c>
      <c r="F423" s="15">
        <v>6</v>
      </c>
      <c r="G423" s="15">
        <v>12</v>
      </c>
      <c r="H423" s="14">
        <v>1.25</v>
      </c>
      <c r="I423" s="14">
        <v>2.6</v>
      </c>
      <c r="J423" s="16">
        <v>0.25</v>
      </c>
      <c r="K423" s="16">
        <v>0.91666666666666696</v>
      </c>
      <c r="L423" s="16">
        <v>0.66666666666666696</v>
      </c>
      <c r="M423" s="16">
        <v>0.58333333333333304</v>
      </c>
      <c r="N423" s="16">
        <v>0.25</v>
      </c>
      <c r="O423" s="16">
        <v>0.5</v>
      </c>
      <c r="P423" s="14">
        <v>1.1875</v>
      </c>
      <c r="Q423" s="14">
        <v>1.08972473588517</v>
      </c>
      <c r="R423" s="1" t="s">
        <v>10653</v>
      </c>
      <c r="S423" s="14">
        <v>12</v>
      </c>
      <c r="T423" s="14">
        <v>3</v>
      </c>
      <c r="U423" s="14">
        <v>15</v>
      </c>
      <c r="V423" s="14">
        <v>1.25</v>
      </c>
      <c r="W423" s="14">
        <v>7</v>
      </c>
      <c r="X423" s="14">
        <v>8</v>
      </c>
      <c r="Y423" s="14">
        <v>15</v>
      </c>
      <c r="Z423" s="14">
        <v>1.25</v>
      </c>
      <c r="AA423" s="14">
        <v>2</v>
      </c>
      <c r="AB423" s="14">
        <v>1.1666666666666701</v>
      </c>
      <c r="AC423" s="14">
        <v>0.5</v>
      </c>
      <c r="AD423" s="14">
        <v>1.3333333333333299</v>
      </c>
    </row>
    <row r="424" spans="1:30" x14ac:dyDescent="0.3">
      <c r="A424" s="1" t="s">
        <v>763</v>
      </c>
      <c r="B424" s="13" t="s">
        <v>844</v>
      </c>
      <c r="C424" s="14">
        <v>3.5</v>
      </c>
      <c r="D424" s="14">
        <v>4.5</v>
      </c>
      <c r="E424" s="15">
        <v>6</v>
      </c>
      <c r="F424" s="15">
        <v>6</v>
      </c>
      <c r="G424" s="15">
        <v>12</v>
      </c>
      <c r="H424" s="14">
        <v>1.8333333333333299</v>
      </c>
      <c r="I424" s="14">
        <v>3.57</v>
      </c>
      <c r="J424" s="16">
        <v>0.16666666666666699</v>
      </c>
      <c r="K424" s="16">
        <v>1</v>
      </c>
      <c r="L424" s="16">
        <v>0.91666666666666696</v>
      </c>
      <c r="M424" s="16">
        <v>0.75</v>
      </c>
      <c r="N424" s="16">
        <v>0.58333333333333304</v>
      </c>
      <c r="O424" s="16">
        <v>0.75</v>
      </c>
      <c r="P424" s="14">
        <v>2.4722222222222201</v>
      </c>
      <c r="Q424" s="14">
        <v>1.5723301886761001</v>
      </c>
      <c r="R424" s="1" t="s">
        <v>10653</v>
      </c>
      <c r="S424" s="14">
        <v>12</v>
      </c>
      <c r="T424" s="14">
        <v>10</v>
      </c>
      <c r="U424" s="14">
        <v>22</v>
      </c>
      <c r="V424" s="14">
        <v>1.8333333333333299</v>
      </c>
      <c r="W424" s="14">
        <v>9</v>
      </c>
      <c r="X424" s="14">
        <v>17</v>
      </c>
      <c r="Y424" s="14">
        <v>26</v>
      </c>
      <c r="Z424" s="14">
        <v>2.1666666666666701</v>
      </c>
      <c r="AA424" s="14">
        <v>2</v>
      </c>
      <c r="AB424" s="14">
        <v>1.5</v>
      </c>
      <c r="AC424" s="14">
        <v>1.6666666666666701</v>
      </c>
      <c r="AD424" s="14">
        <v>2.8333333333333299</v>
      </c>
    </row>
    <row r="425" spans="1:30" x14ac:dyDescent="0.3">
      <c r="A425" s="1" t="s">
        <v>283</v>
      </c>
      <c r="B425" s="13" t="s">
        <v>1339</v>
      </c>
      <c r="C425" s="14">
        <v>3.6666666666666701</v>
      </c>
      <c r="D425" s="14">
        <v>2.1666666666666701</v>
      </c>
      <c r="E425" s="15">
        <v>6</v>
      </c>
      <c r="F425" s="15">
        <v>6</v>
      </c>
      <c r="G425" s="15">
        <v>12</v>
      </c>
      <c r="H425" s="14">
        <v>1.9166666666666701</v>
      </c>
      <c r="I425" s="14">
        <v>2.5</v>
      </c>
      <c r="J425" s="16">
        <v>0.16666666666666699</v>
      </c>
      <c r="K425" s="16">
        <v>0.83333333333333304</v>
      </c>
      <c r="L425" s="16">
        <v>0.83333333333333304</v>
      </c>
      <c r="M425" s="16">
        <v>0.66666666666666696</v>
      </c>
      <c r="N425" s="16">
        <v>0.41666666666666702</v>
      </c>
      <c r="O425" s="16">
        <v>0.66666666666666696</v>
      </c>
      <c r="P425" s="14">
        <v>1.24305555555556</v>
      </c>
      <c r="Q425" s="14">
        <v>1.11492401335497</v>
      </c>
      <c r="R425" s="1" t="s">
        <v>10653</v>
      </c>
      <c r="S425" s="14">
        <v>14</v>
      </c>
      <c r="T425" s="14">
        <v>9</v>
      </c>
      <c r="U425" s="14">
        <v>23</v>
      </c>
      <c r="V425" s="14">
        <v>1.9166666666666701</v>
      </c>
      <c r="W425" s="14">
        <v>8</v>
      </c>
      <c r="X425" s="14">
        <v>4</v>
      </c>
      <c r="Y425" s="14">
        <v>12</v>
      </c>
      <c r="Z425" s="14">
        <v>1</v>
      </c>
      <c r="AA425" s="14">
        <v>2.3333333333333299</v>
      </c>
      <c r="AB425" s="14">
        <v>1.3333333333333299</v>
      </c>
      <c r="AC425" s="14">
        <v>1.5</v>
      </c>
      <c r="AD425" s="14">
        <v>0.66666666666666696</v>
      </c>
    </row>
    <row r="426" spans="1:30" x14ac:dyDescent="0.3">
      <c r="A426" s="1" t="s">
        <v>6631</v>
      </c>
      <c r="B426" s="13" t="s">
        <v>1338</v>
      </c>
      <c r="C426" s="14">
        <v>2.8333333333333299</v>
      </c>
      <c r="D426" s="14">
        <v>3.5</v>
      </c>
      <c r="E426" s="15">
        <v>6</v>
      </c>
      <c r="F426" s="15">
        <v>6</v>
      </c>
      <c r="G426" s="15">
        <v>12</v>
      </c>
      <c r="H426" s="14">
        <v>1.8333333333333299</v>
      </c>
      <c r="I426" s="14">
        <v>2.5</v>
      </c>
      <c r="J426" s="16">
        <v>0.33333333333333298</v>
      </c>
      <c r="K426" s="16">
        <v>0.83333333333333304</v>
      </c>
      <c r="L426" s="16">
        <v>0.75</v>
      </c>
      <c r="M426" s="16">
        <v>0.5</v>
      </c>
      <c r="N426" s="16">
        <v>0.5</v>
      </c>
      <c r="O426" s="16">
        <v>0.41666666666666702</v>
      </c>
      <c r="P426" s="14">
        <v>3.6388888888888902</v>
      </c>
      <c r="Q426" s="14">
        <v>1.9075871903766</v>
      </c>
      <c r="R426" s="1" t="s">
        <v>1541</v>
      </c>
      <c r="S426" s="14">
        <v>10</v>
      </c>
      <c r="T426" s="14">
        <v>12</v>
      </c>
      <c r="U426" s="14">
        <v>22</v>
      </c>
      <c r="V426" s="14">
        <v>1.8333333333333299</v>
      </c>
      <c r="W426" s="14">
        <v>7</v>
      </c>
      <c r="X426" s="14">
        <v>9</v>
      </c>
      <c r="Y426" s="14">
        <v>16</v>
      </c>
      <c r="Z426" s="14">
        <v>1.3333333333333299</v>
      </c>
      <c r="AA426" s="14">
        <v>1.6666666666666701</v>
      </c>
      <c r="AB426" s="14">
        <v>1.1666666666666701</v>
      </c>
      <c r="AC426" s="14">
        <v>2</v>
      </c>
      <c r="AD426" s="14">
        <v>1.5</v>
      </c>
    </row>
    <row r="427" spans="1:30" x14ac:dyDescent="0.3">
      <c r="A427" s="1" t="s">
        <v>5301</v>
      </c>
      <c r="B427" s="13" t="s">
        <v>1339</v>
      </c>
      <c r="C427" s="14">
        <v>3</v>
      </c>
      <c r="D427" s="14">
        <v>3</v>
      </c>
      <c r="E427" s="15">
        <v>8</v>
      </c>
      <c r="F427" s="15">
        <v>4</v>
      </c>
      <c r="G427" s="15">
        <v>12</v>
      </c>
      <c r="H427" s="14">
        <v>1.5</v>
      </c>
      <c r="I427" s="14">
        <v>2.5</v>
      </c>
      <c r="J427" s="16">
        <v>0</v>
      </c>
      <c r="K427" s="16">
        <v>1</v>
      </c>
      <c r="L427" s="16">
        <v>0.75</v>
      </c>
      <c r="M427" s="16">
        <v>0.66666666666666696</v>
      </c>
      <c r="N427" s="16">
        <v>0.33333333333333298</v>
      </c>
      <c r="O427" s="16">
        <v>0.75</v>
      </c>
      <c r="P427" s="14">
        <v>0.41666666666666702</v>
      </c>
      <c r="Q427" s="14">
        <v>0.64549722436790302</v>
      </c>
      <c r="R427" s="1" t="s">
        <v>10653</v>
      </c>
      <c r="S427" s="14">
        <v>12</v>
      </c>
      <c r="T427" s="14">
        <v>6</v>
      </c>
      <c r="U427" s="14">
        <v>18</v>
      </c>
      <c r="V427" s="14">
        <v>1.5</v>
      </c>
      <c r="W427" s="14">
        <v>12</v>
      </c>
      <c r="X427" s="14">
        <v>6</v>
      </c>
      <c r="Y427" s="14">
        <v>18</v>
      </c>
      <c r="Z427" s="14">
        <v>1.5</v>
      </c>
      <c r="AA427" s="14">
        <v>1.5</v>
      </c>
      <c r="AB427" s="14">
        <v>1.5</v>
      </c>
      <c r="AC427" s="14">
        <v>1.5</v>
      </c>
      <c r="AD427" s="14">
        <v>1.5</v>
      </c>
    </row>
    <row r="428" spans="1:30" x14ac:dyDescent="0.3">
      <c r="A428" s="1" t="s">
        <v>279</v>
      </c>
      <c r="B428" s="13" t="s">
        <v>966</v>
      </c>
      <c r="C428" s="14">
        <v>3.28571428571429</v>
      </c>
      <c r="D428" s="14">
        <v>3</v>
      </c>
      <c r="E428" s="15">
        <v>7</v>
      </c>
      <c r="F428" s="15">
        <v>5</v>
      </c>
      <c r="G428" s="15">
        <v>12</v>
      </c>
      <c r="H428" s="14">
        <v>1.5</v>
      </c>
      <c r="I428" s="14">
        <v>2.5</v>
      </c>
      <c r="J428" s="16">
        <v>0.16666666666666699</v>
      </c>
      <c r="K428" s="16">
        <v>1</v>
      </c>
      <c r="L428" s="16">
        <v>0.91666666666666696</v>
      </c>
      <c r="M428" s="16">
        <v>0.58333333333333304</v>
      </c>
      <c r="N428" s="16">
        <v>0.5</v>
      </c>
      <c r="O428" s="16">
        <v>0.75</v>
      </c>
      <c r="P428" s="14">
        <v>1.5833333333333299</v>
      </c>
      <c r="Q428" s="14">
        <v>1.25830573921179</v>
      </c>
      <c r="R428" s="1" t="s">
        <v>10653</v>
      </c>
      <c r="S428" s="14">
        <v>10</v>
      </c>
      <c r="T428" s="14">
        <v>8</v>
      </c>
      <c r="U428" s="14">
        <v>18</v>
      </c>
      <c r="V428" s="14">
        <v>1.5</v>
      </c>
      <c r="W428" s="14">
        <v>13</v>
      </c>
      <c r="X428" s="14">
        <v>7</v>
      </c>
      <c r="Y428" s="14">
        <v>20</v>
      </c>
      <c r="Z428" s="14">
        <v>1.6666666666666701</v>
      </c>
      <c r="AA428" s="14">
        <v>1.4285714285714299</v>
      </c>
      <c r="AB428" s="14">
        <v>1.8571428571428601</v>
      </c>
      <c r="AC428" s="14">
        <v>1.6</v>
      </c>
      <c r="AD428" s="14">
        <v>1.4</v>
      </c>
    </row>
    <row r="429" spans="1:30" x14ac:dyDescent="0.3">
      <c r="A429" s="1" t="s">
        <v>3414</v>
      </c>
      <c r="B429" s="13" t="s">
        <v>3426</v>
      </c>
      <c r="C429" s="14">
        <v>3.1428571428571401</v>
      </c>
      <c r="D429" s="14">
        <v>3</v>
      </c>
      <c r="E429" s="15">
        <v>7</v>
      </c>
      <c r="F429" s="15">
        <v>5</v>
      </c>
      <c r="G429" s="15">
        <v>12</v>
      </c>
      <c r="H429" s="14">
        <v>1.0833333333333299</v>
      </c>
      <c r="I429" s="14">
        <v>2.5</v>
      </c>
      <c r="J429" s="16">
        <v>0.25</v>
      </c>
      <c r="K429" s="16">
        <v>0.91666666666666696</v>
      </c>
      <c r="L429" s="16">
        <v>0.83333333333333304</v>
      </c>
      <c r="M429" s="16">
        <v>0.75</v>
      </c>
      <c r="N429" s="16">
        <v>0.41666666666666702</v>
      </c>
      <c r="O429" s="16">
        <v>0.66666666666666696</v>
      </c>
      <c r="P429" s="14">
        <v>0.74305555555555602</v>
      </c>
      <c r="Q429" s="14">
        <v>0.862006702732384</v>
      </c>
      <c r="R429" s="1" t="s">
        <v>10653</v>
      </c>
      <c r="S429" s="14">
        <v>10</v>
      </c>
      <c r="T429" s="14">
        <v>3</v>
      </c>
      <c r="U429" s="14">
        <v>13</v>
      </c>
      <c r="V429" s="14">
        <v>1.0833333333333299</v>
      </c>
      <c r="W429" s="14">
        <v>12</v>
      </c>
      <c r="X429" s="14">
        <v>12</v>
      </c>
      <c r="Y429" s="14">
        <v>24</v>
      </c>
      <c r="Z429" s="14">
        <v>2</v>
      </c>
      <c r="AA429" s="14">
        <v>1.4285714285714299</v>
      </c>
      <c r="AB429" s="14">
        <v>1.71428571428571</v>
      </c>
      <c r="AC429" s="14">
        <v>0.6</v>
      </c>
      <c r="AD429" s="14">
        <v>2.4</v>
      </c>
    </row>
    <row r="430" spans="1:30" x14ac:dyDescent="0.3">
      <c r="A430" s="1" t="s">
        <v>304</v>
      </c>
      <c r="B430" s="13" t="s">
        <v>1336</v>
      </c>
      <c r="C430" s="14">
        <v>3.6666666666666701</v>
      </c>
      <c r="D430" s="14">
        <v>3</v>
      </c>
      <c r="E430" s="15">
        <v>6</v>
      </c>
      <c r="F430" s="15">
        <v>6</v>
      </c>
      <c r="G430" s="15">
        <v>12</v>
      </c>
      <c r="H430" s="14">
        <v>1</v>
      </c>
      <c r="I430" s="14">
        <v>3.79</v>
      </c>
      <c r="J430" s="16">
        <v>0.41666666666666702</v>
      </c>
      <c r="K430" s="16">
        <v>1</v>
      </c>
      <c r="L430" s="16">
        <v>0.83333333333333304</v>
      </c>
      <c r="M430" s="16">
        <v>0.41666666666666702</v>
      </c>
      <c r="N430" s="16">
        <v>0.33333333333333298</v>
      </c>
      <c r="O430" s="16">
        <v>0.5</v>
      </c>
      <c r="P430" s="14">
        <v>1</v>
      </c>
      <c r="Q430" s="14">
        <v>1</v>
      </c>
      <c r="R430" s="1" t="s">
        <v>10653</v>
      </c>
      <c r="S430" s="14">
        <v>7</v>
      </c>
      <c r="T430" s="14">
        <v>5</v>
      </c>
      <c r="U430" s="14">
        <v>12</v>
      </c>
      <c r="V430" s="14">
        <v>1</v>
      </c>
      <c r="W430" s="14">
        <v>15</v>
      </c>
      <c r="X430" s="14">
        <v>13</v>
      </c>
      <c r="Y430" s="14">
        <v>28</v>
      </c>
      <c r="Z430" s="14">
        <v>2.3333333333333299</v>
      </c>
      <c r="AA430" s="14">
        <v>1.1666666666666701</v>
      </c>
      <c r="AB430" s="14">
        <v>2.5</v>
      </c>
      <c r="AC430" s="14">
        <v>0.83333333333333304</v>
      </c>
      <c r="AD430" s="14">
        <v>2.1666666666666701</v>
      </c>
    </row>
    <row r="431" spans="1:30" x14ac:dyDescent="0.3">
      <c r="A431" s="1" t="s">
        <v>3360</v>
      </c>
      <c r="B431" s="13" t="s">
        <v>3426</v>
      </c>
      <c r="C431" s="14">
        <v>4.4285714285714297</v>
      </c>
      <c r="D431" s="14">
        <v>3.2</v>
      </c>
      <c r="E431" s="15">
        <v>7</v>
      </c>
      <c r="F431" s="15">
        <v>5</v>
      </c>
      <c r="G431" s="15">
        <v>12</v>
      </c>
      <c r="H431" s="14">
        <v>2.4166666666666701</v>
      </c>
      <c r="I431" s="14">
        <v>2.5</v>
      </c>
      <c r="J431" s="16">
        <v>0.16666666666666699</v>
      </c>
      <c r="K431" s="16">
        <v>1</v>
      </c>
      <c r="L431" s="16">
        <v>0.91666666666666696</v>
      </c>
      <c r="M431" s="16">
        <v>0.75</v>
      </c>
      <c r="N431" s="16">
        <v>0.41666666666666702</v>
      </c>
      <c r="O431" s="16">
        <v>0.58333333333333304</v>
      </c>
      <c r="P431" s="14">
        <v>3.2430555555555598</v>
      </c>
      <c r="Q431" s="14">
        <v>1.8008485654145301</v>
      </c>
      <c r="R431" s="1" t="s">
        <v>10653</v>
      </c>
      <c r="S431" s="14">
        <v>20</v>
      </c>
      <c r="T431" s="14">
        <v>9</v>
      </c>
      <c r="U431" s="14">
        <v>29</v>
      </c>
      <c r="V431" s="14">
        <v>2.4166666666666701</v>
      </c>
      <c r="W431" s="14">
        <v>11</v>
      </c>
      <c r="X431" s="14">
        <v>7</v>
      </c>
      <c r="Y431" s="14">
        <v>18</v>
      </c>
      <c r="Z431" s="14">
        <v>1.5</v>
      </c>
      <c r="AA431" s="14">
        <v>2.8571428571428599</v>
      </c>
      <c r="AB431" s="14">
        <v>1.5714285714285701</v>
      </c>
      <c r="AC431" s="14">
        <v>1.8</v>
      </c>
      <c r="AD431" s="14">
        <v>1.4</v>
      </c>
    </row>
    <row r="432" spans="1:30" x14ac:dyDescent="0.3">
      <c r="A432" s="1" t="s">
        <v>4090</v>
      </c>
      <c r="B432" s="13" t="s">
        <v>4055</v>
      </c>
      <c r="C432" s="14">
        <v>3.6</v>
      </c>
      <c r="D432" s="14">
        <v>1.8571428571428601</v>
      </c>
      <c r="E432" s="15">
        <v>5</v>
      </c>
      <c r="F432" s="15">
        <v>7</v>
      </c>
      <c r="G432" s="15">
        <v>12</v>
      </c>
      <c r="H432" s="14">
        <v>1.5</v>
      </c>
      <c r="I432" s="14">
        <v>2.5</v>
      </c>
      <c r="J432" s="16">
        <v>0.25</v>
      </c>
      <c r="K432" s="16">
        <v>0.91666666666666696</v>
      </c>
      <c r="L432" s="16">
        <v>0.66666666666666696</v>
      </c>
      <c r="M432" s="16">
        <v>0.58333333333333304</v>
      </c>
      <c r="N432" s="16">
        <v>0.25</v>
      </c>
      <c r="O432" s="16">
        <v>0.5</v>
      </c>
      <c r="P432" s="14">
        <v>1.75</v>
      </c>
      <c r="Q432" s="14">
        <v>1.3228756555323</v>
      </c>
      <c r="R432" s="1" t="s">
        <v>10653</v>
      </c>
      <c r="S432" s="14">
        <v>12</v>
      </c>
      <c r="T432" s="14">
        <v>6</v>
      </c>
      <c r="U432" s="14">
        <v>18</v>
      </c>
      <c r="V432" s="14">
        <v>1.5</v>
      </c>
      <c r="W432" s="14">
        <v>6</v>
      </c>
      <c r="X432" s="14">
        <v>7</v>
      </c>
      <c r="Y432" s="14">
        <v>13</v>
      </c>
      <c r="Z432" s="14">
        <v>1.0833333333333299</v>
      </c>
      <c r="AA432" s="14">
        <v>2.4</v>
      </c>
      <c r="AB432" s="14">
        <v>1.2</v>
      </c>
      <c r="AC432" s="14">
        <v>0.85714285714285698</v>
      </c>
      <c r="AD432" s="14">
        <v>1</v>
      </c>
    </row>
    <row r="433" spans="1:30" x14ac:dyDescent="0.3">
      <c r="A433" s="1" t="s">
        <v>3410</v>
      </c>
      <c r="B433" s="13" t="s">
        <v>3426</v>
      </c>
      <c r="C433" s="14">
        <v>2.5</v>
      </c>
      <c r="D433" s="14">
        <v>1.6666666666666701</v>
      </c>
      <c r="E433" s="15">
        <v>6</v>
      </c>
      <c r="F433" s="15">
        <v>6</v>
      </c>
      <c r="G433" s="15">
        <v>12</v>
      </c>
      <c r="H433" s="14">
        <v>1.5</v>
      </c>
      <c r="I433" s="14">
        <v>2.5</v>
      </c>
      <c r="J433" s="16">
        <v>0.25</v>
      </c>
      <c r="K433" s="16">
        <v>0.91666666666666696</v>
      </c>
      <c r="L433" s="16">
        <v>0.58333333333333304</v>
      </c>
      <c r="M433" s="16">
        <v>0.41666666666666702</v>
      </c>
      <c r="N433" s="16">
        <v>0.16666666666666699</v>
      </c>
      <c r="O433" s="16">
        <v>0.33333333333333298</v>
      </c>
      <c r="P433" s="14">
        <v>1.25</v>
      </c>
      <c r="Q433" s="14">
        <v>1.11803398874989</v>
      </c>
      <c r="R433" s="1" t="s">
        <v>10653</v>
      </c>
      <c r="S433" s="14">
        <v>13</v>
      </c>
      <c r="T433" s="14">
        <v>5</v>
      </c>
      <c r="U433" s="14">
        <v>18</v>
      </c>
      <c r="V433" s="14">
        <v>1.5</v>
      </c>
      <c r="W433" s="14">
        <v>2</v>
      </c>
      <c r="X433" s="14">
        <v>5</v>
      </c>
      <c r="Y433" s="14">
        <v>7</v>
      </c>
      <c r="Z433" s="14">
        <v>0.58333333333333304</v>
      </c>
      <c r="AA433" s="14">
        <v>2.1666666666666701</v>
      </c>
      <c r="AB433" s="14">
        <v>0.33333333333333298</v>
      </c>
      <c r="AC433" s="14">
        <v>0.83333333333333304</v>
      </c>
      <c r="AD433" s="14">
        <v>0.83333333333333304</v>
      </c>
    </row>
    <row r="434" spans="1:30" x14ac:dyDescent="0.3">
      <c r="A434" s="1" t="s">
        <v>3372</v>
      </c>
      <c r="B434" s="13" t="s">
        <v>3426</v>
      </c>
      <c r="C434" s="14">
        <v>1.2</v>
      </c>
      <c r="D434" s="14">
        <v>3.28571428571429</v>
      </c>
      <c r="E434" s="15">
        <v>5</v>
      </c>
      <c r="F434" s="15">
        <v>7</v>
      </c>
      <c r="G434" s="15">
        <v>12</v>
      </c>
      <c r="H434" s="14">
        <v>0.75</v>
      </c>
      <c r="I434" s="14">
        <v>2.5</v>
      </c>
      <c r="J434" s="16">
        <v>0.33333333333333298</v>
      </c>
      <c r="K434" s="16">
        <v>0.91666666666666696</v>
      </c>
      <c r="L434" s="16">
        <v>0.5</v>
      </c>
      <c r="M434" s="16">
        <v>0.41666666666666702</v>
      </c>
      <c r="N434" s="16">
        <v>0.25</v>
      </c>
      <c r="O434" s="16">
        <v>0.41666666666666702</v>
      </c>
      <c r="P434" s="14">
        <v>0.35416666666666702</v>
      </c>
      <c r="Q434" s="14">
        <v>0.59511903571190405</v>
      </c>
      <c r="R434" s="1" t="s">
        <v>10653</v>
      </c>
      <c r="S434" s="14">
        <v>3</v>
      </c>
      <c r="T434" s="14">
        <v>6</v>
      </c>
      <c r="U434" s="14">
        <v>9</v>
      </c>
      <c r="V434" s="14">
        <v>0.75</v>
      </c>
      <c r="W434" s="14">
        <v>3</v>
      </c>
      <c r="X434" s="14">
        <v>17</v>
      </c>
      <c r="Y434" s="14">
        <v>20</v>
      </c>
      <c r="Z434" s="14">
        <v>1.6666666666666701</v>
      </c>
      <c r="AA434" s="14">
        <v>0.6</v>
      </c>
      <c r="AB434" s="14">
        <v>0.6</v>
      </c>
      <c r="AC434" s="14">
        <v>0.85714285714285698</v>
      </c>
      <c r="AD434" s="14">
        <v>2.4285714285714302</v>
      </c>
    </row>
    <row r="435" spans="1:30" x14ac:dyDescent="0.3">
      <c r="A435" s="1" t="s">
        <v>677</v>
      </c>
      <c r="B435" s="13" t="s">
        <v>1332</v>
      </c>
      <c r="C435" s="14">
        <v>3.8</v>
      </c>
      <c r="D435" s="14">
        <v>3.28571428571429</v>
      </c>
      <c r="E435" s="15">
        <v>5</v>
      </c>
      <c r="F435" s="15">
        <v>7</v>
      </c>
      <c r="G435" s="15">
        <v>12</v>
      </c>
      <c r="H435" s="14">
        <v>1.3333333333333299</v>
      </c>
      <c r="I435" s="14">
        <v>3.62</v>
      </c>
      <c r="J435" s="16">
        <v>0.25</v>
      </c>
      <c r="K435" s="16">
        <v>1</v>
      </c>
      <c r="L435" s="16">
        <v>0.91666666666666696</v>
      </c>
      <c r="M435" s="16">
        <v>0.66666666666666696</v>
      </c>
      <c r="N435" s="16">
        <v>0.41666666666666702</v>
      </c>
      <c r="O435" s="16">
        <v>0.66666666666666696</v>
      </c>
      <c r="P435" s="14">
        <v>1.8888888888888899</v>
      </c>
      <c r="Q435" s="14">
        <v>1.37436854187255</v>
      </c>
      <c r="R435" s="1" t="s">
        <v>10653</v>
      </c>
      <c r="S435" s="14">
        <v>11</v>
      </c>
      <c r="T435" s="14">
        <v>5</v>
      </c>
      <c r="U435" s="14">
        <v>16</v>
      </c>
      <c r="V435" s="14">
        <v>1.3333333333333299</v>
      </c>
      <c r="W435" s="14">
        <v>8</v>
      </c>
      <c r="X435" s="14">
        <v>18</v>
      </c>
      <c r="Y435" s="14">
        <v>26</v>
      </c>
      <c r="Z435" s="14">
        <v>2.1666666666666701</v>
      </c>
      <c r="AA435" s="14">
        <v>2.2000000000000002</v>
      </c>
      <c r="AB435" s="14">
        <v>1.6</v>
      </c>
      <c r="AC435" s="14">
        <v>0.71428571428571397</v>
      </c>
      <c r="AD435" s="14">
        <v>2.5714285714285698</v>
      </c>
    </row>
    <row r="436" spans="1:30" x14ac:dyDescent="0.3">
      <c r="A436" s="1" t="s">
        <v>2182</v>
      </c>
      <c r="B436" s="13" t="s">
        <v>2230</v>
      </c>
      <c r="C436" s="14">
        <v>3.5714285714285698</v>
      </c>
      <c r="D436" s="14">
        <v>2.6</v>
      </c>
      <c r="E436" s="15">
        <v>7</v>
      </c>
      <c r="F436" s="15">
        <v>5</v>
      </c>
      <c r="G436" s="15">
        <v>12</v>
      </c>
      <c r="H436" s="14">
        <v>1.3333333333333299</v>
      </c>
      <c r="I436" s="14">
        <v>2.72</v>
      </c>
      <c r="J436" s="16">
        <v>0.16666666666666699</v>
      </c>
      <c r="K436" s="16">
        <v>1</v>
      </c>
      <c r="L436" s="16">
        <v>0.83333333333333304</v>
      </c>
      <c r="M436" s="16">
        <v>0.58333333333333304</v>
      </c>
      <c r="N436" s="16">
        <v>0.5</v>
      </c>
      <c r="O436" s="16">
        <v>0.58333333333333304</v>
      </c>
      <c r="P436" s="14">
        <v>0.88888888888888895</v>
      </c>
      <c r="Q436" s="14">
        <v>0.94280904158206302</v>
      </c>
      <c r="R436" s="1" t="s">
        <v>10653</v>
      </c>
      <c r="S436" s="14">
        <v>12</v>
      </c>
      <c r="T436" s="14">
        <v>4</v>
      </c>
      <c r="U436" s="14">
        <v>16</v>
      </c>
      <c r="V436" s="14">
        <v>1.3333333333333299</v>
      </c>
      <c r="W436" s="14">
        <v>13</v>
      </c>
      <c r="X436" s="14">
        <v>9</v>
      </c>
      <c r="Y436" s="14">
        <v>22</v>
      </c>
      <c r="Z436" s="14">
        <v>1.8333333333333299</v>
      </c>
      <c r="AA436" s="14">
        <v>1.71428571428571</v>
      </c>
      <c r="AB436" s="14">
        <v>1.8571428571428601</v>
      </c>
      <c r="AC436" s="14">
        <v>0.8</v>
      </c>
      <c r="AD436" s="14">
        <v>1.8</v>
      </c>
    </row>
    <row r="437" spans="1:30" x14ac:dyDescent="0.3">
      <c r="A437" s="1" t="s">
        <v>5307</v>
      </c>
      <c r="B437" s="13" t="s">
        <v>1339</v>
      </c>
      <c r="C437" s="14">
        <v>2.3333333333333299</v>
      </c>
      <c r="D437" s="14">
        <v>4.3333333333333304</v>
      </c>
      <c r="E437" s="15">
        <v>6</v>
      </c>
      <c r="F437" s="15">
        <v>6</v>
      </c>
      <c r="G437" s="15">
        <v>12</v>
      </c>
      <c r="H437" s="14">
        <v>0.58333333333333304</v>
      </c>
      <c r="I437" s="14">
        <v>2.5</v>
      </c>
      <c r="J437" s="16">
        <v>0.66666666666666696</v>
      </c>
      <c r="K437" s="16">
        <v>0.91666666666666696</v>
      </c>
      <c r="L437" s="16">
        <v>0.83333333333333304</v>
      </c>
      <c r="M437" s="16">
        <v>0.75</v>
      </c>
      <c r="N437" s="16">
        <v>0.5</v>
      </c>
      <c r="O437" s="16">
        <v>0.33333333333333298</v>
      </c>
      <c r="P437" s="14">
        <v>0.74305555555555503</v>
      </c>
      <c r="Q437" s="14">
        <v>0.862006702732383</v>
      </c>
      <c r="R437" s="1" t="s">
        <v>10653</v>
      </c>
      <c r="S437" s="14">
        <v>2</v>
      </c>
      <c r="T437" s="14">
        <v>5</v>
      </c>
      <c r="U437" s="14">
        <v>7</v>
      </c>
      <c r="V437" s="14">
        <v>0.58333333333333304</v>
      </c>
      <c r="W437" s="14">
        <v>12</v>
      </c>
      <c r="X437" s="14">
        <v>21</v>
      </c>
      <c r="Y437" s="14">
        <v>33</v>
      </c>
      <c r="Z437" s="14">
        <v>2.75</v>
      </c>
      <c r="AA437" s="14">
        <v>0.33333333333333298</v>
      </c>
      <c r="AB437" s="14">
        <v>2</v>
      </c>
      <c r="AC437" s="14">
        <v>0.83333333333333304</v>
      </c>
      <c r="AD437" s="14">
        <v>3.5</v>
      </c>
    </row>
    <row r="438" spans="1:30" x14ac:dyDescent="0.3">
      <c r="A438" s="1" t="s">
        <v>6639</v>
      </c>
      <c r="B438" s="13" t="s">
        <v>1338</v>
      </c>
      <c r="C438" s="14">
        <v>4</v>
      </c>
      <c r="D438" s="14">
        <v>3.6</v>
      </c>
      <c r="E438" s="15">
        <v>7</v>
      </c>
      <c r="F438" s="15">
        <v>5</v>
      </c>
      <c r="G438" s="15">
        <v>12</v>
      </c>
      <c r="H438" s="14">
        <v>1.5833333333333299</v>
      </c>
      <c r="I438" s="14">
        <v>2.5</v>
      </c>
      <c r="J438" s="16">
        <v>0.41666666666666702</v>
      </c>
      <c r="K438" s="16">
        <v>1</v>
      </c>
      <c r="L438" s="16">
        <v>0.91666666666666696</v>
      </c>
      <c r="M438" s="16">
        <v>0.75</v>
      </c>
      <c r="N438" s="16">
        <v>0.58333333333333304</v>
      </c>
      <c r="O438" s="16">
        <v>0.58333333333333304</v>
      </c>
      <c r="P438" s="14">
        <v>3.2430555555555598</v>
      </c>
      <c r="Q438" s="14">
        <v>1.8008485654145301</v>
      </c>
      <c r="R438" s="1" t="s">
        <v>1541</v>
      </c>
      <c r="S438" s="14">
        <v>15</v>
      </c>
      <c r="T438" s="14">
        <v>4</v>
      </c>
      <c r="U438" s="14">
        <v>19</v>
      </c>
      <c r="V438" s="14">
        <v>1.5833333333333299</v>
      </c>
      <c r="W438" s="14">
        <v>13</v>
      </c>
      <c r="X438" s="14">
        <v>14</v>
      </c>
      <c r="Y438" s="14">
        <v>27</v>
      </c>
      <c r="Z438" s="14">
        <v>2.25</v>
      </c>
      <c r="AA438" s="14">
        <v>2.1428571428571401</v>
      </c>
      <c r="AB438" s="14">
        <v>1.8571428571428601</v>
      </c>
      <c r="AC438" s="14">
        <v>0.8</v>
      </c>
      <c r="AD438" s="14">
        <v>2.8</v>
      </c>
    </row>
    <row r="439" spans="1:30" x14ac:dyDescent="0.3">
      <c r="A439" s="1" t="s">
        <v>939</v>
      </c>
      <c r="B439" s="13" t="s">
        <v>4290</v>
      </c>
      <c r="C439" s="14">
        <v>4.5999999999999996</v>
      </c>
      <c r="D439" s="14">
        <v>2.71428571428571</v>
      </c>
      <c r="E439" s="15">
        <v>5</v>
      </c>
      <c r="F439" s="15">
        <v>7</v>
      </c>
      <c r="G439" s="15">
        <v>12</v>
      </c>
      <c r="H439" s="14">
        <v>1.5</v>
      </c>
      <c r="I439" s="14">
        <v>2.5</v>
      </c>
      <c r="J439" s="16">
        <v>0.25</v>
      </c>
      <c r="K439" s="16">
        <v>1</v>
      </c>
      <c r="L439" s="16">
        <v>0.75</v>
      </c>
      <c r="M439" s="16">
        <v>0.58333333333333304</v>
      </c>
      <c r="N439" s="16">
        <v>0.58333333333333304</v>
      </c>
      <c r="O439" s="16">
        <v>0.66666666666666696</v>
      </c>
      <c r="P439" s="14">
        <v>1.5833333333333299</v>
      </c>
      <c r="Q439" s="14">
        <v>1.25830573921179</v>
      </c>
      <c r="R439" s="1" t="s">
        <v>10653</v>
      </c>
      <c r="S439" s="14">
        <v>9</v>
      </c>
      <c r="T439" s="14">
        <v>9</v>
      </c>
      <c r="U439" s="14">
        <v>18</v>
      </c>
      <c r="V439" s="14">
        <v>1.5</v>
      </c>
      <c r="W439" s="14">
        <v>14</v>
      </c>
      <c r="X439" s="14">
        <v>10</v>
      </c>
      <c r="Y439" s="14">
        <v>24</v>
      </c>
      <c r="Z439" s="14">
        <v>2</v>
      </c>
      <c r="AA439" s="14">
        <v>1.8</v>
      </c>
      <c r="AB439" s="14">
        <v>2.8</v>
      </c>
      <c r="AC439" s="14">
        <v>1.28571428571429</v>
      </c>
      <c r="AD439" s="14">
        <v>1.4285714285714299</v>
      </c>
    </row>
    <row r="440" spans="1:30" x14ac:dyDescent="0.3">
      <c r="A440" s="1" t="s">
        <v>230</v>
      </c>
      <c r="B440" s="13" t="s">
        <v>2574</v>
      </c>
      <c r="C440" s="14">
        <v>2.71428571428571</v>
      </c>
      <c r="D440" s="14">
        <v>3.4</v>
      </c>
      <c r="E440" s="15">
        <v>7</v>
      </c>
      <c r="F440" s="15">
        <v>5</v>
      </c>
      <c r="G440" s="15">
        <v>12</v>
      </c>
      <c r="H440" s="14">
        <v>2</v>
      </c>
      <c r="I440" s="14">
        <v>2.5</v>
      </c>
      <c r="J440" s="16">
        <v>0.16666666666666699</v>
      </c>
      <c r="K440" s="16">
        <v>1</v>
      </c>
      <c r="L440" s="16">
        <v>0.75</v>
      </c>
      <c r="M440" s="16">
        <v>0.58333333333333304</v>
      </c>
      <c r="N440" s="16">
        <v>0.41666666666666702</v>
      </c>
      <c r="O440" s="16">
        <v>0.58333333333333304</v>
      </c>
      <c r="P440" s="14">
        <v>2.1666666666666701</v>
      </c>
      <c r="Q440" s="14">
        <v>1.47196014438797</v>
      </c>
      <c r="R440" s="1" t="s">
        <v>10653</v>
      </c>
      <c r="S440" s="14">
        <v>13</v>
      </c>
      <c r="T440" s="14">
        <v>11</v>
      </c>
      <c r="U440" s="14">
        <v>24</v>
      </c>
      <c r="V440" s="14">
        <v>2</v>
      </c>
      <c r="W440" s="14">
        <v>6</v>
      </c>
      <c r="X440" s="14">
        <v>6</v>
      </c>
      <c r="Y440" s="14">
        <v>12</v>
      </c>
      <c r="Z440" s="14">
        <v>1</v>
      </c>
      <c r="AA440" s="14">
        <v>1.8571428571428601</v>
      </c>
      <c r="AB440" s="14">
        <v>0.85714285714285698</v>
      </c>
      <c r="AC440" s="14">
        <v>2.2000000000000002</v>
      </c>
      <c r="AD440" s="14">
        <v>1.2</v>
      </c>
    </row>
    <row r="441" spans="1:30" x14ac:dyDescent="0.3">
      <c r="A441" s="1" t="s">
        <v>3764</v>
      </c>
      <c r="B441" s="13" t="s">
        <v>3663</v>
      </c>
      <c r="C441" s="14">
        <v>3.2</v>
      </c>
      <c r="D441" s="14">
        <v>3.28571428571429</v>
      </c>
      <c r="E441" s="15">
        <v>5</v>
      </c>
      <c r="F441" s="15">
        <v>7</v>
      </c>
      <c r="G441" s="15">
        <v>12</v>
      </c>
      <c r="H441" s="14">
        <v>2</v>
      </c>
      <c r="I441" s="14">
        <v>2.5</v>
      </c>
      <c r="J441" s="16">
        <v>0.16666666666666699</v>
      </c>
      <c r="K441" s="16">
        <v>0.91666666666666696</v>
      </c>
      <c r="L441" s="16">
        <v>0.83333333333333304</v>
      </c>
      <c r="M441" s="16">
        <v>0.5</v>
      </c>
      <c r="N441" s="16">
        <v>0.41666666666666702</v>
      </c>
      <c r="O441" s="16">
        <v>0.66666666666666696</v>
      </c>
      <c r="P441" s="14">
        <v>1.6666666666666701</v>
      </c>
      <c r="Q441" s="14">
        <v>1.29099444873581</v>
      </c>
      <c r="R441" s="1" t="s">
        <v>10653</v>
      </c>
      <c r="S441" s="14">
        <v>12</v>
      </c>
      <c r="T441" s="14">
        <v>12</v>
      </c>
      <c r="U441" s="14">
        <v>24</v>
      </c>
      <c r="V441" s="14">
        <v>2</v>
      </c>
      <c r="W441" s="14">
        <v>4</v>
      </c>
      <c r="X441" s="14">
        <v>11</v>
      </c>
      <c r="Y441" s="14">
        <v>15</v>
      </c>
      <c r="Z441" s="14">
        <v>1.25</v>
      </c>
      <c r="AA441" s="14">
        <v>2.4</v>
      </c>
      <c r="AB441" s="14">
        <v>0.8</v>
      </c>
      <c r="AC441" s="14">
        <v>1.71428571428571</v>
      </c>
      <c r="AD441" s="14">
        <v>1.5714285714285701</v>
      </c>
    </row>
    <row r="442" spans="1:30" x14ac:dyDescent="0.3">
      <c r="A442" s="1" t="s">
        <v>6125</v>
      </c>
      <c r="B442" s="13" t="s">
        <v>6105</v>
      </c>
      <c r="C442" s="14">
        <v>4.8333333333333304</v>
      </c>
      <c r="D442" s="14">
        <v>2.5</v>
      </c>
      <c r="E442" s="15">
        <v>6</v>
      </c>
      <c r="F442" s="15">
        <v>6</v>
      </c>
      <c r="G442" s="15">
        <v>12</v>
      </c>
      <c r="H442" s="14">
        <v>1.3333333333333299</v>
      </c>
      <c r="I442" s="14">
        <v>2.5</v>
      </c>
      <c r="J442" s="16">
        <v>0.16666666666666699</v>
      </c>
      <c r="K442" s="16">
        <v>0.91666666666666696</v>
      </c>
      <c r="L442" s="16">
        <v>0.83333333333333304</v>
      </c>
      <c r="M442" s="16">
        <v>0.75</v>
      </c>
      <c r="N442" s="16">
        <v>0.66666666666666696</v>
      </c>
      <c r="O442" s="16">
        <v>0.75</v>
      </c>
      <c r="P442" s="14">
        <v>0.72222222222222199</v>
      </c>
      <c r="Q442" s="14">
        <v>0.84983658559879705</v>
      </c>
      <c r="R442" s="1" t="s">
        <v>10653</v>
      </c>
      <c r="S442" s="14">
        <v>11</v>
      </c>
      <c r="T442" s="14">
        <v>5</v>
      </c>
      <c r="U442" s="14">
        <v>16</v>
      </c>
      <c r="V442" s="14">
        <v>1.3333333333333299</v>
      </c>
      <c r="W442" s="14">
        <v>18</v>
      </c>
      <c r="X442" s="14">
        <v>10</v>
      </c>
      <c r="Y442" s="14">
        <v>28</v>
      </c>
      <c r="Z442" s="14">
        <v>2.3333333333333299</v>
      </c>
      <c r="AA442" s="14">
        <v>1.8333333333333299</v>
      </c>
      <c r="AB442" s="14">
        <v>3</v>
      </c>
      <c r="AC442" s="14">
        <v>0.83333333333333304</v>
      </c>
      <c r="AD442" s="14">
        <v>1.6666666666666701</v>
      </c>
    </row>
    <row r="443" spans="1:30" x14ac:dyDescent="0.3">
      <c r="A443" s="1" t="s">
        <v>6137</v>
      </c>
      <c r="B443" s="13" t="s">
        <v>6105</v>
      </c>
      <c r="C443" s="14">
        <v>3.1666666666666701</v>
      </c>
      <c r="D443" s="14">
        <v>4.6666666666666696</v>
      </c>
      <c r="E443" s="15">
        <v>6</v>
      </c>
      <c r="F443" s="15">
        <v>6</v>
      </c>
      <c r="G443" s="15">
        <v>12</v>
      </c>
      <c r="H443" s="14">
        <v>1.25</v>
      </c>
      <c r="I443" s="14">
        <v>2.5</v>
      </c>
      <c r="J443" s="16">
        <v>0.33333333333333298</v>
      </c>
      <c r="K443" s="16">
        <v>1</v>
      </c>
      <c r="L443" s="16">
        <v>0.83333333333333304</v>
      </c>
      <c r="M443" s="16">
        <v>0.75</v>
      </c>
      <c r="N443" s="16">
        <v>0.5</v>
      </c>
      <c r="O443" s="16">
        <v>0.58333333333333304</v>
      </c>
      <c r="P443" s="14">
        <v>1.1875</v>
      </c>
      <c r="Q443" s="14">
        <v>1.08972473588517</v>
      </c>
      <c r="R443" s="1" t="s">
        <v>10653</v>
      </c>
      <c r="S443" s="14">
        <v>7</v>
      </c>
      <c r="T443" s="14">
        <v>8</v>
      </c>
      <c r="U443" s="14">
        <v>15</v>
      </c>
      <c r="V443" s="14">
        <v>1.25</v>
      </c>
      <c r="W443" s="14">
        <v>12</v>
      </c>
      <c r="X443" s="14">
        <v>20</v>
      </c>
      <c r="Y443" s="14">
        <v>32</v>
      </c>
      <c r="Z443" s="14">
        <v>2.6666666666666701</v>
      </c>
      <c r="AA443" s="14">
        <v>1.1666666666666701</v>
      </c>
      <c r="AB443" s="14">
        <v>2</v>
      </c>
      <c r="AC443" s="14">
        <v>1.3333333333333299</v>
      </c>
      <c r="AD443" s="14">
        <v>3.3333333333333299</v>
      </c>
    </row>
    <row r="444" spans="1:30" x14ac:dyDescent="0.3">
      <c r="A444" s="1" t="s">
        <v>67</v>
      </c>
      <c r="B444" s="13" t="s">
        <v>954</v>
      </c>
      <c r="C444" s="14">
        <v>2.5</v>
      </c>
      <c r="D444" s="14">
        <v>3.6666666666666701</v>
      </c>
      <c r="E444" s="15">
        <v>6</v>
      </c>
      <c r="F444" s="15">
        <v>6</v>
      </c>
      <c r="G444" s="15">
        <v>12</v>
      </c>
      <c r="H444" s="14">
        <v>1.8333333333333299</v>
      </c>
      <c r="I444" s="14">
        <v>2.5</v>
      </c>
      <c r="J444" s="16">
        <v>0.25</v>
      </c>
      <c r="K444" s="16">
        <v>1</v>
      </c>
      <c r="L444" s="16">
        <v>0.83333333333333304</v>
      </c>
      <c r="M444" s="16">
        <v>0.66666666666666696</v>
      </c>
      <c r="N444" s="16">
        <v>0.33333333333333298</v>
      </c>
      <c r="O444" s="16">
        <v>0.5</v>
      </c>
      <c r="P444" s="14">
        <v>1.6388888888888899</v>
      </c>
      <c r="Q444" s="14">
        <v>1.2801909579780999</v>
      </c>
      <c r="R444" s="1" t="s">
        <v>10653</v>
      </c>
      <c r="S444" s="14">
        <v>9</v>
      </c>
      <c r="T444" s="14">
        <v>13</v>
      </c>
      <c r="U444" s="14">
        <v>22</v>
      </c>
      <c r="V444" s="14">
        <v>1.8333333333333299</v>
      </c>
      <c r="W444" s="14">
        <v>6</v>
      </c>
      <c r="X444" s="14">
        <v>9</v>
      </c>
      <c r="Y444" s="14">
        <v>15</v>
      </c>
      <c r="Z444" s="14">
        <v>1.25</v>
      </c>
      <c r="AA444" s="14">
        <v>1.5</v>
      </c>
      <c r="AB444" s="14">
        <v>1</v>
      </c>
      <c r="AC444" s="14">
        <v>2.1666666666666701</v>
      </c>
      <c r="AD444" s="14">
        <v>1.5</v>
      </c>
    </row>
    <row r="445" spans="1:30" x14ac:dyDescent="0.3">
      <c r="A445" s="1" t="s">
        <v>981</v>
      </c>
      <c r="B445" s="13" t="s">
        <v>966</v>
      </c>
      <c r="C445" s="14">
        <v>2.6666666666666701</v>
      </c>
      <c r="D445" s="14">
        <v>3.8333333333333299</v>
      </c>
      <c r="E445" s="15">
        <v>6</v>
      </c>
      <c r="F445" s="15">
        <v>6</v>
      </c>
      <c r="G445" s="15">
        <v>12</v>
      </c>
      <c r="H445" s="14">
        <v>1.3333333333333299</v>
      </c>
      <c r="I445" s="14">
        <v>2.5</v>
      </c>
      <c r="J445" s="16">
        <v>0.16666666666666699</v>
      </c>
      <c r="K445" s="16">
        <v>1</v>
      </c>
      <c r="L445" s="16">
        <v>0.91666666666666696</v>
      </c>
      <c r="M445" s="16">
        <v>0.66666666666666696</v>
      </c>
      <c r="N445" s="16">
        <v>0.5</v>
      </c>
      <c r="O445" s="16">
        <v>0.58333333333333304</v>
      </c>
      <c r="P445" s="14">
        <v>0.88888888888888895</v>
      </c>
      <c r="Q445" s="14">
        <v>0.94280904158206302</v>
      </c>
      <c r="R445" s="1" t="s">
        <v>10653</v>
      </c>
      <c r="S445" s="14">
        <v>8</v>
      </c>
      <c r="T445" s="14">
        <v>8</v>
      </c>
      <c r="U445" s="14">
        <v>16</v>
      </c>
      <c r="V445" s="14">
        <v>1.3333333333333299</v>
      </c>
      <c r="W445" s="14">
        <v>8</v>
      </c>
      <c r="X445" s="14">
        <v>15</v>
      </c>
      <c r="Y445" s="14">
        <v>23</v>
      </c>
      <c r="Z445" s="14">
        <v>1.9166666666666701</v>
      </c>
      <c r="AA445" s="14">
        <v>1.3333333333333299</v>
      </c>
      <c r="AB445" s="14">
        <v>1.3333333333333299</v>
      </c>
      <c r="AC445" s="14">
        <v>1.3333333333333299</v>
      </c>
      <c r="AD445" s="14">
        <v>2.5</v>
      </c>
    </row>
    <row r="446" spans="1:30" x14ac:dyDescent="0.3">
      <c r="A446" s="1" t="s">
        <v>227</v>
      </c>
      <c r="B446" s="13" t="s">
        <v>1333</v>
      </c>
      <c r="C446" s="14">
        <v>2.1666666666666701</v>
      </c>
      <c r="D446" s="14">
        <v>2.5</v>
      </c>
      <c r="E446" s="15">
        <v>6</v>
      </c>
      <c r="F446" s="15">
        <v>6</v>
      </c>
      <c r="G446" s="15">
        <v>12</v>
      </c>
      <c r="H446" s="14">
        <v>0.83333333333333304</v>
      </c>
      <c r="I446" s="14">
        <v>2.59</v>
      </c>
      <c r="J446" s="16">
        <v>0.33333333333333298</v>
      </c>
      <c r="K446" s="16">
        <v>1</v>
      </c>
      <c r="L446" s="16">
        <v>0.66666666666666696</v>
      </c>
      <c r="M446" s="16">
        <v>0.41666666666666702</v>
      </c>
      <c r="N446" s="16">
        <v>0.16666666666666699</v>
      </c>
      <c r="O446" s="16">
        <v>0.58333333333333304</v>
      </c>
      <c r="P446" s="14">
        <v>0.47222222222222199</v>
      </c>
      <c r="Q446" s="14">
        <v>0.68718427093627699</v>
      </c>
      <c r="R446" s="1" t="s">
        <v>10653</v>
      </c>
      <c r="S446" s="14">
        <v>5</v>
      </c>
      <c r="T446" s="14">
        <v>5</v>
      </c>
      <c r="U446" s="14">
        <v>10</v>
      </c>
      <c r="V446" s="14">
        <v>0.83333333333333304</v>
      </c>
      <c r="W446" s="14">
        <v>8</v>
      </c>
      <c r="X446" s="14">
        <v>10</v>
      </c>
      <c r="Y446" s="14">
        <v>18</v>
      </c>
      <c r="Z446" s="14">
        <v>1.5</v>
      </c>
      <c r="AA446" s="14">
        <v>0.83333333333333304</v>
      </c>
      <c r="AB446" s="14">
        <v>1.3333333333333299</v>
      </c>
      <c r="AC446" s="14">
        <v>0.83333333333333304</v>
      </c>
      <c r="AD446" s="14">
        <v>1.6666666666666701</v>
      </c>
    </row>
    <row r="447" spans="1:30" x14ac:dyDescent="0.3">
      <c r="A447" s="1" t="s">
        <v>4762</v>
      </c>
      <c r="B447" s="13" t="s">
        <v>1000</v>
      </c>
      <c r="C447" s="14">
        <v>2.8333333333333299</v>
      </c>
      <c r="D447" s="14">
        <v>3.5</v>
      </c>
      <c r="E447" s="15">
        <v>6</v>
      </c>
      <c r="F447" s="15">
        <v>6</v>
      </c>
      <c r="G447" s="15">
        <v>12</v>
      </c>
      <c r="H447" s="14">
        <v>1.5</v>
      </c>
      <c r="I447" s="14">
        <v>2.5</v>
      </c>
      <c r="J447" s="16">
        <v>0.33333333333333298</v>
      </c>
      <c r="K447" s="16">
        <v>0.91666666666666696</v>
      </c>
      <c r="L447" s="16">
        <v>0.75</v>
      </c>
      <c r="M447" s="16">
        <v>0.5</v>
      </c>
      <c r="N447" s="16">
        <v>0.33333333333333298</v>
      </c>
      <c r="O447" s="16">
        <v>0.41666666666666702</v>
      </c>
      <c r="P447" s="14">
        <v>1.75</v>
      </c>
      <c r="Q447" s="14">
        <v>1.3228756555323</v>
      </c>
      <c r="R447" s="1" t="s">
        <v>10653</v>
      </c>
      <c r="S447" s="14">
        <v>10</v>
      </c>
      <c r="T447" s="14">
        <v>8</v>
      </c>
      <c r="U447" s="14">
        <v>18</v>
      </c>
      <c r="V447" s="14">
        <v>1.5</v>
      </c>
      <c r="W447" s="14">
        <v>7</v>
      </c>
      <c r="X447" s="14">
        <v>13</v>
      </c>
      <c r="Y447" s="14">
        <v>20</v>
      </c>
      <c r="Z447" s="14">
        <v>1.6666666666666701</v>
      </c>
      <c r="AA447" s="14">
        <v>1.6666666666666701</v>
      </c>
      <c r="AB447" s="14">
        <v>1.1666666666666701</v>
      </c>
      <c r="AC447" s="14">
        <v>1.3333333333333299</v>
      </c>
      <c r="AD447" s="14">
        <v>2.1666666666666701</v>
      </c>
    </row>
    <row r="448" spans="1:30" x14ac:dyDescent="0.3">
      <c r="A448" s="1" t="s">
        <v>6395</v>
      </c>
      <c r="B448" s="13" t="s">
        <v>960</v>
      </c>
      <c r="C448" s="14">
        <v>4.1428571428571397</v>
      </c>
      <c r="D448" s="14">
        <v>3.4</v>
      </c>
      <c r="E448" s="15">
        <v>7</v>
      </c>
      <c r="F448" s="15">
        <v>5</v>
      </c>
      <c r="G448" s="15">
        <v>12</v>
      </c>
      <c r="H448" s="14">
        <v>2.3333333333333299</v>
      </c>
      <c r="I448" s="14">
        <v>2.5</v>
      </c>
      <c r="J448" s="16">
        <v>0.16666666666666699</v>
      </c>
      <c r="K448" s="16">
        <v>1</v>
      </c>
      <c r="L448" s="16">
        <v>1</v>
      </c>
      <c r="M448" s="16">
        <v>0.66666666666666696</v>
      </c>
      <c r="N448" s="16">
        <v>0.41666666666666702</v>
      </c>
      <c r="O448" s="16">
        <v>0.58333333333333304</v>
      </c>
      <c r="P448" s="14">
        <v>3.2222222222222201</v>
      </c>
      <c r="Q448" s="14">
        <v>1.7950549357115</v>
      </c>
      <c r="R448" s="1" t="s">
        <v>10653</v>
      </c>
      <c r="S448" s="14">
        <v>19</v>
      </c>
      <c r="T448" s="14">
        <v>9</v>
      </c>
      <c r="U448" s="14">
        <v>28</v>
      </c>
      <c r="V448" s="14">
        <v>2.3333333333333299</v>
      </c>
      <c r="W448" s="14">
        <v>10</v>
      </c>
      <c r="X448" s="14">
        <v>8</v>
      </c>
      <c r="Y448" s="14">
        <v>18</v>
      </c>
      <c r="Z448" s="14">
        <v>1.5</v>
      </c>
      <c r="AA448" s="14">
        <v>2.71428571428571</v>
      </c>
      <c r="AB448" s="14">
        <v>1.4285714285714299</v>
      </c>
      <c r="AC448" s="14">
        <v>1.8</v>
      </c>
      <c r="AD448" s="14">
        <v>1.6</v>
      </c>
    </row>
    <row r="449" spans="1:30" x14ac:dyDescent="0.3">
      <c r="A449" s="1" t="s">
        <v>5882</v>
      </c>
      <c r="B449" s="13" t="s">
        <v>1340</v>
      </c>
      <c r="C449" s="14">
        <v>2.6</v>
      </c>
      <c r="D449" s="14">
        <v>2.71428571428571</v>
      </c>
      <c r="E449" s="15">
        <v>5</v>
      </c>
      <c r="F449" s="15">
        <v>7</v>
      </c>
      <c r="G449" s="15">
        <v>12</v>
      </c>
      <c r="H449" s="14">
        <v>1.1666666666666701</v>
      </c>
      <c r="I449" s="14">
        <v>2.5</v>
      </c>
      <c r="J449" s="16">
        <v>0.33333333333333298</v>
      </c>
      <c r="K449" s="16">
        <v>0.91666666666666696</v>
      </c>
      <c r="L449" s="16">
        <v>0.91666666666666696</v>
      </c>
      <c r="M449" s="16">
        <v>0.5</v>
      </c>
      <c r="N449" s="16">
        <v>0.33333333333333298</v>
      </c>
      <c r="O449" s="16">
        <v>0.58333333333333304</v>
      </c>
      <c r="P449" s="14">
        <v>1.30555555555556</v>
      </c>
      <c r="Q449" s="14">
        <v>1.1426091000668399</v>
      </c>
      <c r="R449" s="1" t="s">
        <v>10653</v>
      </c>
      <c r="S449" s="14">
        <v>8</v>
      </c>
      <c r="T449" s="14">
        <v>6</v>
      </c>
      <c r="U449" s="14">
        <v>14</v>
      </c>
      <c r="V449" s="14">
        <v>1.1666666666666701</v>
      </c>
      <c r="W449" s="14">
        <v>5</v>
      </c>
      <c r="X449" s="14">
        <v>13</v>
      </c>
      <c r="Y449" s="14">
        <v>18</v>
      </c>
      <c r="Z449" s="14">
        <v>1.5</v>
      </c>
      <c r="AA449" s="14">
        <v>1.6</v>
      </c>
      <c r="AB449" s="14">
        <v>1</v>
      </c>
      <c r="AC449" s="14">
        <v>0.85714285714285698</v>
      </c>
      <c r="AD449" s="14">
        <v>1.8571428571428601</v>
      </c>
    </row>
    <row r="450" spans="1:30" x14ac:dyDescent="0.3">
      <c r="A450" s="1" t="s">
        <v>696</v>
      </c>
      <c r="B450" s="13" t="s">
        <v>4291</v>
      </c>
      <c r="C450" s="14">
        <v>4.3333333333333304</v>
      </c>
      <c r="D450" s="14">
        <v>4</v>
      </c>
      <c r="E450" s="15">
        <v>6</v>
      </c>
      <c r="F450" s="15">
        <v>6</v>
      </c>
      <c r="G450" s="15">
        <v>12</v>
      </c>
      <c r="H450" s="14">
        <v>1.6666666666666701</v>
      </c>
      <c r="I450" s="14">
        <v>3.55</v>
      </c>
      <c r="J450" s="16">
        <v>0.25</v>
      </c>
      <c r="K450" s="16">
        <v>1</v>
      </c>
      <c r="L450" s="16">
        <v>0.83333333333333304</v>
      </c>
      <c r="M450" s="16">
        <v>0.66666666666666696</v>
      </c>
      <c r="N450" s="16">
        <v>0.5</v>
      </c>
      <c r="O450" s="16">
        <v>0.58333333333333304</v>
      </c>
      <c r="P450" s="14">
        <v>2.05555555555555</v>
      </c>
      <c r="Q450" s="14">
        <v>1.43372087784044</v>
      </c>
      <c r="R450" s="1" t="s">
        <v>10653</v>
      </c>
      <c r="S450" s="14">
        <v>12</v>
      </c>
      <c r="T450" s="14">
        <v>8</v>
      </c>
      <c r="U450" s="14">
        <v>20</v>
      </c>
      <c r="V450" s="14">
        <v>1.6666666666666701</v>
      </c>
      <c r="W450" s="14">
        <v>14</v>
      </c>
      <c r="X450" s="14">
        <v>16</v>
      </c>
      <c r="Y450" s="14">
        <v>30</v>
      </c>
      <c r="Z450" s="14">
        <v>2.5</v>
      </c>
      <c r="AA450" s="14">
        <v>2</v>
      </c>
      <c r="AB450" s="14">
        <v>2.3333333333333299</v>
      </c>
      <c r="AC450" s="14">
        <v>1.3333333333333299</v>
      </c>
      <c r="AD450" s="14">
        <v>2.6666666666666701</v>
      </c>
    </row>
    <row r="451" spans="1:30" x14ac:dyDescent="0.3">
      <c r="A451" s="1" t="s">
        <v>6678</v>
      </c>
      <c r="B451" s="13" t="s">
        <v>1338</v>
      </c>
      <c r="C451" s="14">
        <v>4.5999999999999996</v>
      </c>
      <c r="D451" s="14">
        <v>2.4285714285714302</v>
      </c>
      <c r="E451" s="15">
        <v>5</v>
      </c>
      <c r="F451" s="15">
        <v>7</v>
      </c>
      <c r="G451" s="15">
        <v>12</v>
      </c>
      <c r="H451" s="14">
        <v>2.3333333333333299</v>
      </c>
      <c r="I451" s="14">
        <v>2.5</v>
      </c>
      <c r="J451" s="16">
        <v>8.3333333333333301E-2</v>
      </c>
      <c r="K451" s="16">
        <v>1</v>
      </c>
      <c r="L451" s="16">
        <v>0.91666666666666696</v>
      </c>
      <c r="M451" s="16">
        <v>0.75</v>
      </c>
      <c r="N451" s="16">
        <v>0.16666666666666699</v>
      </c>
      <c r="O451" s="16">
        <v>0.66666666666666696</v>
      </c>
      <c r="P451" s="14">
        <v>1.8888888888888899</v>
      </c>
      <c r="Q451" s="14">
        <v>1.37436854187255</v>
      </c>
      <c r="R451" s="1" t="s">
        <v>10653</v>
      </c>
      <c r="S451" s="14">
        <v>16</v>
      </c>
      <c r="T451" s="14">
        <v>12</v>
      </c>
      <c r="U451" s="14">
        <v>28</v>
      </c>
      <c r="V451" s="14">
        <v>2.3333333333333299</v>
      </c>
      <c r="W451" s="14">
        <v>7</v>
      </c>
      <c r="X451" s="14">
        <v>5</v>
      </c>
      <c r="Y451" s="14">
        <v>12</v>
      </c>
      <c r="Z451" s="14">
        <v>1</v>
      </c>
      <c r="AA451" s="14">
        <v>3.2</v>
      </c>
      <c r="AB451" s="14">
        <v>1.4</v>
      </c>
      <c r="AC451" s="14">
        <v>1.71428571428571</v>
      </c>
      <c r="AD451" s="14">
        <v>0.71428571428571397</v>
      </c>
    </row>
    <row r="452" spans="1:30" x14ac:dyDescent="0.3">
      <c r="A452" s="1" t="s">
        <v>4397</v>
      </c>
      <c r="B452" s="13" t="s">
        <v>4290</v>
      </c>
      <c r="C452" s="14">
        <v>4.4000000000000004</v>
      </c>
      <c r="D452" s="14">
        <v>4.1428571428571397</v>
      </c>
      <c r="E452" s="15">
        <v>5</v>
      </c>
      <c r="F452" s="15">
        <v>7</v>
      </c>
      <c r="G452" s="15">
        <v>12</v>
      </c>
      <c r="H452" s="14">
        <v>3.25</v>
      </c>
      <c r="I452" s="14">
        <v>2.5</v>
      </c>
      <c r="J452" s="16">
        <v>0</v>
      </c>
      <c r="K452" s="16">
        <v>1</v>
      </c>
      <c r="L452" s="16">
        <v>1</v>
      </c>
      <c r="M452" s="16">
        <v>0.83333333333333304</v>
      </c>
      <c r="N452" s="16">
        <v>0.75</v>
      </c>
      <c r="O452" s="16">
        <v>0.66666666666666696</v>
      </c>
      <c r="P452" s="14">
        <v>2.0208333333333299</v>
      </c>
      <c r="Q452" s="14">
        <v>1.4215601757693299</v>
      </c>
      <c r="R452" s="1" t="s">
        <v>10653</v>
      </c>
      <c r="S452" s="14">
        <v>17</v>
      </c>
      <c r="T452" s="14">
        <v>22</v>
      </c>
      <c r="U452" s="14">
        <v>39</v>
      </c>
      <c r="V452" s="14">
        <v>3.25</v>
      </c>
      <c r="W452" s="14">
        <v>5</v>
      </c>
      <c r="X452" s="14">
        <v>7</v>
      </c>
      <c r="Y452" s="14">
        <v>12</v>
      </c>
      <c r="Z452" s="14">
        <v>1</v>
      </c>
      <c r="AA452" s="14">
        <v>3.4</v>
      </c>
      <c r="AB452" s="14">
        <v>1</v>
      </c>
      <c r="AC452" s="14">
        <v>3.1428571428571401</v>
      </c>
      <c r="AD452" s="14">
        <v>1</v>
      </c>
    </row>
    <row r="453" spans="1:30" x14ac:dyDescent="0.3">
      <c r="A453" s="1" t="s">
        <v>84</v>
      </c>
      <c r="B453" s="13" t="s">
        <v>1334</v>
      </c>
      <c r="C453" s="14">
        <v>3</v>
      </c>
      <c r="D453" s="14">
        <v>1.8571428571428601</v>
      </c>
      <c r="E453" s="15">
        <v>5</v>
      </c>
      <c r="F453" s="15">
        <v>7</v>
      </c>
      <c r="G453" s="15">
        <v>12</v>
      </c>
      <c r="H453" s="14">
        <v>1.0833333333333299</v>
      </c>
      <c r="I453" s="14">
        <v>2.31</v>
      </c>
      <c r="J453" s="16">
        <v>0.41666666666666702</v>
      </c>
      <c r="K453" s="16">
        <v>1</v>
      </c>
      <c r="L453" s="16">
        <v>0.58333333333333304</v>
      </c>
      <c r="M453" s="16">
        <v>0.41666666666666702</v>
      </c>
      <c r="N453" s="16">
        <v>8.3333333333333301E-2</v>
      </c>
      <c r="O453" s="16">
        <v>0.41666666666666702</v>
      </c>
      <c r="P453" s="14">
        <v>1.4097222222222201</v>
      </c>
      <c r="Q453" s="14">
        <v>1.1873172373979199</v>
      </c>
      <c r="R453" s="1" t="s">
        <v>10653</v>
      </c>
      <c r="S453" s="14">
        <v>9</v>
      </c>
      <c r="T453" s="14">
        <v>4</v>
      </c>
      <c r="U453" s="14">
        <v>13</v>
      </c>
      <c r="V453" s="14">
        <v>1.0833333333333299</v>
      </c>
      <c r="W453" s="14">
        <v>6</v>
      </c>
      <c r="X453" s="14">
        <v>9</v>
      </c>
      <c r="Y453" s="14">
        <v>15</v>
      </c>
      <c r="Z453" s="14">
        <v>1.25</v>
      </c>
      <c r="AA453" s="14">
        <v>1.8</v>
      </c>
      <c r="AB453" s="14">
        <v>1.2</v>
      </c>
      <c r="AC453" s="14">
        <v>0.57142857142857095</v>
      </c>
      <c r="AD453" s="14">
        <v>1.28571428571429</v>
      </c>
    </row>
    <row r="454" spans="1:30" x14ac:dyDescent="0.3">
      <c r="A454" s="1" t="s">
        <v>150</v>
      </c>
      <c r="B454" s="13" t="s">
        <v>1333</v>
      </c>
      <c r="C454" s="14">
        <v>2.3333333333333299</v>
      </c>
      <c r="D454" s="14">
        <v>2.6666666666666701</v>
      </c>
      <c r="E454" s="15">
        <v>6</v>
      </c>
      <c r="F454" s="15">
        <v>6</v>
      </c>
      <c r="G454" s="15">
        <v>12</v>
      </c>
      <c r="H454" s="14">
        <v>1.0833333333333299</v>
      </c>
      <c r="I454" s="14">
        <v>2.59</v>
      </c>
      <c r="J454" s="16">
        <v>0.41666666666666702</v>
      </c>
      <c r="K454" s="16">
        <v>0.83333333333333304</v>
      </c>
      <c r="L454" s="16">
        <v>0.75</v>
      </c>
      <c r="M454" s="16">
        <v>0.41666666666666702</v>
      </c>
      <c r="N454" s="16">
        <v>0.41666666666666702</v>
      </c>
      <c r="O454" s="16">
        <v>0.33333333333333298</v>
      </c>
      <c r="P454" s="14">
        <v>1.4097222222222201</v>
      </c>
      <c r="Q454" s="14">
        <v>1.1873172373979199</v>
      </c>
      <c r="R454" s="1" t="s">
        <v>10653</v>
      </c>
      <c r="S454" s="14">
        <v>9</v>
      </c>
      <c r="T454" s="14">
        <v>4</v>
      </c>
      <c r="U454" s="14">
        <v>13</v>
      </c>
      <c r="V454" s="14">
        <v>1.0833333333333299</v>
      </c>
      <c r="W454" s="14">
        <v>5</v>
      </c>
      <c r="X454" s="14">
        <v>12</v>
      </c>
      <c r="Y454" s="14">
        <v>17</v>
      </c>
      <c r="Z454" s="14">
        <v>1.4166666666666701</v>
      </c>
      <c r="AA454" s="14">
        <v>1.5</v>
      </c>
      <c r="AB454" s="14">
        <v>0.83333333333333304</v>
      </c>
      <c r="AC454" s="14">
        <v>0.66666666666666696</v>
      </c>
      <c r="AD454" s="14">
        <v>2</v>
      </c>
    </row>
    <row r="455" spans="1:30" x14ac:dyDescent="0.3">
      <c r="A455" s="1" t="s">
        <v>752</v>
      </c>
      <c r="B455" s="13" t="s">
        <v>844</v>
      </c>
      <c r="C455" s="14">
        <v>3</v>
      </c>
      <c r="D455" s="14">
        <v>3.5</v>
      </c>
      <c r="E455" s="15">
        <v>6</v>
      </c>
      <c r="F455" s="15">
        <v>6</v>
      </c>
      <c r="G455" s="15">
        <v>12</v>
      </c>
      <c r="H455" s="14">
        <v>1.9166666666666701</v>
      </c>
      <c r="I455" s="14">
        <v>3.57</v>
      </c>
      <c r="J455" s="16">
        <v>0.25</v>
      </c>
      <c r="K455" s="16">
        <v>0.91666666666666696</v>
      </c>
      <c r="L455" s="16">
        <v>0.83333333333333304</v>
      </c>
      <c r="M455" s="16">
        <v>0.66666666666666696</v>
      </c>
      <c r="N455" s="16">
        <v>0.5</v>
      </c>
      <c r="O455" s="16">
        <v>0.66666666666666696</v>
      </c>
      <c r="P455" s="14">
        <v>2.2430555555555598</v>
      </c>
      <c r="Q455" s="14">
        <v>1.4976833963009499</v>
      </c>
      <c r="R455" s="1" t="s">
        <v>10653</v>
      </c>
      <c r="S455" s="14">
        <v>11</v>
      </c>
      <c r="T455" s="14">
        <v>12</v>
      </c>
      <c r="U455" s="14">
        <v>23</v>
      </c>
      <c r="V455" s="14">
        <v>1.9166666666666701</v>
      </c>
      <c r="W455" s="14">
        <v>7</v>
      </c>
      <c r="X455" s="14">
        <v>9</v>
      </c>
      <c r="Y455" s="14">
        <v>16</v>
      </c>
      <c r="Z455" s="14">
        <v>1.3333333333333299</v>
      </c>
      <c r="AA455" s="14">
        <v>1.8333333333333299</v>
      </c>
      <c r="AB455" s="14">
        <v>1.1666666666666701</v>
      </c>
      <c r="AC455" s="14">
        <v>2</v>
      </c>
      <c r="AD455" s="14">
        <v>1.5</v>
      </c>
    </row>
    <row r="456" spans="1:30" x14ac:dyDescent="0.3">
      <c r="A456" s="1" t="s">
        <v>718</v>
      </c>
      <c r="B456" s="13" t="s">
        <v>4291</v>
      </c>
      <c r="C456" s="14">
        <v>4.3333333333333304</v>
      </c>
      <c r="D456" s="14">
        <v>4.5</v>
      </c>
      <c r="E456" s="15">
        <v>6</v>
      </c>
      <c r="F456" s="15">
        <v>6</v>
      </c>
      <c r="G456" s="15">
        <v>12</v>
      </c>
      <c r="H456" s="14">
        <v>1.9166666666666701</v>
      </c>
      <c r="I456" s="14">
        <v>3.55</v>
      </c>
      <c r="J456" s="16">
        <v>8.3333333333333301E-2</v>
      </c>
      <c r="K456" s="16">
        <v>1</v>
      </c>
      <c r="L456" s="16">
        <v>0.91666666666666696</v>
      </c>
      <c r="M456" s="16">
        <v>0.75</v>
      </c>
      <c r="N456" s="16">
        <v>0.66666666666666696</v>
      </c>
      <c r="O456" s="16">
        <v>0.75</v>
      </c>
      <c r="P456" s="14">
        <v>1.0763888888888899</v>
      </c>
      <c r="Q456" s="14">
        <v>1.03749163316573</v>
      </c>
      <c r="R456" s="1" t="s">
        <v>10653</v>
      </c>
      <c r="S456" s="14">
        <v>12</v>
      </c>
      <c r="T456" s="14">
        <v>11</v>
      </c>
      <c r="U456" s="14">
        <v>23</v>
      </c>
      <c r="V456" s="14">
        <v>1.9166666666666701</v>
      </c>
      <c r="W456" s="14">
        <v>14</v>
      </c>
      <c r="X456" s="14">
        <v>16</v>
      </c>
      <c r="Y456" s="14">
        <v>30</v>
      </c>
      <c r="Z456" s="14">
        <v>2.5</v>
      </c>
      <c r="AA456" s="14">
        <v>2</v>
      </c>
      <c r="AB456" s="14">
        <v>2.3333333333333299</v>
      </c>
      <c r="AC456" s="14">
        <v>1.8333333333333299</v>
      </c>
      <c r="AD456" s="14">
        <v>2.6666666666666701</v>
      </c>
    </row>
    <row r="457" spans="1:30" x14ac:dyDescent="0.3">
      <c r="A457" s="1" t="s">
        <v>4590</v>
      </c>
      <c r="B457" s="13" t="s">
        <v>4657</v>
      </c>
      <c r="C457" s="14">
        <v>2.8333333333333299</v>
      </c>
      <c r="D457" s="14">
        <v>1.8333333333333299</v>
      </c>
      <c r="E457" s="15">
        <v>6</v>
      </c>
      <c r="F457" s="15">
        <v>6</v>
      </c>
      <c r="G457" s="15">
        <v>12</v>
      </c>
      <c r="H457" s="14">
        <v>0.91666666666666696</v>
      </c>
      <c r="I457" s="14">
        <v>2.09</v>
      </c>
      <c r="J457" s="16">
        <v>0.5</v>
      </c>
      <c r="K457" s="16">
        <v>0.83333333333333304</v>
      </c>
      <c r="L457" s="16">
        <v>0.75</v>
      </c>
      <c r="M457" s="16">
        <v>0.41666666666666702</v>
      </c>
      <c r="N457" s="16">
        <v>0.25</v>
      </c>
      <c r="O457" s="16">
        <v>0.33333333333333298</v>
      </c>
      <c r="P457" s="14">
        <v>1.24305555555556</v>
      </c>
      <c r="Q457" s="14">
        <v>1.11492401335497</v>
      </c>
      <c r="R457" s="1" t="s">
        <v>10653</v>
      </c>
      <c r="S457" s="14">
        <v>10</v>
      </c>
      <c r="T457" s="14">
        <v>1</v>
      </c>
      <c r="U457" s="14">
        <v>11</v>
      </c>
      <c r="V457" s="14">
        <v>0.91666666666666696</v>
      </c>
      <c r="W457" s="14">
        <v>7</v>
      </c>
      <c r="X457" s="14">
        <v>10</v>
      </c>
      <c r="Y457" s="14">
        <v>17</v>
      </c>
      <c r="Z457" s="14">
        <v>1.4166666666666701</v>
      </c>
      <c r="AA457" s="14">
        <v>1.6666666666666701</v>
      </c>
      <c r="AB457" s="14">
        <v>1.1666666666666701</v>
      </c>
      <c r="AC457" s="14">
        <v>0.16666666666666699</v>
      </c>
      <c r="AD457" s="14">
        <v>1.6666666666666701</v>
      </c>
    </row>
    <row r="458" spans="1:30" x14ac:dyDescent="0.3">
      <c r="A458" s="1" t="s">
        <v>568</v>
      </c>
      <c r="B458" s="13" t="s">
        <v>845</v>
      </c>
      <c r="C458" s="14">
        <v>5.6</v>
      </c>
      <c r="D458" s="14">
        <v>4.1428571428571397</v>
      </c>
      <c r="E458" s="15">
        <v>5</v>
      </c>
      <c r="F458" s="15">
        <v>7</v>
      </c>
      <c r="G458" s="15">
        <v>12</v>
      </c>
      <c r="H458" s="14">
        <v>2.8333333333333299</v>
      </c>
      <c r="I458" s="14">
        <v>4.32</v>
      </c>
      <c r="J458" s="16">
        <v>8.3333333333333301E-2</v>
      </c>
      <c r="K458" s="16">
        <v>1</v>
      </c>
      <c r="L458" s="16">
        <v>1</v>
      </c>
      <c r="M458" s="16">
        <v>0.91666666666666696</v>
      </c>
      <c r="N458" s="16">
        <v>0.75</v>
      </c>
      <c r="O458" s="16">
        <v>0.75</v>
      </c>
      <c r="P458" s="14">
        <v>2.8055555555555598</v>
      </c>
      <c r="Q458" s="14">
        <v>1.67497927018681</v>
      </c>
      <c r="R458" s="1" t="s">
        <v>10653</v>
      </c>
      <c r="S458" s="14">
        <v>19</v>
      </c>
      <c r="T458" s="14">
        <v>15</v>
      </c>
      <c r="U458" s="14">
        <v>34</v>
      </c>
      <c r="V458" s="14">
        <v>2.8333333333333299</v>
      </c>
      <c r="W458" s="14">
        <v>9</v>
      </c>
      <c r="X458" s="14">
        <v>14</v>
      </c>
      <c r="Y458" s="14">
        <v>23</v>
      </c>
      <c r="Z458" s="14">
        <v>1.9166666666666701</v>
      </c>
      <c r="AA458" s="14">
        <v>3.8</v>
      </c>
      <c r="AB458" s="14">
        <v>1.8</v>
      </c>
      <c r="AC458" s="14">
        <v>2.1428571428571401</v>
      </c>
      <c r="AD458" s="14">
        <v>2</v>
      </c>
    </row>
    <row r="459" spans="1:30" x14ac:dyDescent="0.3">
      <c r="A459" s="1" t="s">
        <v>392</v>
      </c>
      <c r="B459" s="13" t="s">
        <v>994</v>
      </c>
      <c r="C459" s="14">
        <v>2.8333333333333299</v>
      </c>
      <c r="D459" s="14">
        <v>2.8333333333333299</v>
      </c>
      <c r="E459" s="15">
        <v>6</v>
      </c>
      <c r="F459" s="15">
        <v>6</v>
      </c>
      <c r="G459" s="15">
        <v>12</v>
      </c>
      <c r="H459" s="14">
        <v>1.75</v>
      </c>
      <c r="I459" s="14">
        <v>2.6</v>
      </c>
      <c r="J459" s="16">
        <v>0.16666666666666699</v>
      </c>
      <c r="K459" s="16">
        <v>1</v>
      </c>
      <c r="L459" s="16">
        <v>0.75</v>
      </c>
      <c r="M459" s="16">
        <v>0.58333333333333304</v>
      </c>
      <c r="N459" s="16">
        <v>0.33333333333333298</v>
      </c>
      <c r="O459" s="16">
        <v>0.66666666666666696</v>
      </c>
      <c r="P459" s="14">
        <v>2.1875</v>
      </c>
      <c r="Q459" s="14">
        <v>1.4790199457749</v>
      </c>
      <c r="R459" s="1" t="s">
        <v>10653</v>
      </c>
      <c r="S459" s="14">
        <v>13</v>
      </c>
      <c r="T459" s="14">
        <v>8</v>
      </c>
      <c r="U459" s="14">
        <v>21</v>
      </c>
      <c r="V459" s="14">
        <v>1.75</v>
      </c>
      <c r="W459" s="14">
        <v>4</v>
      </c>
      <c r="X459" s="14">
        <v>9</v>
      </c>
      <c r="Y459" s="14">
        <v>13</v>
      </c>
      <c r="Z459" s="14">
        <v>1.0833333333333299</v>
      </c>
      <c r="AA459" s="14">
        <v>2.1666666666666701</v>
      </c>
      <c r="AB459" s="14">
        <v>0.66666666666666696</v>
      </c>
      <c r="AC459" s="14">
        <v>1.3333333333333299</v>
      </c>
      <c r="AD459" s="14">
        <v>1.5</v>
      </c>
    </row>
    <row r="460" spans="1:30" x14ac:dyDescent="0.3">
      <c r="A460" s="1" t="s">
        <v>967</v>
      </c>
      <c r="B460" s="13" t="s">
        <v>973</v>
      </c>
      <c r="C460" s="14">
        <v>3.8333333333333299</v>
      </c>
      <c r="D460" s="14">
        <v>3.6666666666666701</v>
      </c>
      <c r="E460" s="15">
        <v>6</v>
      </c>
      <c r="F460" s="15">
        <v>6</v>
      </c>
      <c r="G460" s="15">
        <v>12</v>
      </c>
      <c r="H460" s="14">
        <v>1.8333333333333299</v>
      </c>
      <c r="I460" s="14">
        <v>3.7</v>
      </c>
      <c r="J460" s="16">
        <v>0.25</v>
      </c>
      <c r="K460" s="16">
        <v>0.83333333333333304</v>
      </c>
      <c r="L460" s="16">
        <v>0.75</v>
      </c>
      <c r="M460" s="16">
        <v>0.75</v>
      </c>
      <c r="N460" s="16">
        <v>0.5</v>
      </c>
      <c r="O460" s="16">
        <v>0.75</v>
      </c>
      <c r="P460" s="14">
        <v>2.4722222222222201</v>
      </c>
      <c r="Q460" s="14">
        <v>1.5723301886761001</v>
      </c>
      <c r="R460" s="1" t="s">
        <v>10653</v>
      </c>
      <c r="S460" s="14">
        <v>12</v>
      </c>
      <c r="T460" s="14">
        <v>10</v>
      </c>
      <c r="U460" s="14">
        <v>22</v>
      </c>
      <c r="V460" s="14">
        <v>1.8333333333333299</v>
      </c>
      <c r="W460" s="14">
        <v>11</v>
      </c>
      <c r="X460" s="14">
        <v>12</v>
      </c>
      <c r="Y460" s="14">
        <v>23</v>
      </c>
      <c r="Z460" s="14">
        <v>1.9166666666666701</v>
      </c>
      <c r="AA460" s="14">
        <v>2</v>
      </c>
      <c r="AB460" s="14">
        <v>1.8333333333333299</v>
      </c>
      <c r="AC460" s="14">
        <v>1.6666666666666701</v>
      </c>
      <c r="AD460" s="14">
        <v>2</v>
      </c>
    </row>
    <row r="461" spans="1:30" x14ac:dyDescent="0.3">
      <c r="A461" s="1" t="s">
        <v>968</v>
      </c>
      <c r="B461" s="13" t="s">
        <v>973</v>
      </c>
      <c r="C461" s="14">
        <v>5.8</v>
      </c>
      <c r="D461" s="14">
        <v>2.4285714285714302</v>
      </c>
      <c r="E461" s="15">
        <v>5</v>
      </c>
      <c r="F461" s="15">
        <v>7</v>
      </c>
      <c r="G461" s="15">
        <v>12</v>
      </c>
      <c r="H461" s="14">
        <v>2.6666666666666701</v>
      </c>
      <c r="I461" s="14">
        <v>3.7</v>
      </c>
      <c r="J461" s="16">
        <v>0.25</v>
      </c>
      <c r="K461" s="16">
        <v>1</v>
      </c>
      <c r="L461" s="16">
        <v>0.75</v>
      </c>
      <c r="M461" s="16">
        <v>0.66666666666666696</v>
      </c>
      <c r="N461" s="16">
        <v>0.41666666666666702</v>
      </c>
      <c r="O461" s="16">
        <v>0.5</v>
      </c>
      <c r="P461" s="14">
        <v>9.5555555555555607</v>
      </c>
      <c r="Q461" s="14">
        <v>3.0912061651652301</v>
      </c>
      <c r="R461" s="1" t="s">
        <v>1541</v>
      </c>
      <c r="S461" s="14">
        <v>26</v>
      </c>
      <c r="T461" s="14">
        <v>6</v>
      </c>
      <c r="U461" s="14">
        <v>32</v>
      </c>
      <c r="V461" s="14">
        <v>2.6666666666666701</v>
      </c>
      <c r="W461" s="14">
        <v>3</v>
      </c>
      <c r="X461" s="14">
        <v>11</v>
      </c>
      <c r="Y461" s="14">
        <v>14</v>
      </c>
      <c r="Z461" s="14">
        <v>1.1666666666666701</v>
      </c>
      <c r="AA461" s="14">
        <v>5.2</v>
      </c>
      <c r="AB461" s="14">
        <v>0.6</v>
      </c>
      <c r="AC461" s="14">
        <v>0.85714285714285698</v>
      </c>
      <c r="AD461" s="14">
        <v>1.5714285714285701</v>
      </c>
    </row>
    <row r="462" spans="1:30" x14ac:dyDescent="0.3">
      <c r="A462" s="1" t="s">
        <v>200</v>
      </c>
      <c r="B462" s="13" t="s">
        <v>1405</v>
      </c>
      <c r="C462" s="14">
        <v>4.5</v>
      </c>
      <c r="D462" s="14">
        <v>2.8333333333333299</v>
      </c>
      <c r="E462" s="15">
        <v>6</v>
      </c>
      <c r="F462" s="15">
        <v>6</v>
      </c>
      <c r="G462" s="15">
        <v>12</v>
      </c>
      <c r="H462" s="14">
        <v>1.5833333333333299</v>
      </c>
      <c r="I462" s="14">
        <v>3.31</v>
      </c>
      <c r="J462" s="16">
        <v>0.25</v>
      </c>
      <c r="K462" s="16">
        <v>0.91666666666666696</v>
      </c>
      <c r="L462" s="16">
        <v>0.83333333333333304</v>
      </c>
      <c r="M462" s="16">
        <v>0.75</v>
      </c>
      <c r="N462" s="16">
        <v>0.41666666666666702</v>
      </c>
      <c r="O462" s="16">
        <v>0.66666666666666696</v>
      </c>
      <c r="P462" s="14">
        <v>1.5763888888888899</v>
      </c>
      <c r="Q462" s="14">
        <v>1.25554326444328</v>
      </c>
      <c r="R462" s="1" t="s">
        <v>10653</v>
      </c>
      <c r="S462" s="14">
        <v>14</v>
      </c>
      <c r="T462" s="14">
        <v>5</v>
      </c>
      <c r="U462" s="14">
        <v>19</v>
      </c>
      <c r="V462" s="14">
        <v>1.5833333333333299</v>
      </c>
      <c r="W462" s="14">
        <v>13</v>
      </c>
      <c r="X462" s="14">
        <v>12</v>
      </c>
      <c r="Y462" s="14">
        <v>25</v>
      </c>
      <c r="Z462" s="14">
        <v>2.0833333333333299</v>
      </c>
      <c r="AA462" s="14">
        <v>2.3333333333333299</v>
      </c>
      <c r="AB462" s="14">
        <v>2.1666666666666701</v>
      </c>
      <c r="AC462" s="14">
        <v>0.83333333333333304</v>
      </c>
      <c r="AD462" s="14">
        <v>2</v>
      </c>
    </row>
    <row r="463" spans="1:30" x14ac:dyDescent="0.3">
      <c r="A463" s="1" t="s">
        <v>2180</v>
      </c>
      <c r="B463" s="13" t="s">
        <v>2230</v>
      </c>
      <c r="C463" s="14">
        <v>3.8571428571428599</v>
      </c>
      <c r="D463" s="14">
        <v>4.2</v>
      </c>
      <c r="E463" s="15">
        <v>7</v>
      </c>
      <c r="F463" s="15">
        <v>5</v>
      </c>
      <c r="G463" s="15">
        <v>12</v>
      </c>
      <c r="H463" s="14">
        <v>2.1666666666666701</v>
      </c>
      <c r="I463" s="14">
        <v>2.72</v>
      </c>
      <c r="J463" s="16">
        <v>0.33333333333333298</v>
      </c>
      <c r="K463" s="16">
        <v>1</v>
      </c>
      <c r="L463" s="16">
        <v>1</v>
      </c>
      <c r="M463" s="16">
        <v>0.83333333333333304</v>
      </c>
      <c r="N463" s="16">
        <v>0.41666666666666702</v>
      </c>
      <c r="O463" s="16">
        <v>0.41666666666666702</v>
      </c>
      <c r="P463" s="14">
        <v>3.9722222222222201</v>
      </c>
      <c r="Q463" s="14">
        <v>1.99304345718357</v>
      </c>
      <c r="R463" s="1" t="s">
        <v>1541</v>
      </c>
      <c r="S463" s="14">
        <v>11</v>
      </c>
      <c r="T463" s="14">
        <v>15</v>
      </c>
      <c r="U463" s="14">
        <v>26</v>
      </c>
      <c r="V463" s="14">
        <v>2.1666666666666701</v>
      </c>
      <c r="W463" s="14">
        <v>16</v>
      </c>
      <c r="X463" s="14">
        <v>6</v>
      </c>
      <c r="Y463" s="14">
        <v>22</v>
      </c>
      <c r="Z463" s="14">
        <v>1.8333333333333299</v>
      </c>
      <c r="AA463" s="14">
        <v>1.5714285714285701</v>
      </c>
      <c r="AB463" s="14">
        <v>2.28571428571429</v>
      </c>
      <c r="AC463" s="14">
        <v>3</v>
      </c>
      <c r="AD463" s="14">
        <v>1.2</v>
      </c>
    </row>
    <row r="464" spans="1:30" x14ac:dyDescent="0.3">
      <c r="A464" s="1" t="s">
        <v>2183</v>
      </c>
      <c r="B464" s="13" t="s">
        <v>2230</v>
      </c>
      <c r="C464" s="14">
        <v>3.5714285714285698</v>
      </c>
      <c r="D464" s="14">
        <v>2.4</v>
      </c>
      <c r="E464" s="15">
        <v>7</v>
      </c>
      <c r="F464" s="15">
        <v>5</v>
      </c>
      <c r="G464" s="15">
        <v>12</v>
      </c>
      <c r="H464" s="14">
        <v>1.0833333333333299</v>
      </c>
      <c r="I464" s="14">
        <v>2.72</v>
      </c>
      <c r="J464" s="16">
        <v>0.41666666666666702</v>
      </c>
      <c r="K464" s="16">
        <v>1</v>
      </c>
      <c r="L464" s="16">
        <v>0.83333333333333304</v>
      </c>
      <c r="M464" s="16">
        <v>0.5</v>
      </c>
      <c r="N464" s="16">
        <v>0.33333333333333298</v>
      </c>
      <c r="O464" s="16">
        <v>0.5</v>
      </c>
      <c r="P464" s="14">
        <v>1.0763888888888899</v>
      </c>
      <c r="Q464" s="14">
        <v>1.03749163316573</v>
      </c>
      <c r="R464" s="1" t="s">
        <v>10653</v>
      </c>
      <c r="S464" s="14">
        <v>10</v>
      </c>
      <c r="T464" s="14">
        <v>3</v>
      </c>
      <c r="U464" s="14">
        <v>13</v>
      </c>
      <c r="V464" s="14">
        <v>1.0833333333333299</v>
      </c>
      <c r="W464" s="14">
        <v>15</v>
      </c>
      <c r="X464" s="14">
        <v>9</v>
      </c>
      <c r="Y464" s="14">
        <v>24</v>
      </c>
      <c r="Z464" s="14">
        <v>2</v>
      </c>
      <c r="AA464" s="14">
        <v>1.4285714285714299</v>
      </c>
      <c r="AB464" s="14">
        <v>2.1428571428571401</v>
      </c>
      <c r="AC464" s="14">
        <v>0.6</v>
      </c>
      <c r="AD464" s="14">
        <v>1.8</v>
      </c>
    </row>
    <row r="465" spans="1:30" x14ac:dyDescent="0.3">
      <c r="A465" s="1" t="s">
        <v>7244</v>
      </c>
      <c r="B465" s="13" t="s">
        <v>847</v>
      </c>
      <c r="C465" s="14">
        <v>2.6</v>
      </c>
      <c r="D465" s="14">
        <v>3.4285714285714302</v>
      </c>
      <c r="E465" s="15">
        <v>5</v>
      </c>
      <c r="F465" s="15">
        <v>7</v>
      </c>
      <c r="G465" s="15">
        <v>12</v>
      </c>
      <c r="H465" s="14">
        <v>1.5</v>
      </c>
      <c r="I465" s="14">
        <v>2.5</v>
      </c>
      <c r="J465" s="16">
        <v>8.3333333333333301E-2</v>
      </c>
      <c r="K465" s="16">
        <v>1</v>
      </c>
      <c r="L465" s="16">
        <v>0.83333333333333304</v>
      </c>
      <c r="M465" s="16">
        <v>0.5</v>
      </c>
      <c r="N465" s="16">
        <v>0.5</v>
      </c>
      <c r="O465" s="16">
        <v>0.75</v>
      </c>
      <c r="P465" s="14">
        <v>0.58333333333333304</v>
      </c>
      <c r="Q465" s="14">
        <v>0.76376261582597305</v>
      </c>
      <c r="R465" s="1" t="s">
        <v>10653</v>
      </c>
      <c r="S465" s="14">
        <v>7</v>
      </c>
      <c r="T465" s="14">
        <v>11</v>
      </c>
      <c r="U465" s="14">
        <v>18</v>
      </c>
      <c r="V465" s="14">
        <v>1.5</v>
      </c>
      <c r="W465" s="14">
        <v>6</v>
      </c>
      <c r="X465" s="14">
        <v>13</v>
      </c>
      <c r="Y465" s="14">
        <v>19</v>
      </c>
      <c r="Z465" s="14">
        <v>1.5833333333333299</v>
      </c>
      <c r="AA465" s="14">
        <v>1.4</v>
      </c>
      <c r="AB465" s="14">
        <v>1.2</v>
      </c>
      <c r="AC465" s="14">
        <v>1.5714285714285701</v>
      </c>
      <c r="AD465" s="14">
        <v>1.8571428571428601</v>
      </c>
    </row>
    <row r="466" spans="1:30" x14ac:dyDescent="0.3">
      <c r="A466" s="1" t="s">
        <v>7586</v>
      </c>
      <c r="B466" s="13" t="s">
        <v>7895</v>
      </c>
      <c r="C466" s="14">
        <v>2.25</v>
      </c>
      <c r="D466" s="14">
        <v>3.125</v>
      </c>
      <c r="E466" s="15">
        <v>4</v>
      </c>
      <c r="F466" s="15">
        <v>8</v>
      </c>
      <c r="G466" s="15">
        <v>12</v>
      </c>
      <c r="H466" s="14">
        <v>1.5833333333333299</v>
      </c>
      <c r="I466" s="14">
        <v>2.5</v>
      </c>
      <c r="J466" s="16">
        <v>0.25</v>
      </c>
      <c r="K466" s="16">
        <v>0.91666666666666696</v>
      </c>
      <c r="L466" s="16">
        <v>0.75</v>
      </c>
      <c r="M466" s="16">
        <v>0.41666666666666702</v>
      </c>
      <c r="N466" s="16">
        <v>0.33333333333333298</v>
      </c>
      <c r="O466" s="16">
        <v>0.66666666666666696</v>
      </c>
      <c r="P466" s="14">
        <v>2.0763888888888902</v>
      </c>
      <c r="Q466" s="14">
        <v>1.4409680388158801</v>
      </c>
      <c r="R466" s="1" t="s">
        <v>10653</v>
      </c>
      <c r="S466" s="14">
        <v>4</v>
      </c>
      <c r="T466" s="14">
        <v>15</v>
      </c>
      <c r="U466" s="14">
        <v>19</v>
      </c>
      <c r="V466" s="14">
        <v>1.5833333333333299</v>
      </c>
      <c r="W466" s="14">
        <v>5</v>
      </c>
      <c r="X466" s="14">
        <v>10</v>
      </c>
      <c r="Y466" s="14">
        <v>15</v>
      </c>
      <c r="Z466" s="14">
        <v>1.25</v>
      </c>
      <c r="AA466" s="14">
        <v>1</v>
      </c>
      <c r="AB466" s="14">
        <v>1.25</v>
      </c>
      <c r="AC466" s="14">
        <v>1.875</v>
      </c>
      <c r="AD466" s="14">
        <v>1.25</v>
      </c>
    </row>
    <row r="467" spans="1:30" x14ac:dyDescent="0.3">
      <c r="A467" s="1" t="s">
        <v>1128</v>
      </c>
      <c r="B467" s="13" t="s">
        <v>851</v>
      </c>
      <c r="C467" s="14">
        <v>3.5</v>
      </c>
      <c r="D467" s="14">
        <v>3.125</v>
      </c>
      <c r="E467" s="15">
        <v>4</v>
      </c>
      <c r="F467" s="15">
        <v>8</v>
      </c>
      <c r="G467" s="15">
        <v>12</v>
      </c>
      <c r="H467" s="14">
        <v>1.6666666666666701</v>
      </c>
      <c r="I467" s="14">
        <v>3.76</v>
      </c>
      <c r="J467" s="16">
        <v>0.25</v>
      </c>
      <c r="K467" s="16">
        <v>0.83333333333333304</v>
      </c>
      <c r="L467" s="16">
        <v>0.83333333333333304</v>
      </c>
      <c r="M467" s="16">
        <v>0.66666666666666696</v>
      </c>
      <c r="N467" s="16">
        <v>0.33333333333333298</v>
      </c>
      <c r="O467" s="16">
        <v>0.75</v>
      </c>
      <c r="P467" s="14">
        <v>1.8888888888888899</v>
      </c>
      <c r="Q467" s="14">
        <v>1.37436854187255</v>
      </c>
      <c r="R467" s="1" t="s">
        <v>10653</v>
      </c>
      <c r="S467" s="14">
        <v>9</v>
      </c>
      <c r="T467" s="14">
        <v>11</v>
      </c>
      <c r="U467" s="14">
        <v>20</v>
      </c>
      <c r="V467" s="14">
        <v>1.6666666666666701</v>
      </c>
      <c r="W467" s="14">
        <v>5</v>
      </c>
      <c r="X467" s="14">
        <v>14</v>
      </c>
      <c r="Y467" s="14">
        <v>19</v>
      </c>
      <c r="Z467" s="14">
        <v>1.5833333333333299</v>
      </c>
      <c r="AA467" s="14">
        <v>2.25</v>
      </c>
      <c r="AB467" s="14">
        <v>1.25</v>
      </c>
      <c r="AC467" s="14">
        <v>1.375</v>
      </c>
      <c r="AD467" s="14">
        <v>1.75</v>
      </c>
    </row>
    <row r="468" spans="1:30" x14ac:dyDescent="0.3">
      <c r="A468" s="1" t="s">
        <v>7616</v>
      </c>
      <c r="B468" s="13" t="s">
        <v>7895</v>
      </c>
      <c r="C468" s="14">
        <v>2.625</v>
      </c>
      <c r="D468" s="14">
        <v>2.75</v>
      </c>
      <c r="E468" s="15">
        <v>8</v>
      </c>
      <c r="F468" s="15">
        <v>4</v>
      </c>
      <c r="G468" s="15">
        <v>12</v>
      </c>
      <c r="H468" s="14">
        <v>1.5833333333333299</v>
      </c>
      <c r="I468" s="14">
        <v>2.5</v>
      </c>
      <c r="J468" s="16">
        <v>0.25</v>
      </c>
      <c r="K468" s="16">
        <v>0.91666666666666696</v>
      </c>
      <c r="L468" s="16">
        <v>0.83333333333333304</v>
      </c>
      <c r="M468" s="16">
        <v>0.41666666666666702</v>
      </c>
      <c r="N468" s="16">
        <v>0.25</v>
      </c>
      <c r="O468" s="16">
        <v>0.58333333333333304</v>
      </c>
      <c r="P468" s="14">
        <v>1.5763888888888899</v>
      </c>
      <c r="Q468" s="14">
        <v>1.25554326444328</v>
      </c>
      <c r="R468" s="1" t="s">
        <v>10653</v>
      </c>
      <c r="S468" s="14">
        <v>13</v>
      </c>
      <c r="T468" s="14">
        <v>6</v>
      </c>
      <c r="U468" s="14">
        <v>19</v>
      </c>
      <c r="V468" s="14">
        <v>1.5833333333333299</v>
      </c>
      <c r="W468" s="14">
        <v>8</v>
      </c>
      <c r="X468" s="14">
        <v>5</v>
      </c>
      <c r="Y468" s="14">
        <v>13</v>
      </c>
      <c r="Z468" s="14">
        <v>1.0833333333333299</v>
      </c>
      <c r="AA468" s="14">
        <v>1.625</v>
      </c>
      <c r="AB468" s="14">
        <v>1</v>
      </c>
      <c r="AC468" s="14">
        <v>1.5</v>
      </c>
      <c r="AD468" s="14">
        <v>1.25</v>
      </c>
    </row>
    <row r="469" spans="1:30" x14ac:dyDescent="0.3">
      <c r="A469" s="1" t="s">
        <v>4635</v>
      </c>
      <c r="B469" s="13" t="s">
        <v>4657</v>
      </c>
      <c r="C469" s="14">
        <v>2.5714285714285698</v>
      </c>
      <c r="D469" s="14">
        <v>2.6</v>
      </c>
      <c r="E469" s="15">
        <v>7</v>
      </c>
      <c r="F469" s="15">
        <v>5</v>
      </c>
      <c r="G469" s="15">
        <v>12</v>
      </c>
      <c r="H469" s="14">
        <v>1.25</v>
      </c>
      <c r="I469" s="14">
        <v>2.09</v>
      </c>
      <c r="J469" s="16">
        <v>8.3333333333333301E-2</v>
      </c>
      <c r="K469" s="16">
        <v>1</v>
      </c>
      <c r="L469" s="16">
        <v>0.75</v>
      </c>
      <c r="M469" s="16">
        <v>0.5</v>
      </c>
      <c r="N469" s="16">
        <v>0.16666666666666699</v>
      </c>
      <c r="O469" s="16">
        <v>0.58333333333333304</v>
      </c>
      <c r="P469" s="14">
        <v>0.85416666666666696</v>
      </c>
      <c r="Q469" s="14">
        <v>0.92421137553411803</v>
      </c>
      <c r="R469" s="1" t="s">
        <v>10653</v>
      </c>
      <c r="S469" s="14">
        <v>11</v>
      </c>
      <c r="T469" s="14">
        <v>4</v>
      </c>
      <c r="U469" s="14">
        <v>15</v>
      </c>
      <c r="V469" s="14">
        <v>1.25</v>
      </c>
      <c r="W469" s="14">
        <v>7</v>
      </c>
      <c r="X469" s="14">
        <v>9</v>
      </c>
      <c r="Y469" s="14">
        <v>16</v>
      </c>
      <c r="Z469" s="14">
        <v>1.3333333333333299</v>
      </c>
      <c r="AA469" s="14">
        <v>1.5714285714285701</v>
      </c>
      <c r="AB469" s="14">
        <v>1</v>
      </c>
      <c r="AC469" s="14">
        <v>0.8</v>
      </c>
      <c r="AD469" s="14">
        <v>1.8</v>
      </c>
    </row>
    <row r="470" spans="1:30" x14ac:dyDescent="0.3">
      <c r="A470" s="1" t="s">
        <v>7239</v>
      </c>
      <c r="B470" s="13" t="s">
        <v>847</v>
      </c>
      <c r="C470" s="14">
        <v>3.5</v>
      </c>
      <c r="D470" s="14">
        <v>3.8333333333333299</v>
      </c>
      <c r="E470" s="15">
        <v>6</v>
      </c>
      <c r="F470" s="15">
        <v>6</v>
      </c>
      <c r="G470" s="15">
        <v>12</v>
      </c>
      <c r="H470" s="14">
        <v>1.8333333333333299</v>
      </c>
      <c r="I470" s="14">
        <v>2.5</v>
      </c>
      <c r="J470" s="16">
        <v>8.3333333333333301E-2</v>
      </c>
      <c r="K470" s="16">
        <v>0.91666666666666696</v>
      </c>
      <c r="L470" s="16">
        <v>0.75</v>
      </c>
      <c r="M470" s="16">
        <v>0.66666666666666696</v>
      </c>
      <c r="N470" s="16">
        <v>0.5</v>
      </c>
      <c r="O470" s="16">
        <v>0.75</v>
      </c>
      <c r="P470" s="14">
        <v>0.97222222222222199</v>
      </c>
      <c r="Q470" s="14">
        <v>0.98601329718326902</v>
      </c>
      <c r="R470" s="1" t="s">
        <v>10653</v>
      </c>
      <c r="S470" s="14">
        <v>12</v>
      </c>
      <c r="T470" s="14">
        <v>10</v>
      </c>
      <c r="U470" s="14">
        <v>22</v>
      </c>
      <c r="V470" s="14">
        <v>1.8333333333333299</v>
      </c>
      <c r="W470" s="14">
        <v>9</v>
      </c>
      <c r="X470" s="14">
        <v>13</v>
      </c>
      <c r="Y470" s="14">
        <v>22</v>
      </c>
      <c r="Z470" s="14">
        <v>1.8333333333333299</v>
      </c>
      <c r="AA470" s="14">
        <v>2</v>
      </c>
      <c r="AB470" s="14">
        <v>1.5</v>
      </c>
      <c r="AC470" s="14">
        <v>1.6666666666666701</v>
      </c>
      <c r="AD470" s="14">
        <v>2.1666666666666701</v>
      </c>
    </row>
    <row r="471" spans="1:30" x14ac:dyDescent="0.3">
      <c r="A471" s="1" t="s">
        <v>7302</v>
      </c>
      <c r="B471" s="13" t="s">
        <v>847</v>
      </c>
      <c r="C471" s="14">
        <v>4.4000000000000004</v>
      </c>
      <c r="D471" s="14">
        <v>3.28571428571429</v>
      </c>
      <c r="E471" s="15">
        <v>5</v>
      </c>
      <c r="F471" s="15">
        <v>7</v>
      </c>
      <c r="G471" s="15">
        <v>12</v>
      </c>
      <c r="H471" s="14">
        <v>1.8333333333333299</v>
      </c>
      <c r="I471" s="14">
        <v>2.5</v>
      </c>
      <c r="J471" s="16">
        <v>8.3333333333333301E-2</v>
      </c>
      <c r="K471" s="16">
        <v>1</v>
      </c>
      <c r="L471" s="16">
        <v>1</v>
      </c>
      <c r="M471" s="16">
        <v>0.75</v>
      </c>
      <c r="N471" s="16">
        <v>0.58333333333333304</v>
      </c>
      <c r="O471" s="16">
        <v>0.83333333333333304</v>
      </c>
      <c r="P471" s="14">
        <v>1.1388888888888899</v>
      </c>
      <c r="Q471" s="14">
        <v>1.0671873729054799</v>
      </c>
      <c r="R471" s="1" t="s">
        <v>10653</v>
      </c>
      <c r="S471" s="14">
        <v>11</v>
      </c>
      <c r="T471" s="14">
        <v>11</v>
      </c>
      <c r="U471" s="14">
        <v>22</v>
      </c>
      <c r="V471" s="14">
        <v>1.8333333333333299</v>
      </c>
      <c r="W471" s="14">
        <v>11</v>
      </c>
      <c r="X471" s="14">
        <v>12</v>
      </c>
      <c r="Y471" s="14">
        <v>23</v>
      </c>
      <c r="Z471" s="14">
        <v>1.9166666666666701</v>
      </c>
      <c r="AA471" s="14">
        <v>2.2000000000000002</v>
      </c>
      <c r="AB471" s="14">
        <v>2.2000000000000002</v>
      </c>
      <c r="AC471" s="14">
        <v>1.5714285714285701</v>
      </c>
      <c r="AD471" s="14">
        <v>1.71428571428571</v>
      </c>
    </row>
    <row r="472" spans="1:30" x14ac:dyDescent="0.3">
      <c r="A472" s="1" t="s">
        <v>110</v>
      </c>
      <c r="B472" s="13" t="s">
        <v>1329</v>
      </c>
      <c r="C472" s="14">
        <v>3</v>
      </c>
      <c r="D472" s="14"/>
      <c r="E472" s="15">
        <v>1</v>
      </c>
      <c r="F472" s="15">
        <v>0</v>
      </c>
      <c r="G472" s="15">
        <v>1</v>
      </c>
      <c r="H472" s="14">
        <v>3</v>
      </c>
      <c r="I472" s="14">
        <v>1.92</v>
      </c>
      <c r="J472" s="16">
        <v>0</v>
      </c>
      <c r="K472" s="16">
        <v>1</v>
      </c>
      <c r="L472" s="16">
        <v>1</v>
      </c>
      <c r="M472" s="16">
        <v>1</v>
      </c>
      <c r="N472" s="16">
        <v>0</v>
      </c>
      <c r="O472" s="16">
        <v>0</v>
      </c>
      <c r="P472" s="14">
        <v>0</v>
      </c>
      <c r="Q472" s="14">
        <v>0</v>
      </c>
      <c r="R472" s="1" t="s">
        <v>10654</v>
      </c>
      <c r="S472" s="14">
        <v>3</v>
      </c>
      <c r="T472" s="14">
        <v>0</v>
      </c>
      <c r="U472" s="14">
        <v>3</v>
      </c>
      <c r="V472" s="14">
        <v>3</v>
      </c>
      <c r="W472" s="14">
        <v>0</v>
      </c>
      <c r="X472" s="14">
        <v>0</v>
      </c>
      <c r="Y472" s="14">
        <v>0</v>
      </c>
      <c r="Z472" s="14">
        <v>0</v>
      </c>
      <c r="AA472" s="14">
        <v>3</v>
      </c>
      <c r="AB472" s="14">
        <v>0</v>
      </c>
      <c r="AC472" s="14"/>
      <c r="AD472" s="14"/>
    </row>
    <row r="473" spans="1:30" x14ac:dyDescent="0.3">
      <c r="A473" s="1" t="s">
        <v>196</v>
      </c>
      <c r="B473" s="13" t="s">
        <v>1337</v>
      </c>
      <c r="C473" s="14"/>
      <c r="D473" s="14">
        <v>2</v>
      </c>
      <c r="E473" s="15">
        <v>0</v>
      </c>
      <c r="F473" s="15">
        <v>1</v>
      </c>
      <c r="G473" s="15">
        <v>1</v>
      </c>
      <c r="H473" s="14">
        <v>1</v>
      </c>
      <c r="I473" s="14">
        <v>3.91</v>
      </c>
      <c r="J473" s="16">
        <v>0</v>
      </c>
      <c r="K473" s="16">
        <v>1</v>
      </c>
      <c r="L473" s="16">
        <v>1</v>
      </c>
      <c r="M473" s="16">
        <v>0</v>
      </c>
      <c r="N473" s="16">
        <v>0</v>
      </c>
      <c r="O473" s="16">
        <v>1</v>
      </c>
      <c r="P473" s="14">
        <v>0</v>
      </c>
      <c r="Q473" s="14">
        <v>0</v>
      </c>
      <c r="R473" s="1" t="s">
        <v>10654</v>
      </c>
      <c r="S473" s="14">
        <v>0</v>
      </c>
      <c r="T473" s="14">
        <v>1</v>
      </c>
      <c r="U473" s="14">
        <v>1</v>
      </c>
      <c r="V473" s="14">
        <v>1</v>
      </c>
      <c r="W473" s="14">
        <v>0</v>
      </c>
      <c r="X473" s="14">
        <v>1</v>
      </c>
      <c r="Y473" s="14">
        <v>1</v>
      </c>
      <c r="Z473" s="14">
        <v>1</v>
      </c>
      <c r="AA473" s="14"/>
      <c r="AB473" s="14"/>
      <c r="AC473" s="14">
        <v>1</v>
      </c>
      <c r="AD473" s="14">
        <v>1</v>
      </c>
    </row>
    <row r="474" spans="1:30" x14ac:dyDescent="0.3">
      <c r="A474" s="1" t="s">
        <v>242</v>
      </c>
      <c r="B474" s="13" t="s">
        <v>1337</v>
      </c>
      <c r="C474" s="14">
        <v>1</v>
      </c>
      <c r="D474" s="14"/>
      <c r="E474" s="15">
        <v>1</v>
      </c>
      <c r="F474" s="15">
        <v>0</v>
      </c>
      <c r="G474" s="15">
        <v>1</v>
      </c>
      <c r="H474" s="14">
        <v>1</v>
      </c>
      <c r="I474" s="14">
        <v>3.91</v>
      </c>
      <c r="J474" s="16">
        <v>0</v>
      </c>
      <c r="K474" s="16">
        <v>1</v>
      </c>
      <c r="L474" s="16">
        <v>0</v>
      </c>
      <c r="M474" s="16">
        <v>0</v>
      </c>
      <c r="N474" s="16">
        <v>0</v>
      </c>
      <c r="O474" s="16">
        <v>0</v>
      </c>
      <c r="P474" s="14">
        <v>0</v>
      </c>
      <c r="Q474" s="14">
        <v>0</v>
      </c>
      <c r="R474" s="1" t="s">
        <v>10654</v>
      </c>
      <c r="S474" s="14">
        <v>1</v>
      </c>
      <c r="T474" s="14">
        <v>0</v>
      </c>
      <c r="U474" s="14">
        <v>1</v>
      </c>
      <c r="V474" s="14">
        <v>1</v>
      </c>
      <c r="W474" s="14">
        <v>0</v>
      </c>
      <c r="X474" s="14">
        <v>0</v>
      </c>
      <c r="Y474" s="14">
        <v>0</v>
      </c>
      <c r="Z474" s="14">
        <v>0</v>
      </c>
      <c r="AA474" s="14">
        <v>1</v>
      </c>
      <c r="AB474" s="14">
        <v>0</v>
      </c>
      <c r="AC474" s="14"/>
      <c r="AD474" s="14"/>
    </row>
    <row r="475" spans="1:30" x14ac:dyDescent="0.3">
      <c r="A475" s="1" t="s">
        <v>129</v>
      </c>
      <c r="B475" s="13" t="s">
        <v>1327</v>
      </c>
      <c r="C475" s="14">
        <v>3</v>
      </c>
      <c r="D475" s="14"/>
      <c r="E475" s="15">
        <v>1</v>
      </c>
      <c r="F475" s="15">
        <v>0</v>
      </c>
      <c r="G475" s="15">
        <v>1</v>
      </c>
      <c r="H475" s="14">
        <v>2</v>
      </c>
      <c r="I475" s="14">
        <v>2.0499999999999998</v>
      </c>
      <c r="J475" s="16">
        <v>0</v>
      </c>
      <c r="K475" s="16">
        <v>1</v>
      </c>
      <c r="L475" s="16">
        <v>1</v>
      </c>
      <c r="M475" s="16">
        <v>1</v>
      </c>
      <c r="N475" s="16">
        <v>0</v>
      </c>
      <c r="O475" s="16">
        <v>1</v>
      </c>
      <c r="P475" s="14">
        <v>0</v>
      </c>
      <c r="Q475" s="14">
        <v>0</v>
      </c>
      <c r="R475" s="1" t="s">
        <v>10654</v>
      </c>
      <c r="S475" s="14">
        <v>2</v>
      </c>
      <c r="T475" s="14">
        <v>0</v>
      </c>
      <c r="U475" s="14">
        <v>2</v>
      </c>
      <c r="V475" s="14">
        <v>2</v>
      </c>
      <c r="W475" s="14">
        <v>1</v>
      </c>
      <c r="X475" s="14">
        <v>0</v>
      </c>
      <c r="Y475" s="14">
        <v>1</v>
      </c>
      <c r="Z475" s="14">
        <v>1</v>
      </c>
      <c r="AA475" s="14">
        <v>2</v>
      </c>
      <c r="AB475" s="14">
        <v>1</v>
      </c>
      <c r="AC475" s="14"/>
      <c r="AD475" s="14"/>
    </row>
    <row r="476" spans="1:30" x14ac:dyDescent="0.3">
      <c r="A476" s="1" t="s">
        <v>130</v>
      </c>
      <c r="B476" s="13" t="s">
        <v>1327</v>
      </c>
      <c r="C476" s="14"/>
      <c r="D476" s="14">
        <v>3</v>
      </c>
      <c r="E476" s="15">
        <v>0</v>
      </c>
      <c r="F476" s="15">
        <v>1</v>
      </c>
      <c r="G476" s="15">
        <v>1</v>
      </c>
      <c r="H476" s="14">
        <v>1</v>
      </c>
      <c r="I476" s="14">
        <v>2.0499999999999998</v>
      </c>
      <c r="J476" s="16">
        <v>0</v>
      </c>
      <c r="K476" s="16">
        <v>1</v>
      </c>
      <c r="L476" s="16">
        <v>1</v>
      </c>
      <c r="M476" s="16">
        <v>1</v>
      </c>
      <c r="N476" s="16">
        <v>0</v>
      </c>
      <c r="O476" s="16">
        <v>1</v>
      </c>
      <c r="P476" s="14">
        <v>0</v>
      </c>
      <c r="Q476" s="14">
        <v>0</v>
      </c>
      <c r="R476" s="1" t="s">
        <v>10654</v>
      </c>
      <c r="S476" s="14">
        <v>0</v>
      </c>
      <c r="T476" s="14">
        <v>1</v>
      </c>
      <c r="U476" s="14">
        <v>1</v>
      </c>
      <c r="V476" s="14">
        <v>1</v>
      </c>
      <c r="W476" s="14">
        <v>0</v>
      </c>
      <c r="X476" s="14">
        <v>2</v>
      </c>
      <c r="Y476" s="14">
        <v>2</v>
      </c>
      <c r="Z476" s="14">
        <v>2</v>
      </c>
      <c r="AA476" s="14"/>
      <c r="AB476" s="14"/>
      <c r="AC476" s="14">
        <v>1</v>
      </c>
      <c r="AD476" s="14">
        <v>2</v>
      </c>
    </row>
    <row r="477" spans="1:30" x14ac:dyDescent="0.3">
      <c r="A477" s="1" t="s">
        <v>111</v>
      </c>
      <c r="B477" s="13" t="s">
        <v>1329</v>
      </c>
      <c r="C477" s="14"/>
      <c r="D477" s="14">
        <v>3</v>
      </c>
      <c r="E477" s="15">
        <v>0</v>
      </c>
      <c r="F477" s="15">
        <v>1</v>
      </c>
      <c r="G477" s="15">
        <v>1</v>
      </c>
      <c r="H477" s="14">
        <v>0</v>
      </c>
      <c r="I477" s="14">
        <v>1.92</v>
      </c>
      <c r="J477" s="16">
        <v>1</v>
      </c>
      <c r="K477" s="16">
        <v>1</v>
      </c>
      <c r="L477" s="16">
        <v>1</v>
      </c>
      <c r="M477" s="16">
        <v>1</v>
      </c>
      <c r="N477" s="16">
        <v>0</v>
      </c>
      <c r="O477" s="16">
        <v>0</v>
      </c>
      <c r="P477" s="14">
        <v>0</v>
      </c>
      <c r="Q477" s="14">
        <v>0</v>
      </c>
      <c r="R477" s="1" t="s">
        <v>10654</v>
      </c>
      <c r="S477" s="14">
        <v>0</v>
      </c>
      <c r="T477" s="14">
        <v>0</v>
      </c>
      <c r="U477" s="14">
        <v>0</v>
      </c>
      <c r="V477" s="14">
        <v>0</v>
      </c>
      <c r="W477" s="14">
        <v>0</v>
      </c>
      <c r="X477" s="14">
        <v>3</v>
      </c>
      <c r="Y477" s="14">
        <v>3</v>
      </c>
      <c r="Z477" s="14">
        <v>3</v>
      </c>
      <c r="AA477" s="14"/>
      <c r="AB477" s="14"/>
      <c r="AC477" s="14">
        <v>0</v>
      </c>
      <c r="AD477" s="14">
        <v>3</v>
      </c>
    </row>
    <row r="478" spans="1:30" x14ac:dyDescent="0.3">
      <c r="A478" s="1" t="s">
        <v>139</v>
      </c>
      <c r="B478" s="13" t="s">
        <v>1327</v>
      </c>
      <c r="C478" s="14">
        <v>1</v>
      </c>
      <c r="D478" s="14"/>
      <c r="E478" s="15">
        <v>1</v>
      </c>
      <c r="F478" s="15">
        <v>0</v>
      </c>
      <c r="G478" s="15">
        <v>1</v>
      </c>
      <c r="H478" s="14">
        <v>1</v>
      </c>
      <c r="I478" s="14">
        <v>2.0499999999999998</v>
      </c>
      <c r="J478" s="16">
        <v>0</v>
      </c>
      <c r="K478" s="16">
        <v>1</v>
      </c>
      <c r="L478" s="16">
        <v>0</v>
      </c>
      <c r="M478" s="16">
        <v>0</v>
      </c>
      <c r="N478" s="16">
        <v>0</v>
      </c>
      <c r="O478" s="16">
        <v>0</v>
      </c>
      <c r="P478" s="14">
        <v>0</v>
      </c>
      <c r="Q478" s="14">
        <v>0</v>
      </c>
      <c r="R478" s="1" t="s">
        <v>10654</v>
      </c>
      <c r="S478" s="14">
        <v>1</v>
      </c>
      <c r="T478" s="14">
        <v>0</v>
      </c>
      <c r="U478" s="14">
        <v>1</v>
      </c>
      <c r="V478" s="14">
        <v>1</v>
      </c>
      <c r="W478" s="14">
        <v>0</v>
      </c>
      <c r="X478" s="14">
        <v>0</v>
      </c>
      <c r="Y478" s="14">
        <v>0</v>
      </c>
      <c r="Z478" s="14">
        <v>0</v>
      </c>
      <c r="AA478" s="14">
        <v>1</v>
      </c>
      <c r="AB478" s="14">
        <v>0</v>
      </c>
      <c r="AC478" s="14"/>
      <c r="AD478" s="14"/>
    </row>
    <row r="479" spans="1:30" x14ac:dyDescent="0.3">
      <c r="A479" s="1" t="s">
        <v>172</v>
      </c>
      <c r="B479" s="13" t="s">
        <v>1327</v>
      </c>
      <c r="C479" s="14"/>
      <c r="D479" s="14">
        <v>3</v>
      </c>
      <c r="E479" s="15">
        <v>0</v>
      </c>
      <c r="F479" s="15">
        <v>1</v>
      </c>
      <c r="G479" s="15">
        <v>1</v>
      </c>
      <c r="H479" s="14">
        <v>1</v>
      </c>
      <c r="I479" s="14">
        <v>2.0499999999999998</v>
      </c>
      <c r="J479" s="16">
        <v>0</v>
      </c>
      <c r="K479" s="16">
        <v>1</v>
      </c>
      <c r="L479" s="16">
        <v>1</v>
      </c>
      <c r="M479" s="16">
        <v>1</v>
      </c>
      <c r="N479" s="16">
        <v>0</v>
      </c>
      <c r="O479" s="16">
        <v>1</v>
      </c>
      <c r="P479" s="14">
        <v>0</v>
      </c>
      <c r="Q479" s="14">
        <v>0</v>
      </c>
      <c r="R479" s="1" t="s">
        <v>10654</v>
      </c>
      <c r="S479" s="14">
        <v>0</v>
      </c>
      <c r="T479" s="14">
        <v>1</v>
      </c>
      <c r="U479" s="14">
        <v>1</v>
      </c>
      <c r="V479" s="14">
        <v>1</v>
      </c>
      <c r="W479" s="14">
        <v>0</v>
      </c>
      <c r="X479" s="14">
        <v>2</v>
      </c>
      <c r="Y479" s="14">
        <v>2</v>
      </c>
      <c r="Z479" s="14">
        <v>2</v>
      </c>
      <c r="AA479" s="14"/>
      <c r="AB479" s="14"/>
      <c r="AC479" s="14">
        <v>1</v>
      </c>
      <c r="AD479" s="14">
        <v>2</v>
      </c>
    </row>
    <row r="480" spans="1:30" x14ac:dyDescent="0.3">
      <c r="A480" s="1" t="s">
        <v>171</v>
      </c>
      <c r="B480" s="13" t="s">
        <v>1327</v>
      </c>
      <c r="C480" s="14">
        <v>3</v>
      </c>
      <c r="D480" s="14"/>
      <c r="E480" s="15">
        <v>1</v>
      </c>
      <c r="F480" s="15">
        <v>0</v>
      </c>
      <c r="G480" s="15">
        <v>1</v>
      </c>
      <c r="H480" s="14">
        <v>2</v>
      </c>
      <c r="I480" s="14">
        <v>2.0499999999999998</v>
      </c>
      <c r="J480" s="16">
        <v>0</v>
      </c>
      <c r="K480" s="16">
        <v>1</v>
      </c>
      <c r="L480" s="16">
        <v>1</v>
      </c>
      <c r="M480" s="16">
        <v>1</v>
      </c>
      <c r="N480" s="16">
        <v>0</v>
      </c>
      <c r="O480" s="16">
        <v>1</v>
      </c>
      <c r="P480" s="14">
        <v>0</v>
      </c>
      <c r="Q480" s="14">
        <v>0</v>
      </c>
      <c r="R480" s="1" t="s">
        <v>10654</v>
      </c>
      <c r="S480" s="14">
        <v>2</v>
      </c>
      <c r="T480" s="14">
        <v>0</v>
      </c>
      <c r="U480" s="14">
        <v>2</v>
      </c>
      <c r="V480" s="14">
        <v>2</v>
      </c>
      <c r="W480" s="14">
        <v>1</v>
      </c>
      <c r="X480" s="14">
        <v>0</v>
      </c>
      <c r="Y480" s="14">
        <v>1</v>
      </c>
      <c r="Z480" s="14">
        <v>1</v>
      </c>
      <c r="AA480" s="14">
        <v>2</v>
      </c>
      <c r="AB480" s="14">
        <v>1</v>
      </c>
      <c r="AC480" s="14"/>
      <c r="AD480" s="14"/>
    </row>
    <row r="481" spans="1:30" x14ac:dyDescent="0.3">
      <c r="A481" s="1" t="s">
        <v>155</v>
      </c>
      <c r="B481" s="13" t="s">
        <v>1327</v>
      </c>
      <c r="C481" s="14">
        <v>3</v>
      </c>
      <c r="D481" s="14"/>
      <c r="E481" s="15">
        <v>1</v>
      </c>
      <c r="F481" s="15">
        <v>0</v>
      </c>
      <c r="G481" s="15">
        <v>1</v>
      </c>
      <c r="H481" s="14">
        <v>2</v>
      </c>
      <c r="I481" s="14">
        <v>2.0499999999999998</v>
      </c>
      <c r="J481" s="16">
        <v>0</v>
      </c>
      <c r="K481" s="16">
        <v>1</v>
      </c>
      <c r="L481" s="16">
        <v>1</v>
      </c>
      <c r="M481" s="16">
        <v>1</v>
      </c>
      <c r="N481" s="16">
        <v>0</v>
      </c>
      <c r="O481" s="16">
        <v>1</v>
      </c>
      <c r="P481" s="14">
        <v>0</v>
      </c>
      <c r="Q481" s="14">
        <v>0</v>
      </c>
      <c r="R481" s="1" t="s">
        <v>10654</v>
      </c>
      <c r="S481" s="14">
        <v>2</v>
      </c>
      <c r="T481" s="14">
        <v>0</v>
      </c>
      <c r="U481" s="14">
        <v>2</v>
      </c>
      <c r="V481" s="14">
        <v>2</v>
      </c>
      <c r="W481" s="14">
        <v>1</v>
      </c>
      <c r="X481" s="14">
        <v>0</v>
      </c>
      <c r="Y481" s="14">
        <v>1</v>
      </c>
      <c r="Z481" s="14">
        <v>1</v>
      </c>
      <c r="AA481" s="14">
        <v>2</v>
      </c>
      <c r="AB481" s="14">
        <v>1</v>
      </c>
      <c r="AC481" s="14"/>
      <c r="AD481" s="14"/>
    </row>
    <row r="482" spans="1:30" x14ac:dyDescent="0.3">
      <c r="A482" s="1" t="s">
        <v>186</v>
      </c>
      <c r="B482" s="13" t="s">
        <v>1341</v>
      </c>
      <c r="C482" s="14"/>
      <c r="D482" s="14">
        <v>2</v>
      </c>
      <c r="E482" s="15">
        <v>0</v>
      </c>
      <c r="F482" s="15">
        <v>1</v>
      </c>
      <c r="G482" s="15">
        <v>1</v>
      </c>
      <c r="H482" s="14">
        <v>2</v>
      </c>
      <c r="I482" s="14">
        <v>2.5</v>
      </c>
      <c r="J482" s="16">
        <v>0</v>
      </c>
      <c r="K482" s="16">
        <v>1</v>
      </c>
      <c r="L482" s="16">
        <v>1</v>
      </c>
      <c r="M482" s="16">
        <v>0</v>
      </c>
      <c r="N482" s="16">
        <v>0</v>
      </c>
      <c r="O482" s="16">
        <v>0</v>
      </c>
      <c r="P482" s="14">
        <v>0</v>
      </c>
      <c r="Q482" s="14">
        <v>0</v>
      </c>
      <c r="R482" s="1" t="s">
        <v>10654</v>
      </c>
      <c r="S482" s="14">
        <v>0</v>
      </c>
      <c r="T482" s="14">
        <v>2</v>
      </c>
      <c r="U482" s="14">
        <v>2</v>
      </c>
      <c r="V482" s="14">
        <v>2</v>
      </c>
      <c r="W482" s="14">
        <v>0</v>
      </c>
      <c r="X482" s="14">
        <v>0</v>
      </c>
      <c r="Y482" s="14">
        <v>0</v>
      </c>
      <c r="Z482" s="14">
        <v>0</v>
      </c>
      <c r="AA482" s="14"/>
      <c r="AB482" s="14"/>
      <c r="AC482" s="14">
        <v>2</v>
      </c>
      <c r="AD482" s="14">
        <v>0</v>
      </c>
    </row>
    <row r="483" spans="1:30" x14ac:dyDescent="0.3">
      <c r="A483" s="1" t="s">
        <v>185</v>
      </c>
      <c r="B483" s="13" t="s">
        <v>1341</v>
      </c>
      <c r="C483" s="14">
        <v>2</v>
      </c>
      <c r="D483" s="14"/>
      <c r="E483" s="15">
        <v>1</v>
      </c>
      <c r="F483" s="15">
        <v>0</v>
      </c>
      <c r="G483" s="15">
        <v>1</v>
      </c>
      <c r="H483" s="14">
        <v>0</v>
      </c>
      <c r="I483" s="14">
        <v>2.5</v>
      </c>
      <c r="J483" s="16">
        <v>1</v>
      </c>
      <c r="K483" s="16">
        <v>1</v>
      </c>
      <c r="L483" s="16">
        <v>1</v>
      </c>
      <c r="M483" s="16">
        <v>0</v>
      </c>
      <c r="N483" s="16">
        <v>0</v>
      </c>
      <c r="O483" s="16">
        <v>0</v>
      </c>
      <c r="P483" s="14">
        <v>0</v>
      </c>
      <c r="Q483" s="14">
        <v>0</v>
      </c>
      <c r="R483" s="1" t="s">
        <v>10654</v>
      </c>
      <c r="S483" s="14">
        <v>0</v>
      </c>
      <c r="T483" s="14">
        <v>0</v>
      </c>
      <c r="U483" s="14">
        <v>0</v>
      </c>
      <c r="V483" s="14">
        <v>0</v>
      </c>
      <c r="W483" s="14">
        <v>2</v>
      </c>
      <c r="X483" s="14">
        <v>0</v>
      </c>
      <c r="Y483" s="14">
        <v>2</v>
      </c>
      <c r="Z483" s="14">
        <v>2</v>
      </c>
      <c r="AA483" s="14">
        <v>0</v>
      </c>
      <c r="AB483" s="14">
        <v>2</v>
      </c>
      <c r="AC483" s="14"/>
      <c r="AD483" s="14"/>
    </row>
    <row r="484" spans="1:30" x14ac:dyDescent="0.3">
      <c r="A484" s="1" t="s">
        <v>243</v>
      </c>
      <c r="B484" s="13" t="s">
        <v>1337</v>
      </c>
      <c r="C484" s="14"/>
      <c r="D484" s="14">
        <v>1</v>
      </c>
      <c r="E484" s="15">
        <v>0</v>
      </c>
      <c r="F484" s="15">
        <v>1</v>
      </c>
      <c r="G484" s="15">
        <v>1</v>
      </c>
      <c r="H484" s="14">
        <v>0</v>
      </c>
      <c r="I484" s="14">
        <v>3.91</v>
      </c>
      <c r="J484" s="16">
        <v>1</v>
      </c>
      <c r="K484" s="16">
        <v>1</v>
      </c>
      <c r="L484" s="16">
        <v>0</v>
      </c>
      <c r="M484" s="16">
        <v>0</v>
      </c>
      <c r="N484" s="16">
        <v>0</v>
      </c>
      <c r="O484" s="16">
        <v>0</v>
      </c>
      <c r="P484" s="14">
        <v>0</v>
      </c>
      <c r="Q484" s="14">
        <v>0</v>
      </c>
      <c r="R484" s="1" t="s">
        <v>10654</v>
      </c>
      <c r="S484" s="14">
        <v>0</v>
      </c>
      <c r="T484" s="14">
        <v>0</v>
      </c>
      <c r="U484" s="14">
        <v>0</v>
      </c>
      <c r="V484" s="14">
        <v>0</v>
      </c>
      <c r="W484" s="14">
        <v>0</v>
      </c>
      <c r="X484" s="14">
        <v>1</v>
      </c>
      <c r="Y484" s="14">
        <v>1</v>
      </c>
      <c r="Z484" s="14">
        <v>1</v>
      </c>
      <c r="AA484" s="14"/>
      <c r="AB484" s="14"/>
      <c r="AC484" s="14">
        <v>0</v>
      </c>
      <c r="AD484" s="14">
        <v>1</v>
      </c>
    </row>
    <row r="485" spans="1:30" x14ac:dyDescent="0.3">
      <c r="A485" s="1" t="s">
        <v>156</v>
      </c>
      <c r="B485" s="13" t="s">
        <v>1327</v>
      </c>
      <c r="C485" s="14"/>
      <c r="D485" s="14">
        <v>3</v>
      </c>
      <c r="E485" s="15">
        <v>0</v>
      </c>
      <c r="F485" s="15">
        <v>1</v>
      </c>
      <c r="G485" s="15">
        <v>1</v>
      </c>
      <c r="H485" s="14">
        <v>1</v>
      </c>
      <c r="I485" s="14">
        <v>2.0499999999999998</v>
      </c>
      <c r="J485" s="16">
        <v>0</v>
      </c>
      <c r="K485" s="16">
        <v>1</v>
      </c>
      <c r="L485" s="16">
        <v>1</v>
      </c>
      <c r="M485" s="16">
        <v>1</v>
      </c>
      <c r="N485" s="16">
        <v>0</v>
      </c>
      <c r="O485" s="16">
        <v>1</v>
      </c>
      <c r="P485" s="14">
        <v>0</v>
      </c>
      <c r="Q485" s="14">
        <v>0</v>
      </c>
      <c r="R485" s="1" t="s">
        <v>10654</v>
      </c>
      <c r="S485" s="14">
        <v>0</v>
      </c>
      <c r="T485" s="14">
        <v>1</v>
      </c>
      <c r="U485" s="14">
        <v>1</v>
      </c>
      <c r="V485" s="14">
        <v>1</v>
      </c>
      <c r="W485" s="14">
        <v>0</v>
      </c>
      <c r="X485" s="14">
        <v>2</v>
      </c>
      <c r="Y485" s="14">
        <v>2</v>
      </c>
      <c r="Z485" s="14">
        <v>2</v>
      </c>
      <c r="AA485" s="14"/>
      <c r="AB485" s="14"/>
      <c r="AC485" s="14">
        <v>1</v>
      </c>
      <c r="AD485" s="14">
        <v>2</v>
      </c>
    </row>
    <row r="486" spans="1:30" x14ac:dyDescent="0.3">
      <c r="A486" s="1" t="s">
        <v>195</v>
      </c>
      <c r="B486" s="13" t="s">
        <v>1337</v>
      </c>
      <c r="C486" s="14">
        <v>2</v>
      </c>
      <c r="D486" s="14"/>
      <c r="E486" s="15">
        <v>1</v>
      </c>
      <c r="F486" s="15">
        <v>0</v>
      </c>
      <c r="G486" s="15">
        <v>1</v>
      </c>
      <c r="H486" s="14">
        <v>1</v>
      </c>
      <c r="I486" s="14">
        <v>3.91</v>
      </c>
      <c r="J486" s="16">
        <v>0</v>
      </c>
      <c r="K486" s="16">
        <v>1</v>
      </c>
      <c r="L486" s="16">
        <v>1</v>
      </c>
      <c r="M486" s="16">
        <v>0</v>
      </c>
      <c r="N486" s="16">
        <v>0</v>
      </c>
      <c r="O486" s="16">
        <v>1</v>
      </c>
      <c r="P486" s="14">
        <v>0</v>
      </c>
      <c r="Q486" s="14">
        <v>0</v>
      </c>
      <c r="R486" s="1" t="s">
        <v>10654</v>
      </c>
      <c r="S486" s="14">
        <v>1</v>
      </c>
      <c r="T486" s="14">
        <v>0</v>
      </c>
      <c r="U486" s="14">
        <v>1</v>
      </c>
      <c r="V486" s="14">
        <v>1</v>
      </c>
      <c r="W486" s="14">
        <v>1</v>
      </c>
      <c r="X486" s="14">
        <v>0</v>
      </c>
      <c r="Y486" s="14">
        <v>1</v>
      </c>
      <c r="Z486" s="14">
        <v>1</v>
      </c>
      <c r="AA486" s="14">
        <v>1</v>
      </c>
      <c r="AB486" s="14">
        <v>1</v>
      </c>
      <c r="AC486" s="14"/>
      <c r="AD486" s="14"/>
    </row>
    <row r="487" spans="1:30" x14ac:dyDescent="0.3">
      <c r="A487" s="1" t="s">
        <v>115</v>
      </c>
      <c r="B487" s="13" t="s">
        <v>1329</v>
      </c>
      <c r="C487" s="14"/>
      <c r="D487" s="14">
        <v>0</v>
      </c>
      <c r="E487" s="15">
        <v>0</v>
      </c>
      <c r="F487" s="15">
        <v>1</v>
      </c>
      <c r="G487" s="15">
        <v>1</v>
      </c>
      <c r="H487" s="14">
        <v>0</v>
      </c>
      <c r="I487" s="14">
        <v>1.92</v>
      </c>
      <c r="J487" s="16">
        <v>1</v>
      </c>
      <c r="K487" s="16">
        <v>0</v>
      </c>
      <c r="L487" s="16">
        <v>0</v>
      </c>
      <c r="M487" s="16">
        <v>0</v>
      </c>
      <c r="N487" s="16">
        <v>0</v>
      </c>
      <c r="O487" s="16">
        <v>0</v>
      </c>
      <c r="P487" s="14">
        <v>0</v>
      </c>
      <c r="Q487" s="14">
        <v>0</v>
      </c>
      <c r="R487" s="1" t="s">
        <v>10654</v>
      </c>
      <c r="S487" s="14">
        <v>0</v>
      </c>
      <c r="T487" s="14">
        <v>0</v>
      </c>
      <c r="U487" s="14">
        <v>0</v>
      </c>
      <c r="V487" s="14">
        <v>0</v>
      </c>
      <c r="W487" s="14">
        <v>0</v>
      </c>
      <c r="X487" s="14">
        <v>0</v>
      </c>
      <c r="Y487" s="14">
        <v>0</v>
      </c>
      <c r="Z487" s="14">
        <v>0</v>
      </c>
      <c r="AA487" s="14"/>
      <c r="AB487" s="14"/>
      <c r="AC487" s="14">
        <v>0</v>
      </c>
      <c r="AD487" s="14">
        <v>0</v>
      </c>
    </row>
    <row r="488" spans="1:30" x14ac:dyDescent="0.3">
      <c r="A488" s="1" t="s">
        <v>140</v>
      </c>
      <c r="B488" s="13" t="s">
        <v>1327</v>
      </c>
      <c r="C488" s="14"/>
      <c r="D488" s="14">
        <v>1</v>
      </c>
      <c r="E488" s="15">
        <v>0</v>
      </c>
      <c r="F488" s="15">
        <v>1</v>
      </c>
      <c r="G488" s="15">
        <v>1</v>
      </c>
      <c r="H488" s="14">
        <v>0</v>
      </c>
      <c r="I488" s="14">
        <v>2.0499999999999998</v>
      </c>
      <c r="J488" s="16">
        <v>1</v>
      </c>
      <c r="K488" s="16">
        <v>1</v>
      </c>
      <c r="L488" s="16">
        <v>0</v>
      </c>
      <c r="M488" s="16">
        <v>0</v>
      </c>
      <c r="N488" s="16">
        <v>0</v>
      </c>
      <c r="O488" s="16">
        <v>0</v>
      </c>
      <c r="P488" s="14">
        <v>0</v>
      </c>
      <c r="Q488" s="14">
        <v>0</v>
      </c>
      <c r="R488" s="1" t="s">
        <v>10654</v>
      </c>
      <c r="S488" s="14">
        <v>0</v>
      </c>
      <c r="T488" s="14">
        <v>0</v>
      </c>
      <c r="U488" s="14">
        <v>0</v>
      </c>
      <c r="V488" s="14">
        <v>0</v>
      </c>
      <c r="W488" s="14">
        <v>0</v>
      </c>
      <c r="X488" s="14">
        <v>1</v>
      </c>
      <c r="Y488" s="14">
        <v>1</v>
      </c>
      <c r="Z488" s="14">
        <v>1</v>
      </c>
      <c r="AA488" s="14"/>
      <c r="AB488" s="14"/>
      <c r="AC488" s="14">
        <v>0</v>
      </c>
      <c r="AD488" s="14">
        <v>1</v>
      </c>
    </row>
    <row r="489" spans="1:30" x14ac:dyDescent="0.3">
      <c r="A489" s="1" t="s">
        <v>114</v>
      </c>
      <c r="B489" s="13" t="s">
        <v>1329</v>
      </c>
      <c r="C489" s="14">
        <v>0</v>
      </c>
      <c r="D489" s="14"/>
      <c r="E489" s="15">
        <v>1</v>
      </c>
      <c r="F489" s="15">
        <v>0</v>
      </c>
      <c r="G489" s="15">
        <v>1</v>
      </c>
      <c r="H489" s="14">
        <v>0</v>
      </c>
      <c r="I489" s="14">
        <v>1.92</v>
      </c>
      <c r="J489" s="16">
        <v>1</v>
      </c>
      <c r="K489" s="16">
        <v>0</v>
      </c>
      <c r="L489" s="16">
        <v>0</v>
      </c>
      <c r="M489" s="16">
        <v>0</v>
      </c>
      <c r="N489" s="16">
        <v>0</v>
      </c>
      <c r="O489" s="16">
        <v>0</v>
      </c>
      <c r="P489" s="14">
        <v>0</v>
      </c>
      <c r="Q489" s="14">
        <v>0</v>
      </c>
      <c r="R489" s="1" t="s">
        <v>10654</v>
      </c>
      <c r="S489" s="14">
        <v>0</v>
      </c>
      <c r="T489" s="14">
        <v>0</v>
      </c>
      <c r="U489" s="14">
        <v>0</v>
      </c>
      <c r="V489" s="14">
        <v>0</v>
      </c>
      <c r="W489" s="14">
        <v>0</v>
      </c>
      <c r="X489" s="14">
        <v>0</v>
      </c>
      <c r="Y489" s="14">
        <v>0</v>
      </c>
      <c r="Z489" s="14">
        <v>0</v>
      </c>
      <c r="AA489" s="14">
        <v>0</v>
      </c>
      <c r="AB489" s="14">
        <v>0</v>
      </c>
      <c r="AC489" s="14"/>
      <c r="AD489" s="14"/>
    </row>
    <row r="490" spans="1:30" x14ac:dyDescent="0.3">
      <c r="A490" s="1" t="s">
        <v>8257</v>
      </c>
      <c r="B490" s="13" t="s">
        <v>10655</v>
      </c>
      <c r="C490" s="14"/>
      <c r="D490" s="14"/>
      <c r="E490" s="15">
        <v>0</v>
      </c>
      <c r="F490" s="15">
        <v>0</v>
      </c>
      <c r="G490" s="15">
        <v>0</v>
      </c>
      <c r="H490" s="14">
        <v>0</v>
      </c>
      <c r="I490" s="14">
        <v>0</v>
      </c>
      <c r="J490" s="16">
        <v>0</v>
      </c>
      <c r="K490" s="16">
        <v>0</v>
      </c>
      <c r="L490" s="16">
        <v>0</v>
      </c>
      <c r="M490" s="16">
        <v>0</v>
      </c>
      <c r="N490" s="16">
        <v>0</v>
      </c>
      <c r="O490" s="16">
        <v>0</v>
      </c>
      <c r="P490" s="14">
        <v>0</v>
      </c>
      <c r="Q490" s="14">
        <v>0</v>
      </c>
      <c r="R490" s="1" t="s">
        <v>10654</v>
      </c>
      <c r="S490" s="14">
        <v>0</v>
      </c>
      <c r="T490" s="14">
        <v>0</v>
      </c>
      <c r="U490" s="14">
        <v>0</v>
      </c>
      <c r="V490" s="14">
        <v>0</v>
      </c>
      <c r="W490" s="14">
        <v>0</v>
      </c>
      <c r="X490" s="14">
        <v>0</v>
      </c>
      <c r="Y490" s="14">
        <v>0</v>
      </c>
      <c r="Z490" s="14">
        <v>0</v>
      </c>
      <c r="AA490" s="14"/>
      <c r="AB490" s="14"/>
      <c r="AC490" s="14"/>
      <c r="AD490" s="14"/>
    </row>
    <row r="491" spans="1:30" x14ac:dyDescent="0.3">
      <c r="A491" s="1" t="s">
        <v>8261</v>
      </c>
      <c r="B491" s="13" t="s">
        <v>10656</v>
      </c>
      <c r="C491" s="14"/>
      <c r="D491" s="14"/>
      <c r="E491" s="15">
        <v>0</v>
      </c>
      <c r="F491" s="15">
        <v>0</v>
      </c>
      <c r="G491" s="15">
        <v>0</v>
      </c>
      <c r="H491" s="14">
        <v>0</v>
      </c>
      <c r="I491" s="14">
        <v>0</v>
      </c>
      <c r="J491" s="16">
        <v>0</v>
      </c>
      <c r="K491" s="16">
        <v>0</v>
      </c>
      <c r="L491" s="16">
        <v>0</v>
      </c>
      <c r="M491" s="16">
        <v>0</v>
      </c>
      <c r="N491" s="16">
        <v>0</v>
      </c>
      <c r="O491" s="16">
        <v>0</v>
      </c>
      <c r="P491" s="14">
        <v>0</v>
      </c>
      <c r="Q491" s="14">
        <v>0</v>
      </c>
      <c r="R491" s="1" t="s">
        <v>10654</v>
      </c>
      <c r="S491" s="14">
        <v>0</v>
      </c>
      <c r="T491" s="14">
        <v>0</v>
      </c>
      <c r="U491" s="14">
        <v>0</v>
      </c>
      <c r="V491" s="14">
        <v>0</v>
      </c>
      <c r="W491" s="14">
        <v>0</v>
      </c>
      <c r="X491" s="14">
        <v>0</v>
      </c>
      <c r="Y491" s="14">
        <v>0</v>
      </c>
      <c r="Z491" s="14">
        <v>0</v>
      </c>
      <c r="AA491" s="14"/>
      <c r="AB491" s="14"/>
      <c r="AC491" s="14"/>
      <c r="AD491" s="14"/>
    </row>
    <row r="492" spans="1:30" x14ac:dyDescent="0.3">
      <c r="A492" s="1" t="s">
        <v>10836</v>
      </c>
      <c r="B492" s="13" t="s">
        <v>10991</v>
      </c>
      <c r="C492" s="14">
        <v>2.6666666666666665</v>
      </c>
      <c r="D492" s="14">
        <v>2.8333333333333335</v>
      </c>
      <c r="E492" s="14">
        <v>6</v>
      </c>
      <c r="F492" s="14">
        <v>6</v>
      </c>
      <c r="G492" s="14">
        <v>12</v>
      </c>
      <c r="H492" s="14">
        <v>1.5</v>
      </c>
      <c r="I492" s="14">
        <v>2.4</v>
      </c>
      <c r="J492" s="16">
        <v>0.16666666666666666</v>
      </c>
      <c r="K492" s="16">
        <v>1</v>
      </c>
      <c r="L492" s="16">
        <v>0.83333333333333337</v>
      </c>
      <c r="M492" s="16">
        <v>0.58333333333333337</v>
      </c>
      <c r="N492" s="16">
        <v>0.33333333333333331</v>
      </c>
      <c r="O492" s="16">
        <v>0.66666666666666663</v>
      </c>
      <c r="P492" s="14">
        <v>1</v>
      </c>
      <c r="Q492" s="14">
        <v>1</v>
      </c>
      <c r="R492" s="1" t="s">
        <v>10653</v>
      </c>
      <c r="S492" s="14">
        <v>8</v>
      </c>
      <c r="T492" s="14">
        <v>10</v>
      </c>
      <c r="U492" s="14">
        <v>18</v>
      </c>
      <c r="V492" s="14">
        <v>1.5</v>
      </c>
      <c r="W492" s="14">
        <v>8</v>
      </c>
      <c r="X492" s="14">
        <v>7</v>
      </c>
      <c r="Y492" s="14">
        <v>15</v>
      </c>
      <c r="Z492" s="14">
        <v>1.25</v>
      </c>
      <c r="AA492" s="14">
        <v>1.3333333333333333</v>
      </c>
      <c r="AB492" s="14">
        <v>1.3333333333333333</v>
      </c>
      <c r="AC492" s="14">
        <v>1.6666666666666667</v>
      </c>
      <c r="AD492" s="14">
        <v>1.1666666666666667</v>
      </c>
    </row>
    <row r="493" spans="1:30" x14ac:dyDescent="0.3">
      <c r="A493" s="1" t="s">
        <v>10810</v>
      </c>
      <c r="B493" s="13" t="s">
        <v>10991</v>
      </c>
      <c r="C493" s="14">
        <v>2.333333333333333</v>
      </c>
      <c r="D493" s="14">
        <v>1.5</v>
      </c>
      <c r="E493" s="14">
        <v>6</v>
      </c>
      <c r="F493" s="14">
        <v>6</v>
      </c>
      <c r="G493" s="14">
        <v>12</v>
      </c>
      <c r="H493" s="14">
        <v>1.0833333333333333</v>
      </c>
      <c r="I493" s="14">
        <v>2.4</v>
      </c>
      <c r="J493" s="16">
        <v>0.25</v>
      </c>
      <c r="K493" s="16">
        <v>0.83333333333333337</v>
      </c>
      <c r="L493" s="16">
        <v>0.75</v>
      </c>
      <c r="M493" s="16">
        <v>0.33333333333333331</v>
      </c>
      <c r="N493" s="16">
        <v>0</v>
      </c>
      <c r="O493" s="16">
        <v>0.41666666666666669</v>
      </c>
      <c r="P493" s="14">
        <v>0.62878787878787878</v>
      </c>
      <c r="Q493" s="14">
        <v>0.79296146109875909</v>
      </c>
      <c r="R493" s="1" t="s">
        <v>10653</v>
      </c>
      <c r="S493" s="14">
        <v>8</v>
      </c>
      <c r="T493" s="14">
        <v>5</v>
      </c>
      <c r="U493" s="14">
        <v>13</v>
      </c>
      <c r="V493" s="14">
        <v>1.0833333333333333</v>
      </c>
      <c r="W493" s="14">
        <v>6</v>
      </c>
      <c r="X493" s="14">
        <v>4</v>
      </c>
      <c r="Y493" s="14">
        <v>10</v>
      </c>
      <c r="Z493" s="14">
        <v>0.83333333333333337</v>
      </c>
      <c r="AA493" s="14">
        <v>1.3333333333333333</v>
      </c>
      <c r="AB493" s="14">
        <v>1</v>
      </c>
      <c r="AC493" s="14">
        <v>0.83333333333333337</v>
      </c>
      <c r="AD493" s="14">
        <v>0.66666666666666663</v>
      </c>
    </row>
    <row r="494" spans="1:30" x14ac:dyDescent="0.3">
      <c r="A494" s="1" t="s">
        <v>10815</v>
      </c>
      <c r="B494" s="13" t="s">
        <v>10991</v>
      </c>
      <c r="C494" s="14">
        <v>1.5714285714285714</v>
      </c>
      <c r="D494" s="14">
        <v>2.6</v>
      </c>
      <c r="E494" s="14">
        <v>7</v>
      </c>
      <c r="F494" s="14">
        <v>5</v>
      </c>
      <c r="G494" s="14">
        <v>12</v>
      </c>
      <c r="H494" s="14">
        <v>1.25</v>
      </c>
      <c r="I494" s="14">
        <v>2.4</v>
      </c>
      <c r="J494" s="16">
        <v>0.41666666666666669</v>
      </c>
      <c r="K494" s="16">
        <v>0.91666666666666663</v>
      </c>
      <c r="L494" s="16">
        <v>0.41666666666666669</v>
      </c>
      <c r="M494" s="16">
        <v>0.33333333333333331</v>
      </c>
      <c r="N494" s="16">
        <v>0.16666666666666666</v>
      </c>
      <c r="O494" s="16">
        <v>0.25</v>
      </c>
      <c r="P494" s="14">
        <v>2.0227272727272729</v>
      </c>
      <c r="Q494" s="14">
        <v>1.4222261679238197</v>
      </c>
      <c r="R494" s="1" t="s">
        <v>1541</v>
      </c>
      <c r="S494" s="14">
        <v>7</v>
      </c>
      <c r="T494" s="14">
        <v>8</v>
      </c>
      <c r="U494" s="14">
        <v>15</v>
      </c>
      <c r="V494" s="14">
        <v>1.25</v>
      </c>
      <c r="W494" s="14">
        <v>4</v>
      </c>
      <c r="X494" s="14">
        <v>5</v>
      </c>
      <c r="Y494" s="14">
        <v>9</v>
      </c>
      <c r="Z494" s="14">
        <v>0.75</v>
      </c>
      <c r="AA494" s="14">
        <v>1</v>
      </c>
      <c r="AB494" s="14">
        <v>0.5714285714285714</v>
      </c>
      <c r="AC494" s="14">
        <v>1.6</v>
      </c>
      <c r="AD494" s="14">
        <v>1</v>
      </c>
    </row>
    <row r="495" spans="1:30" x14ac:dyDescent="0.3">
      <c r="A495" s="1" t="s">
        <v>10825</v>
      </c>
      <c r="B495" s="13" t="s">
        <v>10991</v>
      </c>
      <c r="C495" s="14">
        <v>2.5</v>
      </c>
      <c r="D495" s="14">
        <v>2.5</v>
      </c>
      <c r="E495" s="14">
        <v>6</v>
      </c>
      <c r="F495" s="14">
        <v>6</v>
      </c>
      <c r="G495" s="14">
        <v>12</v>
      </c>
      <c r="H495" s="14">
        <v>1.0833333333333333</v>
      </c>
      <c r="I495" s="14">
        <v>2.4</v>
      </c>
      <c r="J495" s="16">
        <v>0.33333333333333331</v>
      </c>
      <c r="K495" s="16">
        <v>0.91666666666666663</v>
      </c>
      <c r="L495" s="16">
        <v>0.75</v>
      </c>
      <c r="M495" s="16">
        <v>0.41666666666666669</v>
      </c>
      <c r="N495" s="16">
        <v>0.25</v>
      </c>
      <c r="O495" s="16">
        <v>0.58333333333333337</v>
      </c>
      <c r="P495" s="14">
        <v>1.1742424242424241</v>
      </c>
      <c r="Q495" s="14">
        <v>1.0836246694508316</v>
      </c>
      <c r="R495" s="1" t="s">
        <v>10653</v>
      </c>
      <c r="S495" s="14">
        <v>6</v>
      </c>
      <c r="T495" s="14">
        <v>7</v>
      </c>
      <c r="U495" s="14">
        <v>13</v>
      </c>
      <c r="V495" s="14">
        <v>1.0833333333333333</v>
      </c>
      <c r="W495" s="14">
        <v>9</v>
      </c>
      <c r="X495" s="14">
        <v>8</v>
      </c>
      <c r="Y495" s="14">
        <v>17</v>
      </c>
      <c r="Z495" s="14">
        <v>1.4166666666666667</v>
      </c>
      <c r="AA495" s="14">
        <v>1</v>
      </c>
      <c r="AB495" s="14">
        <v>1.5</v>
      </c>
      <c r="AC495" s="14">
        <v>1.1666666666666667</v>
      </c>
      <c r="AD495" s="14">
        <v>1.3333333333333333</v>
      </c>
    </row>
    <row r="496" spans="1:30" x14ac:dyDescent="0.3">
      <c r="A496" s="1" t="s">
        <v>10821</v>
      </c>
      <c r="B496" s="13" t="s">
        <v>10991</v>
      </c>
      <c r="C496" s="14">
        <v>2</v>
      </c>
      <c r="D496" s="14">
        <v>2.1666666666666665</v>
      </c>
      <c r="E496" s="14">
        <v>6</v>
      </c>
      <c r="F496" s="14">
        <v>6</v>
      </c>
      <c r="G496" s="14">
        <v>12</v>
      </c>
      <c r="H496" s="14">
        <v>1.0833333333333333</v>
      </c>
      <c r="I496" s="14">
        <v>2.4</v>
      </c>
      <c r="J496" s="16">
        <v>0.33333333333333331</v>
      </c>
      <c r="K496" s="16">
        <v>0.83333333333333337</v>
      </c>
      <c r="L496" s="16">
        <v>0.58333333333333337</v>
      </c>
      <c r="M496" s="16">
        <v>0.33333333333333331</v>
      </c>
      <c r="N496" s="16">
        <v>0.25</v>
      </c>
      <c r="O496" s="16">
        <v>0.41666666666666669</v>
      </c>
      <c r="P496" s="14">
        <v>0.99242424242424232</v>
      </c>
      <c r="Q496" s="14">
        <v>0.99620491989562188</v>
      </c>
      <c r="R496" s="1" t="s">
        <v>10653</v>
      </c>
      <c r="S496" s="14">
        <v>5</v>
      </c>
      <c r="T496" s="14">
        <v>8</v>
      </c>
      <c r="U496" s="14">
        <v>13</v>
      </c>
      <c r="V496" s="14">
        <v>1.0833333333333333</v>
      </c>
      <c r="W496" s="14">
        <v>7</v>
      </c>
      <c r="X496" s="14">
        <v>5</v>
      </c>
      <c r="Y496" s="14">
        <v>12</v>
      </c>
      <c r="Z496" s="14">
        <v>1</v>
      </c>
      <c r="AA496" s="14">
        <v>0.83333333333333337</v>
      </c>
      <c r="AB496" s="14">
        <v>1.1666666666666667</v>
      </c>
      <c r="AC496" s="14">
        <v>1.3333333333333333</v>
      </c>
      <c r="AD496" s="14">
        <v>0.83333333333333337</v>
      </c>
    </row>
    <row r="497" spans="1:30" x14ac:dyDescent="0.3">
      <c r="A497" s="1" t="s">
        <v>10832</v>
      </c>
      <c r="B497" s="13" t="s">
        <v>10991</v>
      </c>
      <c r="C497" s="14">
        <v>2</v>
      </c>
      <c r="D497" s="14">
        <v>1.8333333333333333</v>
      </c>
      <c r="E497" s="14">
        <v>6</v>
      </c>
      <c r="F497" s="14">
        <v>6</v>
      </c>
      <c r="G497" s="14">
        <v>12</v>
      </c>
      <c r="H497" s="14">
        <v>1.25</v>
      </c>
      <c r="I497" s="14">
        <v>2.4</v>
      </c>
      <c r="J497" s="16">
        <v>0.33333333333333331</v>
      </c>
      <c r="K497" s="16">
        <v>0.75</v>
      </c>
      <c r="L497" s="16">
        <v>0.58333333333333337</v>
      </c>
      <c r="M497" s="16">
        <v>0.33333333333333331</v>
      </c>
      <c r="N497" s="16">
        <v>0.25</v>
      </c>
      <c r="O497" s="16">
        <v>0.33333333333333331</v>
      </c>
      <c r="P497" s="14">
        <v>1.6590909090909092</v>
      </c>
      <c r="Q497" s="14">
        <v>1.2880570286640687</v>
      </c>
      <c r="R497" s="1" t="s">
        <v>10653</v>
      </c>
      <c r="S497" s="14">
        <v>7</v>
      </c>
      <c r="T497" s="14">
        <v>8</v>
      </c>
      <c r="U497" s="14">
        <v>15</v>
      </c>
      <c r="V497" s="14">
        <v>1.25</v>
      </c>
      <c r="W497" s="14">
        <v>5</v>
      </c>
      <c r="X497" s="14">
        <v>3</v>
      </c>
      <c r="Y497" s="14">
        <v>8</v>
      </c>
      <c r="Z497" s="14">
        <v>0.66666666666666663</v>
      </c>
      <c r="AA497" s="14">
        <v>1.1666666666666667</v>
      </c>
      <c r="AB497" s="14">
        <v>0.83333333333333337</v>
      </c>
      <c r="AC497" s="14">
        <v>1.3333333333333333</v>
      </c>
      <c r="AD497" s="14">
        <v>0.5</v>
      </c>
    </row>
    <row r="498" spans="1:30" x14ac:dyDescent="0.3">
      <c r="A498" s="1" t="s">
        <v>11023</v>
      </c>
      <c r="B498" s="13" t="s">
        <v>11257</v>
      </c>
      <c r="C498" s="14">
        <v>4</v>
      </c>
      <c r="D498" s="14">
        <v>2.5</v>
      </c>
      <c r="E498" s="14">
        <v>6</v>
      </c>
      <c r="F498" s="14">
        <v>6</v>
      </c>
      <c r="G498" s="14">
        <v>12</v>
      </c>
      <c r="H498" s="14">
        <v>1.75</v>
      </c>
      <c r="I498" s="14">
        <v>2.7</v>
      </c>
      <c r="J498" s="16">
        <v>0.16666666666666666</v>
      </c>
      <c r="K498" s="16">
        <v>0.91666666666666663</v>
      </c>
      <c r="L498" s="16">
        <v>0.83333333333333337</v>
      </c>
      <c r="M498" s="16">
        <v>0.83333333333333337</v>
      </c>
      <c r="N498" s="16">
        <v>0.41666666666666669</v>
      </c>
      <c r="O498" s="16">
        <v>0.75</v>
      </c>
      <c r="P498" s="14">
        <v>1.4772727272727273</v>
      </c>
      <c r="Q498" s="14">
        <v>1.2154310870109943</v>
      </c>
      <c r="R498" s="1" t="s">
        <v>10653</v>
      </c>
      <c r="S498" s="14">
        <v>13</v>
      </c>
      <c r="T498" s="14">
        <v>8</v>
      </c>
      <c r="U498" s="14">
        <v>21</v>
      </c>
      <c r="V498" s="14">
        <v>1.75</v>
      </c>
      <c r="W498" s="14">
        <v>11</v>
      </c>
      <c r="X498" s="14">
        <v>7</v>
      </c>
      <c r="Y498" s="14">
        <v>18</v>
      </c>
      <c r="Z498" s="14">
        <v>1.5</v>
      </c>
      <c r="AA498" s="14">
        <v>2.1666666666666665</v>
      </c>
      <c r="AB498" s="14">
        <v>1.8333333333333333</v>
      </c>
      <c r="AC498" s="14">
        <v>1.3333333333333333</v>
      </c>
      <c r="AD498" s="14">
        <v>1.1666666666666667</v>
      </c>
    </row>
    <row r="499" spans="1:30" x14ac:dyDescent="0.3">
      <c r="A499" s="1" t="s">
        <v>11008</v>
      </c>
      <c r="B499" s="13" t="s">
        <v>11257</v>
      </c>
      <c r="C499" s="14">
        <v>3.1428571428571432</v>
      </c>
      <c r="D499" s="14">
        <v>2.6</v>
      </c>
      <c r="E499" s="14">
        <v>7</v>
      </c>
      <c r="F499" s="14">
        <v>5</v>
      </c>
      <c r="G499" s="14">
        <v>12</v>
      </c>
      <c r="H499" s="14">
        <v>0.91666666666666663</v>
      </c>
      <c r="I499" s="14">
        <v>2.7</v>
      </c>
      <c r="J499" s="16">
        <v>0.33333333333333331</v>
      </c>
      <c r="K499" s="16">
        <v>1</v>
      </c>
      <c r="L499" s="16">
        <v>0.83333333333333337</v>
      </c>
      <c r="M499" s="16">
        <v>0.66666666666666663</v>
      </c>
      <c r="N499" s="16">
        <v>0.33333333333333331</v>
      </c>
      <c r="O499" s="16">
        <v>0.58333333333333337</v>
      </c>
      <c r="P499" s="14">
        <v>0.62878787878787901</v>
      </c>
      <c r="Q499" s="14">
        <v>0.7929614610987592</v>
      </c>
      <c r="R499" s="1" t="s">
        <v>10653</v>
      </c>
      <c r="S499" s="14">
        <v>9</v>
      </c>
      <c r="T499" s="14">
        <v>2</v>
      </c>
      <c r="U499" s="14">
        <v>11</v>
      </c>
      <c r="V499" s="14">
        <v>0.91666666666666663</v>
      </c>
      <c r="W499" s="14">
        <v>13</v>
      </c>
      <c r="X499" s="14">
        <v>11</v>
      </c>
      <c r="Y499" s="14">
        <v>24</v>
      </c>
      <c r="Z499" s="14">
        <v>2</v>
      </c>
      <c r="AA499" s="14">
        <v>1.2857142857142858</v>
      </c>
      <c r="AB499" s="14">
        <v>1.8571428571428572</v>
      </c>
      <c r="AC499" s="14">
        <v>0.4</v>
      </c>
      <c r="AD499" s="14">
        <v>2.2000000000000002</v>
      </c>
    </row>
    <row r="500" spans="1:30" x14ac:dyDescent="0.3">
      <c r="A500" s="1" t="s">
        <v>11032</v>
      </c>
      <c r="B500" s="13" t="s">
        <v>11257</v>
      </c>
      <c r="C500" s="14">
        <v>2.8</v>
      </c>
      <c r="D500" s="14">
        <v>3.1428571428571432</v>
      </c>
      <c r="E500" s="14">
        <v>5</v>
      </c>
      <c r="F500" s="14">
        <v>7</v>
      </c>
      <c r="G500" s="14">
        <v>12</v>
      </c>
      <c r="H500" s="14">
        <v>1.9166666666666667</v>
      </c>
      <c r="I500" s="14">
        <v>2.7</v>
      </c>
      <c r="J500" s="16">
        <v>8.3333333333333329E-2</v>
      </c>
      <c r="K500" s="16">
        <v>0.91666666666666663</v>
      </c>
      <c r="L500" s="16">
        <v>0.75</v>
      </c>
      <c r="M500" s="16">
        <v>0.5</v>
      </c>
      <c r="N500" s="16">
        <v>0.33333333333333331</v>
      </c>
      <c r="O500" s="16">
        <v>0.58333333333333337</v>
      </c>
      <c r="P500" s="14">
        <v>2.2651515151515151</v>
      </c>
      <c r="Q500" s="14">
        <v>1.5050420310248864</v>
      </c>
      <c r="R500" s="1" t="s">
        <v>10653</v>
      </c>
      <c r="S500" s="14">
        <v>10</v>
      </c>
      <c r="T500" s="14">
        <v>13</v>
      </c>
      <c r="U500" s="14">
        <v>23</v>
      </c>
      <c r="V500" s="14">
        <v>1.9166666666666667</v>
      </c>
      <c r="W500" s="14">
        <v>4</v>
      </c>
      <c r="X500" s="14">
        <v>9</v>
      </c>
      <c r="Y500" s="14">
        <v>13</v>
      </c>
      <c r="Z500" s="14">
        <v>1.0833333333333333</v>
      </c>
      <c r="AA500" s="14">
        <v>2</v>
      </c>
      <c r="AB500" s="14">
        <v>0.8</v>
      </c>
      <c r="AC500" s="14">
        <v>1.8571428571428572</v>
      </c>
      <c r="AD500" s="14">
        <v>1.2857142857142858</v>
      </c>
    </row>
    <row r="501" spans="1:30" x14ac:dyDescent="0.3">
      <c r="A501" s="1" t="s">
        <v>11028</v>
      </c>
      <c r="B501" s="13" t="s">
        <v>11257</v>
      </c>
      <c r="C501" s="14">
        <v>2.666666666666667</v>
      </c>
      <c r="D501" s="14">
        <v>2.166666666666667</v>
      </c>
      <c r="E501" s="14">
        <v>6</v>
      </c>
      <c r="F501" s="14">
        <v>6</v>
      </c>
      <c r="G501" s="14">
        <v>12</v>
      </c>
      <c r="H501" s="14">
        <v>1.3333333333333333</v>
      </c>
      <c r="I501" s="14">
        <v>2.7</v>
      </c>
      <c r="J501" s="16">
        <v>0.25</v>
      </c>
      <c r="K501" s="16">
        <v>0.91666666666666663</v>
      </c>
      <c r="L501" s="16">
        <v>0.75</v>
      </c>
      <c r="M501" s="16">
        <v>0.41666666666666669</v>
      </c>
      <c r="N501" s="16">
        <v>0.25</v>
      </c>
      <c r="O501" s="16">
        <v>0.5</v>
      </c>
      <c r="P501" s="14">
        <v>0.96969696969696961</v>
      </c>
      <c r="Q501" s="14">
        <v>0.98473192783466179</v>
      </c>
      <c r="R501" s="1" t="s">
        <v>10653</v>
      </c>
      <c r="S501" s="14">
        <v>10</v>
      </c>
      <c r="T501" s="14">
        <v>6</v>
      </c>
      <c r="U501" s="14">
        <v>16</v>
      </c>
      <c r="V501" s="14">
        <v>1.3333333333333333</v>
      </c>
      <c r="W501" s="14">
        <v>6</v>
      </c>
      <c r="X501" s="14">
        <v>7</v>
      </c>
      <c r="Y501" s="14">
        <v>13</v>
      </c>
      <c r="Z501" s="14">
        <v>1.0833333333333333</v>
      </c>
      <c r="AA501" s="14">
        <v>1.6666666666666667</v>
      </c>
      <c r="AB501" s="14">
        <v>1</v>
      </c>
      <c r="AC501" s="14">
        <v>1</v>
      </c>
      <c r="AD501" s="14">
        <v>1.1666666666666667</v>
      </c>
    </row>
    <row r="502" spans="1:30" x14ac:dyDescent="0.3">
      <c r="A502" s="1" t="s">
        <v>11043</v>
      </c>
      <c r="B502" s="13" t="s">
        <v>11257</v>
      </c>
      <c r="C502" s="14">
        <v>2.5</v>
      </c>
      <c r="D502" s="14">
        <v>2</v>
      </c>
      <c r="E502" s="14">
        <v>6</v>
      </c>
      <c r="F502" s="14">
        <v>6</v>
      </c>
      <c r="G502" s="14">
        <v>12</v>
      </c>
      <c r="H502" s="14">
        <v>1.1666666666666667</v>
      </c>
      <c r="I502" s="14">
        <v>2.7</v>
      </c>
      <c r="J502" s="16">
        <v>0.16666666666666666</v>
      </c>
      <c r="K502" s="16">
        <v>1</v>
      </c>
      <c r="L502" s="16">
        <v>0.83333333333333337</v>
      </c>
      <c r="M502" s="16">
        <v>0.33333333333333331</v>
      </c>
      <c r="N502" s="16">
        <v>8.3333333333333329E-2</v>
      </c>
      <c r="O502" s="16">
        <v>0.58333333333333337</v>
      </c>
      <c r="P502" s="14">
        <v>0.69696969696969702</v>
      </c>
      <c r="Q502" s="14">
        <v>0.83484710993672184</v>
      </c>
      <c r="R502" s="1" t="s">
        <v>10653</v>
      </c>
      <c r="S502" s="14">
        <v>8</v>
      </c>
      <c r="T502" s="14">
        <v>6</v>
      </c>
      <c r="U502" s="14">
        <v>14</v>
      </c>
      <c r="V502" s="14">
        <v>1.1666666666666667</v>
      </c>
      <c r="W502" s="14">
        <v>7</v>
      </c>
      <c r="X502" s="14">
        <v>6</v>
      </c>
      <c r="Y502" s="14">
        <v>13</v>
      </c>
      <c r="Z502" s="14">
        <v>1.0833333333333333</v>
      </c>
      <c r="AA502" s="14">
        <v>1.3333333333333333</v>
      </c>
      <c r="AB502" s="14">
        <v>1.1666666666666667</v>
      </c>
      <c r="AC502" s="14">
        <v>1</v>
      </c>
      <c r="AD502" s="14">
        <v>1</v>
      </c>
    </row>
    <row r="503" spans="1:30" x14ac:dyDescent="0.3">
      <c r="A503" s="1" t="s">
        <v>11013</v>
      </c>
      <c r="B503" s="13" t="s">
        <v>11257</v>
      </c>
      <c r="C503" s="14">
        <v>2</v>
      </c>
      <c r="D503" s="14">
        <v>3.7142857142857144</v>
      </c>
      <c r="E503" s="14">
        <v>6</v>
      </c>
      <c r="F503" s="14">
        <v>7</v>
      </c>
      <c r="G503" s="14">
        <v>13</v>
      </c>
      <c r="H503" s="14">
        <v>1.3076923076923077</v>
      </c>
      <c r="I503" s="14">
        <v>2.7</v>
      </c>
      <c r="J503" s="16">
        <v>0.30769230769230771</v>
      </c>
      <c r="K503" s="16">
        <v>0.92307692307692313</v>
      </c>
      <c r="L503" s="16">
        <v>0.61538461538461542</v>
      </c>
      <c r="M503" s="16">
        <v>0.53846153846153844</v>
      </c>
      <c r="N503" s="16">
        <v>0.46153846153846156</v>
      </c>
      <c r="O503" s="16">
        <v>0.61538461538461542</v>
      </c>
      <c r="P503" s="14">
        <v>1.2307692307692306</v>
      </c>
      <c r="Q503" s="14">
        <v>1.1094003924504581</v>
      </c>
      <c r="R503" s="1" t="s">
        <v>10653</v>
      </c>
      <c r="S503" s="14">
        <v>6</v>
      </c>
      <c r="T503" s="14">
        <v>11</v>
      </c>
      <c r="U503" s="14">
        <v>17</v>
      </c>
      <c r="V503" s="14">
        <v>1.3076923076923077</v>
      </c>
      <c r="W503" s="14">
        <v>6</v>
      </c>
      <c r="X503" s="14">
        <v>15</v>
      </c>
      <c r="Y503" s="14">
        <v>21</v>
      </c>
      <c r="Z503" s="14">
        <v>1.6153846153846154</v>
      </c>
      <c r="AA503" s="14">
        <v>1</v>
      </c>
      <c r="AB503" s="14">
        <v>1</v>
      </c>
      <c r="AC503" s="14">
        <v>1.5714285714285714</v>
      </c>
      <c r="AD503" s="14">
        <v>2.1428571428571428</v>
      </c>
    </row>
    <row r="504" spans="1:30" x14ac:dyDescent="0.3">
      <c r="A504" s="1" t="s">
        <v>11018</v>
      </c>
      <c r="B504" s="13" t="s">
        <v>11257</v>
      </c>
      <c r="C504" s="14">
        <v>1.5</v>
      </c>
      <c r="D504" s="14">
        <v>2</v>
      </c>
      <c r="E504" s="14">
        <v>6</v>
      </c>
      <c r="F504" s="14">
        <v>6</v>
      </c>
      <c r="G504" s="14">
        <v>12</v>
      </c>
      <c r="H504" s="14">
        <v>0.58333333333333337</v>
      </c>
      <c r="I504" s="14">
        <v>2.7</v>
      </c>
      <c r="J504" s="16">
        <v>0.66666666666666663</v>
      </c>
      <c r="K504" s="16">
        <v>0.75</v>
      </c>
      <c r="L504" s="16">
        <v>0.33333333333333331</v>
      </c>
      <c r="M504" s="16">
        <v>0.33333333333333331</v>
      </c>
      <c r="N504" s="16">
        <v>0.16666666666666666</v>
      </c>
      <c r="O504" s="16">
        <v>0.33333333333333331</v>
      </c>
      <c r="P504" s="14">
        <v>0.81060606060606055</v>
      </c>
      <c r="Q504" s="14">
        <v>0.90033663737851999</v>
      </c>
      <c r="R504" s="1" t="s">
        <v>1541</v>
      </c>
      <c r="S504" s="14">
        <v>2</v>
      </c>
      <c r="T504" s="14">
        <v>5</v>
      </c>
      <c r="U504" s="14">
        <v>7</v>
      </c>
      <c r="V504" s="14">
        <v>0.58333333333333337</v>
      </c>
      <c r="W504" s="14">
        <v>7</v>
      </c>
      <c r="X504" s="14">
        <v>7</v>
      </c>
      <c r="Y504" s="14">
        <v>14</v>
      </c>
      <c r="Z504" s="14">
        <v>1.1666666666666667</v>
      </c>
      <c r="AA504" s="14">
        <v>0.33333333333333331</v>
      </c>
      <c r="AB504" s="14">
        <v>1.1666666666666667</v>
      </c>
      <c r="AC504" s="14">
        <v>0.83333333333333337</v>
      </c>
      <c r="AD504" s="14">
        <v>1.1666666666666667</v>
      </c>
    </row>
    <row r="505" spans="1:30" x14ac:dyDescent="0.3">
      <c r="A505" s="1" t="s">
        <v>11014</v>
      </c>
      <c r="B505" s="13" t="s">
        <v>11257</v>
      </c>
      <c r="C505" s="14">
        <v>2</v>
      </c>
      <c r="D505" s="14">
        <v>2.4285714285714284</v>
      </c>
      <c r="E505" s="14">
        <v>5</v>
      </c>
      <c r="F505" s="14">
        <v>7</v>
      </c>
      <c r="G505" s="14">
        <v>12</v>
      </c>
      <c r="H505" s="14">
        <v>1</v>
      </c>
      <c r="I505" s="14">
        <v>2.7</v>
      </c>
      <c r="J505" s="16">
        <v>0.33333333333333331</v>
      </c>
      <c r="K505" s="16">
        <v>0.83333333333333337</v>
      </c>
      <c r="L505" s="16">
        <v>0.66666666666666663</v>
      </c>
      <c r="M505" s="16">
        <v>0.33333333333333331</v>
      </c>
      <c r="N505" s="16">
        <v>0.25</v>
      </c>
      <c r="O505" s="16">
        <v>0.58333333333333337</v>
      </c>
      <c r="P505" s="14">
        <v>0.90909090909090906</v>
      </c>
      <c r="Q505" s="14">
        <v>0.95346258924559235</v>
      </c>
      <c r="R505" s="1" t="s">
        <v>10653</v>
      </c>
      <c r="S505" s="14">
        <v>6</v>
      </c>
      <c r="T505" s="14">
        <v>6</v>
      </c>
      <c r="U505" s="14">
        <v>12</v>
      </c>
      <c r="V505" s="14">
        <v>1</v>
      </c>
      <c r="W505" s="14">
        <v>4</v>
      </c>
      <c r="X505" s="14">
        <v>11</v>
      </c>
      <c r="Y505" s="14">
        <v>15</v>
      </c>
      <c r="Z505" s="14">
        <v>1.25</v>
      </c>
      <c r="AA505" s="14">
        <v>1.2</v>
      </c>
      <c r="AB505" s="14">
        <v>0.8</v>
      </c>
      <c r="AC505" s="14">
        <v>0.8571428571428571</v>
      </c>
      <c r="AD505" s="14">
        <v>1.5714285714285714</v>
      </c>
    </row>
    <row r="506" spans="1:30" x14ac:dyDescent="0.3">
      <c r="C506" s="14"/>
      <c r="D506" s="14"/>
      <c r="E506" s="15"/>
      <c r="F506" s="15"/>
      <c r="G506" s="15"/>
      <c r="H506" s="14"/>
      <c r="I506" s="14"/>
      <c r="J506" s="16"/>
      <c r="K506" s="16"/>
      <c r="L506" s="16"/>
      <c r="M506" s="16"/>
      <c r="N506" s="16"/>
      <c r="O506" s="16"/>
      <c r="P506" s="14"/>
      <c r="Q506" s="14"/>
      <c r="S506" s="14"/>
      <c r="T506" s="14"/>
      <c r="U506" s="14"/>
      <c r="V506" s="14"/>
      <c r="W506" s="14"/>
      <c r="X506" s="14"/>
      <c r="Y506" s="14"/>
      <c r="Z506" s="14"/>
      <c r="AA506" s="14"/>
      <c r="AB506" s="14"/>
      <c r="AC506" s="14"/>
      <c r="AD506" s="14"/>
    </row>
    <row r="507" spans="1:30" x14ac:dyDescent="0.3">
      <c r="C507" s="14"/>
      <c r="D507" s="14"/>
      <c r="E507" s="15"/>
      <c r="F507" s="15"/>
      <c r="G507" s="15"/>
      <c r="H507" s="14"/>
      <c r="I507" s="14"/>
      <c r="J507" s="16"/>
      <c r="K507" s="16"/>
      <c r="L507" s="16"/>
      <c r="M507" s="16"/>
      <c r="N507" s="16"/>
      <c r="O507" s="16"/>
      <c r="P507" s="14"/>
      <c r="Q507" s="14"/>
      <c r="S507" s="14"/>
      <c r="T507" s="14"/>
      <c r="U507" s="14"/>
      <c r="V507" s="14"/>
      <c r="W507" s="14"/>
      <c r="X507" s="14"/>
      <c r="Y507" s="14"/>
      <c r="Z507" s="14"/>
      <c r="AA507" s="14"/>
      <c r="AB507" s="14"/>
      <c r="AC507" s="14"/>
      <c r="AD507" s="14"/>
    </row>
    <row r="508" spans="1:30" x14ac:dyDescent="0.3">
      <c r="C508" s="14"/>
      <c r="D508" s="14"/>
      <c r="E508" s="15"/>
      <c r="F508" s="15"/>
      <c r="G508" s="15"/>
      <c r="H508" s="14"/>
      <c r="I508" s="14"/>
      <c r="J508" s="16"/>
      <c r="K508" s="16"/>
      <c r="L508" s="16"/>
      <c r="M508" s="16"/>
      <c r="N508" s="16"/>
      <c r="O508" s="16"/>
      <c r="P508" s="14"/>
      <c r="Q508" s="14"/>
      <c r="S508" s="14"/>
      <c r="T508" s="14"/>
      <c r="U508" s="14"/>
      <c r="V508" s="14"/>
      <c r="W508" s="14"/>
      <c r="X508" s="14"/>
      <c r="Y508" s="14"/>
      <c r="Z508" s="14"/>
      <c r="AA508" s="14"/>
      <c r="AB508" s="14"/>
      <c r="AC508" s="14"/>
      <c r="AD508" s="14"/>
    </row>
    <row r="509" spans="1:30" x14ac:dyDescent="0.3">
      <c r="C509" s="14"/>
      <c r="D509" s="14"/>
      <c r="E509" s="15"/>
      <c r="F509" s="15"/>
      <c r="G509" s="15"/>
      <c r="H509" s="14"/>
      <c r="I509" s="14"/>
      <c r="J509" s="16"/>
      <c r="K509" s="16"/>
      <c r="L509" s="16"/>
      <c r="M509" s="16"/>
      <c r="N509" s="16"/>
      <c r="O509" s="16"/>
      <c r="P509" s="14"/>
      <c r="Q509" s="14"/>
      <c r="S509" s="14"/>
      <c r="T509" s="14"/>
      <c r="U509" s="14"/>
      <c r="V509" s="14"/>
      <c r="W509" s="14"/>
      <c r="X509" s="14"/>
      <c r="Y509" s="14"/>
      <c r="Z509" s="14"/>
      <c r="AA509" s="14"/>
      <c r="AB509" s="14"/>
      <c r="AC509" s="14"/>
      <c r="AD509" s="14"/>
    </row>
    <row r="510" spans="1:30" x14ac:dyDescent="0.3">
      <c r="C510" s="14"/>
      <c r="D510" s="14"/>
      <c r="E510" s="15"/>
      <c r="F510" s="15"/>
      <c r="G510" s="15"/>
      <c r="H510" s="14"/>
      <c r="I510" s="14"/>
      <c r="J510" s="16"/>
      <c r="K510" s="16"/>
      <c r="L510" s="16"/>
      <c r="M510" s="16"/>
      <c r="N510" s="16"/>
      <c r="O510" s="16"/>
      <c r="P510" s="14"/>
      <c r="Q510" s="14"/>
      <c r="S510" s="14"/>
      <c r="T510" s="14"/>
      <c r="U510" s="14"/>
      <c r="V510" s="14"/>
      <c r="W510" s="14"/>
      <c r="X510" s="14"/>
      <c r="Y510" s="14"/>
      <c r="Z510" s="14"/>
      <c r="AA510" s="14"/>
      <c r="AB510" s="14"/>
      <c r="AC510" s="14"/>
      <c r="AD510" s="14"/>
    </row>
    <row r="511" spans="1:30" x14ac:dyDescent="0.3">
      <c r="C511" s="14"/>
      <c r="D511" s="14"/>
      <c r="E511" s="15"/>
      <c r="F511" s="15"/>
      <c r="G511" s="15"/>
      <c r="H511" s="14"/>
      <c r="I511" s="14"/>
      <c r="J511" s="16"/>
      <c r="K511" s="16"/>
      <c r="L511" s="16"/>
      <c r="M511" s="16"/>
      <c r="N511" s="16"/>
      <c r="O511" s="16"/>
      <c r="P511" s="14"/>
      <c r="Q511" s="14"/>
      <c r="S511" s="14"/>
      <c r="T511" s="14"/>
      <c r="U511" s="14"/>
      <c r="V511" s="14"/>
      <c r="W511" s="14"/>
      <c r="X511" s="14"/>
      <c r="Y511" s="14"/>
      <c r="Z511" s="14"/>
      <c r="AA511" s="14"/>
      <c r="AB511" s="14"/>
      <c r="AC511" s="14"/>
      <c r="AD511" s="14"/>
    </row>
    <row r="512" spans="1:30" x14ac:dyDescent="0.3">
      <c r="C512" s="14"/>
      <c r="D512" s="14"/>
      <c r="E512" s="15"/>
      <c r="F512" s="15"/>
      <c r="G512" s="15"/>
      <c r="H512" s="14"/>
      <c r="I512" s="14"/>
      <c r="J512" s="16"/>
      <c r="K512" s="16"/>
      <c r="L512" s="16"/>
      <c r="M512" s="16"/>
      <c r="N512" s="16"/>
      <c r="O512" s="16"/>
      <c r="P512" s="14"/>
      <c r="Q512" s="14"/>
      <c r="S512" s="14"/>
      <c r="T512" s="14"/>
      <c r="U512" s="14"/>
      <c r="V512" s="14"/>
      <c r="W512" s="14"/>
      <c r="X512" s="14"/>
      <c r="Y512" s="14"/>
      <c r="Z512" s="14"/>
      <c r="AA512" s="14"/>
      <c r="AB512" s="14"/>
      <c r="AC512" s="14"/>
      <c r="AD512" s="14"/>
    </row>
    <row r="513" spans="3:30" x14ac:dyDescent="0.3">
      <c r="C513" s="14"/>
      <c r="D513" s="14"/>
      <c r="E513" s="15"/>
      <c r="F513" s="15"/>
      <c r="G513" s="15"/>
      <c r="H513" s="14"/>
      <c r="I513" s="14"/>
      <c r="J513" s="16"/>
      <c r="K513" s="16"/>
      <c r="L513" s="16"/>
      <c r="M513" s="16"/>
      <c r="N513" s="16"/>
      <c r="O513" s="16"/>
      <c r="P513" s="14"/>
      <c r="Q513" s="14"/>
      <c r="S513" s="14"/>
      <c r="T513" s="14"/>
      <c r="U513" s="14"/>
      <c r="V513" s="14"/>
      <c r="W513" s="14"/>
      <c r="X513" s="14"/>
      <c r="Y513" s="14"/>
      <c r="Z513" s="14"/>
      <c r="AA513" s="14"/>
      <c r="AB513" s="14"/>
      <c r="AC513" s="14"/>
      <c r="AD513" s="14"/>
    </row>
    <row r="514" spans="3:30" x14ac:dyDescent="0.3">
      <c r="C514" s="14"/>
      <c r="D514" s="14"/>
      <c r="E514" s="15"/>
      <c r="F514" s="15"/>
      <c r="G514" s="15"/>
      <c r="H514" s="14"/>
      <c r="I514" s="14"/>
      <c r="J514" s="16"/>
      <c r="K514" s="16"/>
      <c r="L514" s="16"/>
      <c r="M514" s="16"/>
      <c r="N514" s="16"/>
      <c r="O514" s="16"/>
      <c r="P514" s="14"/>
      <c r="Q514" s="14"/>
      <c r="S514" s="14"/>
      <c r="T514" s="14"/>
      <c r="U514" s="14"/>
      <c r="V514" s="14"/>
      <c r="W514" s="14"/>
      <c r="X514" s="14"/>
      <c r="Y514" s="14"/>
      <c r="Z514" s="14"/>
      <c r="AA514" s="14"/>
      <c r="AB514" s="14"/>
      <c r="AC514" s="14"/>
      <c r="AD514" s="14"/>
    </row>
    <row r="515" spans="3:30" x14ac:dyDescent="0.3">
      <c r="C515" s="14"/>
      <c r="D515" s="14"/>
      <c r="E515" s="15"/>
      <c r="F515" s="15"/>
      <c r="G515" s="15"/>
      <c r="H515" s="14"/>
      <c r="I515" s="14"/>
      <c r="J515" s="16"/>
      <c r="K515" s="16"/>
      <c r="L515" s="16"/>
      <c r="M515" s="16"/>
      <c r="N515" s="16"/>
      <c r="O515" s="16"/>
      <c r="P515" s="14"/>
      <c r="Q515" s="14"/>
      <c r="S515" s="14"/>
      <c r="T515" s="14"/>
      <c r="U515" s="14"/>
      <c r="V515" s="14"/>
      <c r="W515" s="14"/>
      <c r="X515" s="14"/>
      <c r="Y515" s="14"/>
      <c r="Z515" s="14"/>
      <c r="AA515" s="14"/>
      <c r="AB515" s="14"/>
      <c r="AC515" s="14"/>
      <c r="AD515" s="14"/>
    </row>
    <row r="516" spans="3:30" x14ac:dyDescent="0.3">
      <c r="C516" s="14"/>
      <c r="D516" s="14"/>
      <c r="E516" s="15"/>
      <c r="F516" s="15"/>
      <c r="G516" s="15"/>
      <c r="H516" s="14"/>
      <c r="I516" s="14"/>
      <c r="J516" s="16"/>
      <c r="K516" s="16"/>
      <c r="L516" s="16"/>
      <c r="M516" s="16"/>
      <c r="N516" s="16"/>
      <c r="O516" s="16"/>
      <c r="P516" s="14"/>
      <c r="Q516" s="14"/>
      <c r="S516" s="14"/>
      <c r="T516" s="14"/>
      <c r="U516" s="14"/>
      <c r="V516" s="14"/>
      <c r="W516" s="14"/>
      <c r="X516" s="14"/>
      <c r="Y516" s="14"/>
      <c r="Z516" s="14"/>
      <c r="AA516" s="14"/>
      <c r="AB516" s="14"/>
      <c r="AC516" s="14"/>
      <c r="AD516" s="14"/>
    </row>
    <row r="517" spans="3:30" x14ac:dyDescent="0.3">
      <c r="C517" s="14"/>
      <c r="D517" s="14"/>
      <c r="E517" s="15"/>
      <c r="F517" s="15"/>
      <c r="G517" s="15"/>
      <c r="H517" s="14"/>
      <c r="I517" s="14"/>
      <c r="J517" s="16"/>
      <c r="K517" s="16"/>
      <c r="L517" s="16"/>
      <c r="M517" s="16"/>
      <c r="N517" s="16"/>
      <c r="O517" s="16"/>
      <c r="P517" s="14"/>
      <c r="Q517" s="14"/>
      <c r="S517" s="14"/>
      <c r="T517" s="14"/>
      <c r="U517" s="14"/>
      <c r="V517" s="14"/>
      <c r="W517" s="14"/>
      <c r="X517" s="14"/>
      <c r="Y517" s="14"/>
      <c r="Z517" s="14"/>
      <c r="AA517" s="14"/>
      <c r="AB517" s="14"/>
      <c r="AC517" s="14"/>
      <c r="AD517" s="14"/>
    </row>
    <row r="518" spans="3:30" x14ac:dyDescent="0.3">
      <c r="C518" s="14"/>
      <c r="D518" s="14"/>
      <c r="E518" s="15"/>
      <c r="F518" s="15"/>
      <c r="G518" s="15"/>
      <c r="H518" s="14"/>
      <c r="I518" s="14"/>
      <c r="J518" s="16"/>
      <c r="K518" s="16"/>
      <c r="L518" s="16"/>
      <c r="M518" s="16"/>
      <c r="N518" s="16"/>
      <c r="O518" s="16"/>
      <c r="P518" s="14"/>
      <c r="Q518" s="14"/>
      <c r="S518" s="14"/>
      <c r="T518" s="14"/>
      <c r="U518" s="14"/>
      <c r="V518" s="14"/>
      <c r="W518" s="14"/>
      <c r="X518" s="14"/>
      <c r="Y518" s="14"/>
      <c r="Z518" s="14"/>
      <c r="AA518" s="14"/>
      <c r="AB518" s="14"/>
      <c r="AC518" s="14"/>
      <c r="AD518" s="14"/>
    </row>
    <row r="519" spans="3:30" x14ac:dyDescent="0.3">
      <c r="C519" s="14"/>
      <c r="D519" s="14"/>
      <c r="E519" s="15"/>
      <c r="F519" s="15"/>
      <c r="G519" s="15"/>
      <c r="H519" s="14"/>
      <c r="I519" s="14"/>
      <c r="J519" s="16"/>
      <c r="K519" s="16"/>
      <c r="L519" s="16"/>
      <c r="M519" s="16"/>
      <c r="N519" s="16"/>
      <c r="O519" s="16"/>
      <c r="P519" s="14"/>
      <c r="Q519" s="14"/>
      <c r="S519" s="14"/>
      <c r="T519" s="14"/>
      <c r="U519" s="14"/>
      <c r="V519" s="14"/>
      <c r="W519" s="14"/>
      <c r="X519" s="14"/>
      <c r="Y519" s="14"/>
      <c r="Z519" s="14"/>
      <c r="AA519" s="14"/>
      <c r="AB519" s="14"/>
      <c r="AC519" s="14"/>
      <c r="AD519" s="14"/>
    </row>
    <row r="520" spans="3:30" x14ac:dyDescent="0.3">
      <c r="C520" s="14"/>
      <c r="D520" s="14"/>
      <c r="E520" s="15"/>
      <c r="F520" s="15"/>
      <c r="G520" s="15"/>
      <c r="H520" s="14"/>
      <c r="I520" s="14"/>
      <c r="J520" s="16"/>
      <c r="K520" s="16"/>
      <c r="L520" s="16"/>
      <c r="M520" s="16"/>
      <c r="N520" s="16"/>
      <c r="O520" s="16"/>
      <c r="P520" s="14"/>
      <c r="Q520" s="14"/>
      <c r="S520" s="14"/>
      <c r="T520" s="14"/>
      <c r="U520" s="14"/>
      <c r="V520" s="14"/>
      <c r="W520" s="14"/>
      <c r="X520" s="14"/>
      <c r="Y520" s="14"/>
      <c r="Z520" s="14"/>
      <c r="AA520" s="14"/>
      <c r="AB520" s="14"/>
      <c r="AC520" s="14"/>
      <c r="AD520" s="14"/>
    </row>
    <row r="521" spans="3:30" x14ac:dyDescent="0.3">
      <c r="C521" s="14"/>
      <c r="D521" s="14"/>
      <c r="E521" s="15"/>
      <c r="F521" s="15"/>
      <c r="G521" s="15"/>
      <c r="H521" s="14"/>
      <c r="I521" s="14"/>
      <c r="J521" s="16"/>
      <c r="K521" s="16"/>
      <c r="L521" s="16"/>
      <c r="M521" s="16"/>
      <c r="N521" s="16"/>
      <c r="O521" s="16"/>
      <c r="P521" s="14"/>
      <c r="Q521" s="14"/>
      <c r="S521" s="14"/>
      <c r="T521" s="14"/>
      <c r="U521" s="14"/>
      <c r="V521" s="14"/>
      <c r="W521" s="14"/>
      <c r="X521" s="14"/>
      <c r="Y521" s="14"/>
      <c r="Z521" s="14"/>
      <c r="AA521" s="14"/>
      <c r="AB521" s="14"/>
      <c r="AC521" s="14"/>
      <c r="AD521" s="14"/>
    </row>
    <row r="522" spans="3:30" x14ac:dyDescent="0.3">
      <c r="C522" s="14"/>
      <c r="D522" s="14"/>
      <c r="E522" s="15"/>
      <c r="F522" s="15"/>
      <c r="G522" s="15"/>
      <c r="H522" s="14"/>
      <c r="I522" s="14"/>
      <c r="J522" s="16"/>
      <c r="K522" s="16"/>
      <c r="L522" s="16"/>
      <c r="M522" s="16"/>
      <c r="N522" s="16"/>
      <c r="O522" s="16"/>
      <c r="P522" s="14"/>
      <c r="Q522" s="14"/>
      <c r="S522" s="14"/>
      <c r="T522" s="14"/>
      <c r="U522" s="14"/>
      <c r="V522" s="14"/>
      <c r="W522" s="14"/>
      <c r="X522" s="14"/>
      <c r="Y522" s="14"/>
      <c r="Z522" s="14"/>
      <c r="AA522" s="14"/>
      <c r="AB522" s="14"/>
      <c r="AC522" s="14"/>
      <c r="AD522" s="14"/>
    </row>
    <row r="523" spans="3:30" x14ac:dyDescent="0.3">
      <c r="C523" s="14"/>
      <c r="D523" s="14"/>
      <c r="E523" s="15"/>
      <c r="F523" s="15"/>
      <c r="G523" s="15"/>
      <c r="H523" s="14"/>
      <c r="I523" s="14"/>
      <c r="J523" s="16"/>
      <c r="K523" s="16"/>
      <c r="L523" s="16"/>
      <c r="M523" s="16"/>
      <c r="N523" s="16"/>
      <c r="O523" s="16"/>
      <c r="P523" s="14"/>
      <c r="Q523" s="14"/>
      <c r="S523" s="14"/>
      <c r="T523" s="14"/>
      <c r="U523" s="14"/>
      <c r="V523" s="14"/>
      <c r="W523" s="14"/>
      <c r="X523" s="14"/>
      <c r="Y523" s="14"/>
      <c r="Z523" s="14"/>
      <c r="AA523" s="14"/>
      <c r="AB523" s="14"/>
      <c r="AC523" s="14"/>
      <c r="AD523" s="14"/>
    </row>
    <row r="524" spans="3:30" x14ac:dyDescent="0.3">
      <c r="C524" s="14"/>
      <c r="D524" s="14"/>
      <c r="E524" s="15"/>
      <c r="F524" s="15"/>
      <c r="G524" s="15"/>
      <c r="H524" s="14"/>
      <c r="I524" s="14"/>
      <c r="J524" s="16"/>
      <c r="K524" s="16"/>
      <c r="L524" s="16"/>
      <c r="M524" s="16"/>
      <c r="N524" s="16"/>
      <c r="O524" s="16"/>
      <c r="P524" s="14"/>
      <c r="Q524" s="14"/>
      <c r="S524" s="14"/>
      <c r="T524" s="14"/>
      <c r="U524" s="14"/>
      <c r="V524" s="14"/>
      <c r="W524" s="14"/>
      <c r="X524" s="14"/>
      <c r="Y524" s="14"/>
      <c r="Z524" s="14"/>
      <c r="AA524" s="14"/>
      <c r="AB524" s="14"/>
      <c r="AC524" s="14"/>
      <c r="AD524" s="14"/>
    </row>
    <row r="525" spans="3:30" x14ac:dyDescent="0.3">
      <c r="C525" s="14"/>
      <c r="D525" s="14"/>
      <c r="E525" s="15"/>
      <c r="F525" s="15"/>
      <c r="G525" s="15"/>
      <c r="H525" s="14"/>
      <c r="I525" s="14"/>
      <c r="J525" s="16"/>
      <c r="K525" s="16"/>
      <c r="L525" s="16"/>
      <c r="M525" s="16"/>
      <c r="N525" s="16"/>
      <c r="O525" s="16"/>
      <c r="P525" s="14"/>
      <c r="Q525" s="14"/>
      <c r="S525" s="14"/>
      <c r="T525" s="14"/>
      <c r="U525" s="14"/>
      <c r="V525" s="14"/>
      <c r="W525" s="14"/>
      <c r="X525" s="14"/>
      <c r="Y525" s="14"/>
      <c r="Z525" s="14"/>
      <c r="AA525" s="14"/>
      <c r="AB525" s="14"/>
      <c r="AC525" s="14"/>
      <c r="AD525" s="14"/>
    </row>
    <row r="526" spans="3:30" x14ac:dyDescent="0.3">
      <c r="C526" s="14"/>
      <c r="D526" s="14"/>
      <c r="E526" s="15"/>
      <c r="F526" s="15"/>
      <c r="G526" s="15"/>
      <c r="H526" s="14"/>
      <c r="I526" s="14"/>
      <c r="J526" s="16"/>
      <c r="K526" s="16"/>
      <c r="L526" s="16"/>
      <c r="M526" s="16"/>
      <c r="N526" s="16"/>
      <c r="O526" s="16"/>
      <c r="P526" s="14"/>
      <c r="Q526" s="14"/>
      <c r="S526" s="14"/>
      <c r="T526" s="14"/>
      <c r="U526" s="14"/>
      <c r="V526" s="14"/>
      <c r="W526" s="14"/>
      <c r="X526" s="14"/>
      <c r="Y526" s="14"/>
      <c r="Z526" s="14"/>
      <c r="AA526" s="14"/>
      <c r="AB526" s="14"/>
      <c r="AC526" s="14"/>
      <c r="AD526" s="14"/>
    </row>
    <row r="527" spans="3:30" x14ac:dyDescent="0.3">
      <c r="C527" s="14"/>
      <c r="D527" s="14"/>
      <c r="E527" s="15"/>
      <c r="F527" s="15"/>
      <c r="G527" s="15"/>
      <c r="H527" s="14"/>
      <c r="I527" s="14"/>
      <c r="J527" s="16"/>
      <c r="K527" s="16"/>
      <c r="L527" s="16"/>
      <c r="M527" s="16"/>
      <c r="N527" s="16"/>
      <c r="O527" s="16"/>
      <c r="P527" s="14"/>
      <c r="Q527" s="14"/>
      <c r="S527" s="14"/>
      <c r="T527" s="14"/>
      <c r="U527" s="14"/>
      <c r="V527" s="14"/>
      <c r="W527" s="14"/>
      <c r="X527" s="14"/>
      <c r="Y527" s="14"/>
      <c r="Z527" s="14"/>
      <c r="AA527" s="14"/>
      <c r="AB527" s="14"/>
      <c r="AC527" s="14"/>
      <c r="AD527" s="14"/>
    </row>
    <row r="528" spans="3:30" x14ac:dyDescent="0.3">
      <c r="C528" s="14"/>
      <c r="D528" s="14"/>
      <c r="E528" s="15"/>
      <c r="F528" s="15"/>
      <c r="G528" s="15"/>
      <c r="H528" s="14"/>
      <c r="I528" s="14"/>
      <c r="J528" s="16"/>
      <c r="K528" s="16"/>
      <c r="L528" s="16"/>
      <c r="M528" s="16"/>
      <c r="N528" s="16"/>
      <c r="O528" s="16"/>
      <c r="P528" s="14"/>
      <c r="Q528" s="14"/>
      <c r="S528" s="14"/>
      <c r="T528" s="14"/>
      <c r="U528" s="14"/>
      <c r="V528" s="14"/>
      <c r="W528" s="14"/>
      <c r="X528" s="14"/>
      <c r="Y528" s="14"/>
      <c r="Z528" s="14"/>
      <c r="AA528" s="14"/>
      <c r="AB528" s="14"/>
      <c r="AC528" s="14"/>
      <c r="AD528" s="14"/>
    </row>
    <row r="529" spans="3:30" x14ac:dyDescent="0.3">
      <c r="C529" s="14"/>
      <c r="D529" s="14"/>
      <c r="E529" s="15"/>
      <c r="F529" s="15"/>
      <c r="G529" s="15"/>
      <c r="H529" s="14"/>
      <c r="I529" s="14"/>
      <c r="J529" s="16"/>
      <c r="K529" s="16"/>
      <c r="L529" s="16"/>
      <c r="M529" s="16"/>
      <c r="N529" s="16"/>
      <c r="O529" s="16"/>
      <c r="P529" s="14"/>
      <c r="Q529" s="14"/>
      <c r="S529" s="14"/>
      <c r="T529" s="14"/>
      <c r="U529" s="14"/>
      <c r="V529" s="14"/>
      <c r="W529" s="14"/>
      <c r="X529" s="14"/>
      <c r="Y529" s="14"/>
      <c r="Z529" s="14"/>
      <c r="AA529" s="14"/>
      <c r="AB529" s="14"/>
      <c r="AC529" s="14"/>
      <c r="AD529" s="14"/>
    </row>
    <row r="530" spans="3:30" x14ac:dyDescent="0.3">
      <c r="C530" s="14"/>
      <c r="D530" s="14"/>
      <c r="E530" s="15"/>
      <c r="F530" s="15"/>
      <c r="G530" s="15"/>
      <c r="H530" s="14"/>
      <c r="I530" s="14"/>
      <c r="J530" s="16"/>
      <c r="K530" s="16"/>
      <c r="L530" s="16"/>
      <c r="M530" s="16"/>
      <c r="N530" s="16"/>
      <c r="O530" s="16"/>
      <c r="P530" s="14"/>
      <c r="Q530" s="14"/>
      <c r="S530" s="14"/>
      <c r="T530" s="14"/>
      <c r="U530" s="14"/>
      <c r="V530" s="14"/>
      <c r="W530" s="14"/>
      <c r="X530" s="14"/>
      <c r="Y530" s="14"/>
      <c r="Z530" s="14"/>
      <c r="AA530" s="14"/>
      <c r="AB530" s="14"/>
      <c r="AC530" s="14"/>
      <c r="AD530" s="14"/>
    </row>
    <row r="531" spans="3:30" x14ac:dyDescent="0.3">
      <c r="C531" s="14"/>
      <c r="D531" s="14"/>
      <c r="E531" s="15"/>
      <c r="F531" s="15"/>
      <c r="G531" s="15"/>
      <c r="H531" s="14"/>
      <c r="I531" s="14"/>
      <c r="J531" s="16"/>
      <c r="K531" s="16"/>
      <c r="L531" s="16"/>
      <c r="M531" s="16"/>
      <c r="N531" s="16"/>
      <c r="O531" s="16"/>
      <c r="P531" s="14"/>
      <c r="Q531" s="14"/>
      <c r="S531" s="14"/>
      <c r="T531" s="14"/>
      <c r="U531" s="14"/>
      <c r="V531" s="14"/>
      <c r="W531" s="14"/>
      <c r="X531" s="14"/>
      <c r="Y531" s="14"/>
      <c r="Z531" s="14"/>
      <c r="AA531" s="14"/>
      <c r="AB531" s="14"/>
      <c r="AC531" s="14"/>
      <c r="AD531" s="14"/>
    </row>
    <row r="532" spans="3:30" x14ac:dyDescent="0.3">
      <c r="C532" s="14"/>
      <c r="D532" s="14"/>
      <c r="E532" s="15"/>
      <c r="F532" s="15"/>
      <c r="G532" s="15"/>
      <c r="H532" s="14"/>
      <c r="I532" s="14"/>
      <c r="J532" s="16"/>
      <c r="K532" s="16"/>
      <c r="L532" s="16"/>
      <c r="M532" s="16"/>
      <c r="N532" s="16"/>
      <c r="O532" s="16"/>
      <c r="P532" s="14"/>
      <c r="Q532" s="14"/>
      <c r="S532" s="14"/>
      <c r="T532" s="14"/>
      <c r="U532" s="14"/>
      <c r="V532" s="14"/>
      <c r="W532" s="14"/>
      <c r="X532" s="14"/>
      <c r="Y532" s="14"/>
      <c r="Z532" s="14"/>
      <c r="AA532" s="14"/>
      <c r="AB532" s="14"/>
      <c r="AC532" s="14"/>
      <c r="AD532" s="14"/>
    </row>
    <row r="533" spans="3:30" x14ac:dyDescent="0.3">
      <c r="C533" s="14"/>
      <c r="D533" s="14"/>
      <c r="E533" s="15"/>
      <c r="F533" s="15"/>
      <c r="G533" s="15"/>
      <c r="H533" s="14"/>
      <c r="I533" s="14"/>
      <c r="J533" s="16"/>
      <c r="K533" s="16"/>
      <c r="L533" s="16"/>
      <c r="M533" s="16"/>
      <c r="N533" s="16"/>
      <c r="O533" s="16"/>
      <c r="P533" s="14"/>
      <c r="Q533" s="14"/>
      <c r="S533" s="14"/>
      <c r="T533" s="14"/>
      <c r="U533" s="14"/>
      <c r="V533" s="14"/>
      <c r="W533" s="14"/>
      <c r="X533" s="14"/>
      <c r="Y533" s="14"/>
      <c r="Z533" s="14"/>
      <c r="AA533" s="14"/>
      <c r="AB533" s="14"/>
      <c r="AC533" s="14"/>
      <c r="AD533" s="14"/>
    </row>
    <row r="534" spans="3:30" x14ac:dyDescent="0.3">
      <c r="C534" s="14"/>
      <c r="D534" s="14"/>
      <c r="E534" s="15"/>
      <c r="F534" s="15"/>
      <c r="G534" s="15"/>
      <c r="H534" s="14"/>
      <c r="I534" s="14"/>
      <c r="J534" s="16"/>
      <c r="K534" s="16"/>
      <c r="L534" s="16"/>
      <c r="M534" s="16"/>
      <c r="N534" s="16"/>
      <c r="O534" s="16"/>
      <c r="P534" s="14"/>
      <c r="Q534" s="14"/>
      <c r="S534" s="14"/>
      <c r="T534" s="14"/>
      <c r="U534" s="14"/>
      <c r="V534" s="14"/>
      <c r="W534" s="14"/>
      <c r="X534" s="14"/>
      <c r="Y534" s="14"/>
      <c r="Z534" s="14"/>
      <c r="AA534" s="14"/>
      <c r="AB534" s="14"/>
      <c r="AC534" s="14"/>
      <c r="AD534" s="14"/>
    </row>
    <row r="535" spans="3:30" x14ac:dyDescent="0.3">
      <c r="C535" s="14"/>
      <c r="D535" s="14"/>
      <c r="E535" s="15"/>
      <c r="F535" s="15"/>
      <c r="G535" s="15"/>
      <c r="H535" s="14"/>
      <c r="I535" s="14"/>
      <c r="J535" s="16"/>
      <c r="K535" s="16"/>
      <c r="L535" s="16"/>
      <c r="M535" s="16"/>
      <c r="N535" s="16"/>
      <c r="O535" s="16"/>
      <c r="P535" s="14"/>
      <c r="Q535" s="14"/>
      <c r="S535" s="14"/>
      <c r="T535" s="14"/>
      <c r="U535" s="14"/>
      <c r="V535" s="14"/>
      <c r="W535" s="14"/>
      <c r="X535" s="14"/>
      <c r="Y535" s="14"/>
      <c r="Z535" s="14"/>
      <c r="AA535" s="14"/>
      <c r="AB535" s="14"/>
      <c r="AC535" s="14"/>
      <c r="AD535" s="14"/>
    </row>
    <row r="536" spans="3:30" x14ac:dyDescent="0.3">
      <c r="C536" s="14"/>
      <c r="D536" s="14"/>
      <c r="E536" s="15"/>
      <c r="F536" s="15"/>
      <c r="G536" s="15"/>
      <c r="H536" s="14"/>
      <c r="I536" s="14"/>
      <c r="J536" s="16"/>
      <c r="K536" s="16"/>
      <c r="L536" s="16"/>
      <c r="M536" s="16"/>
      <c r="N536" s="16"/>
      <c r="O536" s="16"/>
      <c r="P536" s="14"/>
      <c r="Q536" s="14"/>
      <c r="S536" s="14"/>
      <c r="T536" s="14"/>
      <c r="U536" s="14"/>
      <c r="V536" s="14"/>
      <c r="W536" s="14"/>
      <c r="X536" s="14"/>
      <c r="Y536" s="14"/>
      <c r="Z536" s="14"/>
      <c r="AA536" s="14"/>
      <c r="AB536" s="14"/>
      <c r="AC536" s="14"/>
      <c r="AD536" s="14"/>
    </row>
    <row r="537" spans="3:30" x14ac:dyDescent="0.3">
      <c r="C537" s="14"/>
      <c r="D537" s="14"/>
      <c r="E537" s="15"/>
      <c r="F537" s="15"/>
      <c r="G537" s="15"/>
      <c r="H537" s="14"/>
      <c r="I537" s="14"/>
      <c r="J537" s="16"/>
      <c r="K537" s="16"/>
      <c r="L537" s="16"/>
      <c r="M537" s="16"/>
      <c r="N537" s="16"/>
      <c r="O537" s="16"/>
      <c r="P537" s="14"/>
      <c r="Q537" s="14"/>
      <c r="S537" s="14"/>
      <c r="T537" s="14"/>
      <c r="U537" s="14"/>
      <c r="V537" s="14"/>
      <c r="W537" s="14"/>
      <c r="X537" s="14"/>
      <c r="Y537" s="14"/>
      <c r="Z537" s="14"/>
      <c r="AA537" s="14"/>
      <c r="AB537" s="14"/>
      <c r="AC537" s="14"/>
      <c r="AD537" s="14"/>
    </row>
    <row r="538" spans="3:30" x14ac:dyDescent="0.3">
      <c r="C538" s="14"/>
      <c r="D538" s="14"/>
      <c r="E538" s="15"/>
      <c r="F538" s="15"/>
      <c r="G538" s="15"/>
      <c r="H538" s="14"/>
      <c r="I538" s="14"/>
      <c r="J538" s="16"/>
      <c r="K538" s="16"/>
      <c r="L538" s="16"/>
      <c r="M538" s="16"/>
      <c r="N538" s="16"/>
      <c r="O538" s="16"/>
      <c r="P538" s="14"/>
      <c r="Q538" s="14"/>
      <c r="S538" s="14"/>
      <c r="T538" s="14"/>
      <c r="U538" s="14"/>
      <c r="V538" s="14"/>
      <c r="W538" s="14"/>
      <c r="X538" s="14"/>
      <c r="Y538" s="14"/>
      <c r="Z538" s="14"/>
      <c r="AA538" s="14"/>
      <c r="AB538" s="14"/>
      <c r="AC538" s="14"/>
      <c r="AD538" s="14"/>
    </row>
    <row r="539" spans="3:30" x14ac:dyDescent="0.3">
      <c r="C539" s="14"/>
      <c r="D539" s="14"/>
      <c r="E539" s="15"/>
      <c r="F539" s="15"/>
      <c r="G539" s="15"/>
      <c r="H539" s="14"/>
      <c r="I539" s="14"/>
      <c r="J539" s="16"/>
      <c r="K539" s="16"/>
      <c r="L539" s="16"/>
      <c r="M539" s="16"/>
      <c r="N539" s="16"/>
      <c r="O539" s="16"/>
      <c r="P539" s="14"/>
      <c r="Q539" s="14"/>
      <c r="S539" s="14"/>
      <c r="T539" s="14"/>
      <c r="U539" s="14"/>
      <c r="V539" s="14"/>
      <c r="W539" s="14"/>
      <c r="X539" s="14"/>
      <c r="Y539" s="14"/>
      <c r="Z539" s="14"/>
      <c r="AA539" s="14"/>
      <c r="AB539" s="14"/>
      <c r="AC539" s="14"/>
      <c r="AD539" s="14"/>
    </row>
    <row r="540" spans="3:30" x14ac:dyDescent="0.3">
      <c r="C540" s="14"/>
      <c r="D540" s="14"/>
      <c r="E540" s="15"/>
      <c r="F540" s="15"/>
      <c r="G540" s="15"/>
      <c r="H540" s="14"/>
      <c r="I540" s="14"/>
      <c r="J540" s="16"/>
      <c r="K540" s="16"/>
      <c r="L540" s="16"/>
      <c r="M540" s="16"/>
      <c r="N540" s="16"/>
      <c r="O540" s="16"/>
      <c r="P540" s="14"/>
      <c r="Q540" s="14"/>
      <c r="S540" s="14"/>
      <c r="T540" s="14"/>
      <c r="U540" s="14"/>
      <c r="V540" s="14"/>
      <c r="W540" s="14"/>
      <c r="X540" s="14"/>
      <c r="Y540" s="14"/>
      <c r="Z540" s="14"/>
      <c r="AA540" s="14"/>
      <c r="AB540" s="14"/>
      <c r="AC540" s="14"/>
      <c r="AD540" s="14"/>
    </row>
    <row r="541" spans="3:30" x14ac:dyDescent="0.3">
      <c r="C541" s="14"/>
      <c r="D541" s="14"/>
      <c r="E541" s="15"/>
      <c r="F541" s="15"/>
      <c r="G541" s="15"/>
      <c r="H541" s="14"/>
      <c r="I541" s="14"/>
      <c r="J541" s="16"/>
      <c r="K541" s="16"/>
      <c r="L541" s="16"/>
      <c r="M541" s="16"/>
      <c r="N541" s="16"/>
      <c r="O541" s="16"/>
      <c r="P541" s="14"/>
      <c r="Q541" s="14"/>
      <c r="S541" s="14"/>
      <c r="T541" s="14"/>
      <c r="U541" s="14"/>
      <c r="V541" s="14"/>
      <c r="W541" s="14"/>
      <c r="X541" s="14"/>
      <c r="Y541" s="14"/>
      <c r="Z541" s="14"/>
      <c r="AA541" s="14"/>
      <c r="AB541" s="14"/>
      <c r="AC541" s="14"/>
      <c r="AD541" s="14"/>
    </row>
    <row r="542" spans="3:30" x14ac:dyDescent="0.3">
      <c r="C542" s="14"/>
      <c r="D542" s="14"/>
      <c r="E542" s="15"/>
      <c r="F542" s="15"/>
      <c r="G542" s="15"/>
      <c r="H542" s="14"/>
      <c r="I542" s="14"/>
      <c r="J542" s="16"/>
      <c r="K542" s="16"/>
      <c r="L542" s="16"/>
      <c r="M542" s="16"/>
      <c r="N542" s="16"/>
      <c r="O542" s="16"/>
      <c r="P542" s="14"/>
      <c r="Q542" s="14"/>
      <c r="S542" s="14"/>
      <c r="T542" s="14"/>
      <c r="U542" s="14"/>
      <c r="V542" s="14"/>
      <c r="W542" s="14"/>
      <c r="X542" s="14"/>
      <c r="Y542" s="14"/>
      <c r="Z542" s="14"/>
      <c r="AA542" s="14"/>
      <c r="AB542" s="14"/>
      <c r="AC542" s="14"/>
      <c r="AD542" s="14"/>
    </row>
    <row r="543" spans="3:30" x14ac:dyDescent="0.3">
      <c r="C543" s="14"/>
      <c r="D543" s="14"/>
      <c r="E543" s="15"/>
      <c r="F543" s="15"/>
      <c r="G543" s="15"/>
      <c r="H543" s="14"/>
      <c r="I543" s="14"/>
      <c r="J543" s="16"/>
      <c r="K543" s="16"/>
      <c r="L543" s="16"/>
      <c r="M543" s="16"/>
      <c r="N543" s="16"/>
      <c r="O543" s="16"/>
      <c r="P543" s="14"/>
      <c r="Q543" s="14"/>
      <c r="S543" s="14"/>
      <c r="T543" s="14"/>
      <c r="U543" s="14"/>
      <c r="V543" s="14"/>
      <c r="W543" s="14"/>
      <c r="X543" s="14"/>
      <c r="Y543" s="14"/>
      <c r="Z543" s="14"/>
      <c r="AA543" s="14"/>
      <c r="AB543" s="14"/>
      <c r="AC543" s="14"/>
      <c r="AD543" s="14"/>
    </row>
    <row r="544" spans="3:30" x14ac:dyDescent="0.3">
      <c r="C544" s="14"/>
      <c r="D544" s="14"/>
      <c r="E544" s="15"/>
      <c r="F544" s="15"/>
      <c r="G544" s="15"/>
      <c r="H544" s="14"/>
      <c r="I544" s="14"/>
      <c r="J544" s="16"/>
      <c r="K544" s="16"/>
      <c r="L544" s="16"/>
      <c r="M544" s="16"/>
      <c r="N544" s="16"/>
      <c r="O544" s="16"/>
      <c r="P544" s="14"/>
      <c r="Q544" s="14"/>
      <c r="S544" s="14"/>
      <c r="T544" s="14"/>
      <c r="U544" s="14"/>
      <c r="V544" s="14"/>
      <c r="W544" s="14"/>
      <c r="X544" s="14"/>
      <c r="Y544" s="14"/>
      <c r="Z544" s="14"/>
      <c r="AA544" s="14"/>
      <c r="AB544" s="14"/>
      <c r="AC544" s="14"/>
      <c r="AD544" s="14"/>
    </row>
    <row r="545" spans="3:30" x14ac:dyDescent="0.3">
      <c r="C545" s="14"/>
      <c r="D545" s="14"/>
      <c r="E545" s="15"/>
      <c r="F545" s="15"/>
      <c r="G545" s="15"/>
      <c r="H545" s="14"/>
      <c r="I545" s="14"/>
      <c r="J545" s="16"/>
      <c r="K545" s="16"/>
      <c r="L545" s="16"/>
      <c r="M545" s="16"/>
      <c r="N545" s="16"/>
      <c r="O545" s="16"/>
      <c r="P545" s="14"/>
      <c r="Q545" s="14"/>
      <c r="S545" s="14"/>
      <c r="T545" s="14"/>
      <c r="U545" s="14"/>
      <c r="V545" s="14"/>
      <c r="W545" s="14"/>
      <c r="X545" s="14"/>
      <c r="Y545" s="14"/>
      <c r="Z545" s="14"/>
      <c r="AA545" s="14"/>
      <c r="AB545" s="14"/>
      <c r="AC545" s="14"/>
      <c r="AD545" s="14"/>
    </row>
    <row r="546" spans="3:30" x14ac:dyDescent="0.3">
      <c r="C546" s="14"/>
      <c r="D546" s="14"/>
      <c r="E546" s="15"/>
      <c r="F546" s="15"/>
      <c r="G546" s="15"/>
      <c r="H546" s="14"/>
      <c r="I546" s="14"/>
      <c r="J546" s="16"/>
      <c r="K546" s="16"/>
      <c r="L546" s="16"/>
      <c r="M546" s="16"/>
      <c r="N546" s="16"/>
      <c r="O546" s="16"/>
      <c r="P546" s="14"/>
      <c r="Q546" s="14"/>
      <c r="S546" s="14"/>
      <c r="T546" s="14"/>
      <c r="U546" s="14"/>
      <c r="V546" s="14"/>
      <c r="W546" s="14"/>
      <c r="X546" s="14"/>
      <c r="Y546" s="14"/>
      <c r="Z546" s="14"/>
      <c r="AA546" s="14"/>
      <c r="AB546" s="14"/>
      <c r="AC546" s="14"/>
      <c r="AD546" s="14"/>
    </row>
    <row r="547" spans="3:30" x14ac:dyDescent="0.3">
      <c r="C547" s="14"/>
      <c r="D547" s="14"/>
      <c r="E547" s="15"/>
      <c r="F547" s="15"/>
      <c r="G547" s="15"/>
      <c r="H547" s="14"/>
      <c r="I547" s="14"/>
      <c r="J547" s="16"/>
      <c r="K547" s="16"/>
      <c r="L547" s="16"/>
      <c r="M547" s="16"/>
      <c r="N547" s="16"/>
      <c r="O547" s="16"/>
      <c r="P547" s="14"/>
      <c r="Q547" s="14"/>
      <c r="S547" s="14"/>
      <c r="T547" s="14"/>
      <c r="U547" s="14"/>
      <c r="V547" s="14"/>
      <c r="W547" s="14"/>
      <c r="X547" s="14"/>
      <c r="Y547" s="14"/>
      <c r="Z547" s="14"/>
      <c r="AA547" s="14"/>
      <c r="AB547" s="14"/>
      <c r="AC547" s="14"/>
      <c r="AD547" s="14"/>
    </row>
    <row r="548" spans="3:30" x14ac:dyDescent="0.3">
      <c r="C548" s="14"/>
      <c r="D548" s="14"/>
      <c r="E548" s="15"/>
      <c r="F548" s="15"/>
      <c r="G548" s="15"/>
      <c r="H548" s="14"/>
      <c r="I548" s="14"/>
      <c r="J548" s="16"/>
      <c r="K548" s="16"/>
      <c r="L548" s="16"/>
      <c r="M548" s="16"/>
      <c r="N548" s="16"/>
      <c r="O548" s="16"/>
      <c r="P548" s="14"/>
      <c r="Q548" s="14"/>
      <c r="S548" s="14"/>
      <c r="T548" s="14"/>
      <c r="U548" s="14"/>
      <c r="V548" s="14"/>
      <c r="W548" s="14"/>
      <c r="X548" s="14"/>
      <c r="Y548" s="14"/>
      <c r="Z548" s="14"/>
      <c r="AA548" s="14"/>
      <c r="AB548" s="14"/>
      <c r="AC548" s="14"/>
      <c r="AD548" s="14"/>
    </row>
    <row r="549" spans="3:30" x14ac:dyDescent="0.3">
      <c r="C549" s="14"/>
      <c r="D549" s="14"/>
      <c r="E549" s="15"/>
      <c r="F549" s="15"/>
      <c r="G549" s="15"/>
      <c r="H549" s="14"/>
      <c r="I549" s="14"/>
      <c r="J549" s="16"/>
      <c r="K549" s="16"/>
      <c r="L549" s="16"/>
      <c r="M549" s="16"/>
      <c r="N549" s="16"/>
      <c r="O549" s="16"/>
      <c r="P549" s="14"/>
      <c r="Q549" s="14"/>
      <c r="S549" s="14"/>
      <c r="T549" s="14"/>
      <c r="U549" s="14"/>
      <c r="V549" s="14"/>
      <c r="W549" s="14"/>
      <c r="X549" s="14"/>
      <c r="Y549" s="14"/>
      <c r="Z549" s="14"/>
      <c r="AA549" s="14"/>
      <c r="AB549" s="14"/>
      <c r="AC549" s="14"/>
      <c r="AD549" s="14"/>
    </row>
    <row r="550" spans="3:30" x14ac:dyDescent="0.3">
      <c r="C550" s="14"/>
      <c r="D550" s="14"/>
      <c r="E550" s="15"/>
      <c r="F550" s="15"/>
      <c r="G550" s="15"/>
      <c r="H550" s="14"/>
      <c r="I550" s="14"/>
      <c r="J550" s="16"/>
      <c r="K550" s="16"/>
      <c r="L550" s="16"/>
      <c r="M550" s="16"/>
      <c r="N550" s="16"/>
      <c r="O550" s="16"/>
      <c r="P550" s="14"/>
      <c r="Q550" s="14"/>
      <c r="S550" s="14"/>
      <c r="T550" s="14"/>
      <c r="U550" s="14"/>
      <c r="V550" s="14"/>
      <c r="W550" s="14"/>
      <c r="X550" s="14"/>
      <c r="Y550" s="14"/>
      <c r="Z550" s="14"/>
      <c r="AA550" s="14"/>
      <c r="AB550" s="14"/>
      <c r="AC550" s="14"/>
      <c r="AD550" s="14"/>
    </row>
    <row r="551" spans="3:30" x14ac:dyDescent="0.3">
      <c r="C551" s="14"/>
      <c r="D551" s="14"/>
      <c r="E551" s="15"/>
      <c r="F551" s="15"/>
      <c r="G551" s="15"/>
      <c r="H551" s="14"/>
      <c r="I551" s="14"/>
      <c r="J551" s="16"/>
      <c r="K551" s="16"/>
      <c r="L551" s="16"/>
      <c r="M551" s="16"/>
      <c r="N551" s="16"/>
      <c r="O551" s="16"/>
      <c r="P551" s="14"/>
      <c r="Q551" s="14"/>
      <c r="S551" s="14"/>
      <c r="T551" s="14"/>
      <c r="U551" s="14"/>
      <c r="V551" s="14"/>
      <c r="W551" s="14"/>
      <c r="X551" s="14"/>
      <c r="Y551" s="14"/>
      <c r="Z551" s="14"/>
      <c r="AA551" s="14"/>
      <c r="AB551" s="14"/>
      <c r="AC551" s="14"/>
      <c r="AD551" s="14"/>
    </row>
    <row r="552" spans="3:30" x14ac:dyDescent="0.3">
      <c r="C552" s="14"/>
      <c r="D552" s="14"/>
      <c r="E552" s="15"/>
      <c r="F552" s="15"/>
      <c r="G552" s="15"/>
      <c r="H552" s="14"/>
      <c r="I552" s="14"/>
      <c r="J552" s="16"/>
      <c r="K552" s="16"/>
      <c r="L552" s="16"/>
      <c r="M552" s="16"/>
      <c r="N552" s="16"/>
      <c r="O552" s="16"/>
      <c r="P552" s="14"/>
      <c r="Q552" s="14"/>
      <c r="S552" s="14"/>
      <c r="T552" s="14"/>
      <c r="U552" s="14"/>
      <c r="V552" s="14"/>
      <c r="W552" s="14"/>
      <c r="X552" s="14"/>
      <c r="Y552" s="14"/>
      <c r="Z552" s="14"/>
      <c r="AA552" s="14"/>
      <c r="AB552" s="14"/>
      <c r="AC552" s="14"/>
      <c r="AD552" s="14"/>
    </row>
    <row r="553" spans="3:30" x14ac:dyDescent="0.3">
      <c r="C553" s="14"/>
      <c r="D553" s="14"/>
      <c r="E553" s="15"/>
      <c r="F553" s="15"/>
      <c r="G553" s="15"/>
      <c r="H553" s="14"/>
      <c r="I553" s="14"/>
      <c r="J553" s="16"/>
      <c r="K553" s="16"/>
      <c r="L553" s="16"/>
      <c r="M553" s="16"/>
      <c r="N553" s="16"/>
      <c r="O553" s="16"/>
      <c r="P553" s="14"/>
      <c r="Q553" s="14"/>
      <c r="S553" s="14"/>
      <c r="T553" s="14"/>
      <c r="U553" s="14"/>
      <c r="V553" s="14"/>
      <c r="W553" s="14"/>
      <c r="X553" s="14"/>
      <c r="Y553" s="14"/>
      <c r="Z553" s="14"/>
      <c r="AA553" s="14"/>
      <c r="AB553" s="14"/>
      <c r="AC553" s="14"/>
      <c r="AD553" s="14"/>
    </row>
    <row r="554" spans="3:30" x14ac:dyDescent="0.3">
      <c r="C554" s="14"/>
      <c r="D554" s="14"/>
      <c r="E554" s="15"/>
      <c r="F554" s="15"/>
      <c r="G554" s="15"/>
      <c r="H554" s="14"/>
      <c r="I554" s="14"/>
      <c r="J554" s="16"/>
      <c r="K554" s="16"/>
      <c r="L554" s="16"/>
      <c r="M554" s="16"/>
      <c r="N554" s="16"/>
      <c r="O554" s="16"/>
      <c r="P554" s="14"/>
      <c r="Q554" s="14"/>
      <c r="S554" s="14"/>
      <c r="T554" s="14"/>
      <c r="U554" s="14"/>
      <c r="V554" s="14"/>
      <c r="W554" s="14"/>
      <c r="X554" s="14"/>
      <c r="Y554" s="14"/>
      <c r="Z554" s="14"/>
      <c r="AA554" s="14"/>
      <c r="AB554" s="14"/>
      <c r="AC554" s="14"/>
      <c r="AD554" s="14"/>
    </row>
    <row r="555" spans="3:30" x14ac:dyDescent="0.3">
      <c r="C555" s="14"/>
      <c r="D555" s="14"/>
      <c r="E555" s="15"/>
      <c r="F555" s="15"/>
      <c r="G555" s="15"/>
      <c r="H555" s="14"/>
      <c r="I555" s="14"/>
      <c r="J555" s="16"/>
      <c r="K555" s="16"/>
      <c r="L555" s="16"/>
      <c r="M555" s="16"/>
      <c r="N555" s="16"/>
      <c r="O555" s="16"/>
      <c r="P555" s="14"/>
      <c r="Q555" s="14"/>
      <c r="S555" s="14"/>
      <c r="T555" s="14"/>
      <c r="U555" s="14"/>
      <c r="V555" s="14"/>
      <c r="W555" s="14"/>
      <c r="X555" s="14"/>
      <c r="Y555" s="14"/>
      <c r="Z555" s="14"/>
      <c r="AA555" s="14"/>
      <c r="AB555" s="14"/>
      <c r="AC555" s="14"/>
      <c r="AD555" s="14"/>
    </row>
    <row r="556" spans="3:30" x14ac:dyDescent="0.3">
      <c r="C556" s="14"/>
      <c r="D556" s="14"/>
      <c r="E556" s="15"/>
      <c r="F556" s="15"/>
      <c r="G556" s="15"/>
      <c r="H556" s="14"/>
      <c r="I556" s="14"/>
      <c r="J556" s="16"/>
      <c r="K556" s="16"/>
      <c r="L556" s="16"/>
      <c r="M556" s="16"/>
      <c r="N556" s="16"/>
      <c r="O556" s="16"/>
      <c r="P556" s="14"/>
      <c r="Q556" s="14"/>
      <c r="S556" s="14"/>
      <c r="T556" s="14"/>
      <c r="U556" s="14"/>
      <c r="V556" s="14"/>
      <c r="W556" s="14"/>
      <c r="X556" s="14"/>
      <c r="Y556" s="14"/>
      <c r="Z556" s="14"/>
      <c r="AA556" s="14"/>
      <c r="AB556" s="14"/>
      <c r="AC556" s="14"/>
      <c r="AD556" s="14"/>
    </row>
    <row r="557" spans="3:30" x14ac:dyDescent="0.3">
      <c r="C557" s="14"/>
      <c r="D557" s="14"/>
      <c r="E557" s="15"/>
      <c r="F557" s="15"/>
      <c r="G557" s="15"/>
      <c r="H557" s="14"/>
      <c r="I557" s="14"/>
      <c r="J557" s="16"/>
      <c r="K557" s="16"/>
      <c r="L557" s="16"/>
      <c r="M557" s="16"/>
      <c r="N557" s="16"/>
      <c r="O557" s="16"/>
      <c r="P557" s="14"/>
      <c r="Q557" s="14"/>
      <c r="S557" s="14"/>
      <c r="T557" s="14"/>
      <c r="U557" s="14"/>
      <c r="V557" s="14"/>
      <c r="W557" s="14"/>
      <c r="X557" s="14"/>
      <c r="Y557" s="14"/>
      <c r="Z557" s="14"/>
      <c r="AA557" s="14"/>
      <c r="AB557" s="14"/>
      <c r="AC557" s="14"/>
      <c r="AD557" s="14"/>
    </row>
    <row r="558" spans="3:30" x14ac:dyDescent="0.3">
      <c r="C558" s="14"/>
      <c r="D558" s="14"/>
      <c r="E558" s="15"/>
      <c r="F558" s="15"/>
      <c r="G558" s="15"/>
      <c r="H558" s="14"/>
      <c r="I558" s="14"/>
      <c r="J558" s="16"/>
      <c r="K558" s="16"/>
      <c r="L558" s="16"/>
      <c r="M558" s="16"/>
      <c r="N558" s="16"/>
      <c r="O558" s="16"/>
      <c r="P558" s="14"/>
      <c r="Q558" s="14"/>
      <c r="S558" s="14"/>
      <c r="T558" s="14"/>
      <c r="U558" s="14"/>
      <c r="V558" s="14"/>
      <c r="W558" s="14"/>
      <c r="X558" s="14"/>
      <c r="Y558" s="14"/>
      <c r="Z558" s="14"/>
      <c r="AA558" s="14"/>
      <c r="AB558" s="14"/>
      <c r="AC558" s="14"/>
      <c r="AD558" s="14"/>
    </row>
    <row r="559" spans="3:30" x14ac:dyDescent="0.3">
      <c r="C559" s="14"/>
      <c r="D559" s="14"/>
      <c r="E559" s="15"/>
      <c r="F559" s="15"/>
      <c r="G559" s="15"/>
      <c r="H559" s="14"/>
      <c r="I559" s="14"/>
      <c r="J559" s="16"/>
      <c r="K559" s="16"/>
      <c r="L559" s="16"/>
      <c r="M559" s="16"/>
      <c r="N559" s="16"/>
      <c r="O559" s="16"/>
      <c r="P559" s="14"/>
      <c r="Q559" s="14"/>
      <c r="S559" s="14"/>
      <c r="T559" s="14"/>
      <c r="U559" s="14"/>
      <c r="V559" s="14"/>
      <c r="W559" s="14"/>
      <c r="X559" s="14"/>
      <c r="Y559" s="14"/>
      <c r="Z559" s="14"/>
      <c r="AA559" s="14"/>
      <c r="AB559" s="14"/>
      <c r="AC559" s="14"/>
      <c r="AD559" s="14"/>
    </row>
    <row r="560" spans="3:30" x14ac:dyDescent="0.3">
      <c r="C560" s="14"/>
      <c r="D560" s="14"/>
      <c r="E560" s="15"/>
      <c r="F560" s="15"/>
      <c r="G560" s="15"/>
      <c r="H560" s="14"/>
      <c r="I560" s="14"/>
      <c r="J560" s="16"/>
      <c r="K560" s="16"/>
      <c r="L560" s="16"/>
      <c r="M560" s="16"/>
      <c r="N560" s="16"/>
      <c r="O560" s="16"/>
      <c r="P560" s="14"/>
      <c r="Q560" s="14"/>
      <c r="S560" s="14"/>
      <c r="T560" s="14"/>
      <c r="U560" s="14"/>
      <c r="V560" s="14"/>
      <c r="W560" s="14"/>
      <c r="X560" s="14"/>
      <c r="Y560" s="14"/>
      <c r="Z560" s="14"/>
      <c r="AA560" s="14"/>
      <c r="AB560" s="14"/>
      <c r="AC560" s="14"/>
      <c r="AD560" s="14"/>
    </row>
    <row r="561" spans="3:30" x14ac:dyDescent="0.3">
      <c r="C561" s="14"/>
      <c r="D561" s="14"/>
      <c r="E561" s="15"/>
      <c r="F561" s="15"/>
      <c r="G561" s="15"/>
      <c r="H561" s="14"/>
      <c r="I561" s="14"/>
      <c r="J561" s="16"/>
      <c r="K561" s="16"/>
      <c r="L561" s="16"/>
      <c r="M561" s="16"/>
      <c r="N561" s="16"/>
      <c r="O561" s="16"/>
      <c r="P561" s="14"/>
      <c r="Q561" s="14"/>
      <c r="S561" s="14"/>
      <c r="T561" s="14"/>
      <c r="U561" s="14"/>
      <c r="V561" s="14"/>
      <c r="W561" s="14"/>
      <c r="X561" s="14"/>
      <c r="Y561" s="14"/>
      <c r="Z561" s="14"/>
      <c r="AA561" s="14"/>
      <c r="AB561" s="14"/>
      <c r="AC561" s="14"/>
      <c r="AD561" s="14"/>
    </row>
    <row r="562" spans="3:30" x14ac:dyDescent="0.3">
      <c r="C562" s="14"/>
      <c r="D562" s="14"/>
      <c r="E562" s="15"/>
      <c r="F562" s="15"/>
      <c r="G562" s="15"/>
      <c r="H562" s="14"/>
      <c r="I562" s="14"/>
      <c r="J562" s="16"/>
      <c r="K562" s="16"/>
      <c r="L562" s="16"/>
      <c r="M562" s="16"/>
      <c r="N562" s="16"/>
      <c r="O562" s="16"/>
      <c r="P562" s="14"/>
      <c r="Q562" s="14"/>
      <c r="S562" s="14"/>
      <c r="T562" s="14"/>
      <c r="U562" s="14"/>
      <c r="V562" s="14"/>
      <c r="W562" s="14"/>
      <c r="X562" s="14"/>
      <c r="Y562" s="14"/>
      <c r="Z562" s="14"/>
      <c r="AA562" s="14"/>
      <c r="AB562" s="14"/>
      <c r="AC562" s="14"/>
      <c r="AD562" s="14"/>
    </row>
    <row r="563" spans="3:30" x14ac:dyDescent="0.3">
      <c r="C563" s="14"/>
      <c r="D563" s="14"/>
      <c r="E563" s="15"/>
      <c r="F563" s="15"/>
      <c r="G563" s="15"/>
      <c r="H563" s="14"/>
      <c r="I563" s="14"/>
      <c r="J563" s="16"/>
      <c r="K563" s="16"/>
      <c r="L563" s="16"/>
      <c r="M563" s="16"/>
      <c r="N563" s="16"/>
      <c r="O563" s="16"/>
      <c r="P563" s="14"/>
      <c r="Q563" s="14"/>
      <c r="S563" s="14"/>
      <c r="T563" s="14"/>
      <c r="U563" s="14"/>
      <c r="V563" s="14"/>
      <c r="W563" s="14"/>
      <c r="X563" s="14"/>
      <c r="Y563" s="14"/>
      <c r="Z563" s="14"/>
      <c r="AA563" s="14"/>
      <c r="AB563" s="14"/>
      <c r="AC563" s="14"/>
      <c r="AD563" s="14"/>
    </row>
    <row r="564" spans="3:30" x14ac:dyDescent="0.3">
      <c r="C564" s="14"/>
      <c r="D564" s="14"/>
      <c r="E564" s="15"/>
      <c r="F564" s="15"/>
      <c r="G564" s="15"/>
      <c r="H564" s="14"/>
      <c r="I564" s="14"/>
      <c r="J564" s="16"/>
      <c r="K564" s="16"/>
      <c r="L564" s="16"/>
      <c r="M564" s="16"/>
      <c r="N564" s="16"/>
      <c r="O564" s="16"/>
      <c r="P564" s="14"/>
      <c r="Q564" s="14"/>
      <c r="S564" s="14"/>
      <c r="T564" s="14"/>
      <c r="U564" s="14"/>
      <c r="V564" s="14"/>
      <c r="W564" s="14"/>
      <c r="X564" s="14"/>
      <c r="Y564" s="14"/>
      <c r="Z564" s="14"/>
      <c r="AA564" s="14"/>
      <c r="AB564" s="14"/>
      <c r="AC564" s="14"/>
      <c r="AD564" s="14"/>
    </row>
    <row r="565" spans="3:30" x14ac:dyDescent="0.3">
      <c r="C565" s="14"/>
      <c r="D565" s="14"/>
      <c r="E565" s="15"/>
      <c r="F565" s="15"/>
      <c r="G565" s="15"/>
      <c r="H565" s="14"/>
      <c r="I565" s="14"/>
      <c r="J565" s="16"/>
      <c r="K565" s="16"/>
      <c r="L565" s="16"/>
      <c r="M565" s="16"/>
      <c r="N565" s="16"/>
      <c r="O565" s="16"/>
      <c r="P565" s="14"/>
      <c r="Q565" s="14"/>
      <c r="S565" s="14"/>
      <c r="T565" s="14"/>
      <c r="U565" s="14"/>
      <c r="V565" s="14"/>
      <c r="W565" s="14"/>
      <c r="X565" s="14"/>
      <c r="Y565" s="14"/>
      <c r="Z565" s="14"/>
      <c r="AA565" s="14"/>
      <c r="AB565" s="14"/>
      <c r="AC565" s="14"/>
      <c r="AD565" s="14"/>
    </row>
    <row r="566" spans="3:30" x14ac:dyDescent="0.3">
      <c r="C566" s="14"/>
      <c r="D566" s="14"/>
      <c r="E566" s="15"/>
      <c r="F566" s="15"/>
      <c r="G566" s="15"/>
      <c r="H566" s="14"/>
      <c r="I566" s="14"/>
      <c r="J566" s="16"/>
      <c r="K566" s="16"/>
      <c r="L566" s="16"/>
      <c r="M566" s="16"/>
      <c r="N566" s="16"/>
      <c r="O566" s="16"/>
      <c r="P566" s="14"/>
      <c r="Q566" s="14"/>
      <c r="S566" s="14"/>
      <c r="T566" s="14"/>
      <c r="U566" s="14"/>
      <c r="V566" s="14"/>
      <c r="W566" s="14"/>
      <c r="X566" s="14"/>
      <c r="Y566" s="14"/>
      <c r="Z566" s="14"/>
      <c r="AA566" s="14"/>
      <c r="AB566" s="14"/>
      <c r="AC566" s="14"/>
      <c r="AD566" s="14"/>
    </row>
    <row r="567" spans="3:30" x14ac:dyDescent="0.3">
      <c r="C567" s="14"/>
      <c r="D567" s="14"/>
      <c r="E567" s="15"/>
      <c r="F567" s="15"/>
      <c r="G567" s="15"/>
      <c r="H567" s="14"/>
      <c r="I567" s="14"/>
      <c r="J567" s="16"/>
      <c r="K567" s="16"/>
      <c r="L567" s="16"/>
      <c r="M567" s="16"/>
      <c r="N567" s="16"/>
      <c r="O567" s="16"/>
      <c r="P567" s="14"/>
      <c r="Q567" s="14"/>
      <c r="S567" s="14"/>
      <c r="T567" s="14"/>
      <c r="U567" s="14"/>
      <c r="V567" s="14"/>
      <c r="W567" s="14"/>
      <c r="X567" s="14"/>
      <c r="Y567" s="14"/>
      <c r="Z567" s="14"/>
      <c r="AA567" s="14"/>
      <c r="AB567" s="14"/>
      <c r="AC567" s="14"/>
      <c r="AD567" s="14"/>
    </row>
    <row r="568" spans="3:30" x14ac:dyDescent="0.3">
      <c r="C568" s="14"/>
      <c r="D568" s="14"/>
      <c r="E568" s="15"/>
      <c r="F568" s="15"/>
      <c r="G568" s="15"/>
      <c r="H568" s="14"/>
      <c r="I568" s="14"/>
      <c r="J568" s="16"/>
      <c r="K568" s="16"/>
      <c r="L568" s="16"/>
      <c r="M568" s="16"/>
      <c r="N568" s="16"/>
      <c r="O568" s="16"/>
      <c r="P568" s="14"/>
      <c r="Q568" s="14"/>
      <c r="S568" s="14"/>
      <c r="T568" s="14"/>
      <c r="U568" s="14"/>
      <c r="V568" s="14"/>
      <c r="W568" s="14"/>
      <c r="X568" s="14"/>
      <c r="Y568" s="14"/>
      <c r="Z568" s="14"/>
      <c r="AA568" s="14"/>
      <c r="AB568" s="14"/>
      <c r="AC568" s="14"/>
      <c r="AD568" s="14"/>
    </row>
    <row r="569" spans="3:30" x14ac:dyDescent="0.3">
      <c r="C569" s="14"/>
      <c r="D569" s="14"/>
      <c r="E569" s="15"/>
      <c r="F569" s="15"/>
      <c r="G569" s="15"/>
      <c r="H569" s="14"/>
      <c r="I569" s="14"/>
      <c r="J569" s="16"/>
      <c r="K569" s="16"/>
      <c r="L569" s="16"/>
      <c r="M569" s="16"/>
      <c r="N569" s="16"/>
      <c r="O569" s="16"/>
      <c r="P569" s="14"/>
      <c r="Q569" s="14"/>
      <c r="S569" s="14"/>
      <c r="T569" s="14"/>
      <c r="U569" s="14"/>
      <c r="V569" s="14"/>
      <c r="W569" s="14"/>
      <c r="X569" s="14"/>
      <c r="Y569" s="14"/>
      <c r="Z569" s="14"/>
      <c r="AA569" s="14"/>
      <c r="AB569" s="14"/>
      <c r="AC569" s="14"/>
      <c r="AD569" s="14"/>
    </row>
    <row r="570" spans="3:30" x14ac:dyDescent="0.3">
      <c r="C570" s="14"/>
      <c r="D570" s="14"/>
      <c r="E570" s="15"/>
      <c r="F570" s="15"/>
      <c r="G570" s="15"/>
      <c r="H570" s="14"/>
      <c r="I570" s="14"/>
      <c r="J570" s="16"/>
      <c r="K570" s="16"/>
      <c r="L570" s="16"/>
      <c r="M570" s="16"/>
      <c r="N570" s="16"/>
      <c r="O570" s="16"/>
      <c r="P570" s="14"/>
      <c r="Q570" s="14"/>
      <c r="S570" s="14"/>
      <c r="T570" s="14"/>
      <c r="U570" s="14"/>
      <c r="V570" s="14"/>
      <c r="W570" s="14"/>
      <c r="X570" s="14"/>
      <c r="Y570" s="14"/>
      <c r="Z570" s="14"/>
      <c r="AA570" s="14"/>
      <c r="AB570" s="14"/>
      <c r="AC570" s="14"/>
      <c r="AD570" s="14"/>
    </row>
    <row r="571" spans="3:30" x14ac:dyDescent="0.3">
      <c r="C571" s="14"/>
      <c r="D571" s="14"/>
      <c r="E571" s="15"/>
      <c r="F571" s="15"/>
      <c r="G571" s="15"/>
      <c r="H571" s="14"/>
      <c r="I571" s="14"/>
      <c r="J571" s="16"/>
      <c r="K571" s="16"/>
      <c r="L571" s="16"/>
      <c r="M571" s="16"/>
      <c r="N571" s="16"/>
      <c r="O571" s="16"/>
      <c r="P571" s="14"/>
      <c r="Q571" s="14"/>
      <c r="S571" s="14"/>
      <c r="T571" s="14"/>
      <c r="U571" s="14"/>
      <c r="V571" s="14"/>
      <c r="W571" s="14"/>
      <c r="X571" s="14"/>
      <c r="Y571" s="14"/>
      <c r="Z571" s="14"/>
      <c r="AA571" s="14"/>
      <c r="AB571" s="14"/>
      <c r="AC571" s="14"/>
      <c r="AD571" s="14"/>
    </row>
    <row r="572" spans="3:30" x14ac:dyDescent="0.3">
      <c r="C572" s="14"/>
      <c r="D572" s="14"/>
      <c r="E572" s="15"/>
      <c r="F572" s="15"/>
      <c r="G572" s="15"/>
      <c r="H572" s="14"/>
      <c r="I572" s="14"/>
      <c r="J572" s="16"/>
      <c r="K572" s="16"/>
      <c r="L572" s="16"/>
      <c r="M572" s="16"/>
      <c r="N572" s="16"/>
      <c r="O572" s="16"/>
      <c r="P572" s="14"/>
      <c r="Q572" s="14"/>
      <c r="S572" s="14"/>
      <c r="T572" s="14"/>
      <c r="U572" s="14"/>
      <c r="V572" s="14"/>
      <c r="W572" s="14"/>
      <c r="X572" s="14"/>
      <c r="Y572" s="14"/>
      <c r="Z572" s="14"/>
      <c r="AA572" s="14"/>
      <c r="AB572" s="14"/>
      <c r="AC572" s="14"/>
      <c r="AD572" s="14"/>
    </row>
    <row r="573" spans="3:30" x14ac:dyDescent="0.3">
      <c r="C573" s="14"/>
      <c r="D573" s="14"/>
      <c r="E573" s="15"/>
      <c r="F573" s="15"/>
      <c r="G573" s="15"/>
      <c r="H573" s="14"/>
      <c r="I573" s="14"/>
      <c r="J573" s="16"/>
      <c r="K573" s="16"/>
      <c r="L573" s="16"/>
      <c r="M573" s="16"/>
      <c r="N573" s="16"/>
      <c r="O573" s="16"/>
      <c r="P573" s="14"/>
      <c r="Q573" s="14"/>
      <c r="S573" s="14"/>
      <c r="T573" s="14"/>
      <c r="U573" s="14"/>
      <c r="V573" s="14"/>
      <c r="W573" s="14"/>
      <c r="X573" s="14"/>
      <c r="Y573" s="14"/>
      <c r="Z573" s="14"/>
      <c r="AA573" s="14"/>
      <c r="AB573" s="14"/>
      <c r="AC573" s="14"/>
      <c r="AD573" s="14"/>
    </row>
    <row r="574" spans="3:30" x14ac:dyDescent="0.3">
      <c r="C574" s="14"/>
      <c r="D574" s="14"/>
      <c r="E574" s="15"/>
      <c r="F574" s="15"/>
      <c r="G574" s="15"/>
      <c r="H574" s="14"/>
      <c r="I574" s="14"/>
      <c r="J574" s="16"/>
      <c r="K574" s="16"/>
      <c r="L574" s="16"/>
      <c r="M574" s="16"/>
      <c r="N574" s="16"/>
      <c r="O574" s="16"/>
      <c r="P574" s="14"/>
      <c r="Q574" s="14"/>
      <c r="S574" s="14"/>
      <c r="T574" s="14"/>
      <c r="U574" s="14"/>
      <c r="V574" s="14"/>
      <c r="W574" s="14"/>
      <c r="X574" s="14"/>
      <c r="Y574" s="14"/>
      <c r="Z574" s="14"/>
      <c r="AA574" s="14"/>
      <c r="AB574" s="14"/>
      <c r="AC574" s="14"/>
      <c r="AD574" s="14"/>
    </row>
    <row r="575" spans="3:30" x14ac:dyDescent="0.3">
      <c r="C575" s="14"/>
      <c r="D575" s="14"/>
      <c r="E575" s="15"/>
      <c r="F575" s="15"/>
      <c r="G575" s="15"/>
      <c r="H575" s="14"/>
      <c r="I575" s="14"/>
      <c r="J575" s="16"/>
      <c r="K575" s="16"/>
      <c r="L575" s="16"/>
      <c r="M575" s="16"/>
      <c r="N575" s="16"/>
      <c r="O575" s="16"/>
      <c r="P575" s="14"/>
      <c r="Q575" s="14"/>
      <c r="S575" s="14"/>
      <c r="T575" s="14"/>
      <c r="U575" s="14"/>
      <c r="V575" s="14"/>
      <c r="W575" s="14"/>
      <c r="X575" s="14"/>
      <c r="Y575" s="14"/>
      <c r="Z575" s="14"/>
      <c r="AA575" s="14"/>
      <c r="AB575" s="14"/>
      <c r="AC575" s="14"/>
      <c r="AD575" s="14"/>
    </row>
    <row r="576" spans="3:30" x14ac:dyDescent="0.3">
      <c r="C576" s="14"/>
      <c r="D576" s="14"/>
      <c r="E576" s="15"/>
      <c r="F576" s="15"/>
      <c r="G576" s="15"/>
      <c r="H576" s="14"/>
      <c r="I576" s="14"/>
      <c r="J576" s="16"/>
      <c r="K576" s="16"/>
      <c r="L576" s="16"/>
      <c r="M576" s="16"/>
      <c r="N576" s="16"/>
      <c r="O576" s="16"/>
      <c r="P576" s="14"/>
      <c r="Q576" s="14"/>
      <c r="S576" s="14"/>
      <c r="T576" s="14"/>
      <c r="U576" s="14"/>
      <c r="V576" s="14"/>
      <c r="W576" s="14"/>
      <c r="X576" s="14"/>
      <c r="Y576" s="14"/>
      <c r="Z576" s="14"/>
      <c r="AA576" s="14"/>
      <c r="AB576" s="14"/>
      <c r="AC576" s="14"/>
      <c r="AD576" s="14"/>
    </row>
    <row r="577" spans="3:30" x14ac:dyDescent="0.3">
      <c r="C577" s="14"/>
      <c r="D577" s="14"/>
      <c r="E577" s="15"/>
      <c r="F577" s="15"/>
      <c r="G577" s="15"/>
      <c r="H577" s="14"/>
      <c r="I577" s="14"/>
      <c r="J577" s="16"/>
      <c r="K577" s="16"/>
      <c r="L577" s="16"/>
      <c r="M577" s="16"/>
      <c r="N577" s="16"/>
      <c r="O577" s="16"/>
      <c r="P577" s="14"/>
      <c r="Q577" s="14"/>
      <c r="S577" s="14"/>
      <c r="T577" s="14"/>
      <c r="U577" s="14"/>
      <c r="V577" s="14"/>
      <c r="W577" s="14"/>
      <c r="X577" s="14"/>
      <c r="Y577" s="14"/>
      <c r="Z577" s="14"/>
      <c r="AA577" s="14"/>
      <c r="AB577" s="14"/>
      <c r="AC577" s="14"/>
      <c r="AD577" s="14"/>
    </row>
    <row r="578" spans="3:30" x14ac:dyDescent="0.3">
      <c r="C578" s="14"/>
      <c r="D578" s="14"/>
      <c r="E578" s="15"/>
      <c r="F578" s="15"/>
      <c r="G578" s="15"/>
      <c r="H578" s="14"/>
      <c r="I578" s="14"/>
      <c r="J578" s="16"/>
      <c r="K578" s="16"/>
      <c r="L578" s="16"/>
      <c r="M578" s="16"/>
      <c r="N578" s="16"/>
      <c r="O578" s="16"/>
      <c r="P578" s="14"/>
      <c r="Q578" s="14"/>
      <c r="S578" s="14"/>
      <c r="T578" s="14"/>
      <c r="U578" s="14"/>
      <c r="V578" s="14"/>
      <c r="W578" s="14"/>
      <c r="X578" s="14"/>
      <c r="Y578" s="14"/>
      <c r="Z578" s="14"/>
      <c r="AA578" s="14"/>
      <c r="AB578" s="14"/>
      <c r="AC578" s="14"/>
      <c r="AD578" s="14"/>
    </row>
    <row r="579" spans="3:30" x14ac:dyDescent="0.3">
      <c r="C579" s="14"/>
      <c r="D579" s="14"/>
      <c r="E579" s="15"/>
      <c r="F579" s="15"/>
      <c r="G579" s="15"/>
      <c r="H579" s="14"/>
      <c r="I579" s="14"/>
      <c r="J579" s="16"/>
      <c r="K579" s="16"/>
      <c r="L579" s="16"/>
      <c r="M579" s="16"/>
      <c r="N579" s="16"/>
      <c r="O579" s="16"/>
      <c r="P579" s="14"/>
      <c r="Q579" s="14"/>
      <c r="S579" s="14"/>
      <c r="T579" s="14"/>
      <c r="U579" s="14"/>
      <c r="V579" s="14"/>
      <c r="W579" s="14"/>
      <c r="X579" s="14"/>
      <c r="Y579" s="14"/>
      <c r="Z579" s="14"/>
      <c r="AA579" s="14"/>
      <c r="AB579" s="14"/>
      <c r="AC579" s="14"/>
      <c r="AD579" s="14"/>
    </row>
    <row r="580" spans="3:30" x14ac:dyDescent="0.3">
      <c r="C580" s="14"/>
      <c r="D580" s="14"/>
      <c r="E580" s="15"/>
      <c r="F580" s="15"/>
      <c r="G580" s="15"/>
      <c r="H580" s="14"/>
      <c r="I580" s="14"/>
      <c r="J580" s="16"/>
      <c r="K580" s="16"/>
      <c r="L580" s="16"/>
      <c r="M580" s="16"/>
      <c r="N580" s="16"/>
      <c r="O580" s="16"/>
      <c r="P580" s="14"/>
      <c r="Q580" s="14"/>
      <c r="S580" s="14"/>
      <c r="T580" s="14"/>
      <c r="U580" s="14"/>
      <c r="V580" s="14"/>
      <c r="W580" s="14"/>
      <c r="X580" s="14"/>
      <c r="Y580" s="14"/>
      <c r="Z580" s="14"/>
      <c r="AA580" s="14"/>
      <c r="AB580" s="14"/>
      <c r="AC580" s="14"/>
      <c r="AD580" s="14"/>
    </row>
    <row r="581" spans="3:30" x14ac:dyDescent="0.3">
      <c r="C581" s="14"/>
      <c r="D581" s="14"/>
      <c r="E581" s="15"/>
      <c r="F581" s="15"/>
      <c r="G581" s="15"/>
      <c r="H581" s="14"/>
      <c r="I581" s="14"/>
      <c r="J581" s="16"/>
      <c r="K581" s="16"/>
      <c r="L581" s="16"/>
      <c r="M581" s="16"/>
      <c r="N581" s="16"/>
      <c r="O581" s="16"/>
      <c r="P581" s="14"/>
      <c r="Q581" s="14"/>
      <c r="S581" s="14"/>
      <c r="T581" s="14"/>
      <c r="U581" s="14"/>
      <c r="V581" s="14"/>
      <c r="W581" s="14"/>
      <c r="X581" s="14"/>
      <c r="Y581" s="14"/>
      <c r="Z581" s="14"/>
      <c r="AA581" s="14"/>
      <c r="AB581" s="14"/>
      <c r="AC581" s="14"/>
      <c r="AD581" s="14"/>
    </row>
    <row r="582" spans="3:30" x14ac:dyDescent="0.3">
      <c r="C582" s="14"/>
      <c r="D582" s="14"/>
      <c r="E582" s="15"/>
      <c r="F582" s="15"/>
      <c r="G582" s="15"/>
      <c r="H582" s="14"/>
      <c r="I582" s="14"/>
      <c r="J582" s="16"/>
      <c r="K582" s="16"/>
      <c r="L582" s="16"/>
      <c r="M582" s="16"/>
      <c r="N582" s="16"/>
      <c r="O582" s="16"/>
      <c r="P582" s="14"/>
      <c r="Q582" s="14"/>
      <c r="S582" s="14"/>
      <c r="T582" s="14"/>
      <c r="U582" s="14"/>
      <c r="V582" s="14"/>
      <c r="W582" s="14"/>
      <c r="X582" s="14"/>
      <c r="Y582" s="14"/>
      <c r="Z582" s="14"/>
      <c r="AA582" s="14"/>
      <c r="AB582" s="14"/>
      <c r="AC582" s="14"/>
      <c r="AD582" s="14"/>
    </row>
    <row r="583" spans="3:30" x14ac:dyDescent="0.3">
      <c r="C583" s="14"/>
      <c r="D583" s="14"/>
      <c r="E583" s="15"/>
      <c r="F583" s="15"/>
      <c r="G583" s="15"/>
      <c r="H583" s="14"/>
      <c r="I583" s="14"/>
      <c r="J583" s="16"/>
      <c r="K583" s="16"/>
      <c r="L583" s="16"/>
      <c r="M583" s="16"/>
      <c r="N583" s="16"/>
      <c r="O583" s="16"/>
      <c r="P583" s="14"/>
      <c r="Q583" s="14"/>
      <c r="S583" s="14"/>
      <c r="T583" s="14"/>
      <c r="U583" s="14"/>
      <c r="V583" s="14"/>
      <c r="W583" s="14"/>
      <c r="X583" s="14"/>
      <c r="Y583" s="14"/>
      <c r="Z583" s="14"/>
      <c r="AA583" s="14"/>
      <c r="AB583" s="14"/>
      <c r="AC583" s="14"/>
      <c r="AD583" s="14"/>
    </row>
    <row r="584" spans="3:30" x14ac:dyDescent="0.3">
      <c r="C584" s="14"/>
      <c r="D584" s="14"/>
      <c r="E584" s="15"/>
      <c r="F584" s="15"/>
      <c r="G584" s="15"/>
      <c r="H584" s="14"/>
      <c r="I584" s="14"/>
      <c r="J584" s="16"/>
      <c r="K584" s="16"/>
      <c r="L584" s="16"/>
      <c r="M584" s="16"/>
      <c r="N584" s="16"/>
      <c r="O584" s="16"/>
      <c r="P584" s="14"/>
      <c r="Q584" s="14"/>
      <c r="S584" s="14"/>
      <c r="T584" s="14"/>
      <c r="U584" s="14"/>
      <c r="V584" s="14"/>
      <c r="W584" s="14"/>
      <c r="X584" s="14"/>
      <c r="Y584" s="14"/>
      <c r="Z584" s="14"/>
      <c r="AA584" s="14"/>
      <c r="AB584" s="14"/>
      <c r="AC584" s="14"/>
      <c r="AD584" s="14"/>
    </row>
    <row r="585" spans="3:30" x14ac:dyDescent="0.3">
      <c r="C585" s="14"/>
      <c r="D585" s="14"/>
      <c r="E585" s="15"/>
      <c r="F585" s="15"/>
      <c r="G585" s="15"/>
      <c r="H585" s="14"/>
      <c r="I585" s="14"/>
      <c r="J585" s="16"/>
      <c r="K585" s="16"/>
      <c r="L585" s="16"/>
      <c r="M585" s="16"/>
      <c r="N585" s="16"/>
      <c r="O585" s="16"/>
      <c r="P585" s="14"/>
      <c r="Q585" s="14"/>
      <c r="S585" s="14"/>
      <c r="T585" s="14"/>
      <c r="U585" s="14"/>
      <c r="V585" s="14"/>
      <c r="W585" s="14"/>
      <c r="X585" s="14"/>
      <c r="Y585" s="14"/>
      <c r="Z585" s="14"/>
      <c r="AA585" s="14"/>
      <c r="AB585" s="14"/>
      <c r="AC585" s="14"/>
      <c r="AD585" s="14"/>
    </row>
    <row r="586" spans="3:30" x14ac:dyDescent="0.3">
      <c r="C586" s="14"/>
      <c r="D586" s="14"/>
      <c r="E586" s="15"/>
      <c r="F586" s="15"/>
      <c r="G586" s="15"/>
      <c r="H586" s="14"/>
      <c r="I586" s="14"/>
      <c r="J586" s="16"/>
      <c r="K586" s="16"/>
      <c r="L586" s="16"/>
      <c r="M586" s="16"/>
      <c r="N586" s="16"/>
      <c r="O586" s="16"/>
      <c r="P586" s="14"/>
      <c r="Q586" s="14"/>
      <c r="S586" s="14"/>
      <c r="T586" s="14"/>
      <c r="U586" s="14"/>
      <c r="V586" s="14"/>
      <c r="W586" s="14"/>
      <c r="X586" s="14"/>
      <c r="Y586" s="14"/>
      <c r="Z586" s="14"/>
      <c r="AA586" s="14"/>
      <c r="AB586" s="14"/>
      <c r="AC586" s="14"/>
      <c r="AD586" s="14"/>
    </row>
    <row r="587" spans="3:30" x14ac:dyDescent="0.3">
      <c r="C587" s="14"/>
      <c r="D587" s="14"/>
      <c r="E587" s="15"/>
      <c r="F587" s="15"/>
      <c r="G587" s="15"/>
      <c r="H587" s="14"/>
      <c r="I587" s="14"/>
      <c r="J587" s="16"/>
      <c r="K587" s="16"/>
      <c r="L587" s="16"/>
      <c r="M587" s="16"/>
      <c r="N587" s="16"/>
      <c r="O587" s="16"/>
      <c r="P587" s="14"/>
      <c r="Q587" s="14"/>
      <c r="S587" s="14"/>
      <c r="T587" s="14"/>
      <c r="U587" s="14"/>
      <c r="V587" s="14"/>
      <c r="W587" s="14"/>
      <c r="X587" s="14"/>
      <c r="Y587" s="14"/>
      <c r="Z587" s="14"/>
      <c r="AA587" s="14"/>
      <c r="AB587" s="14"/>
      <c r="AC587" s="14"/>
      <c r="AD587" s="14"/>
    </row>
    <row r="588" spans="3:30" x14ac:dyDescent="0.3">
      <c r="C588" s="14"/>
      <c r="D588" s="14"/>
      <c r="E588" s="15"/>
      <c r="F588" s="15"/>
      <c r="G588" s="15"/>
      <c r="H588" s="14"/>
      <c r="I588" s="14"/>
      <c r="J588" s="16"/>
      <c r="K588" s="16"/>
      <c r="L588" s="16"/>
      <c r="M588" s="16"/>
      <c r="N588" s="16"/>
      <c r="O588" s="16"/>
      <c r="P588" s="14"/>
      <c r="Q588" s="14"/>
      <c r="S588" s="14"/>
      <c r="T588" s="14"/>
      <c r="U588" s="14"/>
      <c r="V588" s="14"/>
      <c r="W588" s="14"/>
      <c r="X588" s="14"/>
      <c r="Y588" s="14"/>
      <c r="Z588" s="14"/>
      <c r="AA588" s="14"/>
      <c r="AB588" s="14"/>
      <c r="AC588" s="14"/>
      <c r="AD588" s="14"/>
    </row>
    <row r="589" spans="3:30" x14ac:dyDescent="0.3">
      <c r="C589" s="14"/>
      <c r="D589" s="14"/>
      <c r="E589" s="15"/>
      <c r="F589" s="15"/>
      <c r="G589" s="15"/>
      <c r="H589" s="14"/>
      <c r="I589" s="14"/>
      <c r="J589" s="16"/>
      <c r="K589" s="16"/>
      <c r="L589" s="16"/>
      <c r="M589" s="16"/>
      <c r="N589" s="16"/>
      <c r="O589" s="16"/>
      <c r="P589" s="14"/>
      <c r="Q589" s="14"/>
      <c r="S589" s="14"/>
      <c r="T589" s="14"/>
      <c r="U589" s="14"/>
      <c r="V589" s="14"/>
      <c r="W589" s="14"/>
      <c r="X589" s="14"/>
      <c r="Y589" s="14"/>
      <c r="Z589" s="14"/>
      <c r="AA589" s="14"/>
      <c r="AB589" s="14"/>
      <c r="AC589" s="14"/>
      <c r="AD589" s="14"/>
    </row>
    <row r="590" spans="3:30" x14ac:dyDescent="0.3">
      <c r="C590" s="14"/>
      <c r="D590" s="14"/>
      <c r="E590" s="15"/>
      <c r="F590" s="15"/>
      <c r="G590" s="15"/>
      <c r="H590" s="14"/>
      <c r="I590" s="14"/>
      <c r="J590" s="16"/>
      <c r="K590" s="16"/>
      <c r="L590" s="16"/>
      <c r="M590" s="16"/>
      <c r="N590" s="16"/>
      <c r="O590" s="16"/>
      <c r="P590" s="14"/>
      <c r="Q590" s="14"/>
      <c r="S590" s="14"/>
      <c r="T590" s="14"/>
      <c r="U590" s="14"/>
      <c r="V590" s="14"/>
      <c r="W590" s="14"/>
      <c r="X590" s="14"/>
      <c r="Y590" s="14"/>
      <c r="Z590" s="14"/>
      <c r="AA590" s="14"/>
      <c r="AB590" s="14"/>
      <c r="AC590" s="14"/>
      <c r="AD590" s="14"/>
    </row>
    <row r="591" spans="3:30" x14ac:dyDescent="0.3">
      <c r="C591" s="14"/>
      <c r="D591" s="14"/>
      <c r="E591" s="15"/>
      <c r="F591" s="15"/>
      <c r="G591" s="15"/>
      <c r="H591" s="14"/>
      <c r="I591" s="14"/>
      <c r="J591" s="16"/>
      <c r="K591" s="16"/>
      <c r="L591" s="16"/>
      <c r="M591" s="16"/>
      <c r="N591" s="16"/>
      <c r="O591" s="16"/>
      <c r="P591" s="14"/>
      <c r="Q591" s="14"/>
      <c r="S591" s="14"/>
      <c r="T591" s="14"/>
      <c r="U591" s="14"/>
      <c r="V591" s="14"/>
      <c r="W591" s="14"/>
      <c r="X591" s="14"/>
      <c r="Y591" s="14"/>
      <c r="Z591" s="14"/>
      <c r="AA591" s="14"/>
      <c r="AB591" s="14"/>
      <c r="AC591" s="14"/>
      <c r="AD591" s="14"/>
    </row>
    <row r="592" spans="3:30" x14ac:dyDescent="0.3">
      <c r="C592" s="14"/>
      <c r="D592" s="14"/>
      <c r="E592" s="15"/>
      <c r="F592" s="15"/>
      <c r="G592" s="15"/>
      <c r="H592" s="14"/>
      <c r="I592" s="14"/>
      <c r="J592" s="16"/>
      <c r="K592" s="16"/>
      <c r="L592" s="16"/>
      <c r="M592" s="16"/>
      <c r="N592" s="16"/>
      <c r="O592" s="16"/>
      <c r="P592" s="14"/>
      <c r="Q592" s="14"/>
      <c r="S592" s="14"/>
      <c r="T592" s="14"/>
      <c r="U592" s="14"/>
      <c r="V592" s="14"/>
      <c r="W592" s="14"/>
      <c r="X592" s="14"/>
      <c r="Y592" s="14"/>
      <c r="Z592" s="14"/>
      <c r="AA592" s="14"/>
      <c r="AB592" s="14"/>
      <c r="AC592" s="14"/>
      <c r="AD592" s="14"/>
    </row>
    <row r="593" spans="3:30" x14ac:dyDescent="0.3">
      <c r="C593" s="14"/>
      <c r="D593" s="14"/>
      <c r="E593" s="15"/>
      <c r="F593" s="15"/>
      <c r="G593" s="15"/>
      <c r="H593" s="14"/>
      <c r="I593" s="14"/>
      <c r="J593" s="16"/>
      <c r="K593" s="16"/>
      <c r="L593" s="16"/>
      <c r="M593" s="16"/>
      <c r="N593" s="16"/>
      <c r="O593" s="16"/>
      <c r="P593" s="14"/>
      <c r="Q593" s="14"/>
      <c r="S593" s="14"/>
      <c r="T593" s="14"/>
      <c r="U593" s="14"/>
      <c r="V593" s="14"/>
      <c r="W593" s="14"/>
      <c r="X593" s="14"/>
      <c r="Y593" s="14"/>
      <c r="Z593" s="14"/>
      <c r="AA593" s="14"/>
      <c r="AB593" s="14"/>
      <c r="AC593" s="14"/>
      <c r="AD593" s="14"/>
    </row>
    <row r="594" spans="3:30" x14ac:dyDescent="0.3">
      <c r="C594" s="14"/>
      <c r="D594" s="14"/>
      <c r="E594" s="15"/>
      <c r="F594" s="15"/>
      <c r="G594" s="15"/>
      <c r="H594" s="14"/>
      <c r="I594" s="14"/>
      <c r="J594" s="16"/>
      <c r="K594" s="16"/>
      <c r="L594" s="16"/>
      <c r="M594" s="16"/>
      <c r="N594" s="16"/>
      <c r="O594" s="16"/>
      <c r="P594" s="14"/>
      <c r="Q594" s="14"/>
      <c r="S594" s="14"/>
      <c r="T594" s="14"/>
      <c r="U594" s="14"/>
      <c r="V594" s="14"/>
      <c r="W594" s="14"/>
      <c r="X594" s="14"/>
      <c r="Y594" s="14"/>
      <c r="Z594" s="14"/>
      <c r="AA594" s="14"/>
      <c r="AB594" s="14"/>
      <c r="AC594" s="14"/>
      <c r="AD594" s="14"/>
    </row>
    <row r="595" spans="3:30" x14ac:dyDescent="0.3">
      <c r="C595" s="14"/>
      <c r="D595" s="14"/>
      <c r="E595" s="15"/>
      <c r="F595" s="15"/>
      <c r="G595" s="15"/>
      <c r="H595" s="14"/>
      <c r="I595" s="14"/>
      <c r="J595" s="16"/>
      <c r="K595" s="16"/>
      <c r="L595" s="16"/>
      <c r="M595" s="16"/>
      <c r="N595" s="16"/>
      <c r="O595" s="16"/>
      <c r="P595" s="14"/>
      <c r="Q595" s="14"/>
      <c r="S595" s="14"/>
      <c r="T595" s="14"/>
      <c r="U595" s="14"/>
      <c r="V595" s="14"/>
      <c r="W595" s="14"/>
      <c r="X595" s="14"/>
      <c r="Y595" s="14"/>
      <c r="Z595" s="14"/>
      <c r="AA595" s="14"/>
      <c r="AB595" s="14"/>
      <c r="AC595" s="14"/>
      <c r="AD595" s="14"/>
    </row>
    <row r="596" spans="3:30" x14ac:dyDescent="0.3">
      <c r="C596" s="14"/>
      <c r="D596" s="14"/>
      <c r="E596" s="15"/>
      <c r="F596" s="15"/>
      <c r="G596" s="15"/>
      <c r="H596" s="14"/>
      <c r="I596" s="14"/>
      <c r="J596" s="16"/>
      <c r="K596" s="16"/>
      <c r="L596" s="16"/>
      <c r="M596" s="16"/>
      <c r="N596" s="16"/>
      <c r="O596" s="16"/>
      <c r="P596" s="14"/>
      <c r="Q596" s="14"/>
      <c r="S596" s="14"/>
      <c r="T596" s="14"/>
      <c r="U596" s="14"/>
      <c r="V596" s="14"/>
      <c r="W596" s="14"/>
      <c r="X596" s="14"/>
      <c r="Y596" s="14"/>
      <c r="Z596" s="14"/>
      <c r="AA596" s="14"/>
      <c r="AB596" s="14"/>
      <c r="AC596" s="14"/>
      <c r="AD596" s="14"/>
    </row>
    <row r="597" spans="3:30" x14ac:dyDescent="0.3">
      <c r="C597" s="14"/>
      <c r="D597" s="14"/>
      <c r="E597" s="15"/>
      <c r="F597" s="15"/>
      <c r="G597" s="15"/>
      <c r="H597" s="14"/>
      <c r="I597" s="14"/>
      <c r="J597" s="16"/>
      <c r="K597" s="16"/>
      <c r="L597" s="16"/>
      <c r="M597" s="16"/>
      <c r="N597" s="16"/>
      <c r="O597" s="16"/>
      <c r="P597" s="14"/>
      <c r="Q597" s="14"/>
      <c r="S597" s="14"/>
      <c r="T597" s="14"/>
      <c r="U597" s="14"/>
      <c r="V597" s="14"/>
      <c r="W597" s="14"/>
      <c r="X597" s="14"/>
      <c r="Y597" s="14"/>
      <c r="Z597" s="14"/>
      <c r="AA597" s="14"/>
      <c r="AB597" s="14"/>
      <c r="AC597" s="14"/>
      <c r="AD597" s="14"/>
    </row>
    <row r="598" spans="3:30" x14ac:dyDescent="0.3">
      <c r="C598" s="14"/>
      <c r="D598" s="14"/>
      <c r="E598" s="15"/>
      <c r="F598" s="15"/>
      <c r="G598" s="15"/>
      <c r="H598" s="14"/>
      <c r="I598" s="14"/>
      <c r="J598" s="16"/>
      <c r="K598" s="16"/>
      <c r="L598" s="16"/>
      <c r="M598" s="16"/>
      <c r="N598" s="16"/>
      <c r="O598" s="16"/>
      <c r="P598" s="14"/>
      <c r="Q598" s="14"/>
      <c r="S598" s="14"/>
      <c r="T598" s="14"/>
      <c r="U598" s="14"/>
      <c r="V598" s="14"/>
      <c r="W598" s="14"/>
      <c r="X598" s="14"/>
      <c r="Y598" s="14"/>
      <c r="Z598" s="14"/>
      <c r="AA598" s="14"/>
      <c r="AB598" s="14"/>
      <c r="AC598" s="14"/>
      <c r="AD598" s="14"/>
    </row>
    <row r="599" spans="3:30" x14ac:dyDescent="0.3">
      <c r="C599" s="14"/>
      <c r="D599" s="14"/>
      <c r="E599" s="15"/>
      <c r="F599" s="15"/>
      <c r="G599" s="15"/>
      <c r="H599" s="14"/>
      <c r="I599" s="14"/>
      <c r="J599" s="16"/>
      <c r="K599" s="16"/>
      <c r="L599" s="16"/>
      <c r="M599" s="16"/>
      <c r="N599" s="16"/>
      <c r="O599" s="16"/>
      <c r="P599" s="14"/>
      <c r="Q599" s="14"/>
      <c r="S599" s="14"/>
      <c r="T599" s="14"/>
      <c r="U599" s="14"/>
      <c r="V599" s="14"/>
      <c r="W599" s="14"/>
      <c r="X599" s="14"/>
      <c r="Y599" s="14"/>
      <c r="Z599" s="14"/>
      <c r="AA599" s="14"/>
      <c r="AB599" s="14"/>
      <c r="AC599" s="14"/>
      <c r="AD599" s="14"/>
    </row>
    <row r="600" spans="3:30" x14ac:dyDescent="0.3">
      <c r="C600" s="14"/>
      <c r="D600" s="14"/>
      <c r="E600" s="15"/>
      <c r="F600" s="15"/>
      <c r="G600" s="15"/>
      <c r="H600" s="14"/>
      <c r="I600" s="14"/>
      <c r="J600" s="16"/>
      <c r="K600" s="16"/>
      <c r="L600" s="16"/>
      <c r="M600" s="16"/>
      <c r="N600" s="16"/>
      <c r="O600" s="16"/>
      <c r="P600" s="14"/>
      <c r="Q600" s="14"/>
      <c r="S600" s="14"/>
      <c r="T600" s="14"/>
      <c r="U600" s="14"/>
      <c r="V600" s="14"/>
      <c r="W600" s="14"/>
      <c r="X600" s="14"/>
      <c r="Y600" s="14"/>
      <c r="Z600" s="14"/>
      <c r="AA600" s="14"/>
      <c r="AB600" s="14"/>
      <c r="AC600" s="14"/>
      <c r="AD600" s="14"/>
    </row>
    <row r="601" spans="3:30" x14ac:dyDescent="0.3">
      <c r="C601" s="14"/>
      <c r="D601" s="14"/>
      <c r="E601" s="15"/>
      <c r="F601" s="15"/>
      <c r="G601" s="15"/>
      <c r="H601" s="14"/>
      <c r="I601" s="14"/>
      <c r="J601" s="16"/>
      <c r="K601" s="16"/>
      <c r="L601" s="16"/>
      <c r="M601" s="16"/>
      <c r="N601" s="16"/>
      <c r="O601" s="16"/>
      <c r="P601" s="14"/>
      <c r="Q601" s="14"/>
      <c r="S601" s="14"/>
      <c r="T601" s="14"/>
      <c r="U601" s="14"/>
      <c r="V601" s="14"/>
      <c r="W601" s="14"/>
      <c r="X601" s="14"/>
      <c r="Y601" s="14"/>
      <c r="Z601" s="14"/>
      <c r="AA601" s="14"/>
      <c r="AB601" s="14"/>
      <c r="AC601" s="14"/>
      <c r="AD601" s="14"/>
    </row>
    <row r="602" spans="3:30" x14ac:dyDescent="0.3">
      <c r="C602" s="14"/>
      <c r="D602" s="14"/>
      <c r="E602" s="15"/>
      <c r="F602" s="15"/>
      <c r="G602" s="15"/>
      <c r="H602" s="14"/>
      <c r="I602" s="14"/>
      <c r="J602" s="16"/>
      <c r="K602" s="16"/>
      <c r="L602" s="16"/>
      <c r="M602" s="16"/>
      <c r="N602" s="16"/>
      <c r="O602" s="16"/>
      <c r="P602" s="14"/>
      <c r="Q602" s="14"/>
      <c r="S602" s="14"/>
      <c r="T602" s="14"/>
      <c r="U602" s="14"/>
      <c r="V602" s="14"/>
      <c r="W602" s="14"/>
      <c r="X602" s="14"/>
      <c r="Y602" s="14"/>
      <c r="Z602" s="14"/>
      <c r="AA602" s="14"/>
      <c r="AB602" s="14"/>
      <c r="AC602" s="14"/>
      <c r="AD602" s="14"/>
    </row>
    <row r="603" spans="3:30" x14ac:dyDescent="0.3">
      <c r="C603" s="14"/>
      <c r="D603" s="14"/>
      <c r="E603" s="15"/>
      <c r="F603" s="15"/>
      <c r="G603" s="15"/>
      <c r="H603" s="14"/>
      <c r="I603" s="14"/>
      <c r="J603" s="16"/>
      <c r="K603" s="16"/>
      <c r="L603" s="16"/>
      <c r="M603" s="16"/>
      <c r="N603" s="16"/>
      <c r="O603" s="16"/>
      <c r="P603" s="14"/>
      <c r="Q603" s="14"/>
      <c r="S603" s="14"/>
      <c r="T603" s="14"/>
      <c r="U603" s="14"/>
      <c r="V603" s="14"/>
      <c r="W603" s="14"/>
      <c r="X603" s="14"/>
      <c r="Y603" s="14"/>
      <c r="Z603" s="14"/>
      <c r="AA603" s="14"/>
      <c r="AB603" s="14"/>
      <c r="AC603" s="14"/>
      <c r="AD603" s="14"/>
    </row>
    <row r="604" spans="3:30" x14ac:dyDescent="0.3">
      <c r="C604" s="14"/>
      <c r="D604" s="14"/>
      <c r="E604" s="15"/>
      <c r="F604" s="15"/>
      <c r="G604" s="15"/>
      <c r="H604" s="14"/>
      <c r="I604" s="14"/>
      <c r="J604" s="16"/>
      <c r="K604" s="16"/>
      <c r="L604" s="16"/>
      <c r="M604" s="16"/>
      <c r="N604" s="16"/>
      <c r="O604" s="16"/>
      <c r="P604" s="14"/>
      <c r="Q604" s="14"/>
      <c r="S604" s="14"/>
      <c r="T604" s="14"/>
      <c r="U604" s="14"/>
      <c r="V604" s="14"/>
      <c r="W604" s="14"/>
      <c r="X604" s="14"/>
      <c r="Y604" s="14"/>
      <c r="Z604" s="14"/>
      <c r="AA604" s="14"/>
      <c r="AB604" s="14"/>
      <c r="AC604" s="14"/>
      <c r="AD604" s="14"/>
    </row>
    <row r="605" spans="3:30" x14ac:dyDescent="0.3">
      <c r="C605" s="14"/>
      <c r="D605" s="14"/>
      <c r="E605" s="15"/>
      <c r="F605" s="15"/>
      <c r="G605" s="15"/>
      <c r="H605" s="14"/>
      <c r="I605" s="14"/>
      <c r="J605" s="16"/>
      <c r="K605" s="16"/>
      <c r="L605" s="16"/>
      <c r="M605" s="16"/>
      <c r="N605" s="16"/>
      <c r="O605" s="16"/>
      <c r="P605" s="14"/>
      <c r="Q605" s="14"/>
      <c r="S605" s="14"/>
      <c r="T605" s="14"/>
      <c r="U605" s="14"/>
      <c r="V605" s="14"/>
      <c r="W605" s="14"/>
      <c r="X605" s="14"/>
      <c r="Y605" s="14"/>
      <c r="Z605" s="14"/>
      <c r="AA605" s="14"/>
      <c r="AB605" s="14"/>
      <c r="AC605" s="14"/>
      <c r="AD605" s="14"/>
    </row>
    <row r="606" spans="3:30" x14ac:dyDescent="0.3">
      <c r="C606" s="14"/>
      <c r="D606" s="14"/>
      <c r="E606" s="15"/>
      <c r="F606" s="15"/>
      <c r="G606" s="15"/>
      <c r="H606" s="14"/>
      <c r="I606" s="14"/>
      <c r="J606" s="16"/>
      <c r="K606" s="16"/>
      <c r="L606" s="16"/>
      <c r="M606" s="16"/>
      <c r="N606" s="16"/>
      <c r="O606" s="16"/>
      <c r="P606" s="14"/>
      <c r="Q606" s="14"/>
      <c r="S606" s="14"/>
      <c r="T606" s="14"/>
      <c r="U606" s="14"/>
      <c r="V606" s="14"/>
      <c r="W606" s="14"/>
      <c r="X606" s="14"/>
      <c r="Y606" s="14"/>
      <c r="Z606" s="14"/>
      <c r="AA606" s="14"/>
      <c r="AB606" s="14"/>
      <c r="AC606" s="14"/>
      <c r="AD606" s="14"/>
    </row>
    <row r="607" spans="3:30" x14ac:dyDescent="0.3">
      <c r="C607" s="14"/>
      <c r="D607" s="14"/>
      <c r="E607" s="15"/>
      <c r="F607" s="15"/>
      <c r="G607" s="15"/>
      <c r="H607" s="14"/>
      <c r="I607" s="14"/>
      <c r="J607" s="16"/>
      <c r="K607" s="16"/>
      <c r="L607" s="16"/>
      <c r="M607" s="16"/>
      <c r="N607" s="16"/>
      <c r="O607" s="16"/>
      <c r="P607" s="14"/>
      <c r="Q607" s="14"/>
      <c r="S607" s="14"/>
      <c r="T607" s="14"/>
      <c r="U607" s="14"/>
      <c r="V607" s="14"/>
      <c r="W607" s="14"/>
      <c r="X607" s="14"/>
      <c r="Y607" s="14"/>
      <c r="Z607" s="14"/>
      <c r="AA607" s="14"/>
      <c r="AB607" s="14"/>
      <c r="AC607" s="14"/>
      <c r="AD607" s="14"/>
    </row>
    <row r="608" spans="3:30" x14ac:dyDescent="0.3">
      <c r="C608" s="14"/>
      <c r="D608" s="14"/>
      <c r="E608" s="15"/>
      <c r="F608" s="15"/>
      <c r="G608" s="15"/>
      <c r="H608" s="14"/>
      <c r="I608" s="14"/>
      <c r="J608" s="16"/>
      <c r="K608" s="16"/>
      <c r="L608" s="16"/>
      <c r="M608" s="16"/>
      <c r="N608" s="16"/>
      <c r="O608" s="16"/>
      <c r="P608" s="14"/>
      <c r="Q608" s="14"/>
      <c r="S608" s="14"/>
      <c r="T608" s="14"/>
      <c r="U608" s="14"/>
      <c r="V608" s="14"/>
      <c r="W608" s="14"/>
      <c r="X608" s="14"/>
      <c r="Y608" s="14"/>
      <c r="Z608" s="14"/>
      <c r="AA608" s="14"/>
      <c r="AB608" s="14"/>
      <c r="AC608" s="14"/>
      <c r="AD608" s="14"/>
    </row>
    <row r="609" spans="3:30" x14ac:dyDescent="0.3">
      <c r="C609" s="14"/>
      <c r="D609" s="14"/>
      <c r="E609" s="15"/>
      <c r="F609" s="15"/>
      <c r="G609" s="15"/>
      <c r="H609" s="14"/>
      <c r="I609" s="14"/>
      <c r="J609" s="16"/>
      <c r="K609" s="16"/>
      <c r="L609" s="16"/>
      <c r="M609" s="16"/>
      <c r="N609" s="16"/>
      <c r="O609" s="16"/>
      <c r="P609" s="14"/>
      <c r="Q609" s="14"/>
      <c r="S609" s="14"/>
      <c r="T609" s="14"/>
      <c r="U609" s="14"/>
      <c r="V609" s="14"/>
      <c r="W609" s="14"/>
      <c r="X609" s="14"/>
      <c r="Y609" s="14"/>
      <c r="Z609" s="14"/>
      <c r="AA609" s="14"/>
      <c r="AB609" s="14"/>
      <c r="AC609" s="14"/>
      <c r="AD609" s="14"/>
    </row>
    <row r="610" spans="3:30" x14ac:dyDescent="0.3">
      <c r="C610" s="14"/>
      <c r="D610" s="14"/>
      <c r="E610" s="15"/>
      <c r="F610" s="15"/>
      <c r="G610" s="15"/>
      <c r="H610" s="14"/>
      <c r="I610" s="14"/>
      <c r="J610" s="16"/>
      <c r="K610" s="16"/>
      <c r="L610" s="16"/>
      <c r="M610" s="16"/>
      <c r="N610" s="16"/>
      <c r="O610" s="16"/>
      <c r="P610" s="14"/>
      <c r="Q610" s="14"/>
      <c r="S610" s="14"/>
      <c r="T610" s="14"/>
      <c r="U610" s="14"/>
      <c r="V610" s="14"/>
      <c r="W610" s="14"/>
      <c r="X610" s="14"/>
      <c r="Y610" s="14"/>
      <c r="Z610" s="14"/>
      <c r="AA610" s="14"/>
      <c r="AB610" s="14"/>
      <c r="AC610" s="14"/>
      <c r="AD610" s="14"/>
    </row>
    <row r="611" spans="3:30" x14ac:dyDescent="0.3">
      <c r="C611" s="14"/>
      <c r="D611" s="14"/>
      <c r="E611" s="15"/>
      <c r="F611" s="15"/>
      <c r="G611" s="15"/>
      <c r="H611" s="14"/>
      <c r="I611" s="14"/>
      <c r="J611" s="16"/>
      <c r="K611" s="16"/>
      <c r="L611" s="16"/>
      <c r="M611" s="16"/>
      <c r="N611" s="16"/>
      <c r="O611" s="16"/>
      <c r="P611" s="14"/>
      <c r="Q611" s="14"/>
      <c r="S611" s="14"/>
      <c r="T611" s="14"/>
      <c r="U611" s="14"/>
      <c r="V611" s="14"/>
      <c r="W611" s="14"/>
      <c r="X611" s="14"/>
      <c r="Y611" s="14"/>
      <c r="Z611" s="14"/>
      <c r="AA611" s="14"/>
      <c r="AB611" s="14"/>
      <c r="AC611" s="14"/>
      <c r="AD611" s="14"/>
    </row>
    <row r="612" spans="3:30" x14ac:dyDescent="0.3">
      <c r="C612" s="14"/>
      <c r="D612" s="14"/>
      <c r="E612" s="15"/>
      <c r="F612" s="15"/>
      <c r="G612" s="15"/>
      <c r="H612" s="14"/>
      <c r="I612" s="14"/>
      <c r="J612" s="16"/>
      <c r="K612" s="16"/>
      <c r="L612" s="16"/>
      <c r="M612" s="16"/>
      <c r="N612" s="16"/>
      <c r="O612" s="16"/>
      <c r="P612" s="14"/>
      <c r="Q612" s="14"/>
      <c r="S612" s="14"/>
      <c r="T612" s="14"/>
      <c r="U612" s="14"/>
      <c r="V612" s="14"/>
      <c r="W612" s="14"/>
      <c r="X612" s="14"/>
      <c r="Y612" s="14"/>
      <c r="Z612" s="14"/>
      <c r="AA612" s="14"/>
      <c r="AB612" s="14"/>
      <c r="AC612" s="14"/>
      <c r="AD612" s="14"/>
    </row>
    <row r="613" spans="3:30" x14ac:dyDescent="0.3">
      <c r="C613" s="14"/>
      <c r="D613" s="14"/>
      <c r="E613" s="15"/>
      <c r="F613" s="15"/>
      <c r="G613" s="15"/>
      <c r="H613" s="14"/>
      <c r="I613" s="14"/>
      <c r="J613" s="16"/>
      <c r="K613" s="16"/>
      <c r="L613" s="16"/>
      <c r="M613" s="16"/>
      <c r="N613" s="16"/>
      <c r="O613" s="16"/>
      <c r="P613" s="14"/>
      <c r="Q613" s="14"/>
      <c r="S613" s="14"/>
      <c r="T613" s="14"/>
      <c r="U613" s="14"/>
      <c r="V613" s="14"/>
      <c r="W613" s="14"/>
      <c r="X613" s="14"/>
      <c r="Y613" s="14"/>
      <c r="Z613" s="14"/>
      <c r="AA613" s="14"/>
      <c r="AB613" s="14"/>
      <c r="AC613" s="14"/>
      <c r="AD613" s="14"/>
    </row>
    <row r="614" spans="3:30" x14ac:dyDescent="0.3">
      <c r="C614" s="14"/>
      <c r="D614" s="14"/>
      <c r="E614" s="15"/>
      <c r="F614" s="15"/>
      <c r="G614" s="15"/>
      <c r="H614" s="14"/>
      <c r="I614" s="14"/>
      <c r="J614" s="16"/>
      <c r="K614" s="16"/>
      <c r="L614" s="16"/>
      <c r="M614" s="16"/>
      <c r="N614" s="16"/>
      <c r="O614" s="16"/>
      <c r="P614" s="14"/>
      <c r="Q614" s="14"/>
      <c r="S614" s="14"/>
      <c r="T614" s="14"/>
      <c r="U614" s="14"/>
      <c r="V614" s="14"/>
      <c r="W614" s="14"/>
      <c r="X614" s="14"/>
      <c r="Y614" s="14"/>
      <c r="Z614" s="14"/>
      <c r="AA614" s="14"/>
      <c r="AB614" s="14"/>
      <c r="AC614" s="14"/>
      <c r="AD614" s="14"/>
    </row>
    <row r="615" spans="3:30" x14ac:dyDescent="0.3">
      <c r="C615" s="14"/>
      <c r="D615" s="14"/>
      <c r="E615" s="15"/>
      <c r="F615" s="15"/>
      <c r="G615" s="15"/>
      <c r="H615" s="14"/>
      <c r="I615" s="14"/>
      <c r="J615" s="16"/>
      <c r="K615" s="16"/>
      <c r="L615" s="16"/>
      <c r="M615" s="16"/>
      <c r="N615" s="16"/>
      <c r="O615" s="16"/>
      <c r="P615" s="14"/>
      <c r="Q615" s="14"/>
      <c r="S615" s="14"/>
      <c r="T615" s="14"/>
      <c r="U615" s="14"/>
      <c r="V615" s="14"/>
      <c r="W615" s="14"/>
      <c r="X615" s="14"/>
      <c r="Y615" s="14"/>
      <c r="Z615" s="14"/>
      <c r="AA615" s="14"/>
      <c r="AB615" s="14"/>
      <c r="AC615" s="14"/>
      <c r="AD615" s="14"/>
    </row>
    <row r="616" spans="3:30" x14ac:dyDescent="0.3">
      <c r="C616" s="14"/>
      <c r="D616" s="14"/>
      <c r="E616" s="15"/>
      <c r="F616" s="15"/>
      <c r="G616" s="15"/>
      <c r="H616" s="14"/>
      <c r="I616" s="14"/>
      <c r="J616" s="16"/>
      <c r="K616" s="16"/>
      <c r="L616" s="16"/>
      <c r="M616" s="16"/>
      <c r="N616" s="16"/>
      <c r="O616" s="16"/>
      <c r="P616" s="14"/>
      <c r="Q616" s="14"/>
      <c r="S616" s="14"/>
      <c r="T616" s="14"/>
      <c r="U616" s="14"/>
      <c r="V616" s="14"/>
      <c r="W616" s="14"/>
      <c r="X616" s="14"/>
      <c r="Y616" s="14"/>
      <c r="Z616" s="14"/>
      <c r="AA616" s="14"/>
      <c r="AB616" s="14"/>
      <c r="AC616" s="14"/>
      <c r="AD616" s="14"/>
    </row>
    <row r="617" spans="3:30" x14ac:dyDescent="0.3">
      <c r="C617" s="14"/>
      <c r="D617" s="14"/>
      <c r="E617" s="15"/>
      <c r="F617" s="15"/>
      <c r="G617" s="15"/>
      <c r="H617" s="14"/>
      <c r="I617" s="14"/>
      <c r="J617" s="16"/>
      <c r="K617" s="16"/>
      <c r="L617" s="16"/>
      <c r="M617" s="16"/>
      <c r="N617" s="16"/>
      <c r="O617" s="16"/>
      <c r="P617" s="14"/>
      <c r="Q617" s="14"/>
      <c r="S617" s="14"/>
      <c r="T617" s="14"/>
      <c r="U617" s="14"/>
      <c r="V617" s="14"/>
      <c r="W617" s="14"/>
      <c r="X617" s="14"/>
      <c r="Y617" s="14"/>
      <c r="Z617" s="14"/>
      <c r="AA617" s="14"/>
      <c r="AB617" s="14"/>
      <c r="AC617" s="14"/>
      <c r="AD617" s="14"/>
    </row>
    <row r="618" spans="3:30" x14ac:dyDescent="0.3">
      <c r="C618" s="14"/>
      <c r="D618" s="14"/>
      <c r="E618" s="15"/>
      <c r="F618" s="15"/>
      <c r="G618" s="15"/>
      <c r="H618" s="14"/>
      <c r="I618" s="14"/>
      <c r="J618" s="16"/>
      <c r="K618" s="16"/>
      <c r="L618" s="16"/>
      <c r="M618" s="16"/>
      <c r="N618" s="16"/>
      <c r="O618" s="16"/>
      <c r="P618" s="14"/>
      <c r="Q618" s="14"/>
      <c r="S618" s="14"/>
      <c r="T618" s="14"/>
      <c r="U618" s="14"/>
      <c r="V618" s="14"/>
      <c r="W618" s="14"/>
      <c r="X618" s="14"/>
      <c r="Y618" s="14"/>
      <c r="Z618" s="14"/>
      <c r="AA618" s="14"/>
      <c r="AB618" s="14"/>
      <c r="AC618" s="14"/>
      <c r="AD618" s="14"/>
    </row>
    <row r="619" spans="3:30" x14ac:dyDescent="0.3">
      <c r="C619" s="14"/>
      <c r="D619" s="14"/>
      <c r="E619" s="15"/>
      <c r="F619" s="15"/>
      <c r="G619" s="15"/>
      <c r="H619" s="14"/>
      <c r="I619" s="14"/>
      <c r="J619" s="16"/>
      <c r="K619" s="16"/>
      <c r="L619" s="16"/>
      <c r="M619" s="16"/>
      <c r="N619" s="16"/>
      <c r="O619" s="16"/>
      <c r="P619" s="14"/>
      <c r="Q619" s="14"/>
      <c r="S619" s="14"/>
      <c r="T619" s="14"/>
      <c r="U619" s="14"/>
      <c r="V619" s="14"/>
      <c r="W619" s="14"/>
      <c r="X619" s="14"/>
      <c r="Y619" s="14"/>
      <c r="Z619" s="14"/>
      <c r="AA619" s="14"/>
      <c r="AB619" s="14"/>
      <c r="AC619" s="14"/>
      <c r="AD619" s="14"/>
    </row>
    <row r="620" spans="3:30" x14ac:dyDescent="0.3">
      <c r="C620" s="14"/>
      <c r="D620" s="14"/>
      <c r="E620" s="15"/>
      <c r="F620" s="15"/>
      <c r="G620" s="15"/>
      <c r="H620" s="14"/>
      <c r="I620" s="14"/>
      <c r="J620" s="16"/>
      <c r="K620" s="16"/>
      <c r="L620" s="16"/>
      <c r="M620" s="16"/>
      <c r="N620" s="16"/>
      <c r="O620" s="16"/>
      <c r="P620" s="14"/>
      <c r="Q620" s="14"/>
      <c r="S620" s="14"/>
      <c r="T620" s="14"/>
      <c r="U620" s="14"/>
      <c r="V620" s="14"/>
      <c r="W620" s="14"/>
      <c r="X620" s="14"/>
      <c r="Y620" s="14"/>
      <c r="Z620" s="14"/>
      <c r="AA620" s="14"/>
      <c r="AB620" s="14"/>
      <c r="AC620" s="14"/>
      <c r="AD620" s="14"/>
    </row>
    <row r="621" spans="3:30" x14ac:dyDescent="0.3">
      <c r="C621" s="14"/>
      <c r="D621" s="14"/>
      <c r="E621" s="15"/>
      <c r="F621" s="15"/>
      <c r="G621" s="15"/>
      <c r="H621" s="14"/>
      <c r="I621" s="14"/>
      <c r="J621" s="16"/>
      <c r="K621" s="16"/>
      <c r="L621" s="16"/>
      <c r="M621" s="16"/>
      <c r="N621" s="16"/>
      <c r="O621" s="16"/>
      <c r="P621" s="14"/>
      <c r="Q621" s="14"/>
      <c r="S621" s="14"/>
      <c r="T621" s="14"/>
      <c r="U621" s="14"/>
      <c r="V621" s="14"/>
      <c r="W621" s="14"/>
      <c r="X621" s="14"/>
      <c r="Y621" s="14"/>
      <c r="Z621" s="14"/>
      <c r="AA621" s="14"/>
      <c r="AB621" s="14"/>
      <c r="AC621" s="14"/>
      <c r="AD621" s="14"/>
    </row>
    <row r="622" spans="3:30" x14ac:dyDescent="0.3">
      <c r="C622" s="14"/>
      <c r="D622" s="14"/>
      <c r="E622" s="15"/>
      <c r="F622" s="15"/>
      <c r="G622" s="15"/>
      <c r="H622" s="14"/>
      <c r="I622" s="14"/>
      <c r="J622" s="16"/>
      <c r="K622" s="16"/>
      <c r="L622" s="16"/>
      <c r="M622" s="16"/>
      <c r="N622" s="16"/>
      <c r="O622" s="16"/>
      <c r="P622" s="14"/>
      <c r="Q622" s="14"/>
      <c r="S622" s="14"/>
      <c r="T622" s="14"/>
      <c r="U622" s="14"/>
      <c r="V622" s="14"/>
      <c r="W622" s="14"/>
      <c r="X622" s="14"/>
      <c r="Y622" s="14"/>
      <c r="Z622" s="14"/>
      <c r="AA622" s="14"/>
      <c r="AB622" s="14"/>
      <c r="AC622" s="14"/>
      <c r="AD622" s="14"/>
    </row>
    <row r="623" spans="3:30" x14ac:dyDescent="0.3">
      <c r="C623" s="14"/>
      <c r="D623" s="14"/>
      <c r="E623" s="15"/>
      <c r="F623" s="15"/>
      <c r="G623" s="15"/>
      <c r="H623" s="14"/>
      <c r="I623" s="14"/>
      <c r="J623" s="16"/>
      <c r="K623" s="16"/>
      <c r="L623" s="16"/>
      <c r="M623" s="16"/>
      <c r="N623" s="16"/>
      <c r="O623" s="16"/>
      <c r="P623" s="14"/>
      <c r="Q623" s="14"/>
      <c r="S623" s="14"/>
      <c r="T623" s="14"/>
      <c r="U623" s="14"/>
      <c r="V623" s="14"/>
      <c r="W623" s="14"/>
      <c r="X623" s="14"/>
      <c r="Y623" s="14"/>
      <c r="Z623" s="14"/>
      <c r="AA623" s="14"/>
      <c r="AB623" s="14"/>
      <c r="AC623" s="14"/>
      <c r="AD623" s="14"/>
    </row>
    <row r="624" spans="3:30" x14ac:dyDescent="0.3">
      <c r="C624" s="14"/>
      <c r="D624" s="14"/>
      <c r="E624" s="15"/>
      <c r="F624" s="15"/>
      <c r="G624" s="15"/>
      <c r="H624" s="14"/>
      <c r="I624" s="14"/>
      <c r="J624" s="16"/>
      <c r="K624" s="16"/>
      <c r="L624" s="16"/>
      <c r="M624" s="16"/>
      <c r="N624" s="16"/>
      <c r="O624" s="16"/>
      <c r="P624" s="14"/>
      <c r="Q624" s="14"/>
      <c r="S624" s="14"/>
      <c r="T624" s="14"/>
      <c r="U624" s="14"/>
      <c r="V624" s="14"/>
      <c r="W624" s="14"/>
      <c r="X624" s="14"/>
      <c r="Y624" s="14"/>
      <c r="Z624" s="14"/>
      <c r="AA624" s="14"/>
      <c r="AB624" s="14"/>
      <c r="AC624" s="14"/>
      <c r="AD624" s="14"/>
    </row>
    <row r="625" spans="3:30" x14ac:dyDescent="0.3">
      <c r="C625" s="14"/>
      <c r="D625" s="14"/>
      <c r="E625" s="15"/>
      <c r="F625" s="15"/>
      <c r="G625" s="15"/>
      <c r="H625" s="14"/>
      <c r="I625" s="14"/>
      <c r="J625" s="16"/>
      <c r="K625" s="16"/>
      <c r="L625" s="16"/>
      <c r="M625" s="16"/>
      <c r="N625" s="16"/>
      <c r="O625" s="16"/>
      <c r="P625" s="14"/>
      <c r="Q625" s="14"/>
      <c r="S625" s="14"/>
      <c r="T625" s="14"/>
      <c r="U625" s="14"/>
      <c r="V625" s="14"/>
      <c r="W625" s="14"/>
      <c r="X625" s="14"/>
      <c r="Y625" s="14"/>
      <c r="Z625" s="14"/>
      <c r="AA625" s="14"/>
      <c r="AB625" s="14"/>
      <c r="AC625" s="14"/>
      <c r="AD625" s="14"/>
    </row>
    <row r="626" spans="3:30" x14ac:dyDescent="0.3">
      <c r="C626" s="14"/>
      <c r="D626" s="14"/>
      <c r="E626" s="15"/>
      <c r="F626" s="15"/>
      <c r="G626" s="15"/>
      <c r="H626" s="14"/>
      <c r="I626" s="14"/>
      <c r="J626" s="16"/>
      <c r="K626" s="16"/>
      <c r="L626" s="16"/>
      <c r="M626" s="16"/>
      <c r="N626" s="16"/>
      <c r="O626" s="16"/>
      <c r="P626" s="14"/>
      <c r="Q626" s="14"/>
      <c r="S626" s="14"/>
      <c r="T626" s="14"/>
      <c r="U626" s="14"/>
      <c r="V626" s="14"/>
      <c r="W626" s="14"/>
      <c r="X626" s="14"/>
      <c r="Y626" s="14"/>
      <c r="Z626" s="14"/>
      <c r="AA626" s="14"/>
      <c r="AB626" s="14"/>
      <c r="AC626" s="14"/>
      <c r="AD626" s="14"/>
    </row>
    <row r="627" spans="3:30" x14ac:dyDescent="0.3">
      <c r="C627" s="14"/>
      <c r="D627" s="14"/>
      <c r="E627" s="15"/>
      <c r="F627" s="15"/>
      <c r="G627" s="15"/>
      <c r="H627" s="14"/>
      <c r="I627" s="14"/>
      <c r="J627" s="16"/>
      <c r="K627" s="16"/>
      <c r="L627" s="16"/>
      <c r="M627" s="16"/>
      <c r="N627" s="16"/>
      <c r="O627" s="16"/>
      <c r="P627" s="14"/>
      <c r="Q627" s="14"/>
      <c r="S627" s="14"/>
      <c r="T627" s="14"/>
      <c r="U627" s="14"/>
      <c r="V627" s="14"/>
      <c r="W627" s="14"/>
      <c r="X627" s="14"/>
      <c r="Y627" s="14"/>
      <c r="Z627" s="14"/>
      <c r="AA627" s="14"/>
      <c r="AB627" s="14"/>
      <c r="AC627" s="14"/>
      <c r="AD627" s="14"/>
    </row>
    <row r="628" spans="3:30" x14ac:dyDescent="0.3">
      <c r="C628" s="14"/>
      <c r="D628" s="14"/>
      <c r="E628" s="15"/>
      <c r="F628" s="15"/>
      <c r="G628" s="15"/>
      <c r="H628" s="14"/>
      <c r="I628" s="14"/>
      <c r="J628" s="16"/>
      <c r="K628" s="16"/>
      <c r="L628" s="16"/>
      <c r="M628" s="16"/>
      <c r="N628" s="16"/>
      <c r="O628" s="16"/>
      <c r="P628" s="14"/>
      <c r="Q628" s="14"/>
      <c r="S628" s="14"/>
      <c r="T628" s="14"/>
      <c r="U628" s="14"/>
      <c r="V628" s="14"/>
      <c r="W628" s="14"/>
      <c r="X628" s="14"/>
      <c r="Y628" s="14"/>
      <c r="Z628" s="14"/>
      <c r="AA628" s="14"/>
      <c r="AB628" s="14"/>
      <c r="AC628" s="14"/>
      <c r="AD628" s="14"/>
    </row>
    <row r="629" spans="3:30" x14ac:dyDescent="0.3">
      <c r="C629" s="14"/>
      <c r="D629" s="14"/>
      <c r="E629" s="15"/>
      <c r="F629" s="15"/>
      <c r="G629" s="15"/>
      <c r="H629" s="14"/>
      <c r="I629" s="14"/>
      <c r="J629" s="16"/>
      <c r="K629" s="16"/>
      <c r="L629" s="16"/>
      <c r="M629" s="16"/>
      <c r="N629" s="16"/>
      <c r="O629" s="16"/>
      <c r="P629" s="14"/>
      <c r="Q629" s="14"/>
      <c r="S629" s="14"/>
      <c r="T629" s="14"/>
      <c r="U629" s="14"/>
      <c r="V629" s="14"/>
      <c r="W629" s="14"/>
      <c r="X629" s="14"/>
      <c r="Y629" s="14"/>
      <c r="Z629" s="14"/>
      <c r="AA629" s="14"/>
      <c r="AB629" s="14"/>
      <c r="AC629" s="14"/>
      <c r="AD629" s="14"/>
    </row>
    <row r="630" spans="3:30" x14ac:dyDescent="0.3">
      <c r="C630" s="14"/>
      <c r="D630" s="14"/>
      <c r="E630" s="15"/>
      <c r="F630" s="15"/>
      <c r="G630" s="15"/>
      <c r="H630" s="14"/>
      <c r="I630" s="14"/>
      <c r="J630" s="16"/>
      <c r="K630" s="16"/>
      <c r="L630" s="16"/>
      <c r="M630" s="16"/>
      <c r="N630" s="16"/>
      <c r="O630" s="16"/>
      <c r="P630" s="14"/>
      <c r="Q630" s="14"/>
      <c r="S630" s="14"/>
      <c r="T630" s="14"/>
      <c r="U630" s="14"/>
      <c r="V630" s="14"/>
      <c r="W630" s="14"/>
      <c r="X630" s="14"/>
      <c r="Y630" s="14"/>
      <c r="Z630" s="14"/>
      <c r="AA630" s="14"/>
      <c r="AB630" s="14"/>
      <c r="AC630" s="14"/>
      <c r="AD630" s="14"/>
    </row>
    <row r="631" spans="3:30" x14ac:dyDescent="0.3">
      <c r="C631" s="14"/>
      <c r="D631" s="14"/>
      <c r="E631" s="15"/>
      <c r="F631" s="15"/>
      <c r="G631" s="15"/>
      <c r="H631" s="14"/>
      <c r="I631" s="14"/>
      <c r="J631" s="16"/>
      <c r="K631" s="16"/>
      <c r="L631" s="16"/>
      <c r="M631" s="16"/>
      <c r="N631" s="16"/>
      <c r="O631" s="16"/>
      <c r="P631" s="14"/>
      <c r="Q631" s="14"/>
      <c r="S631" s="14"/>
      <c r="T631" s="14"/>
      <c r="U631" s="14"/>
      <c r="V631" s="14"/>
      <c r="W631" s="14"/>
      <c r="X631" s="14"/>
      <c r="Y631" s="14"/>
      <c r="Z631" s="14"/>
      <c r="AA631" s="14"/>
      <c r="AB631" s="14"/>
      <c r="AC631" s="14"/>
      <c r="AD631" s="14"/>
    </row>
    <row r="632" spans="3:30" x14ac:dyDescent="0.3">
      <c r="C632" s="14"/>
      <c r="D632" s="14"/>
      <c r="E632" s="15"/>
      <c r="F632" s="15"/>
      <c r="G632" s="15"/>
      <c r="H632" s="14"/>
      <c r="I632" s="14"/>
      <c r="J632" s="16"/>
      <c r="K632" s="16"/>
      <c r="L632" s="16"/>
      <c r="M632" s="16"/>
      <c r="N632" s="16"/>
      <c r="O632" s="16"/>
      <c r="P632" s="14"/>
      <c r="Q632" s="14"/>
      <c r="S632" s="14"/>
      <c r="T632" s="14"/>
      <c r="U632" s="14"/>
      <c r="V632" s="14"/>
      <c r="W632" s="14"/>
      <c r="X632" s="14"/>
      <c r="Y632" s="14"/>
      <c r="Z632" s="14"/>
      <c r="AA632" s="14"/>
      <c r="AB632" s="14"/>
      <c r="AC632" s="14"/>
      <c r="AD632" s="14"/>
    </row>
    <row r="633" spans="3:30" x14ac:dyDescent="0.3">
      <c r="C633" s="14"/>
      <c r="D633" s="14"/>
      <c r="E633" s="15"/>
      <c r="F633" s="15"/>
      <c r="G633" s="15"/>
      <c r="H633" s="14"/>
      <c r="I633" s="14"/>
      <c r="J633" s="16"/>
      <c r="K633" s="16"/>
      <c r="L633" s="16"/>
      <c r="M633" s="16"/>
      <c r="N633" s="16"/>
      <c r="O633" s="16"/>
      <c r="P633" s="14"/>
      <c r="Q633" s="14"/>
      <c r="S633" s="14"/>
      <c r="T633" s="14"/>
      <c r="U633" s="14"/>
      <c r="V633" s="14"/>
      <c r="W633" s="14"/>
      <c r="X633" s="14"/>
      <c r="Y633" s="14"/>
      <c r="Z633" s="14"/>
      <c r="AA633" s="14"/>
      <c r="AB633" s="14"/>
      <c r="AC633" s="14"/>
      <c r="AD633" s="14"/>
    </row>
    <row r="634" spans="3:30" x14ac:dyDescent="0.3">
      <c r="C634" s="14"/>
      <c r="D634" s="14"/>
      <c r="E634" s="15"/>
      <c r="F634" s="15"/>
      <c r="G634" s="15"/>
      <c r="H634" s="14"/>
      <c r="I634" s="14"/>
      <c r="J634" s="16"/>
      <c r="K634" s="16"/>
      <c r="L634" s="16"/>
      <c r="M634" s="16"/>
      <c r="N634" s="16"/>
      <c r="O634" s="16"/>
      <c r="P634" s="14"/>
      <c r="Q634" s="14"/>
      <c r="S634" s="14"/>
      <c r="T634" s="14"/>
      <c r="U634" s="14"/>
      <c r="V634" s="14"/>
      <c r="W634" s="14"/>
      <c r="X634" s="14"/>
      <c r="Y634" s="14"/>
      <c r="Z634" s="14"/>
      <c r="AA634" s="14"/>
      <c r="AB634" s="14"/>
      <c r="AC634" s="14"/>
      <c r="AD634" s="14"/>
    </row>
    <row r="635" spans="3:30" x14ac:dyDescent="0.3">
      <c r="C635" s="14"/>
      <c r="D635" s="14"/>
      <c r="E635" s="15"/>
      <c r="F635" s="15"/>
      <c r="G635" s="15"/>
      <c r="H635" s="14"/>
      <c r="I635" s="14"/>
      <c r="J635" s="16"/>
      <c r="K635" s="16"/>
      <c r="L635" s="16"/>
      <c r="M635" s="16"/>
      <c r="N635" s="16"/>
      <c r="O635" s="16"/>
      <c r="P635" s="14"/>
      <c r="Q635" s="14"/>
      <c r="S635" s="14"/>
      <c r="T635" s="14"/>
      <c r="U635" s="14"/>
      <c r="V635" s="14"/>
      <c r="W635" s="14"/>
      <c r="X635" s="14"/>
      <c r="Y635" s="14"/>
      <c r="Z635" s="14"/>
      <c r="AA635" s="14"/>
      <c r="AB635" s="14"/>
      <c r="AC635" s="14"/>
      <c r="AD635" s="14"/>
    </row>
    <row r="636" spans="3:30" x14ac:dyDescent="0.3">
      <c r="C636" s="14"/>
      <c r="D636" s="14"/>
      <c r="E636" s="15"/>
      <c r="F636" s="15"/>
      <c r="G636" s="15"/>
      <c r="H636" s="14"/>
      <c r="I636" s="14"/>
      <c r="J636" s="16"/>
      <c r="K636" s="16"/>
      <c r="L636" s="16"/>
      <c r="M636" s="16"/>
      <c r="N636" s="16"/>
      <c r="O636" s="16"/>
      <c r="P636" s="14"/>
      <c r="Q636" s="14"/>
      <c r="S636" s="14"/>
      <c r="T636" s="14"/>
      <c r="U636" s="14"/>
      <c r="V636" s="14"/>
      <c r="W636" s="14"/>
      <c r="X636" s="14"/>
      <c r="Y636" s="14"/>
      <c r="Z636" s="14"/>
      <c r="AA636" s="14"/>
      <c r="AB636" s="14"/>
      <c r="AC636" s="14"/>
      <c r="AD636" s="14"/>
    </row>
    <row r="637" spans="3:30" x14ac:dyDescent="0.3">
      <c r="C637" s="14"/>
      <c r="D637" s="14"/>
      <c r="E637" s="15"/>
      <c r="F637" s="15"/>
      <c r="G637" s="15"/>
      <c r="H637" s="14"/>
      <c r="I637" s="14"/>
      <c r="J637" s="16"/>
      <c r="K637" s="16"/>
      <c r="L637" s="16"/>
      <c r="M637" s="16"/>
      <c r="N637" s="16"/>
      <c r="O637" s="16"/>
      <c r="P637" s="14"/>
      <c r="Q637" s="14"/>
      <c r="S637" s="14"/>
      <c r="T637" s="14"/>
      <c r="U637" s="14"/>
      <c r="V637" s="14"/>
      <c r="W637" s="14"/>
      <c r="X637" s="14"/>
      <c r="Y637" s="14"/>
      <c r="Z637" s="14"/>
      <c r="AA637" s="14"/>
      <c r="AB637" s="14"/>
      <c r="AC637" s="14"/>
      <c r="AD637" s="14"/>
    </row>
    <row r="638" spans="3:30" x14ac:dyDescent="0.3">
      <c r="C638" s="14"/>
      <c r="D638" s="14"/>
      <c r="E638" s="15"/>
      <c r="F638" s="15"/>
      <c r="G638" s="15"/>
      <c r="H638" s="14"/>
      <c r="I638" s="14"/>
      <c r="J638" s="16"/>
      <c r="K638" s="16"/>
      <c r="L638" s="16"/>
      <c r="M638" s="16"/>
      <c r="N638" s="16"/>
      <c r="O638" s="16"/>
      <c r="P638" s="14"/>
      <c r="Q638" s="14"/>
      <c r="S638" s="14"/>
      <c r="T638" s="14"/>
      <c r="U638" s="14"/>
      <c r="V638" s="14"/>
      <c r="W638" s="14"/>
      <c r="X638" s="14"/>
      <c r="Y638" s="14"/>
      <c r="Z638" s="14"/>
      <c r="AA638" s="14"/>
      <c r="AB638" s="14"/>
      <c r="AC638" s="14"/>
      <c r="AD638" s="14"/>
    </row>
    <row r="639" spans="3:30" x14ac:dyDescent="0.3">
      <c r="C639" s="14"/>
      <c r="D639" s="14"/>
      <c r="E639" s="15"/>
      <c r="F639" s="15"/>
      <c r="G639" s="15"/>
      <c r="H639" s="14"/>
      <c r="I639" s="14"/>
      <c r="J639" s="16"/>
      <c r="K639" s="16"/>
      <c r="L639" s="16"/>
      <c r="M639" s="16"/>
      <c r="N639" s="16"/>
      <c r="O639" s="16"/>
      <c r="P639" s="14"/>
      <c r="Q639" s="14"/>
      <c r="S639" s="14"/>
      <c r="T639" s="14"/>
      <c r="U639" s="14"/>
      <c r="V639" s="14"/>
      <c r="W639" s="14"/>
      <c r="X639" s="14"/>
      <c r="Y639" s="14"/>
      <c r="Z639" s="14"/>
      <c r="AA639" s="14"/>
      <c r="AB639" s="14"/>
      <c r="AC639" s="14"/>
      <c r="AD639" s="14"/>
    </row>
    <row r="640" spans="3:30" x14ac:dyDescent="0.3">
      <c r="C640" s="14"/>
      <c r="D640" s="14"/>
      <c r="E640" s="15"/>
      <c r="F640" s="15"/>
      <c r="G640" s="15"/>
      <c r="H640" s="14"/>
      <c r="I640" s="14"/>
      <c r="J640" s="16"/>
      <c r="K640" s="16"/>
      <c r="L640" s="16"/>
      <c r="M640" s="16"/>
      <c r="N640" s="16"/>
      <c r="O640" s="16"/>
      <c r="P640" s="14"/>
      <c r="Q640" s="14"/>
      <c r="S640" s="14"/>
      <c r="T640" s="14"/>
      <c r="U640" s="14"/>
      <c r="V640" s="14"/>
      <c r="W640" s="14"/>
      <c r="X640" s="14"/>
      <c r="Y640" s="14"/>
      <c r="Z640" s="14"/>
      <c r="AA640" s="14"/>
      <c r="AB640" s="14"/>
      <c r="AC640" s="14"/>
      <c r="AD640" s="14"/>
    </row>
    <row r="641" spans="3:30" x14ac:dyDescent="0.3">
      <c r="C641" s="14"/>
      <c r="D641" s="14"/>
      <c r="E641" s="15"/>
      <c r="F641" s="15"/>
      <c r="G641" s="15"/>
      <c r="H641" s="14"/>
      <c r="I641" s="14"/>
      <c r="J641" s="16"/>
      <c r="K641" s="16"/>
      <c r="L641" s="16"/>
      <c r="M641" s="16"/>
      <c r="N641" s="16"/>
      <c r="O641" s="16"/>
      <c r="P641" s="14"/>
      <c r="Q641" s="14"/>
      <c r="S641" s="14"/>
      <c r="T641" s="14"/>
      <c r="U641" s="14"/>
      <c r="V641" s="14"/>
      <c r="W641" s="14"/>
      <c r="X641" s="14"/>
      <c r="Y641" s="14"/>
      <c r="Z641" s="14"/>
      <c r="AA641" s="14"/>
      <c r="AB641" s="14"/>
      <c r="AC641" s="14"/>
      <c r="AD641" s="14"/>
    </row>
    <row r="642" spans="3:30" x14ac:dyDescent="0.3">
      <c r="C642" s="14"/>
      <c r="D642" s="14"/>
      <c r="E642" s="15"/>
      <c r="F642" s="15"/>
      <c r="G642" s="15"/>
      <c r="H642" s="14"/>
      <c r="I642" s="14"/>
      <c r="J642" s="16"/>
      <c r="K642" s="16"/>
      <c r="L642" s="16"/>
      <c r="M642" s="16"/>
      <c r="N642" s="16"/>
      <c r="O642" s="16"/>
      <c r="P642" s="14"/>
      <c r="Q642" s="14"/>
      <c r="S642" s="14"/>
      <c r="T642" s="14"/>
      <c r="U642" s="14"/>
      <c r="V642" s="14"/>
      <c r="W642" s="14"/>
      <c r="X642" s="14"/>
      <c r="Y642" s="14"/>
      <c r="Z642" s="14"/>
      <c r="AA642" s="14"/>
      <c r="AB642" s="14"/>
      <c r="AC642" s="14"/>
      <c r="AD642" s="14"/>
    </row>
    <row r="643" spans="3:30" x14ac:dyDescent="0.3">
      <c r="C643" s="14"/>
      <c r="D643" s="14"/>
      <c r="E643" s="15"/>
      <c r="F643" s="15"/>
      <c r="G643" s="15"/>
      <c r="H643" s="14"/>
      <c r="I643" s="14"/>
      <c r="J643" s="16"/>
      <c r="K643" s="16"/>
      <c r="L643" s="16"/>
      <c r="M643" s="16"/>
      <c r="N643" s="16"/>
      <c r="O643" s="16"/>
      <c r="P643" s="14"/>
      <c r="Q643" s="14"/>
      <c r="S643" s="14"/>
      <c r="T643" s="14"/>
      <c r="U643" s="14"/>
      <c r="V643" s="14"/>
      <c r="W643" s="14"/>
      <c r="X643" s="14"/>
      <c r="Y643" s="14"/>
      <c r="Z643" s="14"/>
      <c r="AA643" s="14"/>
      <c r="AB643" s="14"/>
      <c r="AC643" s="14"/>
      <c r="AD643" s="14"/>
    </row>
    <row r="644" spans="3:30" x14ac:dyDescent="0.3">
      <c r="C644" s="14"/>
      <c r="D644" s="14"/>
      <c r="E644" s="15"/>
      <c r="F644" s="15"/>
      <c r="G644" s="15"/>
      <c r="H644" s="14"/>
      <c r="I644" s="14"/>
      <c r="J644" s="16"/>
      <c r="K644" s="16"/>
      <c r="L644" s="16"/>
      <c r="M644" s="16"/>
      <c r="N644" s="16"/>
      <c r="O644" s="16"/>
      <c r="P644" s="14"/>
      <c r="Q644" s="14"/>
      <c r="S644" s="14"/>
      <c r="T644" s="14"/>
      <c r="U644" s="14"/>
      <c r="V644" s="14"/>
      <c r="W644" s="14"/>
      <c r="X644" s="14"/>
      <c r="Y644" s="14"/>
      <c r="Z644" s="14"/>
      <c r="AA644" s="14"/>
      <c r="AB644" s="14"/>
      <c r="AC644" s="14"/>
      <c r="AD644" s="14"/>
    </row>
    <row r="645" spans="3:30" x14ac:dyDescent="0.3">
      <c r="C645" s="14"/>
      <c r="D645" s="14"/>
      <c r="E645" s="15"/>
      <c r="F645" s="15"/>
      <c r="G645" s="15"/>
      <c r="H645" s="14"/>
      <c r="I645" s="14"/>
      <c r="J645" s="16"/>
      <c r="K645" s="16"/>
      <c r="L645" s="16"/>
      <c r="M645" s="16"/>
      <c r="N645" s="16"/>
      <c r="O645" s="16"/>
      <c r="P645" s="14"/>
      <c r="Q645" s="14"/>
      <c r="S645" s="14"/>
      <c r="T645" s="14"/>
      <c r="U645" s="14"/>
      <c r="V645" s="14"/>
      <c r="W645" s="14"/>
      <c r="X645" s="14"/>
      <c r="Y645" s="14"/>
      <c r="Z645" s="14"/>
      <c r="AA645" s="14"/>
      <c r="AB645" s="14"/>
      <c r="AC645" s="14"/>
      <c r="AD645" s="14"/>
    </row>
    <row r="646" spans="3:30" x14ac:dyDescent="0.3">
      <c r="C646" s="14"/>
      <c r="D646" s="14"/>
      <c r="E646" s="15"/>
      <c r="F646" s="15"/>
      <c r="G646" s="15"/>
      <c r="H646" s="14"/>
      <c r="I646" s="14"/>
      <c r="J646" s="16"/>
      <c r="K646" s="16"/>
      <c r="L646" s="16"/>
      <c r="M646" s="16"/>
      <c r="N646" s="16"/>
      <c r="O646" s="16"/>
      <c r="P646" s="14"/>
      <c r="Q646" s="14"/>
      <c r="S646" s="14"/>
      <c r="T646" s="14"/>
      <c r="U646" s="14"/>
      <c r="V646" s="14"/>
      <c r="W646" s="14"/>
      <c r="X646" s="14"/>
      <c r="Y646" s="14"/>
      <c r="Z646" s="14"/>
      <c r="AA646" s="14"/>
      <c r="AB646" s="14"/>
      <c r="AC646" s="14"/>
      <c r="AD646" s="14"/>
    </row>
    <row r="647" spans="3:30" x14ac:dyDescent="0.3">
      <c r="C647" s="14"/>
      <c r="D647" s="14"/>
      <c r="E647" s="15"/>
      <c r="F647" s="15"/>
      <c r="G647" s="15"/>
      <c r="H647" s="14"/>
      <c r="I647" s="14"/>
      <c r="J647" s="16"/>
      <c r="K647" s="16"/>
      <c r="L647" s="16"/>
      <c r="M647" s="16"/>
      <c r="N647" s="16"/>
      <c r="O647" s="16"/>
      <c r="P647" s="14"/>
      <c r="Q647" s="14"/>
      <c r="S647" s="14"/>
      <c r="T647" s="14"/>
      <c r="U647" s="14"/>
      <c r="V647" s="14"/>
      <c r="W647" s="14"/>
      <c r="X647" s="14"/>
      <c r="Y647" s="14"/>
      <c r="Z647" s="14"/>
      <c r="AA647" s="14"/>
      <c r="AB647" s="14"/>
      <c r="AC647" s="14"/>
      <c r="AD647" s="14"/>
    </row>
    <row r="648" spans="3:30" x14ac:dyDescent="0.3">
      <c r="C648" s="14"/>
      <c r="D648" s="14"/>
      <c r="E648" s="15"/>
      <c r="F648" s="15"/>
      <c r="G648" s="15"/>
      <c r="H648" s="14"/>
      <c r="I648" s="14"/>
      <c r="J648" s="16"/>
      <c r="K648" s="16"/>
      <c r="L648" s="16"/>
      <c r="M648" s="16"/>
      <c r="N648" s="16"/>
      <c r="O648" s="16"/>
      <c r="P648" s="14"/>
      <c r="Q648" s="14"/>
      <c r="S648" s="14"/>
      <c r="T648" s="14"/>
      <c r="U648" s="14"/>
      <c r="V648" s="14"/>
      <c r="W648" s="14"/>
      <c r="X648" s="14"/>
      <c r="Y648" s="14"/>
      <c r="Z648" s="14"/>
      <c r="AA648" s="14"/>
      <c r="AB648" s="14"/>
      <c r="AC648" s="14"/>
      <c r="AD648" s="14"/>
    </row>
    <row r="649" spans="3:30" x14ac:dyDescent="0.3">
      <c r="C649" s="14"/>
      <c r="D649" s="14"/>
      <c r="E649" s="15"/>
      <c r="F649" s="15"/>
      <c r="G649" s="15"/>
      <c r="H649" s="14"/>
      <c r="I649" s="14"/>
      <c r="J649" s="16"/>
      <c r="K649" s="16"/>
      <c r="L649" s="16"/>
      <c r="M649" s="16"/>
      <c r="N649" s="16"/>
      <c r="O649" s="16"/>
      <c r="P649" s="14"/>
      <c r="Q649" s="14"/>
      <c r="S649" s="14"/>
      <c r="T649" s="14"/>
      <c r="U649" s="14"/>
      <c r="V649" s="14"/>
      <c r="W649" s="14"/>
      <c r="X649" s="14"/>
      <c r="Y649" s="14"/>
      <c r="Z649" s="14"/>
      <c r="AA649" s="14"/>
      <c r="AB649" s="14"/>
      <c r="AC649" s="14"/>
      <c r="AD649" s="14"/>
    </row>
    <row r="650" spans="3:30" x14ac:dyDescent="0.3">
      <c r="C650" s="14"/>
      <c r="D650" s="14"/>
      <c r="E650" s="15"/>
      <c r="F650" s="15"/>
      <c r="G650" s="15"/>
      <c r="H650" s="14"/>
      <c r="I650" s="14"/>
      <c r="J650" s="16"/>
      <c r="K650" s="16"/>
      <c r="L650" s="16"/>
      <c r="M650" s="16"/>
      <c r="N650" s="16"/>
      <c r="O650" s="16"/>
      <c r="P650" s="14"/>
      <c r="Q650" s="14"/>
      <c r="S650" s="14"/>
      <c r="T650" s="14"/>
      <c r="U650" s="14"/>
      <c r="V650" s="14"/>
      <c r="W650" s="14"/>
      <c r="X650" s="14"/>
      <c r="Y650" s="14"/>
      <c r="Z650" s="14"/>
      <c r="AA650" s="14"/>
      <c r="AB650" s="14"/>
      <c r="AC650" s="14"/>
      <c r="AD650" s="14"/>
    </row>
    <row r="651" spans="3:30" x14ac:dyDescent="0.3">
      <c r="C651" s="14"/>
      <c r="D651" s="14"/>
      <c r="E651" s="15"/>
      <c r="F651" s="15"/>
      <c r="G651" s="15"/>
      <c r="H651" s="14"/>
      <c r="I651" s="14"/>
      <c r="J651" s="16"/>
      <c r="K651" s="16"/>
      <c r="L651" s="16"/>
      <c r="M651" s="16"/>
      <c r="N651" s="16"/>
      <c r="O651" s="16"/>
      <c r="P651" s="14"/>
      <c r="Q651" s="14"/>
      <c r="S651" s="14"/>
      <c r="T651" s="14"/>
      <c r="U651" s="14"/>
      <c r="V651" s="14"/>
      <c r="W651" s="14"/>
      <c r="X651" s="14"/>
      <c r="Y651" s="14"/>
      <c r="Z651" s="14"/>
      <c r="AA651" s="14"/>
      <c r="AB651" s="14"/>
      <c r="AC651" s="14"/>
      <c r="AD651" s="14"/>
    </row>
    <row r="652" spans="3:30" x14ac:dyDescent="0.3">
      <c r="C652" s="14"/>
      <c r="D652" s="14"/>
      <c r="E652" s="15"/>
      <c r="F652" s="15"/>
      <c r="G652" s="15"/>
      <c r="H652" s="14"/>
      <c r="I652" s="14"/>
      <c r="J652" s="16"/>
      <c r="K652" s="16"/>
      <c r="L652" s="16"/>
      <c r="M652" s="16"/>
      <c r="N652" s="16"/>
      <c r="O652" s="16"/>
      <c r="P652" s="14"/>
      <c r="Q652" s="14"/>
      <c r="S652" s="14"/>
      <c r="T652" s="14"/>
      <c r="U652" s="14"/>
      <c r="V652" s="14"/>
      <c r="W652" s="14"/>
      <c r="X652" s="14"/>
      <c r="Y652" s="14"/>
      <c r="Z652" s="14"/>
      <c r="AA652" s="14"/>
      <c r="AB652" s="14"/>
      <c r="AC652" s="14"/>
      <c r="AD652" s="14"/>
    </row>
    <row r="653" spans="3:30" x14ac:dyDescent="0.3">
      <c r="C653" s="14"/>
      <c r="D653" s="14"/>
      <c r="E653" s="15"/>
      <c r="F653" s="15"/>
      <c r="G653" s="15"/>
      <c r="H653" s="14"/>
      <c r="I653" s="14"/>
      <c r="J653" s="16"/>
      <c r="K653" s="16"/>
      <c r="L653" s="16"/>
      <c r="M653" s="16"/>
      <c r="N653" s="16"/>
      <c r="O653" s="16"/>
      <c r="P653" s="14"/>
      <c r="Q653" s="14"/>
      <c r="S653" s="14"/>
      <c r="T653" s="14"/>
      <c r="U653" s="14"/>
      <c r="V653" s="14"/>
      <c r="W653" s="14"/>
      <c r="X653" s="14"/>
      <c r="Y653" s="14"/>
      <c r="Z653" s="14"/>
      <c r="AA653" s="14"/>
      <c r="AB653" s="14"/>
      <c r="AC653" s="14"/>
      <c r="AD653" s="14"/>
    </row>
    <row r="654" spans="3:30" x14ac:dyDescent="0.3">
      <c r="C654" s="14"/>
      <c r="D654" s="14"/>
      <c r="E654" s="15"/>
      <c r="F654" s="15"/>
      <c r="G654" s="15"/>
      <c r="H654" s="14"/>
      <c r="I654" s="14"/>
      <c r="J654" s="16"/>
      <c r="K654" s="16"/>
      <c r="L654" s="16"/>
      <c r="M654" s="16"/>
      <c r="N654" s="16"/>
      <c r="O654" s="16"/>
      <c r="P654" s="14"/>
      <c r="Q654" s="14"/>
      <c r="S654" s="14"/>
      <c r="T654" s="14"/>
      <c r="U654" s="14"/>
      <c r="V654" s="14"/>
      <c r="W654" s="14"/>
      <c r="X654" s="14"/>
      <c r="Y654" s="14"/>
      <c r="Z654" s="14"/>
      <c r="AA654" s="14"/>
      <c r="AB654" s="14"/>
      <c r="AC654" s="14"/>
      <c r="AD654" s="14"/>
    </row>
    <row r="655" spans="3:30" x14ac:dyDescent="0.3">
      <c r="C655" s="14"/>
      <c r="D655" s="14"/>
      <c r="E655" s="15"/>
      <c r="F655" s="15"/>
      <c r="G655" s="15"/>
      <c r="H655" s="14"/>
      <c r="I655" s="14"/>
      <c r="J655" s="16"/>
      <c r="K655" s="16"/>
      <c r="L655" s="16"/>
      <c r="M655" s="16"/>
      <c r="N655" s="16"/>
      <c r="O655" s="16"/>
      <c r="P655" s="14"/>
      <c r="Q655" s="14"/>
      <c r="S655" s="14"/>
      <c r="T655" s="14"/>
      <c r="U655" s="14"/>
      <c r="V655" s="14"/>
      <c r="W655" s="14"/>
      <c r="X655" s="14"/>
      <c r="Y655" s="14"/>
      <c r="Z655" s="14"/>
      <c r="AA655" s="14"/>
      <c r="AB655" s="14"/>
      <c r="AC655" s="14"/>
      <c r="AD655" s="14"/>
    </row>
    <row r="656" spans="3:30" x14ac:dyDescent="0.3">
      <c r="C656" s="14"/>
      <c r="D656" s="14"/>
      <c r="E656" s="15"/>
      <c r="F656" s="15"/>
      <c r="G656" s="15"/>
      <c r="H656" s="14"/>
      <c r="I656" s="14"/>
      <c r="J656" s="16"/>
      <c r="K656" s="16"/>
      <c r="L656" s="16"/>
      <c r="M656" s="16"/>
      <c r="N656" s="16"/>
      <c r="O656" s="16"/>
      <c r="P656" s="14"/>
      <c r="Q656" s="14"/>
      <c r="S656" s="14"/>
      <c r="T656" s="14"/>
      <c r="U656" s="14"/>
      <c r="V656" s="14"/>
      <c r="W656" s="14"/>
      <c r="X656" s="14"/>
      <c r="Y656" s="14"/>
      <c r="Z656" s="14"/>
      <c r="AA656" s="14"/>
      <c r="AB656" s="14"/>
      <c r="AC656" s="14"/>
      <c r="AD656" s="14"/>
    </row>
    <row r="657" spans="3:30" x14ac:dyDescent="0.3">
      <c r="C657" s="14"/>
      <c r="D657" s="14"/>
      <c r="E657" s="15"/>
      <c r="F657" s="15"/>
      <c r="G657" s="15"/>
      <c r="H657" s="14"/>
      <c r="I657" s="14"/>
      <c r="J657" s="16"/>
      <c r="K657" s="16"/>
      <c r="L657" s="16"/>
      <c r="M657" s="16"/>
      <c r="N657" s="16"/>
      <c r="O657" s="16"/>
      <c r="P657" s="14"/>
      <c r="Q657" s="14"/>
      <c r="S657" s="14"/>
      <c r="T657" s="14"/>
      <c r="U657" s="14"/>
      <c r="V657" s="14"/>
      <c r="W657" s="14"/>
      <c r="X657" s="14"/>
      <c r="Y657" s="14"/>
      <c r="Z657" s="14"/>
      <c r="AA657" s="14"/>
      <c r="AB657" s="14"/>
      <c r="AC657" s="14"/>
      <c r="AD657" s="14"/>
    </row>
    <row r="658" spans="3:30" x14ac:dyDescent="0.3">
      <c r="C658" s="14"/>
      <c r="D658" s="14"/>
      <c r="E658" s="15"/>
      <c r="F658" s="15"/>
      <c r="G658" s="15"/>
      <c r="H658" s="14"/>
      <c r="I658" s="14"/>
      <c r="J658" s="16"/>
      <c r="K658" s="16"/>
      <c r="L658" s="16"/>
      <c r="M658" s="16"/>
      <c r="N658" s="16"/>
      <c r="O658" s="16"/>
      <c r="P658" s="14"/>
      <c r="Q658" s="14"/>
      <c r="S658" s="14"/>
      <c r="T658" s="14"/>
      <c r="U658" s="14"/>
      <c r="V658" s="14"/>
      <c r="W658" s="14"/>
      <c r="X658" s="14"/>
      <c r="Y658" s="14"/>
      <c r="Z658" s="14"/>
      <c r="AA658" s="14"/>
      <c r="AB658" s="14"/>
      <c r="AC658" s="14"/>
      <c r="AD658" s="14"/>
    </row>
    <row r="659" spans="3:30" x14ac:dyDescent="0.3">
      <c r="C659" s="14"/>
      <c r="D659" s="14"/>
      <c r="E659" s="15"/>
      <c r="F659" s="15"/>
      <c r="G659" s="15"/>
      <c r="H659" s="14"/>
      <c r="I659" s="14"/>
      <c r="J659" s="16"/>
      <c r="K659" s="16"/>
      <c r="L659" s="16"/>
      <c r="M659" s="16"/>
      <c r="N659" s="16"/>
      <c r="O659" s="16"/>
      <c r="P659" s="14"/>
      <c r="Q659" s="14"/>
      <c r="S659" s="14"/>
      <c r="T659" s="14"/>
      <c r="U659" s="14"/>
      <c r="V659" s="14"/>
      <c r="W659" s="14"/>
      <c r="X659" s="14"/>
      <c r="Y659" s="14"/>
      <c r="Z659" s="14"/>
      <c r="AA659" s="14"/>
      <c r="AB659" s="14"/>
      <c r="AC659" s="14"/>
      <c r="AD659" s="14"/>
    </row>
    <row r="660" spans="3:30" x14ac:dyDescent="0.3">
      <c r="C660" s="14"/>
      <c r="D660" s="14"/>
      <c r="E660" s="15"/>
      <c r="F660" s="15"/>
      <c r="G660" s="15"/>
      <c r="H660" s="14"/>
      <c r="I660" s="14"/>
      <c r="J660" s="16"/>
      <c r="K660" s="16"/>
      <c r="L660" s="16"/>
      <c r="M660" s="16"/>
      <c r="N660" s="16"/>
      <c r="O660" s="16"/>
      <c r="P660" s="14"/>
      <c r="Q660" s="14"/>
      <c r="S660" s="14"/>
      <c r="T660" s="14"/>
      <c r="U660" s="14"/>
      <c r="V660" s="14"/>
      <c r="W660" s="14"/>
      <c r="X660" s="14"/>
      <c r="Y660" s="14"/>
      <c r="Z660" s="14"/>
      <c r="AA660" s="14"/>
      <c r="AB660" s="14"/>
      <c r="AC660" s="14"/>
      <c r="AD660" s="14"/>
    </row>
    <row r="661" spans="3:30" x14ac:dyDescent="0.3">
      <c r="C661" s="14"/>
      <c r="D661" s="14"/>
      <c r="E661" s="15"/>
      <c r="F661" s="15"/>
      <c r="G661" s="15"/>
      <c r="H661" s="14"/>
      <c r="I661" s="14"/>
      <c r="J661" s="16"/>
      <c r="K661" s="16"/>
      <c r="L661" s="16"/>
      <c r="M661" s="16"/>
      <c r="N661" s="16"/>
      <c r="O661" s="16"/>
      <c r="P661" s="14"/>
      <c r="Q661" s="14"/>
      <c r="S661" s="14"/>
      <c r="T661" s="14"/>
      <c r="U661" s="14"/>
      <c r="V661" s="14"/>
      <c r="W661" s="14"/>
      <c r="X661" s="14"/>
      <c r="Y661" s="14"/>
      <c r="Z661" s="14"/>
      <c r="AA661" s="14"/>
      <c r="AB661" s="14"/>
      <c r="AC661" s="14"/>
      <c r="AD661" s="14"/>
    </row>
    <row r="662" spans="3:30" x14ac:dyDescent="0.3">
      <c r="C662" s="14"/>
      <c r="D662" s="14"/>
      <c r="E662" s="15"/>
      <c r="F662" s="15"/>
      <c r="G662" s="15"/>
      <c r="H662" s="14"/>
      <c r="I662" s="14"/>
      <c r="J662" s="16"/>
      <c r="K662" s="16"/>
      <c r="L662" s="16"/>
      <c r="M662" s="16"/>
      <c r="N662" s="16"/>
      <c r="O662" s="16"/>
      <c r="P662" s="14"/>
      <c r="Q662" s="14"/>
      <c r="S662" s="14"/>
      <c r="T662" s="14"/>
      <c r="U662" s="14"/>
      <c r="V662" s="14"/>
      <c r="W662" s="14"/>
      <c r="X662" s="14"/>
      <c r="Y662" s="14"/>
      <c r="Z662" s="14"/>
      <c r="AA662" s="14"/>
      <c r="AB662" s="14"/>
      <c r="AC662" s="14"/>
      <c r="AD662" s="14"/>
    </row>
    <row r="663" spans="3:30" x14ac:dyDescent="0.3">
      <c r="C663" s="14"/>
      <c r="D663" s="14"/>
      <c r="E663" s="15"/>
      <c r="F663" s="15"/>
      <c r="G663" s="15"/>
      <c r="H663" s="14"/>
      <c r="I663" s="14"/>
      <c r="J663" s="16"/>
      <c r="K663" s="16"/>
      <c r="L663" s="16"/>
      <c r="M663" s="16"/>
      <c r="N663" s="16"/>
      <c r="O663" s="16"/>
      <c r="P663" s="14"/>
      <c r="Q663" s="14"/>
      <c r="S663" s="14"/>
      <c r="T663" s="14"/>
      <c r="U663" s="14"/>
      <c r="V663" s="14"/>
      <c r="W663" s="14"/>
      <c r="X663" s="14"/>
      <c r="Y663" s="14"/>
      <c r="Z663" s="14"/>
      <c r="AA663" s="14"/>
      <c r="AB663" s="14"/>
      <c r="AC663" s="14"/>
      <c r="AD663" s="14"/>
    </row>
    <row r="664" spans="3:30" x14ac:dyDescent="0.3">
      <c r="C664" s="14"/>
      <c r="D664" s="14"/>
      <c r="E664" s="15"/>
      <c r="F664" s="15"/>
      <c r="G664" s="15"/>
      <c r="H664" s="14"/>
      <c r="I664" s="14"/>
      <c r="J664" s="16"/>
      <c r="K664" s="16"/>
      <c r="L664" s="16"/>
      <c r="M664" s="16"/>
      <c r="N664" s="16"/>
      <c r="O664" s="16"/>
      <c r="P664" s="14"/>
      <c r="Q664" s="14"/>
      <c r="S664" s="14"/>
      <c r="T664" s="14"/>
      <c r="U664" s="14"/>
      <c r="V664" s="14"/>
      <c r="W664" s="14"/>
      <c r="X664" s="14"/>
      <c r="Y664" s="14"/>
      <c r="Z664" s="14"/>
      <c r="AA664" s="14"/>
      <c r="AB664" s="14"/>
      <c r="AC664" s="14"/>
      <c r="AD664" s="14"/>
    </row>
    <row r="665" spans="3:30" x14ac:dyDescent="0.3">
      <c r="C665" s="14"/>
      <c r="D665" s="14"/>
      <c r="E665" s="15"/>
      <c r="F665" s="15"/>
      <c r="G665" s="15"/>
      <c r="H665" s="14"/>
      <c r="I665" s="14"/>
      <c r="J665" s="16"/>
      <c r="K665" s="16"/>
      <c r="L665" s="16"/>
      <c r="M665" s="16"/>
      <c r="N665" s="16"/>
      <c r="O665" s="16"/>
      <c r="P665" s="14"/>
      <c r="Q665" s="14"/>
      <c r="S665" s="14"/>
      <c r="T665" s="14"/>
      <c r="U665" s="14"/>
      <c r="V665" s="14"/>
      <c r="W665" s="14"/>
      <c r="X665" s="14"/>
      <c r="Y665" s="14"/>
      <c r="Z665" s="14"/>
      <c r="AA665" s="14"/>
      <c r="AB665" s="14"/>
      <c r="AC665" s="14"/>
      <c r="AD665" s="14"/>
    </row>
    <row r="666" spans="3:30" x14ac:dyDescent="0.3">
      <c r="C666" s="14"/>
      <c r="D666" s="14"/>
      <c r="E666" s="15"/>
      <c r="F666" s="15"/>
      <c r="G666" s="15"/>
      <c r="H666" s="14"/>
      <c r="I666" s="14"/>
      <c r="J666" s="16"/>
      <c r="K666" s="16"/>
      <c r="L666" s="16"/>
      <c r="M666" s="16"/>
      <c r="N666" s="16"/>
      <c r="O666" s="16"/>
      <c r="P666" s="14"/>
      <c r="Q666" s="14"/>
      <c r="S666" s="14"/>
      <c r="T666" s="14"/>
      <c r="U666" s="14"/>
      <c r="V666" s="14"/>
      <c r="W666" s="14"/>
      <c r="X666" s="14"/>
      <c r="Y666" s="14"/>
      <c r="Z666" s="14"/>
      <c r="AA666" s="14"/>
      <c r="AB666" s="14"/>
      <c r="AC666" s="14"/>
      <c r="AD666" s="14"/>
    </row>
    <row r="667" spans="3:30" x14ac:dyDescent="0.3">
      <c r="C667" s="14"/>
      <c r="D667" s="14"/>
      <c r="E667" s="15"/>
      <c r="F667" s="15"/>
      <c r="G667" s="15"/>
      <c r="H667" s="14"/>
      <c r="I667" s="14"/>
      <c r="J667" s="16"/>
      <c r="K667" s="16"/>
      <c r="L667" s="16"/>
      <c r="M667" s="16"/>
      <c r="N667" s="16"/>
      <c r="O667" s="16"/>
      <c r="P667" s="14"/>
      <c r="Q667" s="14"/>
      <c r="S667" s="14"/>
      <c r="T667" s="14"/>
      <c r="U667" s="14"/>
      <c r="V667" s="14"/>
      <c r="W667" s="14"/>
      <c r="X667" s="14"/>
      <c r="Y667" s="14"/>
      <c r="Z667" s="14"/>
      <c r="AA667" s="14"/>
      <c r="AB667" s="14"/>
      <c r="AC667" s="14"/>
      <c r="AD667" s="14"/>
    </row>
    <row r="668" spans="3:30" x14ac:dyDescent="0.3">
      <c r="C668" s="14"/>
      <c r="D668" s="14"/>
      <c r="E668" s="15"/>
      <c r="F668" s="15"/>
      <c r="G668" s="15"/>
      <c r="H668" s="14"/>
      <c r="I668" s="14"/>
      <c r="J668" s="16"/>
      <c r="K668" s="16"/>
      <c r="L668" s="16"/>
      <c r="M668" s="16"/>
      <c r="N668" s="16"/>
      <c r="O668" s="16"/>
      <c r="P668" s="14"/>
      <c r="Q668" s="14"/>
      <c r="S668" s="14"/>
      <c r="T668" s="14"/>
      <c r="U668" s="14"/>
      <c r="V668" s="14"/>
      <c r="W668" s="14"/>
      <c r="X668" s="14"/>
      <c r="Y668" s="14"/>
      <c r="Z668" s="14"/>
      <c r="AA668" s="14"/>
      <c r="AB668" s="14"/>
      <c r="AC668" s="14"/>
      <c r="AD668" s="14"/>
    </row>
    <row r="669" spans="3:30" x14ac:dyDescent="0.3">
      <c r="C669" s="14"/>
      <c r="D669" s="14"/>
      <c r="E669" s="15"/>
      <c r="F669" s="15"/>
      <c r="G669" s="15"/>
      <c r="H669" s="14"/>
      <c r="I669" s="14"/>
      <c r="J669" s="16"/>
      <c r="K669" s="16"/>
      <c r="L669" s="16"/>
      <c r="M669" s="16"/>
      <c r="N669" s="16"/>
      <c r="O669" s="16"/>
      <c r="P669" s="14"/>
      <c r="Q669" s="14"/>
      <c r="S669" s="14"/>
      <c r="T669" s="14"/>
      <c r="U669" s="14"/>
      <c r="V669" s="14"/>
      <c r="W669" s="14"/>
      <c r="X669" s="14"/>
      <c r="Y669" s="14"/>
      <c r="Z669" s="14"/>
      <c r="AA669" s="14"/>
      <c r="AB669" s="14"/>
      <c r="AC669" s="14"/>
      <c r="AD669" s="14"/>
    </row>
    <row r="670" spans="3:30" x14ac:dyDescent="0.3">
      <c r="C670" s="14"/>
      <c r="D670" s="14"/>
      <c r="E670" s="15"/>
      <c r="F670" s="15"/>
      <c r="G670" s="15"/>
      <c r="H670" s="14"/>
      <c r="I670" s="14"/>
      <c r="J670" s="16"/>
      <c r="K670" s="16"/>
      <c r="L670" s="16"/>
      <c r="M670" s="16"/>
      <c r="N670" s="16"/>
      <c r="O670" s="16"/>
      <c r="P670" s="14"/>
      <c r="Q670" s="14"/>
      <c r="S670" s="14"/>
      <c r="T670" s="14"/>
      <c r="U670" s="14"/>
      <c r="V670" s="14"/>
      <c r="W670" s="14"/>
      <c r="X670" s="14"/>
      <c r="Y670" s="14"/>
      <c r="Z670" s="14"/>
      <c r="AA670" s="14"/>
      <c r="AB670" s="14"/>
      <c r="AC670" s="14"/>
      <c r="AD670" s="14"/>
    </row>
    <row r="671" spans="3:30" x14ac:dyDescent="0.3">
      <c r="C671" s="14"/>
      <c r="D671" s="14"/>
      <c r="E671" s="15"/>
      <c r="F671" s="15"/>
      <c r="G671" s="15"/>
      <c r="H671" s="14"/>
      <c r="I671" s="14"/>
      <c r="J671" s="16"/>
      <c r="K671" s="16"/>
      <c r="L671" s="16"/>
      <c r="M671" s="16"/>
      <c r="N671" s="16"/>
      <c r="O671" s="16"/>
      <c r="P671" s="14"/>
      <c r="Q671" s="14"/>
      <c r="S671" s="14"/>
      <c r="T671" s="14"/>
      <c r="U671" s="14"/>
      <c r="V671" s="14"/>
      <c r="W671" s="14"/>
      <c r="X671" s="14"/>
      <c r="Y671" s="14"/>
      <c r="Z671" s="14"/>
      <c r="AA671" s="14"/>
      <c r="AB671" s="14"/>
      <c r="AC671" s="14"/>
      <c r="AD671" s="14"/>
    </row>
    <row r="672" spans="3:30" x14ac:dyDescent="0.3">
      <c r="C672" s="14"/>
      <c r="D672" s="14"/>
      <c r="E672" s="15"/>
      <c r="F672" s="15"/>
      <c r="G672" s="15"/>
      <c r="H672" s="14"/>
      <c r="I672" s="14"/>
      <c r="J672" s="16"/>
      <c r="K672" s="16"/>
      <c r="L672" s="16"/>
      <c r="M672" s="16"/>
      <c r="N672" s="16"/>
      <c r="O672" s="16"/>
      <c r="P672" s="14"/>
      <c r="Q672" s="14"/>
      <c r="S672" s="14"/>
      <c r="T672" s="14"/>
      <c r="U672" s="14"/>
      <c r="V672" s="14"/>
      <c r="W672" s="14"/>
      <c r="X672" s="14"/>
      <c r="Y672" s="14"/>
      <c r="Z672" s="14"/>
      <c r="AA672" s="14"/>
      <c r="AB672" s="14"/>
      <c r="AC672" s="14"/>
      <c r="AD672" s="14"/>
    </row>
    <row r="673" spans="3:30" x14ac:dyDescent="0.3">
      <c r="C673" s="14"/>
      <c r="D673" s="14"/>
      <c r="E673" s="15"/>
      <c r="F673" s="15"/>
      <c r="G673" s="15"/>
      <c r="H673" s="14"/>
      <c r="I673" s="14"/>
      <c r="J673" s="16"/>
      <c r="K673" s="16"/>
      <c r="L673" s="16"/>
      <c r="M673" s="16"/>
      <c r="N673" s="16"/>
      <c r="O673" s="16"/>
      <c r="P673" s="14"/>
      <c r="Q673" s="14"/>
      <c r="S673" s="14"/>
      <c r="T673" s="14"/>
      <c r="U673" s="14"/>
      <c r="V673" s="14"/>
      <c r="W673" s="14"/>
      <c r="X673" s="14"/>
      <c r="Y673" s="14"/>
      <c r="Z673" s="14"/>
      <c r="AA673" s="14"/>
      <c r="AB673" s="14"/>
      <c r="AC673" s="14"/>
      <c r="AD673" s="14"/>
    </row>
    <row r="674" spans="3:30" x14ac:dyDescent="0.3">
      <c r="C674" s="14"/>
      <c r="D674" s="14"/>
      <c r="E674" s="15"/>
      <c r="F674" s="15"/>
      <c r="G674" s="15"/>
      <c r="H674" s="14"/>
      <c r="I674" s="14"/>
      <c r="J674" s="16"/>
      <c r="K674" s="16"/>
      <c r="L674" s="16"/>
      <c r="M674" s="16"/>
      <c r="N674" s="16"/>
      <c r="O674" s="16"/>
      <c r="P674" s="14"/>
      <c r="Q674" s="14"/>
      <c r="S674" s="14"/>
      <c r="T674" s="14"/>
      <c r="U674" s="14"/>
      <c r="V674" s="14"/>
      <c r="W674" s="14"/>
      <c r="X674" s="14"/>
      <c r="Y674" s="14"/>
      <c r="Z674" s="14"/>
      <c r="AA674" s="14"/>
      <c r="AB674" s="14"/>
      <c r="AC674" s="14"/>
      <c r="AD674" s="14"/>
    </row>
    <row r="675" spans="3:30" x14ac:dyDescent="0.3">
      <c r="C675" s="14"/>
      <c r="D675" s="14"/>
      <c r="E675" s="15"/>
      <c r="F675" s="15"/>
      <c r="G675" s="15"/>
      <c r="H675" s="14"/>
      <c r="I675" s="14"/>
      <c r="J675" s="16"/>
      <c r="K675" s="16"/>
      <c r="L675" s="16"/>
      <c r="M675" s="16"/>
      <c r="N675" s="16"/>
      <c r="O675" s="16"/>
      <c r="P675" s="14"/>
      <c r="Q675" s="14"/>
      <c r="S675" s="14"/>
      <c r="T675" s="14"/>
      <c r="U675" s="14"/>
      <c r="V675" s="14"/>
      <c r="W675" s="14"/>
      <c r="X675" s="14"/>
      <c r="Y675" s="14"/>
      <c r="Z675" s="14"/>
      <c r="AA675" s="14"/>
      <c r="AB675" s="14"/>
      <c r="AC675" s="14"/>
      <c r="AD675" s="14"/>
    </row>
    <row r="676" spans="3:30" x14ac:dyDescent="0.3">
      <c r="C676" s="14"/>
      <c r="D676" s="14"/>
      <c r="E676" s="15"/>
      <c r="F676" s="15"/>
      <c r="G676" s="15"/>
      <c r="H676" s="14"/>
      <c r="I676" s="14"/>
      <c r="J676" s="16"/>
      <c r="K676" s="16"/>
      <c r="L676" s="16"/>
      <c r="M676" s="16"/>
      <c r="N676" s="16"/>
      <c r="O676" s="16"/>
      <c r="P676" s="14"/>
      <c r="Q676" s="14"/>
      <c r="S676" s="14"/>
      <c r="T676" s="14"/>
      <c r="U676" s="14"/>
      <c r="V676" s="14"/>
      <c r="W676" s="14"/>
      <c r="X676" s="14"/>
      <c r="Y676" s="14"/>
      <c r="Z676" s="14"/>
      <c r="AA676" s="14"/>
      <c r="AB676" s="14"/>
      <c r="AC676" s="14"/>
      <c r="AD676" s="14"/>
    </row>
    <row r="677" spans="3:30" x14ac:dyDescent="0.3">
      <c r="C677" s="14"/>
      <c r="D677" s="14"/>
      <c r="E677" s="15"/>
      <c r="F677" s="15"/>
      <c r="G677" s="15"/>
      <c r="H677" s="14"/>
      <c r="I677" s="14"/>
      <c r="J677" s="16"/>
      <c r="K677" s="16"/>
      <c r="L677" s="16"/>
      <c r="M677" s="16"/>
      <c r="N677" s="16"/>
      <c r="O677" s="16"/>
      <c r="P677" s="14"/>
      <c r="Q677" s="14"/>
      <c r="S677" s="14"/>
      <c r="T677" s="14"/>
      <c r="U677" s="14"/>
      <c r="V677" s="14"/>
      <c r="W677" s="14"/>
      <c r="X677" s="14"/>
      <c r="Y677" s="14"/>
      <c r="Z677" s="14"/>
      <c r="AA677" s="14"/>
      <c r="AB677" s="14"/>
      <c r="AC677" s="14"/>
      <c r="AD677" s="14"/>
    </row>
    <row r="678" spans="3:30" x14ac:dyDescent="0.3">
      <c r="C678" s="14"/>
      <c r="D678" s="14"/>
      <c r="E678" s="15"/>
      <c r="F678" s="15"/>
      <c r="G678" s="15"/>
      <c r="H678" s="14"/>
      <c r="I678" s="14"/>
      <c r="J678" s="16"/>
      <c r="K678" s="16"/>
      <c r="L678" s="16"/>
      <c r="M678" s="16"/>
      <c r="N678" s="16"/>
      <c r="O678" s="16"/>
      <c r="P678" s="14"/>
      <c r="Q678" s="14"/>
      <c r="S678" s="14"/>
      <c r="T678" s="14"/>
      <c r="U678" s="14"/>
      <c r="V678" s="14"/>
      <c r="W678" s="14"/>
      <c r="X678" s="14"/>
      <c r="Y678" s="14"/>
      <c r="Z678" s="14"/>
      <c r="AA678" s="14"/>
      <c r="AB678" s="14"/>
      <c r="AC678" s="14"/>
      <c r="AD678" s="14"/>
    </row>
    <row r="679" spans="3:30" x14ac:dyDescent="0.3">
      <c r="C679" s="14"/>
      <c r="D679" s="14"/>
      <c r="E679" s="15"/>
      <c r="F679" s="15"/>
      <c r="G679" s="15"/>
      <c r="H679" s="14"/>
      <c r="I679" s="14"/>
      <c r="J679" s="16"/>
      <c r="K679" s="16"/>
      <c r="L679" s="16"/>
      <c r="M679" s="16"/>
      <c r="N679" s="16"/>
      <c r="O679" s="16"/>
      <c r="P679" s="14"/>
      <c r="Q679" s="14"/>
      <c r="S679" s="14"/>
      <c r="T679" s="14"/>
      <c r="U679" s="14"/>
      <c r="V679" s="14"/>
      <c r="W679" s="14"/>
      <c r="X679" s="14"/>
      <c r="Y679" s="14"/>
      <c r="Z679" s="14"/>
      <c r="AA679" s="14"/>
      <c r="AB679" s="14"/>
      <c r="AC679" s="14"/>
      <c r="AD679" s="14"/>
    </row>
    <row r="680" spans="3:30" x14ac:dyDescent="0.3">
      <c r="C680" s="14"/>
      <c r="D680" s="14"/>
      <c r="E680" s="15"/>
      <c r="F680" s="15"/>
      <c r="G680" s="15"/>
      <c r="H680" s="14"/>
      <c r="I680" s="14"/>
      <c r="J680" s="16"/>
      <c r="K680" s="16"/>
      <c r="L680" s="16"/>
      <c r="M680" s="16"/>
      <c r="N680" s="16"/>
      <c r="O680" s="16"/>
      <c r="P680" s="14"/>
      <c r="Q680" s="14"/>
      <c r="S680" s="14"/>
      <c r="T680" s="14"/>
      <c r="U680" s="14"/>
      <c r="V680" s="14"/>
      <c r="W680" s="14"/>
      <c r="X680" s="14"/>
      <c r="Y680" s="14"/>
      <c r="Z680" s="14"/>
      <c r="AA680" s="14"/>
      <c r="AB680" s="14"/>
      <c r="AC680" s="14"/>
      <c r="AD680" s="14"/>
    </row>
    <row r="681" spans="3:30" x14ac:dyDescent="0.3">
      <c r="C681" s="14"/>
      <c r="D681" s="14"/>
      <c r="E681" s="15"/>
      <c r="F681" s="15"/>
      <c r="G681" s="15"/>
      <c r="H681" s="14"/>
      <c r="I681" s="14"/>
      <c r="J681" s="16"/>
      <c r="K681" s="16"/>
      <c r="L681" s="16"/>
      <c r="M681" s="16"/>
      <c r="N681" s="16"/>
      <c r="O681" s="16"/>
      <c r="P681" s="14"/>
      <c r="Q681" s="14"/>
      <c r="S681" s="14"/>
      <c r="T681" s="14"/>
      <c r="U681" s="14"/>
      <c r="V681" s="14"/>
      <c r="W681" s="14"/>
      <c r="X681" s="14"/>
      <c r="Y681" s="14"/>
      <c r="Z681" s="14"/>
      <c r="AA681" s="14"/>
      <c r="AB681" s="14"/>
      <c r="AC681" s="14"/>
      <c r="AD681" s="14"/>
    </row>
    <row r="682" spans="3:30" x14ac:dyDescent="0.3">
      <c r="C682" s="14"/>
      <c r="D682" s="14"/>
      <c r="E682" s="15"/>
      <c r="F682" s="15"/>
      <c r="G682" s="15"/>
      <c r="H682" s="14"/>
      <c r="I682" s="14"/>
      <c r="J682" s="16"/>
      <c r="K682" s="16"/>
      <c r="L682" s="16"/>
      <c r="M682" s="16"/>
      <c r="N682" s="16"/>
      <c r="O682" s="16"/>
      <c r="P682" s="14"/>
      <c r="Q682" s="14"/>
      <c r="S682" s="14"/>
      <c r="T682" s="14"/>
      <c r="U682" s="14"/>
      <c r="V682" s="14"/>
      <c r="W682" s="14"/>
      <c r="X682" s="14"/>
      <c r="Y682" s="14"/>
      <c r="Z682" s="14"/>
      <c r="AA682" s="14"/>
      <c r="AB682" s="14"/>
      <c r="AC682" s="14"/>
      <c r="AD682" s="14"/>
    </row>
    <row r="683" spans="3:30" x14ac:dyDescent="0.3">
      <c r="C683" s="14"/>
      <c r="D683" s="14"/>
      <c r="E683" s="15"/>
      <c r="F683" s="15"/>
      <c r="G683" s="15"/>
      <c r="H683" s="14"/>
      <c r="I683" s="14"/>
      <c r="J683" s="16"/>
      <c r="K683" s="16"/>
      <c r="L683" s="16"/>
      <c r="M683" s="16"/>
      <c r="N683" s="16"/>
      <c r="O683" s="16"/>
      <c r="P683" s="14"/>
      <c r="Q683" s="14"/>
      <c r="S683" s="14"/>
      <c r="T683" s="14"/>
      <c r="U683" s="14"/>
      <c r="V683" s="14"/>
      <c r="W683" s="14"/>
      <c r="X683" s="14"/>
      <c r="Y683" s="14"/>
      <c r="Z683" s="14"/>
      <c r="AA683" s="14"/>
      <c r="AB683" s="14"/>
      <c r="AC683" s="14"/>
      <c r="AD683" s="14"/>
    </row>
    <row r="684" spans="3:30" x14ac:dyDescent="0.3">
      <c r="C684" s="14"/>
      <c r="D684" s="14"/>
      <c r="E684" s="15"/>
      <c r="F684" s="15"/>
      <c r="G684" s="15"/>
      <c r="H684" s="14"/>
      <c r="I684" s="14"/>
      <c r="J684" s="16"/>
      <c r="K684" s="16"/>
      <c r="L684" s="16"/>
      <c r="M684" s="16"/>
      <c r="N684" s="16"/>
      <c r="O684" s="16"/>
      <c r="P684" s="14"/>
      <c r="Q684" s="14"/>
      <c r="S684" s="14"/>
      <c r="T684" s="14"/>
      <c r="U684" s="14"/>
      <c r="V684" s="14"/>
      <c r="W684" s="14"/>
      <c r="X684" s="14"/>
      <c r="Y684" s="14"/>
      <c r="Z684" s="14"/>
      <c r="AA684" s="14"/>
      <c r="AB684" s="14"/>
      <c r="AC684" s="14"/>
      <c r="AD684" s="14"/>
    </row>
    <row r="685" spans="3:30" x14ac:dyDescent="0.3">
      <c r="C685" s="14"/>
      <c r="D685" s="14"/>
      <c r="E685" s="15"/>
      <c r="F685" s="15"/>
      <c r="G685" s="15"/>
      <c r="H685" s="14"/>
      <c r="I685" s="14"/>
      <c r="J685" s="16"/>
      <c r="K685" s="16"/>
      <c r="L685" s="16"/>
      <c r="M685" s="16"/>
      <c r="N685" s="16"/>
      <c r="O685" s="16"/>
      <c r="P685" s="14"/>
      <c r="Q685" s="14"/>
      <c r="S685" s="14"/>
      <c r="T685" s="14"/>
      <c r="U685" s="14"/>
      <c r="V685" s="14"/>
      <c r="W685" s="14"/>
      <c r="X685" s="14"/>
      <c r="Y685" s="14"/>
      <c r="Z685" s="14"/>
      <c r="AA685" s="14"/>
      <c r="AB685" s="14"/>
      <c r="AC685" s="14"/>
      <c r="AD685" s="14"/>
    </row>
    <row r="686" spans="3:30" x14ac:dyDescent="0.3">
      <c r="C686" s="14"/>
      <c r="D686" s="14"/>
      <c r="E686" s="15"/>
      <c r="F686" s="15"/>
      <c r="G686" s="15"/>
      <c r="H686" s="14"/>
      <c r="I686" s="14"/>
      <c r="J686" s="16"/>
      <c r="K686" s="16"/>
      <c r="L686" s="16"/>
      <c r="M686" s="16"/>
      <c r="N686" s="16"/>
      <c r="O686" s="16"/>
      <c r="P686" s="14"/>
      <c r="Q686" s="14"/>
      <c r="S686" s="14"/>
      <c r="T686" s="14"/>
      <c r="U686" s="14"/>
      <c r="V686" s="14"/>
      <c r="W686" s="14"/>
      <c r="X686" s="14"/>
      <c r="Y686" s="14"/>
      <c r="Z686" s="14"/>
      <c r="AA686" s="14"/>
      <c r="AB686" s="14"/>
      <c r="AC686" s="14"/>
      <c r="AD686" s="14"/>
    </row>
    <row r="687" spans="3:30" x14ac:dyDescent="0.3">
      <c r="C687" s="14"/>
      <c r="D687" s="14"/>
      <c r="E687" s="15"/>
      <c r="F687" s="15"/>
      <c r="G687" s="15"/>
      <c r="H687" s="14"/>
      <c r="I687" s="14"/>
      <c r="J687" s="16"/>
      <c r="K687" s="16"/>
      <c r="L687" s="16"/>
      <c r="M687" s="16"/>
      <c r="N687" s="16"/>
      <c r="O687" s="16"/>
      <c r="P687" s="14"/>
      <c r="Q687" s="14"/>
      <c r="S687" s="14"/>
      <c r="T687" s="14"/>
      <c r="U687" s="14"/>
      <c r="V687" s="14"/>
      <c r="W687" s="14"/>
      <c r="X687" s="14"/>
      <c r="Y687" s="14"/>
      <c r="Z687" s="14"/>
      <c r="AA687" s="14"/>
      <c r="AB687" s="14"/>
      <c r="AC687" s="14"/>
      <c r="AD687" s="14"/>
    </row>
    <row r="688" spans="3:30" x14ac:dyDescent="0.3">
      <c r="C688" s="14"/>
      <c r="D688" s="14"/>
      <c r="E688" s="15"/>
      <c r="F688" s="15"/>
      <c r="G688" s="15"/>
      <c r="H688" s="14"/>
      <c r="I688" s="14"/>
      <c r="J688" s="16"/>
      <c r="K688" s="16"/>
      <c r="L688" s="16"/>
      <c r="M688" s="16"/>
      <c r="N688" s="16"/>
      <c r="O688" s="16"/>
      <c r="P688" s="14"/>
      <c r="Q688" s="14"/>
      <c r="S688" s="14"/>
      <c r="T688" s="14"/>
      <c r="U688" s="14"/>
      <c r="V688" s="14"/>
      <c r="W688" s="14"/>
      <c r="X688" s="14"/>
      <c r="Y688" s="14"/>
      <c r="Z688" s="14"/>
      <c r="AA688" s="14"/>
      <c r="AB688" s="14"/>
      <c r="AC688" s="14"/>
      <c r="AD688" s="14"/>
    </row>
    <row r="689" spans="3:30" x14ac:dyDescent="0.3">
      <c r="C689" s="14"/>
      <c r="D689" s="14"/>
      <c r="E689" s="15"/>
      <c r="F689" s="15"/>
      <c r="G689" s="15"/>
      <c r="H689" s="14"/>
      <c r="I689" s="14"/>
      <c r="J689" s="16"/>
      <c r="K689" s="16"/>
      <c r="L689" s="16"/>
      <c r="M689" s="16"/>
      <c r="N689" s="16"/>
      <c r="O689" s="16"/>
      <c r="P689" s="14"/>
      <c r="Q689" s="14"/>
      <c r="S689" s="14"/>
      <c r="T689" s="14"/>
      <c r="U689" s="14"/>
      <c r="V689" s="14"/>
      <c r="W689" s="14"/>
      <c r="X689" s="14"/>
      <c r="Y689" s="14"/>
      <c r="Z689" s="14"/>
      <c r="AA689" s="14"/>
      <c r="AB689" s="14"/>
      <c r="AC689" s="14"/>
      <c r="AD689" s="14"/>
    </row>
    <row r="690" spans="3:30" x14ac:dyDescent="0.3">
      <c r="C690" s="14"/>
      <c r="D690" s="14"/>
      <c r="E690" s="15"/>
      <c r="F690" s="15"/>
      <c r="G690" s="15"/>
      <c r="H690" s="14"/>
      <c r="I690" s="14"/>
      <c r="J690" s="16"/>
      <c r="K690" s="16"/>
      <c r="L690" s="16"/>
      <c r="M690" s="16"/>
      <c r="N690" s="16"/>
      <c r="O690" s="16"/>
      <c r="P690" s="14"/>
      <c r="Q690" s="14"/>
      <c r="S690" s="14"/>
      <c r="T690" s="14"/>
      <c r="U690" s="14"/>
      <c r="V690" s="14"/>
      <c r="W690" s="14"/>
      <c r="X690" s="14"/>
      <c r="Y690" s="14"/>
      <c r="Z690" s="14"/>
      <c r="AA690" s="14"/>
      <c r="AB690" s="14"/>
      <c r="AC690" s="14"/>
      <c r="AD690" s="14"/>
    </row>
    <row r="691" spans="3:30" x14ac:dyDescent="0.3">
      <c r="C691" s="14"/>
      <c r="D691" s="14"/>
      <c r="E691" s="15"/>
      <c r="F691" s="15"/>
      <c r="G691" s="15"/>
      <c r="H691" s="14"/>
      <c r="I691" s="14"/>
      <c r="J691" s="16"/>
      <c r="K691" s="16"/>
      <c r="L691" s="16"/>
      <c r="M691" s="16"/>
      <c r="N691" s="16"/>
      <c r="O691" s="16"/>
      <c r="P691" s="14"/>
      <c r="Q691" s="14"/>
      <c r="S691" s="14"/>
      <c r="T691" s="14"/>
      <c r="U691" s="14"/>
      <c r="V691" s="14"/>
      <c r="W691" s="14"/>
      <c r="X691" s="14"/>
      <c r="Y691" s="14"/>
      <c r="Z691" s="14"/>
      <c r="AA691" s="14"/>
      <c r="AB691" s="14"/>
      <c r="AC691" s="14"/>
      <c r="AD691" s="14"/>
    </row>
    <row r="692" spans="3:30" x14ac:dyDescent="0.3">
      <c r="C692" s="14"/>
      <c r="D692" s="14"/>
      <c r="E692" s="15"/>
      <c r="F692" s="15"/>
      <c r="G692" s="15"/>
      <c r="H692" s="14"/>
      <c r="I692" s="14"/>
      <c r="J692" s="16"/>
      <c r="K692" s="16"/>
      <c r="L692" s="16"/>
      <c r="M692" s="16"/>
      <c r="N692" s="16"/>
      <c r="O692" s="16"/>
      <c r="P692" s="14"/>
      <c r="Q692" s="14"/>
      <c r="S692" s="14"/>
      <c r="T692" s="14"/>
      <c r="U692" s="14"/>
      <c r="V692" s="14"/>
      <c r="W692" s="14"/>
      <c r="X692" s="14"/>
      <c r="Y692" s="14"/>
      <c r="Z692" s="14"/>
      <c r="AA692" s="14"/>
      <c r="AB692" s="14"/>
      <c r="AC692" s="14"/>
      <c r="AD692" s="14"/>
    </row>
    <row r="693" spans="3:30" x14ac:dyDescent="0.3">
      <c r="C693" s="14"/>
      <c r="D693" s="14"/>
      <c r="E693" s="15"/>
      <c r="F693" s="15"/>
      <c r="G693" s="15"/>
      <c r="H693" s="14"/>
      <c r="I693" s="14"/>
      <c r="J693" s="16"/>
      <c r="K693" s="16"/>
      <c r="L693" s="16"/>
      <c r="M693" s="16"/>
      <c r="N693" s="16"/>
      <c r="O693" s="16"/>
      <c r="P693" s="14"/>
      <c r="Q693" s="14"/>
      <c r="S693" s="14"/>
      <c r="T693" s="14"/>
      <c r="U693" s="14"/>
      <c r="V693" s="14"/>
      <c r="W693" s="14"/>
      <c r="X693" s="14"/>
      <c r="Y693" s="14"/>
      <c r="Z693" s="14"/>
      <c r="AA693" s="14"/>
      <c r="AB693" s="14"/>
      <c r="AC693" s="14"/>
      <c r="AD693" s="14"/>
    </row>
    <row r="694" spans="3:30" x14ac:dyDescent="0.3">
      <c r="C694" s="14"/>
      <c r="D694" s="14"/>
      <c r="E694" s="15"/>
      <c r="F694" s="15"/>
      <c r="G694" s="15"/>
      <c r="H694" s="14"/>
      <c r="I694" s="14"/>
      <c r="J694" s="16"/>
      <c r="K694" s="16"/>
      <c r="L694" s="16"/>
      <c r="M694" s="16"/>
      <c r="N694" s="16"/>
      <c r="O694" s="16"/>
      <c r="P694" s="14"/>
      <c r="Q694" s="14"/>
      <c r="S694" s="14"/>
      <c r="T694" s="14"/>
      <c r="U694" s="14"/>
      <c r="V694" s="14"/>
      <c r="W694" s="14"/>
      <c r="X694" s="14"/>
      <c r="Y694" s="14"/>
      <c r="Z694" s="14"/>
      <c r="AA694" s="14"/>
      <c r="AB694" s="14"/>
      <c r="AC694" s="14"/>
      <c r="AD694" s="14"/>
    </row>
    <row r="695" spans="3:30" x14ac:dyDescent="0.3">
      <c r="C695" s="14"/>
      <c r="D695" s="14"/>
      <c r="E695" s="15"/>
      <c r="F695" s="15"/>
      <c r="G695" s="15"/>
      <c r="H695" s="14"/>
      <c r="I695" s="14"/>
      <c r="J695" s="16"/>
      <c r="K695" s="16"/>
      <c r="L695" s="16"/>
      <c r="M695" s="16"/>
      <c r="N695" s="16"/>
      <c r="O695" s="16"/>
      <c r="P695" s="14"/>
      <c r="Q695" s="14"/>
      <c r="S695" s="14"/>
      <c r="T695" s="14"/>
      <c r="U695" s="14"/>
      <c r="V695" s="14"/>
      <c r="W695" s="14"/>
      <c r="X695" s="14"/>
      <c r="Y695" s="14"/>
      <c r="Z695" s="14"/>
      <c r="AA695" s="14"/>
      <c r="AB695" s="14"/>
      <c r="AC695" s="14"/>
      <c r="AD695" s="14"/>
    </row>
    <row r="696" spans="3:30" x14ac:dyDescent="0.3">
      <c r="C696" s="14"/>
      <c r="D696" s="14"/>
      <c r="E696" s="15"/>
      <c r="F696" s="15"/>
      <c r="G696" s="15"/>
      <c r="H696" s="14"/>
      <c r="I696" s="14"/>
      <c r="J696" s="16"/>
      <c r="K696" s="16"/>
      <c r="L696" s="16"/>
      <c r="M696" s="16"/>
      <c r="N696" s="16"/>
      <c r="O696" s="16"/>
      <c r="P696" s="14"/>
      <c r="Q696" s="14"/>
      <c r="S696" s="14"/>
      <c r="T696" s="14"/>
      <c r="U696" s="14"/>
      <c r="V696" s="14"/>
      <c r="W696" s="14"/>
      <c r="X696" s="14"/>
      <c r="Y696" s="14"/>
      <c r="Z696" s="14"/>
      <c r="AA696" s="14"/>
      <c r="AB696" s="14"/>
      <c r="AC696" s="14"/>
      <c r="AD696" s="14"/>
    </row>
    <row r="697" spans="3:30" x14ac:dyDescent="0.3">
      <c r="C697" s="14"/>
      <c r="D697" s="14"/>
      <c r="E697" s="15"/>
      <c r="F697" s="15"/>
      <c r="G697" s="15"/>
      <c r="H697" s="14"/>
      <c r="I697" s="14"/>
      <c r="J697" s="16"/>
      <c r="K697" s="16"/>
      <c r="L697" s="16"/>
      <c r="M697" s="16"/>
      <c r="N697" s="16"/>
      <c r="O697" s="16"/>
      <c r="P697" s="14"/>
      <c r="Q697" s="14"/>
      <c r="S697" s="14"/>
      <c r="T697" s="14"/>
      <c r="U697" s="14"/>
      <c r="V697" s="14"/>
      <c r="W697" s="14"/>
      <c r="X697" s="14"/>
      <c r="Y697" s="14"/>
      <c r="Z697" s="14"/>
      <c r="AA697" s="14"/>
      <c r="AB697" s="14"/>
      <c r="AC697" s="14"/>
      <c r="AD697" s="14"/>
    </row>
    <row r="698" spans="3:30" x14ac:dyDescent="0.3">
      <c r="C698" s="14"/>
      <c r="D698" s="14"/>
      <c r="E698" s="15"/>
      <c r="F698" s="15"/>
      <c r="G698" s="15"/>
      <c r="H698" s="14"/>
      <c r="I698" s="14"/>
      <c r="J698" s="16"/>
      <c r="K698" s="16"/>
      <c r="L698" s="16"/>
      <c r="M698" s="16"/>
      <c r="N698" s="16"/>
      <c r="O698" s="16"/>
      <c r="P698" s="14"/>
      <c r="Q698" s="14"/>
      <c r="S698" s="14"/>
      <c r="T698" s="14"/>
      <c r="U698" s="14"/>
      <c r="V698" s="14"/>
      <c r="W698" s="14"/>
      <c r="X698" s="14"/>
      <c r="Y698" s="14"/>
      <c r="Z698" s="14"/>
      <c r="AA698" s="14"/>
      <c r="AB698" s="14"/>
      <c r="AC698" s="14"/>
      <c r="AD698" s="14"/>
    </row>
    <row r="699" spans="3:30" x14ac:dyDescent="0.3">
      <c r="C699" s="14"/>
      <c r="D699" s="14"/>
      <c r="E699" s="15"/>
      <c r="F699" s="15"/>
      <c r="G699" s="15"/>
      <c r="H699" s="14"/>
      <c r="I699" s="14"/>
      <c r="J699" s="16"/>
      <c r="K699" s="16"/>
      <c r="L699" s="16"/>
      <c r="M699" s="16"/>
      <c r="N699" s="16"/>
      <c r="O699" s="16"/>
      <c r="P699" s="14"/>
      <c r="Q699" s="14"/>
      <c r="S699" s="14"/>
      <c r="T699" s="14"/>
      <c r="U699" s="14"/>
      <c r="V699" s="14"/>
      <c r="W699" s="14"/>
      <c r="X699" s="14"/>
      <c r="Y699" s="14"/>
      <c r="Z699" s="14"/>
      <c r="AA699" s="14"/>
      <c r="AB699" s="14"/>
      <c r="AC699" s="14"/>
      <c r="AD699" s="14"/>
    </row>
    <row r="700" spans="3:30" x14ac:dyDescent="0.3">
      <c r="C700" s="14"/>
      <c r="D700" s="14"/>
      <c r="E700" s="15"/>
      <c r="F700" s="15"/>
      <c r="G700" s="15"/>
      <c r="H700" s="14"/>
      <c r="I700" s="14"/>
      <c r="J700" s="16"/>
      <c r="K700" s="16"/>
      <c r="L700" s="16"/>
      <c r="M700" s="16"/>
      <c r="N700" s="16"/>
      <c r="O700" s="16"/>
      <c r="P700" s="14"/>
      <c r="Q700" s="14"/>
      <c r="S700" s="14"/>
      <c r="T700" s="14"/>
      <c r="U700" s="14"/>
      <c r="V700" s="14"/>
      <c r="W700" s="14"/>
      <c r="X700" s="14"/>
      <c r="Y700" s="14"/>
      <c r="Z700" s="14"/>
      <c r="AA700" s="14"/>
      <c r="AB700" s="14"/>
      <c r="AC700" s="14"/>
      <c r="AD700" s="14"/>
    </row>
    <row r="701" spans="3:30" x14ac:dyDescent="0.3">
      <c r="C701" s="14"/>
      <c r="D701" s="14"/>
      <c r="E701" s="15"/>
      <c r="F701" s="15"/>
      <c r="G701" s="15"/>
      <c r="H701" s="14"/>
      <c r="I701" s="14"/>
      <c r="J701" s="16"/>
      <c r="K701" s="16"/>
      <c r="L701" s="16"/>
      <c r="M701" s="16"/>
      <c r="N701" s="16"/>
      <c r="O701" s="16"/>
      <c r="P701" s="14"/>
      <c r="Q701" s="14"/>
      <c r="S701" s="14"/>
      <c r="T701" s="14"/>
      <c r="U701" s="14"/>
      <c r="V701" s="14"/>
      <c r="W701" s="14"/>
      <c r="X701" s="14"/>
      <c r="Y701" s="14"/>
      <c r="Z701" s="14"/>
      <c r="AA701" s="14"/>
      <c r="AB701" s="14"/>
      <c r="AC701" s="14"/>
      <c r="AD701" s="14"/>
    </row>
    <row r="702" spans="3:30" x14ac:dyDescent="0.3">
      <c r="C702" s="14"/>
      <c r="D702" s="14"/>
      <c r="E702" s="15"/>
      <c r="F702" s="15"/>
      <c r="G702" s="15"/>
      <c r="H702" s="14"/>
      <c r="I702" s="14"/>
      <c r="J702" s="16"/>
      <c r="K702" s="16"/>
      <c r="L702" s="16"/>
      <c r="M702" s="16"/>
      <c r="N702" s="16"/>
      <c r="O702" s="16"/>
      <c r="P702" s="14"/>
      <c r="Q702" s="14"/>
      <c r="S702" s="14"/>
      <c r="T702" s="14"/>
      <c r="U702" s="14"/>
      <c r="V702" s="14"/>
      <c r="W702" s="14"/>
      <c r="X702" s="14"/>
      <c r="Y702" s="14"/>
      <c r="Z702" s="14"/>
      <c r="AA702" s="14"/>
      <c r="AB702" s="14"/>
      <c r="AC702" s="14"/>
      <c r="AD702" s="14"/>
    </row>
    <row r="703" spans="3:30" x14ac:dyDescent="0.3">
      <c r="C703" s="14"/>
      <c r="D703" s="14"/>
      <c r="E703" s="15"/>
      <c r="F703" s="15"/>
      <c r="G703" s="15"/>
      <c r="H703" s="14"/>
      <c r="I703" s="14"/>
      <c r="J703" s="16"/>
      <c r="K703" s="16"/>
      <c r="L703" s="16"/>
      <c r="M703" s="16"/>
      <c r="N703" s="16"/>
      <c r="O703" s="16"/>
      <c r="P703" s="14"/>
      <c r="Q703" s="14"/>
      <c r="S703" s="14"/>
      <c r="T703" s="14"/>
      <c r="U703" s="14"/>
      <c r="V703" s="14"/>
      <c r="W703" s="14"/>
      <c r="X703" s="14"/>
      <c r="Y703" s="14"/>
      <c r="Z703" s="14"/>
      <c r="AA703" s="14"/>
      <c r="AB703" s="14"/>
      <c r="AC703" s="14"/>
      <c r="AD703" s="14"/>
    </row>
    <row r="704" spans="3:30" x14ac:dyDescent="0.3">
      <c r="C704" s="14"/>
      <c r="D704" s="14"/>
      <c r="E704" s="15"/>
      <c r="F704" s="15"/>
      <c r="G704" s="15"/>
      <c r="H704" s="14"/>
      <c r="I704" s="14"/>
      <c r="J704" s="16"/>
      <c r="K704" s="16"/>
      <c r="L704" s="16"/>
      <c r="M704" s="16"/>
      <c r="N704" s="16"/>
      <c r="O704" s="16"/>
      <c r="P704" s="14"/>
      <c r="Q704" s="14"/>
      <c r="S704" s="14"/>
      <c r="T704" s="14"/>
      <c r="U704" s="14"/>
      <c r="V704" s="14"/>
      <c r="W704" s="14"/>
      <c r="X704" s="14"/>
      <c r="Y704" s="14"/>
      <c r="Z704" s="14"/>
      <c r="AA704" s="14"/>
      <c r="AB704" s="14"/>
      <c r="AC704" s="14"/>
      <c r="AD704" s="14"/>
    </row>
    <row r="705" spans="3:30" x14ac:dyDescent="0.3">
      <c r="C705" s="14"/>
      <c r="D705" s="14"/>
      <c r="E705" s="15"/>
      <c r="F705" s="15"/>
      <c r="G705" s="15"/>
      <c r="H705" s="14"/>
      <c r="I705" s="14"/>
      <c r="J705" s="16"/>
      <c r="K705" s="16"/>
      <c r="L705" s="16"/>
      <c r="M705" s="16"/>
      <c r="N705" s="16"/>
      <c r="O705" s="16"/>
      <c r="P705" s="14"/>
      <c r="Q705" s="14"/>
      <c r="S705" s="14"/>
      <c r="T705" s="14"/>
      <c r="U705" s="14"/>
      <c r="V705" s="14"/>
      <c r="W705" s="14"/>
      <c r="X705" s="14"/>
      <c r="Y705" s="14"/>
      <c r="Z705" s="14"/>
      <c r="AA705" s="14"/>
      <c r="AB705" s="14"/>
      <c r="AC705" s="14"/>
      <c r="AD705" s="14"/>
    </row>
    <row r="706" spans="3:30" x14ac:dyDescent="0.3">
      <c r="C706" s="14"/>
      <c r="D706" s="14"/>
      <c r="E706" s="15"/>
      <c r="F706" s="15"/>
      <c r="G706" s="15"/>
      <c r="H706" s="14"/>
      <c r="I706" s="14"/>
      <c r="J706" s="16"/>
      <c r="K706" s="16"/>
      <c r="L706" s="16"/>
      <c r="M706" s="16"/>
      <c r="N706" s="16"/>
      <c r="O706" s="16"/>
      <c r="P706" s="14"/>
      <c r="Q706" s="14"/>
      <c r="S706" s="14"/>
      <c r="T706" s="14"/>
      <c r="U706" s="14"/>
      <c r="V706" s="14"/>
      <c r="W706" s="14"/>
      <c r="X706" s="14"/>
      <c r="Y706" s="14"/>
      <c r="Z706" s="14"/>
      <c r="AA706" s="14"/>
      <c r="AB706" s="14"/>
      <c r="AC706" s="14"/>
      <c r="AD706" s="14"/>
    </row>
    <row r="707" spans="3:30" x14ac:dyDescent="0.3">
      <c r="C707" s="14"/>
      <c r="D707" s="14"/>
      <c r="E707" s="15"/>
      <c r="F707" s="15"/>
      <c r="G707" s="15"/>
      <c r="H707" s="14"/>
      <c r="I707" s="14"/>
      <c r="J707" s="16"/>
      <c r="K707" s="16"/>
      <c r="L707" s="16"/>
      <c r="M707" s="16"/>
      <c r="N707" s="16"/>
      <c r="O707" s="16"/>
      <c r="P707" s="14"/>
      <c r="Q707" s="14"/>
      <c r="S707" s="14"/>
      <c r="T707" s="14"/>
      <c r="U707" s="14"/>
      <c r="V707" s="14"/>
      <c r="W707" s="14"/>
      <c r="X707" s="14"/>
      <c r="Y707" s="14"/>
      <c r="Z707" s="14"/>
      <c r="AA707" s="14"/>
      <c r="AB707" s="14"/>
      <c r="AC707" s="14"/>
      <c r="AD707" s="14"/>
    </row>
    <row r="708" spans="3:30" x14ac:dyDescent="0.3">
      <c r="C708" s="14"/>
      <c r="D708" s="14"/>
      <c r="E708" s="15"/>
      <c r="F708" s="15"/>
      <c r="G708" s="15"/>
      <c r="H708" s="14"/>
      <c r="I708" s="14"/>
      <c r="J708" s="16"/>
      <c r="K708" s="16"/>
      <c r="L708" s="16"/>
      <c r="M708" s="16"/>
      <c r="N708" s="16"/>
      <c r="O708" s="16"/>
      <c r="P708" s="14"/>
      <c r="Q708" s="14"/>
      <c r="S708" s="14"/>
      <c r="T708" s="14"/>
      <c r="U708" s="14"/>
      <c r="V708" s="14"/>
      <c r="W708" s="14"/>
      <c r="X708" s="14"/>
      <c r="Y708" s="14"/>
      <c r="Z708" s="14"/>
      <c r="AA708" s="14"/>
      <c r="AB708" s="14"/>
      <c r="AC708" s="14"/>
      <c r="AD708" s="14"/>
    </row>
    <row r="709" spans="3:30" x14ac:dyDescent="0.3">
      <c r="C709" s="14"/>
      <c r="D709" s="14"/>
      <c r="E709" s="15"/>
      <c r="F709" s="15"/>
      <c r="G709" s="15"/>
      <c r="H709" s="14"/>
      <c r="I709" s="14"/>
      <c r="J709" s="16"/>
      <c r="K709" s="16"/>
      <c r="L709" s="16"/>
      <c r="M709" s="16"/>
      <c r="N709" s="16"/>
      <c r="O709" s="16"/>
      <c r="P709" s="14"/>
      <c r="Q709" s="14"/>
      <c r="S709" s="14"/>
      <c r="T709" s="14"/>
      <c r="U709" s="14"/>
      <c r="V709" s="14"/>
      <c r="W709" s="14"/>
      <c r="X709" s="14"/>
      <c r="Y709" s="14"/>
      <c r="Z709" s="14"/>
      <c r="AA709" s="14"/>
      <c r="AB709" s="14"/>
      <c r="AC709" s="14"/>
      <c r="AD709" s="14"/>
    </row>
    <row r="710" spans="3:30" x14ac:dyDescent="0.3">
      <c r="C710" s="14"/>
      <c r="D710" s="14"/>
      <c r="E710" s="15"/>
      <c r="F710" s="15"/>
      <c r="G710" s="15"/>
      <c r="H710" s="14"/>
      <c r="I710" s="14"/>
      <c r="J710" s="16"/>
      <c r="K710" s="16"/>
      <c r="L710" s="16"/>
      <c r="M710" s="16"/>
      <c r="N710" s="16"/>
      <c r="O710" s="16"/>
      <c r="P710" s="14"/>
      <c r="Q710" s="14"/>
      <c r="S710" s="14"/>
      <c r="T710" s="14"/>
      <c r="U710" s="14"/>
      <c r="V710" s="14"/>
      <c r="W710" s="14"/>
      <c r="X710" s="14"/>
      <c r="Y710" s="14"/>
      <c r="Z710" s="14"/>
      <c r="AA710" s="14"/>
      <c r="AB710" s="14"/>
      <c r="AC710" s="14"/>
      <c r="AD710" s="14"/>
    </row>
    <row r="711" spans="3:30" x14ac:dyDescent="0.3">
      <c r="C711" s="14"/>
      <c r="D711" s="14"/>
      <c r="E711" s="15"/>
      <c r="F711" s="15"/>
      <c r="G711" s="15"/>
      <c r="H711" s="14"/>
      <c r="I711" s="14"/>
      <c r="J711" s="16"/>
      <c r="K711" s="16"/>
      <c r="L711" s="16"/>
      <c r="M711" s="16"/>
      <c r="N711" s="16"/>
      <c r="O711" s="16"/>
      <c r="P711" s="14"/>
      <c r="Q711" s="14"/>
      <c r="S711" s="14"/>
      <c r="T711" s="14"/>
      <c r="U711" s="14"/>
      <c r="V711" s="14"/>
      <c r="W711" s="14"/>
      <c r="X711" s="14"/>
      <c r="Y711" s="14"/>
      <c r="Z711" s="14"/>
      <c r="AA711" s="14"/>
      <c r="AB711" s="14"/>
      <c r="AC711" s="14"/>
      <c r="AD711" s="14"/>
    </row>
    <row r="712" spans="3:30" x14ac:dyDescent="0.3">
      <c r="C712" s="14"/>
      <c r="D712" s="14"/>
      <c r="E712" s="15"/>
      <c r="F712" s="15"/>
      <c r="G712" s="15"/>
      <c r="H712" s="14"/>
      <c r="I712" s="14"/>
      <c r="J712" s="16"/>
      <c r="K712" s="16"/>
      <c r="L712" s="16"/>
      <c r="M712" s="16"/>
      <c r="N712" s="16"/>
      <c r="O712" s="16"/>
      <c r="P712" s="14"/>
      <c r="Q712" s="14"/>
      <c r="S712" s="14"/>
      <c r="T712" s="14"/>
      <c r="U712" s="14"/>
      <c r="V712" s="14"/>
      <c r="W712" s="14"/>
      <c r="X712" s="14"/>
      <c r="Y712" s="14"/>
      <c r="Z712" s="14"/>
      <c r="AA712" s="14"/>
      <c r="AB712" s="14"/>
      <c r="AC712" s="14"/>
      <c r="AD712" s="14"/>
    </row>
    <row r="713" spans="3:30" x14ac:dyDescent="0.3">
      <c r="C713" s="14"/>
      <c r="D713" s="14"/>
      <c r="E713" s="15"/>
      <c r="F713" s="15"/>
      <c r="G713" s="15"/>
      <c r="H713" s="14"/>
      <c r="I713" s="14"/>
      <c r="J713" s="16"/>
      <c r="K713" s="16"/>
      <c r="L713" s="16"/>
      <c r="M713" s="16"/>
      <c r="N713" s="16"/>
      <c r="O713" s="16"/>
      <c r="P713" s="14"/>
      <c r="Q713" s="14"/>
      <c r="S713" s="14"/>
      <c r="T713" s="14"/>
      <c r="U713" s="14"/>
      <c r="V713" s="14"/>
      <c r="W713" s="14"/>
      <c r="X713" s="14"/>
      <c r="Y713" s="14"/>
      <c r="Z713" s="14"/>
      <c r="AA713" s="14"/>
      <c r="AB713" s="14"/>
      <c r="AC713" s="14"/>
      <c r="AD713" s="14"/>
    </row>
    <row r="714" spans="3:30" x14ac:dyDescent="0.3">
      <c r="C714" s="14"/>
      <c r="D714" s="14"/>
      <c r="E714" s="15"/>
      <c r="F714" s="15"/>
      <c r="G714" s="15"/>
      <c r="H714" s="14"/>
      <c r="I714" s="14"/>
      <c r="J714" s="16"/>
      <c r="K714" s="16"/>
      <c r="L714" s="16"/>
      <c r="M714" s="16"/>
      <c r="N714" s="16"/>
      <c r="O714" s="16"/>
      <c r="P714" s="14"/>
      <c r="Q714" s="14"/>
      <c r="S714" s="14"/>
      <c r="T714" s="14"/>
      <c r="U714" s="14"/>
      <c r="V714" s="14"/>
      <c r="W714" s="14"/>
      <c r="X714" s="14"/>
      <c r="Y714" s="14"/>
      <c r="Z714" s="14"/>
      <c r="AA714" s="14"/>
      <c r="AB714" s="14"/>
      <c r="AC714" s="14"/>
      <c r="AD714" s="14"/>
    </row>
    <row r="715" spans="3:30" x14ac:dyDescent="0.3">
      <c r="C715" s="14"/>
      <c r="D715" s="14"/>
      <c r="E715" s="15"/>
      <c r="F715" s="15"/>
      <c r="G715" s="15"/>
      <c r="H715" s="14"/>
      <c r="I715" s="14"/>
      <c r="J715" s="16"/>
      <c r="K715" s="16"/>
      <c r="L715" s="16"/>
      <c r="M715" s="16"/>
      <c r="N715" s="16"/>
      <c r="O715" s="16"/>
      <c r="P715" s="14"/>
      <c r="Q715" s="14"/>
      <c r="S715" s="14"/>
      <c r="T715" s="14"/>
      <c r="U715" s="14"/>
      <c r="V715" s="14"/>
      <c r="W715" s="14"/>
      <c r="X715" s="14"/>
      <c r="Y715" s="14"/>
      <c r="Z715" s="14"/>
      <c r="AA715" s="14"/>
      <c r="AB715" s="14"/>
      <c r="AC715" s="14"/>
      <c r="AD715" s="14"/>
    </row>
    <row r="716" spans="3:30" x14ac:dyDescent="0.3">
      <c r="C716" s="14"/>
      <c r="D716" s="14"/>
      <c r="E716" s="15"/>
      <c r="F716" s="15"/>
      <c r="G716" s="15"/>
      <c r="H716" s="14"/>
      <c r="I716" s="14"/>
      <c r="J716" s="16"/>
      <c r="K716" s="16"/>
      <c r="L716" s="16"/>
      <c r="M716" s="16"/>
      <c r="N716" s="16"/>
      <c r="O716" s="16"/>
      <c r="P716" s="14"/>
      <c r="Q716" s="14"/>
      <c r="S716" s="14"/>
      <c r="T716" s="14"/>
      <c r="U716" s="14"/>
      <c r="V716" s="14"/>
      <c r="W716" s="14"/>
      <c r="X716" s="14"/>
      <c r="Y716" s="14"/>
      <c r="Z716" s="14"/>
      <c r="AA716" s="14"/>
      <c r="AB716" s="14"/>
      <c r="AC716" s="14"/>
      <c r="AD716" s="14"/>
    </row>
    <row r="717" spans="3:30" x14ac:dyDescent="0.3">
      <c r="C717" s="14"/>
      <c r="D717" s="14"/>
      <c r="E717" s="15"/>
      <c r="F717" s="15"/>
      <c r="G717" s="15"/>
      <c r="H717" s="14"/>
      <c r="I717" s="14"/>
      <c r="J717" s="16"/>
      <c r="K717" s="16"/>
      <c r="L717" s="16"/>
      <c r="M717" s="16"/>
      <c r="N717" s="16"/>
      <c r="O717" s="16"/>
      <c r="P717" s="14"/>
      <c r="Q717" s="14"/>
      <c r="S717" s="14"/>
      <c r="T717" s="14"/>
      <c r="U717" s="14"/>
      <c r="V717" s="14"/>
      <c r="W717" s="14"/>
      <c r="X717" s="14"/>
      <c r="Y717" s="14"/>
      <c r="Z717" s="14"/>
      <c r="AA717" s="14"/>
      <c r="AB717" s="14"/>
      <c r="AC717" s="14"/>
      <c r="AD717" s="14"/>
    </row>
    <row r="718" spans="3:30" x14ac:dyDescent="0.3">
      <c r="C718" s="14"/>
      <c r="D718" s="14"/>
      <c r="E718" s="15"/>
      <c r="F718" s="15"/>
      <c r="G718" s="15"/>
      <c r="H718" s="14"/>
      <c r="I718" s="14"/>
      <c r="J718" s="16"/>
      <c r="K718" s="16"/>
      <c r="L718" s="16"/>
      <c r="M718" s="16"/>
      <c r="N718" s="16"/>
      <c r="O718" s="16"/>
      <c r="P718" s="14"/>
      <c r="Q718" s="14"/>
      <c r="S718" s="14"/>
      <c r="T718" s="14"/>
      <c r="U718" s="14"/>
      <c r="V718" s="14"/>
      <c r="W718" s="14"/>
      <c r="X718" s="14"/>
      <c r="Y718" s="14"/>
      <c r="Z718" s="14"/>
      <c r="AA718" s="14"/>
      <c r="AB718" s="14"/>
      <c r="AC718" s="14"/>
      <c r="AD718" s="14"/>
    </row>
    <row r="719" spans="3:30" x14ac:dyDescent="0.3">
      <c r="C719" s="14"/>
      <c r="D719" s="14"/>
      <c r="E719" s="15"/>
      <c r="F719" s="15"/>
      <c r="G719" s="15"/>
      <c r="H719" s="14"/>
      <c r="I719" s="14"/>
      <c r="J719" s="16"/>
      <c r="K719" s="16"/>
      <c r="L719" s="16"/>
      <c r="M719" s="16"/>
      <c r="N719" s="16"/>
      <c r="O719" s="16"/>
      <c r="P719" s="14"/>
      <c r="Q719" s="14"/>
      <c r="S719" s="14"/>
      <c r="T719" s="14"/>
      <c r="U719" s="14"/>
      <c r="V719" s="14"/>
      <c r="W719" s="14"/>
      <c r="X719" s="14"/>
      <c r="Y719" s="14"/>
      <c r="Z719" s="14"/>
      <c r="AA719" s="14"/>
      <c r="AB719" s="14"/>
      <c r="AC719" s="14"/>
      <c r="AD719" s="14"/>
    </row>
    <row r="720" spans="3:30" x14ac:dyDescent="0.3">
      <c r="C720" s="14"/>
      <c r="D720" s="14"/>
      <c r="E720" s="15"/>
      <c r="F720" s="15"/>
      <c r="G720" s="15"/>
      <c r="H720" s="14"/>
      <c r="I720" s="14"/>
      <c r="J720" s="16"/>
      <c r="K720" s="16"/>
      <c r="L720" s="16"/>
      <c r="M720" s="16"/>
      <c r="N720" s="16"/>
      <c r="O720" s="16"/>
      <c r="P720" s="14"/>
      <c r="Q720" s="14"/>
      <c r="S720" s="14"/>
      <c r="T720" s="14"/>
      <c r="U720" s="14"/>
      <c r="V720" s="14"/>
      <c r="W720" s="14"/>
      <c r="X720" s="14"/>
      <c r="Y720" s="14"/>
      <c r="Z720" s="14"/>
      <c r="AA720" s="14"/>
      <c r="AB720" s="14"/>
      <c r="AC720" s="14"/>
      <c r="AD720" s="14"/>
    </row>
    <row r="721" spans="3:30" x14ac:dyDescent="0.3">
      <c r="C721" s="14"/>
      <c r="D721" s="14"/>
      <c r="E721" s="15"/>
      <c r="F721" s="15"/>
      <c r="G721" s="15"/>
      <c r="H721" s="14"/>
      <c r="I721" s="14"/>
      <c r="J721" s="16"/>
      <c r="K721" s="16"/>
      <c r="L721" s="16"/>
      <c r="M721" s="16"/>
      <c r="N721" s="16"/>
      <c r="O721" s="16"/>
      <c r="P721" s="14"/>
      <c r="Q721" s="14"/>
      <c r="S721" s="14"/>
      <c r="T721" s="14"/>
      <c r="U721" s="14"/>
      <c r="V721" s="14"/>
      <c r="W721" s="14"/>
      <c r="X721" s="14"/>
      <c r="Y721" s="14"/>
      <c r="Z721" s="14"/>
      <c r="AA721" s="14"/>
      <c r="AB721" s="14"/>
      <c r="AC721" s="14"/>
      <c r="AD721" s="14"/>
    </row>
    <row r="722" spans="3:30" x14ac:dyDescent="0.3">
      <c r="C722" s="14"/>
      <c r="D722" s="14"/>
      <c r="E722" s="15"/>
      <c r="F722" s="15"/>
      <c r="G722" s="15"/>
      <c r="H722" s="14"/>
      <c r="I722" s="14"/>
      <c r="J722" s="16"/>
      <c r="K722" s="16"/>
      <c r="L722" s="16"/>
      <c r="M722" s="16"/>
      <c r="N722" s="16"/>
      <c r="O722" s="16"/>
      <c r="P722" s="14"/>
      <c r="Q722" s="14"/>
      <c r="S722" s="14"/>
      <c r="T722" s="14"/>
      <c r="U722" s="14"/>
      <c r="V722" s="14"/>
      <c r="W722" s="14"/>
      <c r="X722" s="14"/>
      <c r="Y722" s="14"/>
      <c r="Z722" s="14"/>
      <c r="AA722" s="14"/>
      <c r="AB722" s="14"/>
      <c r="AC722" s="14"/>
      <c r="AD722" s="14"/>
    </row>
    <row r="723" spans="3:30" x14ac:dyDescent="0.3">
      <c r="C723" s="14"/>
      <c r="D723" s="14"/>
      <c r="E723" s="15"/>
      <c r="F723" s="15"/>
      <c r="G723" s="15"/>
      <c r="H723" s="14"/>
      <c r="I723" s="14"/>
      <c r="J723" s="16"/>
      <c r="K723" s="16"/>
      <c r="L723" s="16"/>
      <c r="M723" s="16"/>
      <c r="N723" s="16"/>
      <c r="O723" s="16"/>
      <c r="P723" s="14"/>
      <c r="Q723" s="14"/>
      <c r="S723" s="14"/>
      <c r="T723" s="14"/>
      <c r="U723" s="14"/>
      <c r="V723" s="14"/>
      <c r="W723" s="14"/>
      <c r="X723" s="14"/>
      <c r="Y723" s="14"/>
      <c r="Z723" s="14"/>
      <c r="AA723" s="14"/>
      <c r="AB723" s="14"/>
      <c r="AC723" s="14"/>
      <c r="AD723" s="14"/>
    </row>
    <row r="724" spans="3:30" x14ac:dyDescent="0.3">
      <c r="C724" s="14"/>
      <c r="D724" s="14"/>
      <c r="E724" s="15"/>
      <c r="F724" s="15"/>
      <c r="G724" s="15"/>
      <c r="H724" s="14"/>
      <c r="I724" s="14"/>
      <c r="J724" s="16"/>
      <c r="K724" s="16"/>
      <c r="L724" s="16"/>
      <c r="M724" s="16"/>
      <c r="N724" s="16"/>
      <c r="O724" s="16"/>
      <c r="P724" s="14"/>
      <c r="Q724" s="14"/>
      <c r="S724" s="14"/>
      <c r="T724" s="14"/>
      <c r="U724" s="14"/>
      <c r="V724" s="14"/>
      <c r="W724" s="14"/>
      <c r="X724" s="14"/>
      <c r="Y724" s="14"/>
      <c r="Z724" s="14"/>
      <c r="AA724" s="14"/>
      <c r="AB724" s="14"/>
      <c r="AC724" s="14"/>
      <c r="AD724" s="14"/>
    </row>
    <row r="725" spans="3:30" x14ac:dyDescent="0.3">
      <c r="C725" s="14"/>
      <c r="D725" s="14"/>
      <c r="E725" s="15"/>
      <c r="F725" s="15"/>
      <c r="G725" s="15"/>
      <c r="H725" s="14"/>
      <c r="I725" s="14"/>
      <c r="J725" s="16"/>
      <c r="K725" s="16"/>
      <c r="L725" s="16"/>
      <c r="M725" s="16"/>
      <c r="N725" s="16"/>
      <c r="O725" s="16"/>
      <c r="P725" s="14"/>
      <c r="Q725" s="14"/>
      <c r="S725" s="14"/>
      <c r="T725" s="14"/>
      <c r="U725" s="14"/>
      <c r="V725" s="14"/>
      <c r="W725" s="14"/>
      <c r="X725" s="14"/>
      <c r="Y725" s="14"/>
      <c r="Z725" s="14"/>
      <c r="AA725" s="14"/>
      <c r="AB725" s="14"/>
      <c r="AC725" s="14"/>
      <c r="AD725" s="14"/>
    </row>
    <row r="726" spans="3:30" x14ac:dyDescent="0.3">
      <c r="C726" s="14"/>
      <c r="D726" s="14"/>
      <c r="E726" s="15"/>
      <c r="F726" s="15"/>
      <c r="G726" s="15"/>
      <c r="H726" s="14"/>
      <c r="I726" s="14"/>
      <c r="J726" s="16"/>
      <c r="K726" s="16"/>
      <c r="L726" s="16"/>
      <c r="M726" s="16"/>
      <c r="N726" s="16"/>
      <c r="O726" s="16"/>
      <c r="P726" s="14"/>
      <c r="Q726" s="14"/>
      <c r="S726" s="14"/>
      <c r="T726" s="14"/>
      <c r="U726" s="14"/>
      <c r="V726" s="14"/>
      <c r="W726" s="14"/>
      <c r="X726" s="14"/>
      <c r="Y726" s="14"/>
      <c r="Z726" s="14"/>
      <c r="AA726" s="14"/>
      <c r="AB726" s="14"/>
      <c r="AC726" s="14"/>
      <c r="AD726" s="14"/>
    </row>
    <row r="727" spans="3:30" x14ac:dyDescent="0.3">
      <c r="C727" s="14"/>
      <c r="D727" s="14"/>
      <c r="E727" s="15"/>
      <c r="F727" s="15"/>
      <c r="G727" s="15"/>
      <c r="H727" s="14"/>
      <c r="I727" s="14"/>
      <c r="J727" s="16"/>
      <c r="K727" s="16"/>
      <c r="L727" s="16"/>
      <c r="M727" s="16"/>
      <c r="N727" s="16"/>
      <c r="O727" s="16"/>
      <c r="P727" s="14"/>
      <c r="Q727" s="14"/>
      <c r="S727" s="14"/>
      <c r="T727" s="14"/>
      <c r="U727" s="14"/>
      <c r="V727" s="14"/>
      <c r="W727" s="14"/>
      <c r="X727" s="14"/>
      <c r="Y727" s="14"/>
      <c r="Z727" s="14"/>
      <c r="AA727" s="14"/>
      <c r="AB727" s="14"/>
      <c r="AC727" s="14"/>
      <c r="AD727" s="14"/>
    </row>
    <row r="728" spans="3:30" x14ac:dyDescent="0.3">
      <c r="C728" s="14"/>
      <c r="D728" s="14"/>
      <c r="E728" s="15"/>
      <c r="F728" s="15"/>
      <c r="G728" s="15"/>
      <c r="H728" s="14"/>
      <c r="I728" s="14"/>
      <c r="J728" s="16"/>
      <c r="K728" s="16"/>
      <c r="L728" s="16"/>
      <c r="M728" s="16"/>
      <c r="N728" s="16"/>
      <c r="O728" s="16"/>
      <c r="P728" s="14"/>
      <c r="Q728" s="14"/>
      <c r="S728" s="14"/>
      <c r="T728" s="14"/>
      <c r="U728" s="14"/>
      <c r="V728" s="14"/>
      <c r="W728" s="14"/>
      <c r="X728" s="14"/>
      <c r="Y728" s="14"/>
      <c r="Z728" s="14"/>
      <c r="AA728" s="14"/>
      <c r="AB728" s="14"/>
      <c r="AC728" s="14"/>
      <c r="AD728" s="14"/>
    </row>
    <row r="729" spans="3:30" x14ac:dyDescent="0.3">
      <c r="C729" s="14"/>
      <c r="D729" s="14"/>
      <c r="E729" s="15"/>
      <c r="F729" s="15"/>
      <c r="G729" s="15"/>
      <c r="H729" s="14"/>
      <c r="I729" s="14"/>
      <c r="J729" s="16"/>
      <c r="K729" s="16"/>
      <c r="L729" s="16"/>
      <c r="M729" s="16"/>
      <c r="N729" s="16"/>
      <c r="O729" s="16"/>
      <c r="P729" s="14"/>
      <c r="Q729" s="14"/>
      <c r="S729" s="14"/>
      <c r="T729" s="14"/>
      <c r="U729" s="14"/>
      <c r="V729" s="14"/>
      <c r="W729" s="14"/>
      <c r="X729" s="14"/>
      <c r="Y729" s="14"/>
      <c r="Z729" s="14"/>
      <c r="AA729" s="14"/>
      <c r="AB729" s="14"/>
      <c r="AC729" s="14"/>
      <c r="AD729" s="14"/>
    </row>
    <row r="730" spans="3:30" x14ac:dyDescent="0.3">
      <c r="C730" s="14"/>
      <c r="D730" s="14"/>
      <c r="E730" s="15"/>
      <c r="F730" s="15"/>
      <c r="G730" s="15"/>
      <c r="H730" s="14"/>
      <c r="I730" s="14"/>
      <c r="J730" s="16"/>
      <c r="K730" s="16"/>
      <c r="L730" s="16"/>
      <c r="M730" s="16"/>
      <c r="N730" s="16"/>
      <c r="O730" s="16"/>
      <c r="P730" s="14"/>
      <c r="Q730" s="14"/>
      <c r="S730" s="14"/>
      <c r="T730" s="14"/>
      <c r="U730" s="14"/>
      <c r="V730" s="14"/>
      <c r="W730" s="14"/>
      <c r="X730" s="14"/>
      <c r="Y730" s="14"/>
      <c r="Z730" s="14"/>
      <c r="AA730" s="14"/>
      <c r="AB730" s="14"/>
      <c r="AC730" s="14"/>
      <c r="AD730" s="14"/>
    </row>
    <row r="731" spans="3:30" x14ac:dyDescent="0.3">
      <c r="C731" s="14"/>
      <c r="D731" s="14"/>
      <c r="E731" s="15"/>
      <c r="F731" s="15"/>
      <c r="G731" s="15"/>
      <c r="H731" s="14"/>
      <c r="I731" s="14"/>
      <c r="J731" s="16"/>
      <c r="K731" s="16"/>
      <c r="L731" s="16"/>
      <c r="M731" s="16"/>
      <c r="N731" s="16"/>
      <c r="O731" s="16"/>
      <c r="P731" s="14"/>
      <c r="Q731" s="14"/>
      <c r="S731" s="14"/>
      <c r="T731" s="14"/>
      <c r="U731" s="14"/>
      <c r="V731" s="14"/>
      <c r="W731" s="14"/>
      <c r="X731" s="14"/>
      <c r="Y731" s="14"/>
      <c r="Z731" s="14"/>
      <c r="AA731" s="14"/>
      <c r="AB731" s="14"/>
      <c r="AC731" s="14"/>
      <c r="AD731" s="14"/>
    </row>
    <row r="732" spans="3:30" x14ac:dyDescent="0.3">
      <c r="C732" s="14"/>
      <c r="D732" s="14"/>
      <c r="E732" s="15"/>
      <c r="F732" s="15"/>
      <c r="G732" s="15"/>
      <c r="H732" s="14"/>
      <c r="I732" s="14"/>
      <c r="J732" s="16"/>
      <c r="K732" s="16"/>
      <c r="L732" s="16"/>
      <c r="M732" s="16"/>
      <c r="N732" s="16"/>
      <c r="O732" s="16"/>
      <c r="P732" s="14"/>
      <c r="Q732" s="14"/>
      <c r="S732" s="14"/>
      <c r="T732" s="14"/>
      <c r="U732" s="14"/>
      <c r="V732" s="14"/>
      <c r="W732" s="14"/>
      <c r="X732" s="14"/>
      <c r="Y732" s="14"/>
      <c r="Z732" s="14"/>
      <c r="AA732" s="14"/>
      <c r="AB732" s="14"/>
      <c r="AC732" s="14"/>
      <c r="AD732" s="14"/>
    </row>
    <row r="733" spans="3:30" x14ac:dyDescent="0.3">
      <c r="C733" s="14"/>
      <c r="D733" s="14"/>
      <c r="E733" s="15"/>
      <c r="F733" s="15"/>
      <c r="G733" s="15"/>
      <c r="H733" s="14"/>
      <c r="I733" s="14"/>
      <c r="J733" s="16"/>
      <c r="K733" s="16"/>
      <c r="L733" s="16"/>
      <c r="M733" s="16"/>
      <c r="N733" s="16"/>
      <c r="O733" s="16"/>
      <c r="P733" s="14"/>
      <c r="Q733" s="14"/>
      <c r="S733" s="14"/>
      <c r="T733" s="14"/>
      <c r="U733" s="14"/>
      <c r="V733" s="14"/>
      <c r="W733" s="14"/>
      <c r="X733" s="14"/>
      <c r="Y733" s="14"/>
      <c r="Z733" s="14"/>
      <c r="AA733" s="14"/>
      <c r="AB733" s="14"/>
      <c r="AC733" s="14"/>
      <c r="AD733" s="14"/>
    </row>
    <row r="734" spans="3:30" x14ac:dyDescent="0.3">
      <c r="C734" s="14"/>
      <c r="D734" s="14"/>
      <c r="E734" s="15"/>
      <c r="F734" s="15"/>
      <c r="G734" s="15"/>
      <c r="H734" s="14"/>
      <c r="I734" s="14"/>
      <c r="J734" s="16"/>
      <c r="K734" s="16"/>
      <c r="L734" s="16"/>
      <c r="M734" s="16"/>
      <c r="N734" s="16"/>
      <c r="O734" s="16"/>
      <c r="P734" s="14"/>
      <c r="Q734" s="14"/>
      <c r="S734" s="14"/>
      <c r="T734" s="14"/>
      <c r="U734" s="14"/>
      <c r="V734" s="14"/>
      <c r="W734" s="14"/>
      <c r="X734" s="14"/>
      <c r="Y734" s="14"/>
      <c r="Z734" s="14"/>
      <c r="AA734" s="14"/>
      <c r="AB734" s="14"/>
      <c r="AC734" s="14"/>
      <c r="AD734" s="14"/>
    </row>
    <row r="735" spans="3:30" x14ac:dyDescent="0.3">
      <c r="C735" s="14"/>
      <c r="D735" s="14"/>
      <c r="E735" s="15"/>
      <c r="F735" s="15"/>
      <c r="G735" s="15"/>
      <c r="H735" s="14"/>
      <c r="I735" s="14"/>
      <c r="J735" s="16"/>
      <c r="K735" s="16"/>
      <c r="L735" s="16"/>
      <c r="M735" s="16"/>
      <c r="N735" s="16"/>
      <c r="O735" s="16"/>
      <c r="P735" s="14"/>
      <c r="Q735" s="14"/>
      <c r="S735" s="14"/>
      <c r="T735" s="14"/>
      <c r="U735" s="14"/>
      <c r="V735" s="14"/>
      <c r="W735" s="14"/>
      <c r="X735" s="14"/>
      <c r="Y735" s="14"/>
      <c r="Z735" s="14"/>
      <c r="AA735" s="14"/>
      <c r="AB735" s="14"/>
      <c r="AC735" s="14"/>
      <c r="AD735" s="14"/>
    </row>
    <row r="736" spans="3:30" x14ac:dyDescent="0.3">
      <c r="C736" s="14"/>
      <c r="D736" s="14"/>
      <c r="E736" s="15"/>
      <c r="F736" s="15"/>
      <c r="G736" s="15"/>
      <c r="H736" s="14"/>
      <c r="I736" s="14"/>
      <c r="J736" s="16"/>
      <c r="K736" s="16"/>
      <c r="L736" s="16"/>
      <c r="M736" s="16"/>
      <c r="N736" s="16"/>
      <c r="O736" s="16"/>
      <c r="P736" s="14"/>
      <c r="Q736" s="14"/>
      <c r="S736" s="14"/>
      <c r="T736" s="14"/>
      <c r="U736" s="14"/>
      <c r="V736" s="14"/>
      <c r="W736" s="14"/>
      <c r="X736" s="14"/>
      <c r="Y736" s="14"/>
      <c r="Z736" s="14"/>
      <c r="AA736" s="14"/>
      <c r="AB736" s="14"/>
      <c r="AC736" s="14"/>
      <c r="AD736" s="14"/>
    </row>
    <row r="737" spans="3:30" x14ac:dyDescent="0.3">
      <c r="C737" s="14"/>
      <c r="D737" s="14"/>
      <c r="E737" s="15"/>
      <c r="F737" s="15"/>
      <c r="G737" s="15"/>
      <c r="H737" s="14"/>
      <c r="I737" s="14"/>
      <c r="J737" s="16"/>
      <c r="K737" s="16"/>
      <c r="L737" s="16"/>
      <c r="M737" s="16"/>
      <c r="N737" s="16"/>
      <c r="O737" s="16"/>
      <c r="P737" s="14"/>
      <c r="Q737" s="14"/>
      <c r="S737" s="14"/>
      <c r="T737" s="14"/>
      <c r="U737" s="14"/>
      <c r="V737" s="14"/>
      <c r="W737" s="14"/>
      <c r="X737" s="14"/>
      <c r="Y737" s="14"/>
      <c r="Z737" s="14"/>
      <c r="AA737" s="14"/>
      <c r="AB737" s="14"/>
      <c r="AC737" s="14"/>
      <c r="AD737" s="14"/>
    </row>
    <row r="738" spans="3:30" x14ac:dyDescent="0.3">
      <c r="C738" s="14"/>
      <c r="D738" s="14"/>
      <c r="E738" s="15"/>
      <c r="F738" s="15"/>
      <c r="G738" s="15"/>
      <c r="H738" s="14"/>
      <c r="I738" s="14"/>
      <c r="J738" s="16"/>
      <c r="K738" s="16"/>
      <c r="L738" s="16"/>
      <c r="M738" s="16"/>
      <c r="N738" s="16"/>
      <c r="O738" s="16"/>
      <c r="P738" s="14"/>
      <c r="Q738" s="14"/>
      <c r="S738" s="14"/>
      <c r="T738" s="14"/>
      <c r="U738" s="14"/>
      <c r="V738" s="14"/>
      <c r="W738" s="14"/>
      <c r="X738" s="14"/>
      <c r="Y738" s="14"/>
      <c r="Z738" s="14"/>
      <c r="AA738" s="14"/>
      <c r="AB738" s="14"/>
      <c r="AC738" s="14"/>
      <c r="AD738" s="14"/>
    </row>
    <row r="739" spans="3:30" x14ac:dyDescent="0.3">
      <c r="C739" s="14"/>
      <c r="D739" s="14"/>
      <c r="E739" s="15"/>
      <c r="F739" s="15"/>
      <c r="G739" s="15"/>
      <c r="H739" s="14"/>
      <c r="I739" s="14"/>
      <c r="J739" s="16"/>
      <c r="K739" s="16"/>
      <c r="L739" s="16"/>
      <c r="M739" s="16"/>
      <c r="N739" s="16"/>
      <c r="O739" s="16"/>
      <c r="P739" s="14"/>
      <c r="Q739" s="14"/>
      <c r="S739" s="14"/>
      <c r="T739" s="14"/>
      <c r="U739" s="14"/>
      <c r="V739" s="14"/>
      <c r="W739" s="14"/>
      <c r="X739" s="14"/>
      <c r="Y739" s="14"/>
      <c r="Z739" s="14"/>
      <c r="AA739" s="14"/>
      <c r="AB739" s="14"/>
      <c r="AC739" s="14"/>
      <c r="AD739" s="14"/>
    </row>
    <row r="740" spans="3:30" x14ac:dyDescent="0.3">
      <c r="C740" s="14"/>
      <c r="D740" s="14"/>
      <c r="E740" s="15"/>
      <c r="F740" s="15"/>
      <c r="G740" s="15"/>
      <c r="H740" s="14"/>
      <c r="I740" s="14"/>
      <c r="J740" s="16"/>
      <c r="K740" s="16"/>
      <c r="L740" s="16"/>
      <c r="M740" s="16"/>
      <c r="N740" s="16"/>
      <c r="O740" s="16"/>
      <c r="P740" s="14"/>
      <c r="Q740" s="14"/>
      <c r="S740" s="14"/>
      <c r="T740" s="14"/>
      <c r="U740" s="14"/>
      <c r="V740" s="14"/>
      <c r="W740" s="14"/>
      <c r="X740" s="14"/>
      <c r="Y740" s="14"/>
      <c r="Z740" s="14"/>
      <c r="AA740" s="14"/>
      <c r="AB740" s="14"/>
      <c r="AC740" s="14"/>
      <c r="AD740" s="14"/>
    </row>
    <row r="741" spans="3:30" x14ac:dyDescent="0.3">
      <c r="C741" s="14"/>
      <c r="D741" s="14"/>
      <c r="E741" s="15"/>
      <c r="F741" s="15"/>
      <c r="G741" s="15"/>
      <c r="H741" s="14"/>
      <c r="I741" s="14"/>
      <c r="J741" s="16"/>
      <c r="K741" s="16"/>
      <c r="L741" s="16"/>
      <c r="M741" s="16"/>
      <c r="N741" s="16"/>
      <c r="O741" s="16"/>
      <c r="P741" s="14"/>
      <c r="Q741" s="14"/>
      <c r="S741" s="14"/>
      <c r="T741" s="14"/>
      <c r="U741" s="14"/>
      <c r="V741" s="14"/>
      <c r="W741" s="14"/>
      <c r="X741" s="14"/>
      <c r="Y741" s="14"/>
      <c r="Z741" s="14"/>
      <c r="AA741" s="14"/>
      <c r="AB741" s="14"/>
      <c r="AC741" s="14"/>
      <c r="AD741" s="14"/>
    </row>
    <row r="742" spans="3:30" x14ac:dyDescent="0.3">
      <c r="C742" s="14"/>
      <c r="D742" s="14"/>
      <c r="E742" s="15"/>
      <c r="F742" s="15"/>
      <c r="G742" s="15"/>
      <c r="H742" s="14"/>
      <c r="I742" s="14"/>
      <c r="J742" s="16"/>
      <c r="K742" s="16"/>
      <c r="L742" s="16"/>
      <c r="M742" s="16"/>
      <c r="N742" s="16"/>
      <c r="O742" s="16"/>
      <c r="P742" s="14"/>
      <c r="Q742" s="14"/>
      <c r="S742" s="14"/>
      <c r="T742" s="14"/>
      <c r="U742" s="14"/>
      <c r="V742" s="14"/>
      <c r="W742" s="14"/>
      <c r="X742" s="14"/>
      <c r="Y742" s="14"/>
      <c r="Z742" s="14"/>
      <c r="AA742" s="14"/>
      <c r="AB742" s="14"/>
      <c r="AC742" s="14"/>
      <c r="AD742" s="14"/>
    </row>
    <row r="743" spans="3:30" x14ac:dyDescent="0.3">
      <c r="C743" s="14"/>
      <c r="D743" s="14"/>
      <c r="E743" s="15"/>
      <c r="F743" s="15"/>
      <c r="G743" s="15"/>
      <c r="H743" s="14"/>
      <c r="I743" s="14"/>
      <c r="J743" s="16"/>
      <c r="K743" s="16"/>
      <c r="L743" s="16"/>
      <c r="M743" s="16"/>
      <c r="N743" s="16"/>
      <c r="O743" s="16"/>
      <c r="P743" s="14"/>
      <c r="Q743" s="14"/>
      <c r="S743" s="14"/>
      <c r="T743" s="14"/>
      <c r="U743" s="14"/>
      <c r="V743" s="14"/>
      <c r="W743" s="14"/>
      <c r="X743" s="14"/>
      <c r="Y743" s="14"/>
      <c r="Z743" s="14"/>
      <c r="AA743" s="14"/>
      <c r="AB743" s="14"/>
      <c r="AC743" s="14"/>
      <c r="AD743" s="14"/>
    </row>
    <row r="744" spans="3:30" x14ac:dyDescent="0.3">
      <c r="C744" s="14"/>
      <c r="D744" s="14"/>
      <c r="E744" s="15"/>
      <c r="F744" s="15"/>
      <c r="G744" s="15"/>
      <c r="H744" s="14"/>
      <c r="I744" s="14"/>
      <c r="J744" s="16"/>
      <c r="K744" s="16"/>
      <c r="L744" s="16"/>
      <c r="M744" s="16"/>
      <c r="N744" s="16"/>
      <c r="O744" s="16"/>
      <c r="P744" s="14"/>
      <c r="Q744" s="14"/>
      <c r="S744" s="14"/>
      <c r="T744" s="14"/>
      <c r="U744" s="14"/>
      <c r="V744" s="14"/>
      <c r="W744" s="14"/>
      <c r="X744" s="14"/>
      <c r="Y744" s="14"/>
      <c r="Z744" s="14"/>
      <c r="AA744" s="14"/>
      <c r="AB744" s="14"/>
      <c r="AC744" s="14"/>
      <c r="AD744" s="14"/>
    </row>
    <row r="745" spans="3:30" x14ac:dyDescent="0.3">
      <c r="C745" s="14"/>
      <c r="D745" s="14"/>
      <c r="E745" s="15"/>
      <c r="F745" s="15"/>
      <c r="G745" s="15"/>
      <c r="H745" s="14"/>
      <c r="I745" s="14"/>
      <c r="J745" s="16"/>
      <c r="K745" s="16"/>
      <c r="L745" s="16"/>
      <c r="M745" s="16"/>
      <c r="N745" s="16"/>
      <c r="O745" s="16"/>
      <c r="P745" s="14"/>
      <c r="Q745" s="14"/>
      <c r="S745" s="14"/>
      <c r="T745" s="14"/>
      <c r="U745" s="14"/>
      <c r="V745" s="14"/>
      <c r="W745" s="14"/>
      <c r="X745" s="14"/>
      <c r="Y745" s="14"/>
      <c r="Z745" s="14"/>
      <c r="AA745" s="14"/>
      <c r="AB745" s="14"/>
      <c r="AC745" s="14"/>
      <c r="AD745" s="14"/>
    </row>
    <row r="746" spans="3:30" x14ac:dyDescent="0.3">
      <c r="C746" s="14"/>
      <c r="D746" s="14"/>
      <c r="E746" s="15"/>
      <c r="F746" s="15"/>
      <c r="G746" s="15"/>
      <c r="H746" s="14"/>
      <c r="I746" s="14"/>
      <c r="J746" s="16"/>
      <c r="K746" s="16"/>
      <c r="L746" s="16"/>
      <c r="M746" s="16"/>
      <c r="N746" s="16"/>
      <c r="O746" s="16"/>
      <c r="P746" s="14"/>
      <c r="Q746" s="14"/>
      <c r="S746" s="14"/>
      <c r="T746" s="14"/>
      <c r="U746" s="14"/>
      <c r="V746" s="14"/>
      <c r="W746" s="14"/>
      <c r="X746" s="14"/>
      <c r="Y746" s="14"/>
      <c r="Z746" s="14"/>
      <c r="AA746" s="14"/>
      <c r="AB746" s="14"/>
      <c r="AC746" s="14"/>
      <c r="AD746" s="14"/>
    </row>
    <row r="747" spans="3:30" x14ac:dyDescent="0.3">
      <c r="C747" s="14"/>
      <c r="D747" s="14"/>
      <c r="E747" s="15"/>
      <c r="F747" s="15"/>
      <c r="G747" s="15"/>
      <c r="H747" s="14"/>
      <c r="I747" s="14"/>
      <c r="J747" s="16"/>
      <c r="K747" s="16"/>
      <c r="L747" s="16"/>
      <c r="M747" s="16"/>
      <c r="N747" s="16"/>
      <c r="O747" s="16"/>
      <c r="P747" s="14"/>
      <c r="Q747" s="14"/>
      <c r="S747" s="14"/>
      <c r="T747" s="14"/>
      <c r="U747" s="14"/>
      <c r="V747" s="14"/>
      <c r="W747" s="14"/>
      <c r="X747" s="14"/>
      <c r="Y747" s="14"/>
      <c r="Z747" s="14"/>
      <c r="AA747" s="14"/>
      <c r="AB747" s="14"/>
      <c r="AC747" s="14"/>
      <c r="AD747" s="14"/>
    </row>
    <row r="748" spans="3:30" x14ac:dyDescent="0.3">
      <c r="C748" s="14"/>
      <c r="D748" s="14"/>
      <c r="E748" s="15"/>
      <c r="F748" s="15"/>
      <c r="G748" s="15"/>
      <c r="H748" s="14"/>
      <c r="I748" s="14"/>
      <c r="J748" s="16"/>
      <c r="K748" s="16"/>
      <c r="L748" s="16"/>
      <c r="M748" s="16"/>
      <c r="N748" s="16"/>
      <c r="O748" s="16"/>
      <c r="P748" s="14"/>
      <c r="Q748" s="14"/>
      <c r="S748" s="14"/>
      <c r="T748" s="14"/>
      <c r="U748" s="14"/>
      <c r="V748" s="14"/>
      <c r="W748" s="14"/>
      <c r="X748" s="14"/>
      <c r="Y748" s="14"/>
      <c r="Z748" s="14"/>
      <c r="AA748" s="14"/>
      <c r="AB748" s="14"/>
      <c r="AC748" s="14"/>
      <c r="AD748" s="14"/>
    </row>
    <row r="749" spans="3:30" x14ac:dyDescent="0.3">
      <c r="C749" s="14"/>
      <c r="D749" s="14"/>
      <c r="E749" s="15"/>
      <c r="F749" s="15"/>
      <c r="G749" s="15"/>
      <c r="H749" s="14"/>
      <c r="I749" s="14"/>
      <c r="J749" s="16"/>
      <c r="K749" s="16"/>
      <c r="L749" s="16"/>
      <c r="M749" s="16"/>
      <c r="N749" s="16"/>
      <c r="O749" s="16"/>
      <c r="P749" s="14"/>
      <c r="Q749" s="14"/>
      <c r="S749" s="14"/>
      <c r="T749" s="14"/>
      <c r="U749" s="14"/>
      <c r="V749" s="14"/>
      <c r="W749" s="14"/>
      <c r="X749" s="14"/>
      <c r="Y749" s="14"/>
      <c r="Z749" s="14"/>
      <c r="AA749" s="14"/>
      <c r="AB749" s="14"/>
      <c r="AC749" s="14"/>
      <c r="AD749" s="14"/>
    </row>
    <row r="750" spans="3:30" x14ac:dyDescent="0.3">
      <c r="C750" s="14"/>
      <c r="D750" s="14"/>
      <c r="E750" s="15"/>
      <c r="F750" s="15"/>
      <c r="G750" s="15"/>
      <c r="H750" s="14"/>
      <c r="I750" s="14"/>
      <c r="J750" s="16"/>
      <c r="K750" s="16"/>
      <c r="L750" s="16"/>
      <c r="M750" s="16"/>
      <c r="N750" s="16"/>
      <c r="O750" s="16"/>
      <c r="P750" s="14"/>
      <c r="Q750" s="14"/>
      <c r="S750" s="14"/>
      <c r="T750" s="14"/>
      <c r="U750" s="14"/>
      <c r="V750" s="14"/>
      <c r="W750" s="14"/>
      <c r="X750" s="14"/>
      <c r="Y750" s="14"/>
      <c r="Z750" s="14"/>
      <c r="AA750" s="14"/>
      <c r="AB750" s="14"/>
      <c r="AC750" s="14"/>
      <c r="AD750" s="14"/>
    </row>
    <row r="751" spans="3:30" x14ac:dyDescent="0.3">
      <c r="C751" s="14"/>
      <c r="D751" s="14"/>
      <c r="E751" s="15"/>
      <c r="F751" s="15"/>
      <c r="G751" s="15"/>
      <c r="H751" s="14"/>
      <c r="I751" s="14"/>
      <c r="J751" s="16"/>
      <c r="K751" s="16"/>
      <c r="L751" s="16"/>
      <c r="M751" s="16"/>
      <c r="N751" s="16"/>
      <c r="O751" s="16"/>
      <c r="P751" s="14"/>
      <c r="Q751" s="14"/>
      <c r="S751" s="14"/>
      <c r="T751" s="14"/>
      <c r="U751" s="14"/>
      <c r="V751" s="14"/>
      <c r="W751" s="14"/>
      <c r="X751" s="14"/>
      <c r="Y751" s="14"/>
      <c r="Z751" s="14"/>
      <c r="AA751" s="14"/>
      <c r="AB751" s="14"/>
      <c r="AC751" s="14"/>
      <c r="AD751" s="14"/>
    </row>
    <row r="752" spans="3:30" x14ac:dyDescent="0.3">
      <c r="C752" s="14"/>
      <c r="D752" s="14"/>
      <c r="E752" s="15"/>
      <c r="F752" s="15"/>
      <c r="G752" s="15"/>
      <c r="H752" s="14"/>
      <c r="I752" s="14"/>
      <c r="J752" s="16"/>
      <c r="K752" s="16"/>
      <c r="L752" s="16"/>
      <c r="M752" s="16"/>
      <c r="N752" s="16"/>
      <c r="O752" s="16"/>
      <c r="P752" s="14"/>
      <c r="Q752" s="14"/>
      <c r="S752" s="14"/>
      <c r="T752" s="14"/>
      <c r="U752" s="14"/>
      <c r="V752" s="14"/>
      <c r="W752" s="14"/>
      <c r="X752" s="14"/>
      <c r="Y752" s="14"/>
      <c r="Z752" s="14"/>
      <c r="AA752" s="14"/>
      <c r="AB752" s="14"/>
      <c r="AC752" s="14"/>
      <c r="AD752" s="14"/>
    </row>
    <row r="753" spans="3:30" x14ac:dyDescent="0.3">
      <c r="C753" s="14"/>
      <c r="D753" s="14"/>
      <c r="E753" s="15"/>
      <c r="F753" s="15"/>
      <c r="G753" s="15"/>
      <c r="H753" s="14"/>
      <c r="I753" s="14"/>
      <c r="J753" s="16"/>
      <c r="K753" s="16"/>
      <c r="L753" s="16"/>
      <c r="M753" s="16"/>
      <c r="N753" s="16"/>
      <c r="O753" s="16"/>
      <c r="P753" s="14"/>
      <c r="Q753" s="14"/>
      <c r="S753" s="14"/>
      <c r="T753" s="14"/>
      <c r="U753" s="14"/>
      <c r="V753" s="14"/>
      <c r="W753" s="14"/>
      <c r="X753" s="14"/>
      <c r="Y753" s="14"/>
      <c r="Z753" s="14"/>
      <c r="AA753" s="14"/>
      <c r="AB753" s="14"/>
      <c r="AC753" s="14"/>
      <c r="AD753" s="14"/>
    </row>
    <row r="754" spans="3:30" x14ac:dyDescent="0.3">
      <c r="C754" s="14"/>
      <c r="D754" s="14"/>
      <c r="E754" s="15"/>
      <c r="F754" s="15"/>
      <c r="G754" s="15"/>
      <c r="H754" s="14"/>
      <c r="I754" s="14"/>
      <c r="J754" s="16"/>
      <c r="K754" s="16"/>
      <c r="L754" s="16"/>
      <c r="M754" s="16"/>
      <c r="N754" s="16"/>
      <c r="O754" s="16"/>
      <c r="P754" s="14"/>
      <c r="Q754" s="14"/>
      <c r="S754" s="14"/>
      <c r="T754" s="14"/>
      <c r="U754" s="14"/>
      <c r="V754" s="14"/>
      <c r="W754" s="14"/>
      <c r="X754" s="14"/>
      <c r="Y754" s="14"/>
      <c r="Z754" s="14"/>
      <c r="AA754" s="14"/>
      <c r="AB754" s="14"/>
      <c r="AC754" s="14"/>
      <c r="AD754" s="14"/>
    </row>
    <row r="755" spans="3:30" x14ac:dyDescent="0.3">
      <c r="C755" s="14"/>
      <c r="D755" s="14"/>
      <c r="E755" s="15"/>
      <c r="F755" s="15"/>
      <c r="G755" s="15"/>
      <c r="H755" s="14"/>
      <c r="I755" s="14"/>
      <c r="J755" s="16"/>
      <c r="K755" s="16"/>
      <c r="L755" s="16"/>
      <c r="M755" s="16"/>
      <c r="N755" s="16"/>
      <c r="O755" s="16"/>
      <c r="P755" s="14"/>
      <c r="Q755" s="14"/>
      <c r="S755" s="14"/>
      <c r="T755" s="14"/>
      <c r="U755" s="14"/>
      <c r="V755" s="14"/>
      <c r="W755" s="14"/>
      <c r="X755" s="14"/>
      <c r="Y755" s="14"/>
      <c r="Z755" s="14"/>
      <c r="AA755" s="14"/>
      <c r="AB755" s="14"/>
      <c r="AC755" s="14"/>
      <c r="AD755" s="14"/>
    </row>
    <row r="756" spans="3:30" x14ac:dyDescent="0.3">
      <c r="C756" s="14"/>
      <c r="D756" s="14"/>
      <c r="E756" s="15"/>
      <c r="F756" s="15"/>
      <c r="G756" s="15"/>
      <c r="H756" s="14"/>
      <c r="I756" s="14"/>
      <c r="J756" s="16"/>
      <c r="K756" s="16"/>
      <c r="L756" s="16"/>
      <c r="M756" s="16"/>
      <c r="N756" s="16"/>
      <c r="O756" s="16"/>
      <c r="P756" s="14"/>
      <c r="Q756" s="14"/>
      <c r="S756" s="14"/>
      <c r="T756" s="14"/>
      <c r="U756" s="14"/>
      <c r="V756" s="14"/>
      <c r="W756" s="14"/>
      <c r="X756" s="14"/>
      <c r="Y756" s="14"/>
      <c r="Z756" s="14"/>
      <c r="AA756" s="14"/>
      <c r="AB756" s="14"/>
      <c r="AC756" s="14"/>
      <c r="AD756" s="14"/>
    </row>
    <row r="757" spans="3:30" x14ac:dyDescent="0.3">
      <c r="C757" s="14"/>
      <c r="D757" s="14"/>
      <c r="E757" s="15"/>
      <c r="F757" s="15"/>
      <c r="G757" s="15"/>
      <c r="H757" s="14"/>
      <c r="I757" s="14"/>
      <c r="J757" s="16"/>
      <c r="K757" s="16"/>
      <c r="L757" s="16"/>
      <c r="M757" s="16"/>
      <c r="N757" s="16"/>
      <c r="O757" s="16"/>
      <c r="P757" s="14"/>
      <c r="Q757" s="14"/>
      <c r="S757" s="14"/>
      <c r="T757" s="14"/>
      <c r="U757" s="14"/>
      <c r="V757" s="14"/>
      <c r="W757" s="14"/>
      <c r="X757" s="14"/>
      <c r="Y757" s="14"/>
      <c r="Z757" s="14"/>
      <c r="AA757" s="14"/>
      <c r="AB757" s="14"/>
      <c r="AC757" s="14"/>
      <c r="AD757" s="14"/>
    </row>
    <row r="758" spans="3:30" x14ac:dyDescent="0.3">
      <c r="C758" s="14"/>
      <c r="D758" s="14"/>
      <c r="E758" s="15"/>
      <c r="F758" s="15"/>
      <c r="G758" s="15"/>
      <c r="H758" s="14"/>
      <c r="I758" s="14"/>
      <c r="J758" s="16"/>
      <c r="K758" s="16"/>
      <c r="L758" s="16"/>
      <c r="M758" s="16"/>
      <c r="N758" s="16"/>
      <c r="O758" s="16"/>
      <c r="P758" s="14"/>
      <c r="Q758" s="14"/>
      <c r="S758" s="14"/>
      <c r="T758" s="14"/>
      <c r="U758" s="14"/>
      <c r="V758" s="14"/>
      <c r="W758" s="14"/>
      <c r="X758" s="14"/>
      <c r="Y758" s="14"/>
      <c r="Z758" s="14"/>
      <c r="AA758" s="14"/>
      <c r="AB758" s="14"/>
      <c r="AC758" s="14"/>
      <c r="AD758" s="14"/>
    </row>
    <row r="759" spans="3:30" x14ac:dyDescent="0.3">
      <c r="C759" s="14"/>
      <c r="D759" s="14"/>
      <c r="E759" s="15"/>
      <c r="F759" s="15"/>
      <c r="G759" s="15"/>
      <c r="H759" s="14"/>
      <c r="I759" s="14"/>
      <c r="J759" s="16"/>
      <c r="K759" s="16"/>
      <c r="L759" s="16"/>
      <c r="M759" s="16"/>
      <c r="N759" s="16"/>
      <c r="O759" s="16"/>
      <c r="P759" s="14"/>
      <c r="Q759" s="14"/>
      <c r="S759" s="14"/>
      <c r="T759" s="14"/>
      <c r="U759" s="14"/>
      <c r="V759" s="14"/>
      <c r="W759" s="14"/>
      <c r="X759" s="14"/>
      <c r="Y759" s="14"/>
      <c r="Z759" s="14"/>
      <c r="AA759" s="14"/>
      <c r="AB759" s="14"/>
      <c r="AC759" s="14"/>
      <c r="AD759" s="14"/>
    </row>
    <row r="760" spans="3:30" x14ac:dyDescent="0.3">
      <c r="C760" s="14"/>
      <c r="D760" s="14"/>
      <c r="E760" s="15"/>
      <c r="F760" s="15"/>
      <c r="G760" s="15"/>
      <c r="H760" s="14"/>
      <c r="I760" s="14"/>
      <c r="J760" s="16"/>
      <c r="K760" s="16"/>
      <c r="L760" s="16"/>
      <c r="M760" s="16"/>
      <c r="N760" s="16"/>
      <c r="O760" s="16"/>
      <c r="P760" s="14"/>
      <c r="Q760" s="14"/>
      <c r="S760" s="14"/>
      <c r="T760" s="14"/>
      <c r="U760" s="14"/>
      <c r="V760" s="14"/>
      <c r="W760" s="14"/>
      <c r="X760" s="14"/>
      <c r="Y760" s="14"/>
      <c r="Z760" s="14"/>
      <c r="AA760" s="14"/>
      <c r="AB760" s="14"/>
      <c r="AC760" s="14"/>
      <c r="AD760" s="14"/>
    </row>
    <row r="761" spans="3:30" x14ac:dyDescent="0.3">
      <c r="C761" s="14"/>
      <c r="D761" s="14"/>
      <c r="E761" s="15"/>
      <c r="F761" s="15"/>
      <c r="G761" s="15"/>
      <c r="H761" s="14"/>
      <c r="I761" s="14"/>
      <c r="J761" s="16"/>
      <c r="K761" s="16"/>
      <c r="L761" s="16"/>
      <c r="M761" s="16"/>
      <c r="N761" s="16"/>
      <c r="O761" s="16"/>
      <c r="P761" s="14"/>
      <c r="Q761" s="14"/>
      <c r="S761" s="14"/>
      <c r="T761" s="14"/>
      <c r="U761" s="14"/>
      <c r="V761" s="14"/>
      <c r="W761" s="14"/>
      <c r="X761" s="14"/>
      <c r="Y761" s="14"/>
      <c r="Z761" s="14"/>
      <c r="AA761" s="14"/>
      <c r="AB761" s="14"/>
      <c r="AC761" s="14"/>
      <c r="AD761" s="14"/>
    </row>
    <row r="762" spans="3:30" x14ac:dyDescent="0.3">
      <c r="C762" s="14"/>
      <c r="D762" s="14"/>
      <c r="E762" s="15"/>
      <c r="F762" s="15"/>
      <c r="G762" s="15"/>
      <c r="H762" s="14"/>
      <c r="I762" s="14"/>
      <c r="J762" s="16"/>
      <c r="K762" s="16"/>
      <c r="L762" s="16"/>
      <c r="M762" s="16"/>
      <c r="N762" s="16"/>
      <c r="O762" s="16"/>
      <c r="P762" s="14"/>
      <c r="Q762" s="14"/>
      <c r="S762" s="14"/>
      <c r="T762" s="14"/>
      <c r="U762" s="14"/>
      <c r="V762" s="14"/>
      <c r="W762" s="14"/>
      <c r="X762" s="14"/>
      <c r="Y762" s="14"/>
      <c r="Z762" s="14"/>
      <c r="AA762" s="14"/>
      <c r="AB762" s="14"/>
      <c r="AC762" s="14"/>
      <c r="AD762" s="14"/>
    </row>
    <row r="763" spans="3:30" x14ac:dyDescent="0.3">
      <c r="C763" s="14"/>
      <c r="D763" s="14"/>
      <c r="E763" s="15"/>
      <c r="F763" s="15"/>
      <c r="G763" s="15"/>
      <c r="H763" s="14"/>
      <c r="I763" s="14"/>
      <c r="J763" s="16"/>
      <c r="K763" s="16"/>
      <c r="L763" s="16"/>
      <c r="M763" s="16"/>
      <c r="N763" s="16"/>
      <c r="O763" s="16"/>
      <c r="P763" s="14"/>
      <c r="Q763" s="14"/>
      <c r="S763" s="14"/>
      <c r="T763" s="14"/>
      <c r="U763" s="14"/>
      <c r="V763" s="14"/>
      <c r="W763" s="14"/>
      <c r="X763" s="14"/>
      <c r="Y763" s="14"/>
      <c r="Z763" s="14"/>
      <c r="AA763" s="14"/>
      <c r="AB763" s="14"/>
      <c r="AC763" s="14"/>
      <c r="AD763" s="14"/>
    </row>
    <row r="764" spans="3:30" x14ac:dyDescent="0.3">
      <c r="C764" s="14"/>
      <c r="D764" s="14"/>
      <c r="E764" s="15"/>
      <c r="F764" s="15"/>
      <c r="G764" s="15"/>
      <c r="H764" s="14"/>
      <c r="I764" s="14"/>
      <c r="J764" s="16"/>
      <c r="K764" s="16"/>
      <c r="L764" s="16"/>
      <c r="M764" s="16"/>
      <c r="N764" s="16"/>
      <c r="O764" s="16"/>
      <c r="P764" s="14"/>
      <c r="Q764" s="14"/>
      <c r="S764" s="14"/>
      <c r="T764" s="14"/>
      <c r="U764" s="14"/>
      <c r="V764" s="14"/>
      <c r="W764" s="14"/>
      <c r="X764" s="14"/>
      <c r="Y764" s="14"/>
      <c r="Z764" s="14"/>
      <c r="AA764" s="14"/>
      <c r="AB764" s="14"/>
      <c r="AC764" s="14"/>
      <c r="AD764" s="14"/>
    </row>
    <row r="765" spans="3:30" x14ac:dyDescent="0.3">
      <c r="C765" s="14"/>
      <c r="D765" s="14"/>
      <c r="E765" s="15"/>
      <c r="F765" s="15"/>
      <c r="G765" s="15"/>
      <c r="H765" s="14"/>
      <c r="I765" s="14"/>
      <c r="J765" s="16"/>
      <c r="K765" s="16"/>
      <c r="L765" s="16"/>
      <c r="M765" s="16"/>
      <c r="N765" s="16"/>
      <c r="O765" s="16"/>
      <c r="P765" s="14"/>
      <c r="Q765" s="14"/>
      <c r="S765" s="14"/>
      <c r="T765" s="14"/>
      <c r="U765" s="14"/>
      <c r="V765" s="14"/>
      <c r="W765" s="14"/>
      <c r="X765" s="14"/>
      <c r="Y765" s="14"/>
      <c r="Z765" s="14"/>
      <c r="AA765" s="14"/>
      <c r="AB765" s="14"/>
      <c r="AC765" s="14"/>
      <c r="AD765" s="14"/>
    </row>
    <row r="766" spans="3:30" x14ac:dyDescent="0.3">
      <c r="C766" s="14"/>
      <c r="D766" s="14"/>
      <c r="E766" s="15"/>
      <c r="F766" s="15"/>
      <c r="G766" s="15"/>
      <c r="H766" s="14"/>
      <c r="I766" s="14"/>
      <c r="J766" s="16"/>
      <c r="K766" s="16"/>
      <c r="L766" s="16"/>
      <c r="M766" s="16"/>
      <c r="N766" s="16"/>
      <c r="O766" s="16"/>
      <c r="P766" s="14"/>
      <c r="Q766" s="14"/>
      <c r="S766" s="14"/>
      <c r="T766" s="14"/>
      <c r="U766" s="14"/>
      <c r="V766" s="14"/>
      <c r="W766" s="14"/>
      <c r="X766" s="14"/>
      <c r="Y766" s="14"/>
      <c r="Z766" s="14"/>
      <c r="AA766" s="14"/>
      <c r="AB766" s="14"/>
      <c r="AC766" s="14"/>
      <c r="AD766" s="14"/>
    </row>
    <row r="767" spans="3:30" x14ac:dyDescent="0.3">
      <c r="C767" s="14"/>
      <c r="D767" s="14"/>
      <c r="E767" s="15"/>
      <c r="F767" s="15"/>
      <c r="G767" s="15"/>
      <c r="H767" s="14"/>
      <c r="I767" s="14"/>
      <c r="J767" s="16"/>
      <c r="K767" s="16"/>
      <c r="L767" s="16"/>
      <c r="M767" s="16"/>
      <c r="N767" s="16"/>
      <c r="O767" s="16"/>
      <c r="P767" s="14"/>
      <c r="Q767" s="14"/>
      <c r="S767" s="14"/>
      <c r="T767" s="14"/>
      <c r="U767" s="14"/>
      <c r="V767" s="14"/>
      <c r="W767" s="14"/>
      <c r="X767" s="14"/>
      <c r="Y767" s="14"/>
      <c r="Z767" s="14"/>
      <c r="AA767" s="14"/>
      <c r="AB767" s="14"/>
      <c r="AC767" s="14"/>
      <c r="AD767" s="14"/>
    </row>
    <row r="768" spans="3:30" x14ac:dyDescent="0.3">
      <c r="C768" s="14"/>
      <c r="D768" s="14"/>
      <c r="E768" s="15"/>
      <c r="F768" s="15"/>
      <c r="G768" s="15"/>
      <c r="H768" s="14"/>
      <c r="I768" s="14"/>
      <c r="J768" s="16"/>
      <c r="K768" s="16"/>
      <c r="L768" s="16"/>
      <c r="M768" s="16"/>
      <c r="N768" s="16"/>
      <c r="O768" s="16"/>
      <c r="P768" s="14"/>
      <c r="Q768" s="14"/>
      <c r="S768" s="14"/>
      <c r="T768" s="14"/>
      <c r="U768" s="14"/>
      <c r="V768" s="14"/>
      <c r="W768" s="14"/>
      <c r="X768" s="14"/>
      <c r="Y768" s="14"/>
      <c r="Z768" s="14"/>
      <c r="AA768" s="14"/>
      <c r="AB768" s="14"/>
      <c r="AC768" s="14"/>
      <c r="AD768" s="14"/>
    </row>
    <row r="769" spans="3:30" x14ac:dyDescent="0.3">
      <c r="C769" s="14"/>
      <c r="D769" s="14"/>
      <c r="E769" s="15"/>
      <c r="F769" s="15"/>
      <c r="G769" s="15"/>
      <c r="H769" s="14"/>
      <c r="I769" s="14"/>
      <c r="J769" s="16"/>
      <c r="K769" s="16"/>
      <c r="L769" s="16"/>
      <c r="M769" s="16"/>
      <c r="N769" s="16"/>
      <c r="O769" s="16"/>
      <c r="P769" s="14"/>
      <c r="Q769" s="14"/>
      <c r="S769" s="14"/>
      <c r="T769" s="14"/>
      <c r="U769" s="14"/>
      <c r="V769" s="14"/>
      <c r="W769" s="14"/>
      <c r="X769" s="14"/>
      <c r="Y769" s="14"/>
      <c r="Z769" s="14"/>
      <c r="AA769" s="14"/>
      <c r="AB769" s="14"/>
      <c r="AC769" s="14"/>
      <c r="AD769" s="14"/>
    </row>
    <row r="770" spans="3:30" x14ac:dyDescent="0.3">
      <c r="C770" s="14"/>
      <c r="D770" s="14"/>
      <c r="E770" s="15"/>
      <c r="F770" s="15"/>
      <c r="G770" s="15"/>
      <c r="H770" s="14"/>
      <c r="I770" s="14"/>
      <c r="J770" s="16"/>
      <c r="K770" s="16"/>
      <c r="L770" s="16"/>
      <c r="M770" s="16"/>
      <c r="N770" s="16"/>
      <c r="O770" s="16"/>
      <c r="P770" s="14"/>
      <c r="Q770" s="14"/>
      <c r="S770" s="14"/>
      <c r="T770" s="14"/>
      <c r="U770" s="14"/>
      <c r="V770" s="14"/>
      <c r="W770" s="14"/>
      <c r="X770" s="14"/>
      <c r="Y770" s="14"/>
      <c r="Z770" s="14"/>
      <c r="AA770" s="14"/>
      <c r="AB770" s="14"/>
      <c r="AC770" s="14"/>
      <c r="AD770" s="14"/>
    </row>
    <row r="771" spans="3:30" x14ac:dyDescent="0.3">
      <c r="C771" s="14"/>
      <c r="D771" s="14"/>
      <c r="E771" s="15"/>
      <c r="F771" s="15"/>
      <c r="G771" s="15"/>
      <c r="H771" s="14"/>
      <c r="I771" s="14"/>
      <c r="J771" s="16"/>
      <c r="K771" s="16"/>
      <c r="L771" s="16"/>
      <c r="M771" s="16"/>
      <c r="N771" s="16"/>
      <c r="O771" s="16"/>
      <c r="P771" s="14"/>
      <c r="Q771" s="14"/>
      <c r="S771" s="14"/>
      <c r="T771" s="14"/>
      <c r="U771" s="14"/>
      <c r="V771" s="14"/>
      <c r="W771" s="14"/>
      <c r="X771" s="14"/>
      <c r="Y771" s="14"/>
      <c r="Z771" s="14"/>
      <c r="AA771" s="14"/>
      <c r="AB771" s="14"/>
      <c r="AC771" s="14"/>
      <c r="AD771" s="14"/>
    </row>
    <row r="772" spans="3:30" x14ac:dyDescent="0.3">
      <c r="C772" s="14"/>
      <c r="D772" s="14"/>
      <c r="E772" s="15"/>
      <c r="F772" s="15"/>
      <c r="G772" s="15"/>
      <c r="H772" s="14"/>
      <c r="I772" s="14"/>
      <c r="J772" s="16"/>
      <c r="K772" s="16"/>
      <c r="L772" s="16"/>
      <c r="M772" s="16"/>
      <c r="N772" s="16"/>
      <c r="O772" s="16"/>
      <c r="P772" s="14"/>
      <c r="Q772" s="14"/>
      <c r="S772" s="14"/>
      <c r="T772" s="14"/>
      <c r="U772" s="14"/>
      <c r="V772" s="14"/>
      <c r="W772" s="14"/>
      <c r="X772" s="14"/>
      <c r="Y772" s="14"/>
      <c r="Z772" s="14"/>
      <c r="AA772" s="14"/>
      <c r="AB772" s="14"/>
      <c r="AC772" s="14"/>
      <c r="AD772" s="14"/>
    </row>
    <row r="773" spans="3:30" x14ac:dyDescent="0.3">
      <c r="C773" s="14"/>
      <c r="D773" s="14"/>
      <c r="E773" s="15"/>
      <c r="F773" s="15"/>
      <c r="G773" s="15"/>
      <c r="H773" s="14"/>
      <c r="I773" s="14"/>
      <c r="J773" s="16"/>
      <c r="K773" s="16"/>
      <c r="L773" s="16"/>
      <c r="M773" s="16"/>
      <c r="N773" s="16"/>
      <c r="O773" s="16"/>
      <c r="P773" s="14"/>
      <c r="Q773" s="14"/>
      <c r="S773" s="14"/>
      <c r="T773" s="14"/>
      <c r="U773" s="14"/>
      <c r="V773" s="14"/>
      <c r="W773" s="14"/>
      <c r="X773" s="14"/>
      <c r="Y773" s="14"/>
      <c r="Z773" s="14"/>
      <c r="AA773" s="14"/>
      <c r="AB773" s="14"/>
      <c r="AC773" s="14"/>
      <c r="AD773" s="14"/>
    </row>
    <row r="774" spans="3:30" x14ac:dyDescent="0.3">
      <c r="C774" s="14"/>
      <c r="D774" s="14"/>
      <c r="E774" s="15"/>
      <c r="F774" s="15"/>
      <c r="G774" s="15"/>
      <c r="H774" s="14"/>
      <c r="I774" s="14"/>
      <c r="J774" s="16"/>
      <c r="K774" s="16"/>
      <c r="L774" s="16"/>
      <c r="M774" s="16"/>
      <c r="N774" s="16"/>
      <c r="O774" s="16"/>
      <c r="P774" s="14"/>
      <c r="Q774" s="14"/>
      <c r="S774" s="14"/>
      <c r="T774" s="14"/>
      <c r="U774" s="14"/>
      <c r="V774" s="14"/>
      <c r="W774" s="14"/>
      <c r="X774" s="14"/>
      <c r="Y774" s="14"/>
      <c r="Z774" s="14"/>
      <c r="AA774" s="14"/>
      <c r="AB774" s="14"/>
      <c r="AC774" s="14"/>
      <c r="AD774" s="14"/>
    </row>
    <row r="775" spans="3:30" x14ac:dyDescent="0.3">
      <c r="C775" s="14"/>
      <c r="D775" s="14"/>
      <c r="E775" s="15"/>
      <c r="F775" s="15"/>
      <c r="G775" s="15"/>
      <c r="H775" s="14"/>
      <c r="I775" s="14"/>
      <c r="J775" s="16"/>
      <c r="K775" s="16"/>
      <c r="L775" s="16"/>
      <c r="M775" s="16"/>
      <c r="N775" s="16"/>
      <c r="O775" s="16"/>
      <c r="P775" s="14"/>
      <c r="Q775" s="14"/>
      <c r="S775" s="14"/>
      <c r="T775" s="14"/>
      <c r="U775" s="14"/>
      <c r="V775" s="14"/>
      <c r="W775" s="14"/>
      <c r="X775" s="14"/>
      <c r="Y775" s="14"/>
      <c r="Z775" s="14"/>
      <c r="AA775" s="14"/>
      <c r="AB775" s="14"/>
      <c r="AC775" s="14"/>
      <c r="AD775" s="14"/>
    </row>
    <row r="776" spans="3:30" x14ac:dyDescent="0.3">
      <c r="C776" s="14"/>
      <c r="D776" s="14"/>
      <c r="E776" s="15"/>
      <c r="F776" s="15"/>
      <c r="G776" s="15"/>
      <c r="H776" s="14"/>
      <c r="I776" s="14"/>
      <c r="J776" s="16"/>
      <c r="K776" s="16"/>
      <c r="L776" s="16"/>
      <c r="M776" s="16"/>
      <c r="N776" s="16"/>
      <c r="O776" s="16"/>
      <c r="P776" s="14"/>
      <c r="Q776" s="14"/>
      <c r="S776" s="14"/>
      <c r="T776" s="14"/>
      <c r="U776" s="14"/>
      <c r="V776" s="14"/>
      <c r="W776" s="14"/>
      <c r="X776" s="14"/>
      <c r="Y776" s="14"/>
      <c r="Z776" s="14"/>
      <c r="AA776" s="14"/>
      <c r="AB776" s="14"/>
      <c r="AC776" s="14"/>
      <c r="AD776" s="14"/>
    </row>
    <row r="777" spans="3:30" x14ac:dyDescent="0.3">
      <c r="C777" s="14"/>
      <c r="D777" s="14"/>
      <c r="E777" s="15"/>
      <c r="F777" s="15"/>
      <c r="G777" s="15"/>
      <c r="H777" s="14"/>
      <c r="I777" s="14"/>
      <c r="J777" s="16"/>
      <c r="K777" s="16"/>
      <c r="L777" s="16"/>
      <c r="M777" s="16"/>
      <c r="N777" s="16"/>
      <c r="O777" s="16"/>
      <c r="P777" s="14"/>
      <c r="Q777" s="14"/>
      <c r="S777" s="14"/>
      <c r="T777" s="14"/>
      <c r="U777" s="14"/>
      <c r="V777" s="14"/>
      <c r="W777" s="14"/>
      <c r="X777" s="14"/>
      <c r="Y777" s="14"/>
      <c r="Z777" s="14"/>
      <c r="AA777" s="14"/>
      <c r="AB777" s="14"/>
      <c r="AC777" s="14"/>
      <c r="AD777" s="14"/>
    </row>
    <row r="778" spans="3:30" x14ac:dyDescent="0.3">
      <c r="C778" s="14"/>
      <c r="D778" s="14"/>
      <c r="E778" s="15"/>
      <c r="F778" s="15"/>
      <c r="G778" s="15"/>
      <c r="H778" s="14"/>
      <c r="I778" s="14"/>
      <c r="J778" s="16"/>
      <c r="K778" s="16"/>
      <c r="L778" s="16"/>
      <c r="M778" s="16"/>
      <c r="N778" s="16"/>
      <c r="O778" s="16"/>
      <c r="P778" s="14"/>
      <c r="Q778" s="14"/>
      <c r="S778" s="14"/>
      <c r="T778" s="14"/>
      <c r="U778" s="14"/>
      <c r="V778" s="14"/>
      <c r="W778" s="14"/>
      <c r="X778" s="14"/>
      <c r="Y778" s="14"/>
      <c r="Z778" s="14"/>
      <c r="AA778" s="14"/>
      <c r="AB778" s="14"/>
      <c r="AC778" s="14"/>
      <c r="AD778" s="14"/>
    </row>
    <row r="779" spans="3:30" x14ac:dyDescent="0.3">
      <c r="C779" s="14"/>
      <c r="D779" s="14"/>
      <c r="E779" s="15"/>
      <c r="F779" s="15"/>
      <c r="G779" s="15"/>
      <c r="H779" s="14"/>
      <c r="I779" s="14"/>
      <c r="J779" s="16"/>
      <c r="K779" s="16"/>
      <c r="L779" s="16"/>
      <c r="M779" s="16"/>
      <c r="N779" s="16"/>
      <c r="O779" s="16"/>
      <c r="P779" s="14"/>
      <c r="Q779" s="14"/>
      <c r="S779" s="14"/>
      <c r="T779" s="14"/>
      <c r="U779" s="14"/>
      <c r="V779" s="14"/>
      <c r="W779" s="14"/>
      <c r="X779" s="14"/>
      <c r="Y779" s="14"/>
      <c r="Z779" s="14"/>
      <c r="AA779" s="14"/>
      <c r="AB779" s="14"/>
      <c r="AC779" s="14"/>
      <c r="AD779" s="14"/>
    </row>
    <row r="780" spans="3:30" x14ac:dyDescent="0.3">
      <c r="C780" s="14"/>
      <c r="D780" s="14"/>
      <c r="E780" s="15"/>
      <c r="F780" s="15"/>
      <c r="G780" s="15"/>
      <c r="H780" s="14"/>
      <c r="I780" s="14"/>
      <c r="J780" s="16"/>
      <c r="K780" s="16"/>
      <c r="L780" s="16"/>
      <c r="M780" s="16"/>
      <c r="N780" s="16"/>
      <c r="O780" s="16"/>
      <c r="P780" s="14"/>
      <c r="Q780" s="14"/>
      <c r="S780" s="14"/>
      <c r="T780" s="14"/>
      <c r="U780" s="14"/>
      <c r="V780" s="14"/>
      <c r="W780" s="14"/>
      <c r="X780" s="14"/>
      <c r="Y780" s="14"/>
      <c r="Z780" s="14"/>
      <c r="AA780" s="14"/>
      <c r="AB780" s="14"/>
      <c r="AC780" s="14"/>
      <c r="AD780" s="14"/>
    </row>
    <row r="781" spans="3:30" x14ac:dyDescent="0.3">
      <c r="C781" s="14"/>
      <c r="D781" s="14"/>
      <c r="E781" s="15"/>
      <c r="F781" s="15"/>
      <c r="G781" s="15"/>
      <c r="H781" s="14"/>
      <c r="I781" s="14"/>
      <c r="J781" s="16"/>
      <c r="K781" s="16"/>
      <c r="L781" s="16"/>
      <c r="M781" s="16"/>
      <c r="N781" s="16"/>
      <c r="O781" s="16"/>
      <c r="P781" s="14"/>
      <c r="Q781" s="14"/>
      <c r="S781" s="14"/>
      <c r="T781" s="14"/>
      <c r="U781" s="14"/>
      <c r="V781" s="14"/>
      <c r="W781" s="14"/>
      <c r="X781" s="14"/>
      <c r="Y781" s="14"/>
      <c r="Z781" s="14"/>
      <c r="AA781" s="14"/>
      <c r="AB781" s="14"/>
      <c r="AC781" s="14"/>
      <c r="AD781" s="14"/>
    </row>
    <row r="782" spans="3:30" x14ac:dyDescent="0.3">
      <c r="C782" s="14"/>
      <c r="D782" s="14"/>
      <c r="E782" s="15"/>
      <c r="F782" s="15"/>
      <c r="G782" s="15"/>
      <c r="H782" s="14"/>
      <c r="I782" s="14"/>
      <c r="J782" s="16"/>
      <c r="K782" s="16"/>
      <c r="L782" s="16"/>
      <c r="M782" s="16"/>
      <c r="N782" s="16"/>
      <c r="O782" s="16"/>
      <c r="P782" s="14"/>
      <c r="Q782" s="14"/>
      <c r="S782" s="14"/>
      <c r="T782" s="14"/>
      <c r="U782" s="14"/>
      <c r="V782" s="14"/>
      <c r="W782" s="14"/>
      <c r="X782" s="14"/>
      <c r="Y782" s="14"/>
      <c r="Z782" s="14"/>
      <c r="AA782" s="14"/>
      <c r="AB782" s="14"/>
      <c r="AC782" s="14"/>
      <c r="AD782" s="14"/>
    </row>
    <row r="783" spans="3:30" x14ac:dyDescent="0.3">
      <c r="C783" s="14"/>
      <c r="D783" s="14"/>
      <c r="E783" s="15"/>
      <c r="F783" s="15"/>
      <c r="G783" s="15"/>
      <c r="H783" s="14"/>
      <c r="I783" s="14"/>
      <c r="J783" s="16"/>
      <c r="K783" s="16"/>
      <c r="L783" s="16"/>
      <c r="M783" s="16"/>
      <c r="N783" s="16"/>
      <c r="O783" s="16"/>
      <c r="P783" s="14"/>
      <c r="Q783" s="14"/>
      <c r="S783" s="14"/>
      <c r="T783" s="14"/>
      <c r="U783" s="14"/>
      <c r="V783" s="14"/>
      <c r="W783" s="14"/>
      <c r="X783" s="14"/>
      <c r="Y783" s="14"/>
      <c r="Z783" s="14"/>
      <c r="AA783" s="14"/>
      <c r="AB783" s="14"/>
      <c r="AC783" s="14"/>
      <c r="AD783" s="14"/>
    </row>
    <row r="784" spans="3:30" x14ac:dyDescent="0.3">
      <c r="C784" s="14"/>
      <c r="D784" s="14"/>
      <c r="E784" s="15"/>
      <c r="F784" s="15"/>
      <c r="G784" s="15"/>
      <c r="H784" s="14"/>
      <c r="I784" s="14"/>
      <c r="J784" s="16"/>
      <c r="K784" s="16"/>
      <c r="L784" s="16"/>
      <c r="M784" s="16"/>
      <c r="N784" s="16"/>
      <c r="O784" s="16"/>
      <c r="P784" s="14"/>
      <c r="Q784" s="14"/>
      <c r="S784" s="14"/>
      <c r="T784" s="14"/>
      <c r="U784" s="14"/>
      <c r="V784" s="14"/>
      <c r="W784" s="14"/>
      <c r="X784" s="14"/>
      <c r="Y784" s="14"/>
      <c r="Z784" s="14"/>
      <c r="AA784" s="14"/>
      <c r="AB784" s="14"/>
      <c r="AC784" s="14"/>
      <c r="AD784" s="14"/>
    </row>
    <row r="785" spans="3:30" x14ac:dyDescent="0.3">
      <c r="C785" s="14"/>
      <c r="D785" s="14"/>
      <c r="E785" s="15"/>
      <c r="F785" s="15"/>
      <c r="G785" s="15"/>
      <c r="H785" s="14"/>
      <c r="I785" s="14"/>
      <c r="J785" s="16"/>
      <c r="K785" s="16"/>
      <c r="L785" s="16"/>
      <c r="M785" s="16"/>
      <c r="N785" s="16"/>
      <c r="O785" s="16"/>
      <c r="P785" s="14"/>
      <c r="Q785" s="14"/>
      <c r="S785" s="14"/>
      <c r="T785" s="14"/>
      <c r="U785" s="14"/>
      <c r="V785" s="14"/>
      <c r="W785" s="14"/>
      <c r="X785" s="14"/>
      <c r="Y785" s="14"/>
      <c r="Z785" s="14"/>
      <c r="AA785" s="14"/>
      <c r="AB785" s="14"/>
      <c r="AC785" s="14"/>
      <c r="AD785" s="14"/>
    </row>
    <row r="786" spans="3:30" x14ac:dyDescent="0.3">
      <c r="C786" s="14"/>
      <c r="D786" s="14"/>
      <c r="E786" s="15"/>
      <c r="F786" s="15"/>
      <c r="G786" s="15"/>
      <c r="H786" s="14"/>
      <c r="I786" s="14"/>
      <c r="J786" s="16"/>
      <c r="K786" s="16"/>
      <c r="L786" s="16"/>
      <c r="M786" s="16"/>
      <c r="N786" s="16"/>
      <c r="O786" s="16"/>
      <c r="P786" s="14"/>
      <c r="Q786" s="14"/>
      <c r="S786" s="14"/>
      <c r="T786" s="14"/>
      <c r="U786" s="14"/>
      <c r="V786" s="14"/>
      <c r="W786" s="14"/>
      <c r="X786" s="14"/>
      <c r="Y786" s="14"/>
      <c r="Z786" s="14"/>
      <c r="AA786" s="14"/>
      <c r="AB786" s="14"/>
      <c r="AC786" s="14"/>
      <c r="AD786" s="14"/>
    </row>
    <row r="787" spans="3:30" x14ac:dyDescent="0.3">
      <c r="C787" s="14"/>
      <c r="D787" s="14"/>
      <c r="E787" s="15"/>
      <c r="F787" s="15"/>
      <c r="G787" s="15"/>
      <c r="H787" s="14"/>
      <c r="I787" s="14"/>
      <c r="J787" s="16"/>
      <c r="K787" s="16"/>
      <c r="L787" s="16"/>
      <c r="M787" s="16"/>
      <c r="N787" s="16"/>
      <c r="O787" s="16"/>
      <c r="P787" s="14"/>
      <c r="Q787" s="14"/>
      <c r="S787" s="14"/>
      <c r="T787" s="14"/>
      <c r="U787" s="14"/>
      <c r="V787" s="14"/>
      <c r="W787" s="14"/>
      <c r="X787" s="14"/>
      <c r="Y787" s="14"/>
      <c r="Z787" s="14"/>
      <c r="AA787" s="14"/>
      <c r="AB787" s="14"/>
      <c r="AC787" s="14"/>
      <c r="AD787" s="14"/>
    </row>
    <row r="788" spans="3:30" x14ac:dyDescent="0.3">
      <c r="C788" s="14"/>
      <c r="D788" s="14"/>
      <c r="E788" s="15"/>
      <c r="F788" s="15"/>
      <c r="G788" s="15"/>
      <c r="H788" s="14"/>
      <c r="I788" s="14"/>
      <c r="J788" s="16"/>
      <c r="K788" s="16"/>
      <c r="L788" s="16"/>
      <c r="M788" s="16"/>
      <c r="N788" s="16"/>
      <c r="O788" s="16"/>
      <c r="P788" s="14"/>
      <c r="Q788" s="14"/>
      <c r="S788" s="14"/>
      <c r="T788" s="14"/>
      <c r="U788" s="14"/>
      <c r="V788" s="14"/>
      <c r="W788" s="14"/>
      <c r="X788" s="14"/>
      <c r="Y788" s="14"/>
      <c r="Z788" s="14"/>
      <c r="AA788" s="14"/>
      <c r="AB788" s="14"/>
      <c r="AC788" s="14"/>
      <c r="AD788" s="14"/>
    </row>
    <row r="789" spans="3:30" x14ac:dyDescent="0.3">
      <c r="C789" s="14"/>
      <c r="D789" s="14"/>
      <c r="E789" s="15"/>
      <c r="F789" s="15"/>
      <c r="G789" s="15"/>
      <c r="H789" s="14"/>
      <c r="I789" s="14"/>
      <c r="J789" s="16"/>
      <c r="K789" s="16"/>
      <c r="L789" s="16"/>
      <c r="M789" s="16"/>
      <c r="N789" s="16"/>
      <c r="O789" s="16"/>
      <c r="P789" s="14"/>
      <c r="Q789" s="14"/>
      <c r="S789" s="14"/>
      <c r="T789" s="14"/>
      <c r="U789" s="14"/>
      <c r="V789" s="14"/>
      <c r="W789" s="14"/>
      <c r="X789" s="14"/>
      <c r="Y789" s="14"/>
      <c r="Z789" s="14"/>
      <c r="AA789" s="14"/>
      <c r="AB789" s="14"/>
      <c r="AC789" s="14"/>
      <c r="AD789" s="14"/>
    </row>
    <row r="790" spans="3:30" x14ac:dyDescent="0.3">
      <c r="C790" s="14"/>
      <c r="D790" s="14"/>
      <c r="E790" s="15"/>
      <c r="F790" s="15"/>
      <c r="G790" s="15"/>
      <c r="H790" s="14"/>
      <c r="I790" s="14"/>
      <c r="J790" s="16"/>
      <c r="K790" s="16"/>
      <c r="L790" s="16"/>
      <c r="M790" s="16"/>
      <c r="N790" s="16"/>
      <c r="O790" s="16"/>
      <c r="P790" s="14"/>
      <c r="Q790" s="14"/>
      <c r="S790" s="14"/>
      <c r="T790" s="14"/>
      <c r="U790" s="14"/>
      <c r="V790" s="14"/>
      <c r="W790" s="14"/>
      <c r="X790" s="14"/>
      <c r="Y790" s="14"/>
      <c r="Z790" s="14"/>
      <c r="AA790" s="14"/>
      <c r="AB790" s="14"/>
      <c r="AC790" s="14"/>
      <c r="AD790" s="14"/>
    </row>
    <row r="791" spans="3:30" x14ac:dyDescent="0.3">
      <c r="C791" s="14"/>
      <c r="D791" s="14"/>
      <c r="E791" s="15"/>
      <c r="F791" s="15"/>
      <c r="G791" s="15"/>
      <c r="H791" s="14"/>
      <c r="I791" s="14"/>
      <c r="J791" s="16"/>
      <c r="K791" s="16"/>
      <c r="L791" s="16"/>
      <c r="M791" s="16"/>
      <c r="N791" s="16"/>
      <c r="O791" s="16"/>
      <c r="P791" s="14"/>
      <c r="Q791" s="14"/>
      <c r="S791" s="14"/>
      <c r="T791" s="14"/>
      <c r="U791" s="14"/>
      <c r="V791" s="14"/>
      <c r="W791" s="14"/>
      <c r="X791" s="14"/>
      <c r="Y791" s="14"/>
      <c r="Z791" s="14"/>
      <c r="AA791" s="14"/>
      <c r="AB791" s="14"/>
      <c r="AC791" s="14"/>
      <c r="AD791" s="14"/>
    </row>
    <row r="792" spans="3:30" x14ac:dyDescent="0.3">
      <c r="C792" s="14"/>
      <c r="D792" s="14"/>
      <c r="E792" s="15"/>
      <c r="F792" s="15"/>
      <c r="G792" s="15"/>
      <c r="H792" s="14"/>
      <c r="I792" s="14"/>
      <c r="J792" s="16"/>
      <c r="K792" s="16"/>
      <c r="L792" s="16"/>
      <c r="M792" s="16"/>
      <c r="N792" s="16"/>
      <c r="O792" s="16"/>
      <c r="P792" s="14"/>
      <c r="Q792" s="14"/>
      <c r="S792" s="14"/>
      <c r="T792" s="14"/>
      <c r="U792" s="14"/>
      <c r="V792" s="14"/>
      <c r="W792" s="14"/>
      <c r="X792" s="14"/>
      <c r="Y792" s="14"/>
      <c r="Z792" s="14"/>
      <c r="AA792" s="14"/>
      <c r="AB792" s="14"/>
      <c r="AC792" s="14"/>
      <c r="AD792" s="14"/>
    </row>
    <row r="793" spans="3:30" x14ac:dyDescent="0.3">
      <c r="C793" s="14"/>
      <c r="D793" s="14"/>
      <c r="E793" s="15"/>
      <c r="F793" s="15"/>
      <c r="G793" s="15"/>
      <c r="H793" s="14"/>
      <c r="I793" s="14"/>
      <c r="J793" s="16"/>
      <c r="K793" s="16"/>
      <c r="L793" s="16"/>
      <c r="M793" s="16"/>
      <c r="N793" s="16"/>
      <c r="O793" s="16"/>
      <c r="P793" s="14"/>
      <c r="Q793" s="14"/>
      <c r="S793" s="14"/>
      <c r="T793" s="14"/>
      <c r="U793" s="14"/>
      <c r="V793" s="14"/>
      <c r="W793" s="14"/>
      <c r="X793" s="14"/>
      <c r="Y793" s="14"/>
      <c r="Z793" s="14"/>
      <c r="AA793" s="14"/>
      <c r="AB793" s="14"/>
      <c r="AC793" s="14"/>
      <c r="AD793" s="14"/>
    </row>
    <row r="794" spans="3:30" x14ac:dyDescent="0.3">
      <c r="C794" s="14"/>
      <c r="D794" s="14"/>
      <c r="E794" s="15"/>
      <c r="F794" s="15"/>
      <c r="G794" s="15"/>
      <c r="H794" s="14"/>
      <c r="I794" s="14"/>
      <c r="J794" s="16"/>
      <c r="K794" s="16"/>
      <c r="L794" s="16"/>
      <c r="M794" s="16"/>
      <c r="N794" s="16"/>
      <c r="O794" s="16"/>
      <c r="P794" s="14"/>
      <c r="Q794" s="14"/>
      <c r="S794" s="14"/>
      <c r="T794" s="14"/>
      <c r="U794" s="14"/>
      <c r="V794" s="14"/>
      <c r="W794" s="14"/>
      <c r="X794" s="14"/>
      <c r="Y794" s="14"/>
      <c r="Z794" s="14"/>
      <c r="AA794" s="14"/>
      <c r="AB794" s="14"/>
      <c r="AC794" s="14"/>
      <c r="AD794" s="14"/>
    </row>
    <row r="795" spans="3:30" x14ac:dyDescent="0.3">
      <c r="C795" s="14"/>
      <c r="D795" s="14"/>
      <c r="E795" s="15"/>
      <c r="F795" s="15"/>
      <c r="G795" s="15"/>
      <c r="H795" s="14"/>
      <c r="I795" s="14"/>
      <c r="J795" s="16"/>
      <c r="K795" s="16"/>
      <c r="L795" s="16"/>
      <c r="M795" s="16"/>
      <c r="N795" s="16"/>
      <c r="O795" s="16"/>
      <c r="P795" s="14"/>
      <c r="Q795" s="14"/>
      <c r="S795" s="14"/>
      <c r="T795" s="14"/>
      <c r="U795" s="14"/>
      <c r="V795" s="14"/>
      <c r="W795" s="14"/>
      <c r="X795" s="14"/>
      <c r="Y795" s="14"/>
      <c r="Z795" s="14"/>
      <c r="AA795" s="14"/>
      <c r="AB795" s="14"/>
      <c r="AC795" s="14"/>
      <c r="AD795" s="14"/>
    </row>
    <row r="796" spans="3:30" x14ac:dyDescent="0.3">
      <c r="C796" s="14"/>
      <c r="D796" s="14"/>
      <c r="E796" s="15"/>
      <c r="F796" s="15"/>
      <c r="G796" s="15"/>
      <c r="H796" s="14"/>
      <c r="I796" s="14"/>
      <c r="J796" s="16"/>
      <c r="K796" s="16"/>
      <c r="L796" s="16"/>
      <c r="M796" s="16"/>
      <c r="N796" s="16"/>
      <c r="O796" s="16"/>
      <c r="P796" s="14"/>
      <c r="Q796" s="14"/>
      <c r="S796" s="14"/>
      <c r="T796" s="14"/>
      <c r="U796" s="14"/>
      <c r="V796" s="14"/>
      <c r="W796" s="14"/>
      <c r="X796" s="14"/>
      <c r="Y796" s="14"/>
      <c r="Z796" s="14"/>
      <c r="AA796" s="14"/>
      <c r="AB796" s="14"/>
      <c r="AC796" s="14"/>
      <c r="AD796" s="14"/>
    </row>
    <row r="797" spans="3:30" x14ac:dyDescent="0.3">
      <c r="C797" s="14"/>
      <c r="D797" s="14"/>
      <c r="E797" s="15"/>
      <c r="F797" s="15"/>
      <c r="G797" s="15"/>
      <c r="H797" s="14"/>
      <c r="I797" s="14"/>
      <c r="J797" s="16"/>
      <c r="K797" s="16"/>
      <c r="L797" s="16"/>
      <c r="M797" s="16"/>
      <c r="N797" s="16"/>
      <c r="O797" s="16"/>
      <c r="P797" s="14"/>
      <c r="Q797" s="14"/>
      <c r="S797" s="14"/>
      <c r="T797" s="14"/>
      <c r="U797" s="14"/>
      <c r="V797" s="14"/>
      <c r="W797" s="14"/>
      <c r="X797" s="14"/>
      <c r="Y797" s="14"/>
      <c r="Z797" s="14"/>
      <c r="AA797" s="14"/>
      <c r="AB797" s="14"/>
      <c r="AC797" s="14"/>
      <c r="AD797" s="14"/>
    </row>
    <row r="798" spans="3:30" x14ac:dyDescent="0.3">
      <c r="C798" s="14"/>
      <c r="D798" s="14"/>
      <c r="E798" s="15"/>
      <c r="F798" s="15"/>
      <c r="G798" s="15"/>
      <c r="H798" s="14"/>
      <c r="I798" s="14"/>
      <c r="J798" s="16"/>
      <c r="K798" s="16"/>
      <c r="L798" s="16"/>
      <c r="M798" s="16"/>
      <c r="N798" s="16"/>
      <c r="O798" s="16"/>
      <c r="P798" s="14"/>
      <c r="Q798" s="14"/>
      <c r="S798" s="14"/>
      <c r="T798" s="14"/>
      <c r="U798" s="14"/>
      <c r="V798" s="14"/>
      <c r="W798" s="14"/>
      <c r="X798" s="14"/>
      <c r="Y798" s="14"/>
      <c r="Z798" s="14"/>
      <c r="AA798" s="14"/>
      <c r="AB798" s="14"/>
      <c r="AC798" s="14"/>
      <c r="AD798" s="14"/>
    </row>
    <row r="799" spans="3:30" x14ac:dyDescent="0.3">
      <c r="C799" s="14"/>
      <c r="D799" s="14"/>
      <c r="E799" s="15"/>
      <c r="F799" s="15"/>
      <c r="G799" s="15"/>
      <c r="H799" s="14"/>
      <c r="I799" s="14"/>
      <c r="J799" s="16"/>
      <c r="K799" s="16"/>
      <c r="L799" s="16"/>
      <c r="M799" s="16"/>
      <c r="N799" s="16"/>
      <c r="O799" s="16"/>
      <c r="P799" s="14"/>
      <c r="Q799" s="14"/>
      <c r="S799" s="14"/>
      <c r="T799" s="14"/>
      <c r="U799" s="14"/>
      <c r="V799" s="14"/>
      <c r="W799" s="14"/>
      <c r="X799" s="14"/>
      <c r="Y799" s="14"/>
      <c r="Z799" s="14"/>
      <c r="AA799" s="14"/>
      <c r="AB799" s="14"/>
      <c r="AC799" s="14"/>
      <c r="AD799" s="14"/>
    </row>
    <row r="800" spans="3:30" x14ac:dyDescent="0.3">
      <c r="C800" s="14"/>
      <c r="D800" s="14"/>
      <c r="E800" s="15"/>
      <c r="F800" s="15"/>
      <c r="G800" s="15"/>
      <c r="H800" s="14"/>
      <c r="I800" s="14"/>
      <c r="J800" s="16"/>
      <c r="K800" s="16"/>
      <c r="L800" s="16"/>
      <c r="M800" s="16"/>
      <c r="N800" s="16"/>
      <c r="O800" s="16"/>
      <c r="P800" s="14"/>
      <c r="Q800" s="14"/>
      <c r="S800" s="14"/>
      <c r="T800" s="14"/>
      <c r="U800" s="14"/>
      <c r="V800" s="14"/>
      <c r="W800" s="14"/>
      <c r="X800" s="14"/>
      <c r="Y800" s="14"/>
      <c r="Z800" s="14"/>
      <c r="AA800" s="14"/>
      <c r="AB800" s="14"/>
      <c r="AC800" s="14"/>
      <c r="AD800" s="14"/>
    </row>
    <row r="801" spans="3:30" x14ac:dyDescent="0.3">
      <c r="C801" s="14"/>
      <c r="D801" s="14"/>
      <c r="E801" s="15"/>
      <c r="F801" s="15"/>
      <c r="G801" s="15"/>
      <c r="H801" s="14"/>
      <c r="I801" s="14"/>
      <c r="J801" s="16"/>
      <c r="K801" s="16"/>
      <c r="L801" s="16"/>
      <c r="M801" s="16"/>
      <c r="N801" s="16"/>
      <c r="O801" s="16"/>
      <c r="P801" s="14"/>
      <c r="Q801" s="14"/>
      <c r="S801" s="14"/>
      <c r="T801" s="14"/>
      <c r="U801" s="14"/>
      <c r="V801" s="14"/>
      <c r="W801" s="14"/>
      <c r="X801" s="14"/>
      <c r="Y801" s="14"/>
      <c r="Z801" s="14"/>
      <c r="AA801" s="14"/>
      <c r="AB801" s="14"/>
      <c r="AC801" s="14"/>
      <c r="AD801" s="14"/>
    </row>
    <row r="802" spans="3:30" x14ac:dyDescent="0.3">
      <c r="C802" s="14"/>
      <c r="D802" s="14"/>
      <c r="E802" s="15"/>
      <c r="F802" s="15"/>
      <c r="G802" s="15"/>
      <c r="H802" s="14"/>
      <c r="I802" s="14"/>
      <c r="J802" s="16"/>
      <c r="K802" s="16"/>
      <c r="L802" s="16"/>
      <c r="M802" s="16"/>
      <c r="N802" s="16"/>
      <c r="O802" s="16"/>
      <c r="P802" s="14"/>
      <c r="Q802" s="14"/>
      <c r="S802" s="14"/>
      <c r="T802" s="14"/>
      <c r="U802" s="14"/>
      <c r="V802" s="14"/>
      <c r="W802" s="14"/>
      <c r="X802" s="14"/>
      <c r="Y802" s="14"/>
      <c r="Z802" s="14"/>
      <c r="AA802" s="14"/>
      <c r="AB802" s="14"/>
      <c r="AC802" s="14"/>
      <c r="AD802" s="14"/>
    </row>
    <row r="803" spans="3:30" x14ac:dyDescent="0.3">
      <c r="C803" s="14"/>
      <c r="D803" s="14"/>
      <c r="E803" s="15"/>
      <c r="F803" s="15"/>
      <c r="G803" s="15"/>
      <c r="H803" s="14"/>
      <c r="I803" s="14"/>
      <c r="J803" s="16"/>
      <c r="K803" s="16"/>
      <c r="L803" s="16"/>
      <c r="M803" s="16"/>
      <c r="N803" s="16"/>
      <c r="O803" s="16"/>
      <c r="P803" s="14"/>
      <c r="Q803" s="14"/>
      <c r="S803" s="14"/>
      <c r="T803" s="14"/>
      <c r="U803" s="14"/>
      <c r="V803" s="14"/>
      <c r="W803" s="14"/>
      <c r="X803" s="14"/>
      <c r="Y803" s="14"/>
      <c r="Z803" s="14"/>
      <c r="AA803" s="14"/>
      <c r="AB803" s="14"/>
      <c r="AC803" s="14"/>
      <c r="AD803" s="14"/>
    </row>
    <row r="804" spans="3:30" x14ac:dyDescent="0.3">
      <c r="C804" s="14"/>
      <c r="D804" s="14"/>
      <c r="E804" s="15"/>
      <c r="F804" s="15"/>
      <c r="G804" s="15"/>
      <c r="H804" s="14"/>
      <c r="I804" s="14"/>
      <c r="J804" s="16"/>
      <c r="K804" s="16"/>
      <c r="L804" s="16"/>
      <c r="M804" s="16"/>
      <c r="N804" s="16"/>
      <c r="O804" s="16"/>
      <c r="P804" s="14"/>
      <c r="Q804" s="14"/>
      <c r="S804" s="14"/>
      <c r="T804" s="14"/>
      <c r="U804" s="14"/>
      <c r="V804" s="14"/>
      <c r="W804" s="14"/>
      <c r="X804" s="14"/>
      <c r="Y804" s="14"/>
      <c r="Z804" s="14"/>
      <c r="AA804" s="14"/>
      <c r="AB804" s="14"/>
      <c r="AC804" s="14"/>
      <c r="AD804" s="14"/>
    </row>
    <row r="805" spans="3:30" x14ac:dyDescent="0.3">
      <c r="C805" s="14"/>
      <c r="D805" s="14"/>
      <c r="E805" s="15"/>
      <c r="F805" s="15"/>
      <c r="G805" s="15"/>
      <c r="H805" s="14"/>
      <c r="I805" s="14"/>
      <c r="J805" s="16"/>
      <c r="K805" s="16"/>
      <c r="L805" s="16"/>
      <c r="M805" s="16"/>
      <c r="N805" s="16"/>
      <c r="O805" s="16"/>
      <c r="P805" s="14"/>
      <c r="Q805" s="14"/>
      <c r="S805" s="14"/>
      <c r="T805" s="14"/>
      <c r="U805" s="14"/>
      <c r="V805" s="14"/>
      <c r="W805" s="14"/>
      <c r="X805" s="14"/>
      <c r="Y805" s="14"/>
      <c r="Z805" s="14"/>
      <c r="AA805" s="14"/>
      <c r="AB805" s="14"/>
      <c r="AC805" s="14"/>
      <c r="AD805" s="14"/>
    </row>
    <row r="806" spans="3:30" x14ac:dyDescent="0.3">
      <c r="C806" s="14"/>
      <c r="D806" s="14"/>
      <c r="E806" s="15"/>
      <c r="F806" s="15"/>
      <c r="G806" s="15"/>
      <c r="H806" s="14"/>
      <c r="I806" s="14"/>
      <c r="J806" s="16"/>
      <c r="K806" s="16"/>
      <c r="L806" s="16"/>
      <c r="M806" s="16"/>
      <c r="N806" s="16"/>
      <c r="O806" s="16"/>
      <c r="P806" s="14"/>
      <c r="Q806" s="14"/>
      <c r="S806" s="14"/>
      <c r="T806" s="14"/>
      <c r="U806" s="14"/>
      <c r="V806" s="14"/>
      <c r="W806" s="14"/>
      <c r="X806" s="14"/>
      <c r="Y806" s="14"/>
      <c r="Z806" s="14"/>
      <c r="AA806" s="14"/>
      <c r="AB806" s="14"/>
      <c r="AC806" s="14"/>
      <c r="AD806" s="14"/>
    </row>
    <row r="807" spans="3:30" x14ac:dyDescent="0.3">
      <c r="C807" s="14"/>
      <c r="D807" s="14"/>
      <c r="E807" s="15"/>
      <c r="F807" s="15"/>
      <c r="G807" s="15"/>
      <c r="H807" s="14"/>
      <c r="I807" s="14"/>
      <c r="J807" s="16"/>
      <c r="K807" s="16"/>
      <c r="L807" s="16"/>
      <c r="M807" s="16"/>
      <c r="N807" s="16"/>
      <c r="O807" s="16"/>
      <c r="P807" s="14"/>
      <c r="Q807" s="14"/>
      <c r="S807" s="14"/>
      <c r="T807" s="14"/>
      <c r="U807" s="14"/>
      <c r="V807" s="14"/>
      <c r="W807" s="14"/>
      <c r="X807" s="14"/>
      <c r="Y807" s="14"/>
      <c r="Z807" s="14"/>
      <c r="AA807" s="14"/>
      <c r="AB807" s="14"/>
      <c r="AC807" s="14"/>
      <c r="AD807" s="14"/>
    </row>
    <row r="808" spans="3:30" x14ac:dyDescent="0.3">
      <c r="C808" s="14"/>
      <c r="D808" s="14"/>
      <c r="E808" s="15"/>
      <c r="F808" s="15"/>
      <c r="G808" s="15"/>
      <c r="H808" s="14"/>
      <c r="I808" s="14"/>
      <c r="J808" s="16"/>
      <c r="K808" s="16"/>
      <c r="L808" s="16"/>
      <c r="M808" s="16"/>
      <c r="N808" s="16"/>
      <c r="O808" s="16"/>
      <c r="P808" s="14"/>
      <c r="Q808" s="14"/>
      <c r="S808" s="14"/>
      <c r="T808" s="14"/>
      <c r="U808" s="14"/>
      <c r="V808" s="14"/>
      <c r="W808" s="14"/>
      <c r="X808" s="14"/>
      <c r="Y808" s="14"/>
      <c r="Z808" s="14"/>
      <c r="AA808" s="14"/>
      <c r="AB808" s="14"/>
      <c r="AC808" s="14"/>
      <c r="AD808" s="14"/>
    </row>
    <row r="809" spans="3:30" x14ac:dyDescent="0.3">
      <c r="C809" s="14"/>
      <c r="D809" s="14"/>
      <c r="E809" s="15"/>
      <c r="F809" s="15"/>
      <c r="G809" s="15"/>
      <c r="H809" s="14"/>
      <c r="I809" s="14"/>
      <c r="J809" s="16"/>
      <c r="K809" s="16"/>
      <c r="L809" s="16"/>
      <c r="M809" s="16"/>
      <c r="N809" s="16"/>
      <c r="O809" s="16"/>
      <c r="P809" s="14"/>
      <c r="Q809" s="14"/>
      <c r="S809" s="14"/>
      <c r="T809" s="14"/>
      <c r="U809" s="14"/>
      <c r="V809" s="14"/>
      <c r="W809" s="14"/>
      <c r="X809" s="14"/>
      <c r="Y809" s="14"/>
      <c r="Z809" s="14"/>
      <c r="AA809" s="14"/>
      <c r="AB809" s="14"/>
      <c r="AC809" s="14"/>
      <c r="AD809" s="14"/>
    </row>
    <row r="810" spans="3:30" x14ac:dyDescent="0.3">
      <c r="C810" s="14"/>
      <c r="D810" s="14"/>
      <c r="E810" s="15"/>
      <c r="F810" s="15"/>
      <c r="G810" s="15"/>
      <c r="H810" s="14"/>
      <c r="I810" s="14"/>
      <c r="J810" s="16"/>
      <c r="K810" s="16"/>
      <c r="L810" s="16"/>
      <c r="M810" s="16"/>
      <c r="N810" s="16"/>
      <c r="O810" s="16"/>
      <c r="P810" s="14"/>
      <c r="Q810" s="14"/>
      <c r="S810" s="14"/>
      <c r="T810" s="14"/>
      <c r="U810" s="14"/>
      <c r="V810" s="14"/>
      <c r="W810" s="14"/>
      <c r="X810" s="14"/>
      <c r="Y810" s="14"/>
      <c r="Z810" s="14"/>
      <c r="AA810" s="14"/>
      <c r="AB810" s="14"/>
      <c r="AC810" s="14"/>
      <c r="AD810" s="14"/>
    </row>
    <row r="811" spans="3:30" x14ac:dyDescent="0.3">
      <c r="C811" s="14"/>
      <c r="D811" s="14"/>
      <c r="E811" s="15"/>
      <c r="F811" s="15"/>
      <c r="G811" s="15"/>
      <c r="H811" s="14"/>
      <c r="I811" s="14"/>
      <c r="J811" s="16"/>
      <c r="K811" s="16"/>
      <c r="L811" s="16"/>
      <c r="M811" s="16"/>
      <c r="N811" s="16"/>
      <c r="O811" s="16"/>
      <c r="P811" s="14"/>
      <c r="Q811" s="14"/>
      <c r="S811" s="14"/>
      <c r="T811" s="14"/>
      <c r="U811" s="14"/>
      <c r="V811" s="14"/>
      <c r="W811" s="14"/>
      <c r="X811" s="14"/>
      <c r="Y811" s="14"/>
      <c r="Z811" s="14"/>
      <c r="AA811" s="14"/>
      <c r="AB811" s="14"/>
      <c r="AC811" s="14"/>
      <c r="AD811" s="14"/>
    </row>
    <row r="812" spans="3:30" x14ac:dyDescent="0.3">
      <c r="C812" s="14"/>
      <c r="D812" s="14"/>
      <c r="E812" s="15"/>
      <c r="F812" s="15"/>
      <c r="G812" s="15"/>
      <c r="H812" s="14"/>
      <c r="I812" s="14"/>
      <c r="J812" s="16"/>
      <c r="K812" s="16"/>
      <c r="L812" s="16"/>
      <c r="M812" s="16"/>
      <c r="N812" s="16"/>
      <c r="O812" s="16"/>
      <c r="P812" s="14"/>
      <c r="Q812" s="14"/>
      <c r="S812" s="14"/>
      <c r="T812" s="14"/>
      <c r="U812" s="14"/>
      <c r="V812" s="14"/>
      <c r="W812" s="14"/>
      <c r="X812" s="14"/>
      <c r="Y812" s="14"/>
      <c r="Z812" s="14"/>
      <c r="AA812" s="14"/>
      <c r="AB812" s="14"/>
      <c r="AC812" s="14"/>
      <c r="AD812" s="14"/>
    </row>
    <row r="813" spans="3:30" x14ac:dyDescent="0.3">
      <c r="C813" s="14"/>
      <c r="D813" s="14"/>
      <c r="E813" s="15"/>
      <c r="F813" s="15"/>
      <c r="G813" s="15"/>
      <c r="H813" s="14"/>
      <c r="I813" s="14"/>
      <c r="J813" s="16"/>
      <c r="K813" s="16"/>
      <c r="L813" s="16"/>
      <c r="M813" s="16"/>
      <c r="N813" s="16"/>
      <c r="O813" s="16"/>
      <c r="P813" s="14"/>
      <c r="Q813" s="14"/>
      <c r="S813" s="14"/>
      <c r="T813" s="14"/>
      <c r="U813" s="14"/>
      <c r="V813" s="14"/>
      <c r="W813" s="14"/>
      <c r="X813" s="14"/>
      <c r="Y813" s="14"/>
      <c r="Z813" s="14"/>
      <c r="AA813" s="14"/>
      <c r="AB813" s="14"/>
      <c r="AC813" s="14"/>
      <c r="AD813" s="14"/>
    </row>
    <row r="814" spans="3:30" x14ac:dyDescent="0.3">
      <c r="C814" s="14"/>
      <c r="D814" s="14"/>
      <c r="E814" s="15"/>
      <c r="F814" s="15"/>
      <c r="G814" s="15"/>
      <c r="H814" s="14"/>
      <c r="I814" s="14"/>
      <c r="J814" s="16"/>
      <c r="K814" s="16"/>
      <c r="L814" s="16"/>
      <c r="M814" s="16"/>
      <c r="N814" s="16"/>
      <c r="O814" s="16"/>
      <c r="P814" s="14"/>
      <c r="Q814" s="14"/>
      <c r="S814" s="14"/>
      <c r="T814" s="14"/>
      <c r="U814" s="14"/>
      <c r="V814" s="14"/>
      <c r="W814" s="14"/>
      <c r="X814" s="14"/>
      <c r="Y814" s="14"/>
      <c r="Z814" s="14"/>
      <c r="AA814" s="14"/>
      <c r="AB814" s="14"/>
      <c r="AC814" s="14"/>
      <c r="AD814" s="14"/>
    </row>
    <row r="815" spans="3:30" x14ac:dyDescent="0.3">
      <c r="C815" s="14"/>
      <c r="D815" s="14"/>
      <c r="E815" s="15"/>
      <c r="F815" s="15"/>
      <c r="G815" s="15"/>
      <c r="H815" s="14"/>
      <c r="I815" s="14"/>
      <c r="J815" s="16"/>
      <c r="K815" s="16"/>
      <c r="L815" s="16"/>
      <c r="M815" s="16"/>
      <c r="N815" s="16"/>
      <c r="O815" s="16"/>
      <c r="P815" s="14"/>
      <c r="Q815" s="14"/>
      <c r="S815" s="14"/>
      <c r="T815" s="14"/>
      <c r="U815" s="14"/>
      <c r="V815" s="14"/>
      <c r="W815" s="14"/>
      <c r="X815" s="14"/>
      <c r="Y815" s="14"/>
      <c r="Z815" s="14"/>
      <c r="AA815" s="14"/>
      <c r="AB815" s="14"/>
      <c r="AC815" s="14"/>
      <c r="AD815" s="14"/>
    </row>
    <row r="816" spans="3:30" x14ac:dyDescent="0.3">
      <c r="C816" s="14"/>
      <c r="D816" s="14"/>
      <c r="E816" s="15"/>
      <c r="F816" s="15"/>
      <c r="G816" s="15"/>
      <c r="H816" s="14"/>
      <c r="I816" s="14"/>
      <c r="J816" s="16"/>
      <c r="K816" s="16"/>
      <c r="L816" s="16"/>
      <c r="M816" s="16"/>
      <c r="N816" s="16"/>
      <c r="O816" s="16"/>
      <c r="P816" s="14"/>
      <c r="Q816" s="14"/>
      <c r="S816" s="14"/>
      <c r="T816" s="14"/>
      <c r="U816" s="14"/>
      <c r="V816" s="14"/>
      <c r="W816" s="14"/>
      <c r="X816" s="14"/>
      <c r="Y816" s="14"/>
      <c r="Z816" s="14"/>
      <c r="AA816" s="14"/>
      <c r="AB816" s="14"/>
      <c r="AC816" s="14"/>
      <c r="AD816" s="14"/>
    </row>
    <row r="817" spans="3:30" x14ac:dyDescent="0.3">
      <c r="C817" s="14"/>
      <c r="D817" s="14"/>
      <c r="E817" s="15"/>
      <c r="F817" s="15"/>
      <c r="G817" s="15"/>
      <c r="H817" s="14"/>
      <c r="I817" s="14"/>
      <c r="J817" s="16"/>
      <c r="K817" s="16"/>
      <c r="L817" s="16"/>
      <c r="M817" s="16"/>
      <c r="N817" s="16"/>
      <c r="O817" s="16"/>
      <c r="P817" s="14"/>
      <c r="Q817" s="14"/>
      <c r="S817" s="14"/>
      <c r="T817" s="14"/>
      <c r="U817" s="14"/>
      <c r="V817" s="14"/>
      <c r="W817" s="14"/>
      <c r="X817" s="14"/>
      <c r="Y817" s="14"/>
      <c r="Z817" s="14"/>
      <c r="AA817" s="14"/>
      <c r="AB817" s="14"/>
      <c r="AC817" s="14"/>
      <c r="AD817" s="14"/>
    </row>
    <row r="818" spans="3:30" x14ac:dyDescent="0.3">
      <c r="C818" s="14"/>
      <c r="D818" s="14"/>
      <c r="E818" s="15"/>
      <c r="F818" s="15"/>
      <c r="G818" s="15"/>
      <c r="H818" s="14"/>
      <c r="I818" s="14"/>
      <c r="J818" s="16"/>
      <c r="K818" s="16"/>
      <c r="L818" s="16"/>
      <c r="M818" s="16"/>
      <c r="N818" s="16"/>
      <c r="O818" s="16"/>
      <c r="P818" s="14"/>
      <c r="Q818" s="14"/>
      <c r="S818" s="14"/>
      <c r="T818" s="14"/>
      <c r="U818" s="14"/>
      <c r="V818" s="14"/>
      <c r="W818" s="14"/>
      <c r="X818" s="14"/>
      <c r="Y818" s="14"/>
      <c r="Z818" s="14"/>
      <c r="AA818" s="14"/>
      <c r="AB818" s="14"/>
      <c r="AC818" s="14"/>
      <c r="AD818" s="14"/>
    </row>
    <row r="819" spans="3:30" x14ac:dyDescent="0.3">
      <c r="C819" s="14"/>
      <c r="D819" s="14"/>
      <c r="E819" s="15"/>
      <c r="F819" s="15"/>
      <c r="G819" s="15"/>
      <c r="H819" s="14"/>
      <c r="I819" s="14"/>
      <c r="J819" s="16"/>
      <c r="K819" s="16"/>
      <c r="L819" s="16"/>
      <c r="M819" s="16"/>
      <c r="N819" s="16"/>
      <c r="O819" s="16"/>
      <c r="P819" s="14"/>
      <c r="Q819" s="14"/>
      <c r="S819" s="14"/>
      <c r="T819" s="14"/>
      <c r="U819" s="14"/>
      <c r="V819" s="14"/>
      <c r="W819" s="14"/>
      <c r="X819" s="14"/>
      <c r="Y819" s="14"/>
      <c r="Z819" s="14"/>
      <c r="AA819" s="14"/>
      <c r="AB819" s="14"/>
      <c r="AC819" s="14"/>
      <c r="AD819" s="14"/>
    </row>
    <row r="820" spans="3:30" x14ac:dyDescent="0.3">
      <c r="C820" s="14"/>
      <c r="D820" s="14"/>
      <c r="E820" s="15"/>
      <c r="F820" s="15"/>
      <c r="G820" s="15"/>
      <c r="H820" s="14"/>
      <c r="I820" s="14"/>
      <c r="J820" s="16"/>
      <c r="K820" s="16"/>
      <c r="L820" s="16"/>
      <c r="M820" s="16"/>
      <c r="N820" s="16"/>
      <c r="O820" s="16"/>
      <c r="P820" s="14"/>
      <c r="Q820" s="14"/>
      <c r="S820" s="14"/>
      <c r="T820" s="14"/>
      <c r="U820" s="14"/>
      <c r="V820" s="14"/>
      <c r="W820" s="14"/>
      <c r="X820" s="14"/>
      <c r="Y820" s="14"/>
      <c r="Z820" s="14"/>
      <c r="AA820" s="14"/>
      <c r="AB820" s="14"/>
      <c r="AC820" s="14"/>
      <c r="AD820" s="14"/>
    </row>
    <row r="821" spans="3:30" x14ac:dyDescent="0.3">
      <c r="C821" s="14"/>
      <c r="D821" s="14"/>
      <c r="E821" s="15"/>
      <c r="F821" s="15"/>
      <c r="G821" s="15"/>
      <c r="H821" s="14"/>
      <c r="I821" s="14"/>
      <c r="J821" s="16"/>
      <c r="K821" s="16"/>
      <c r="L821" s="16"/>
      <c r="M821" s="16"/>
      <c r="N821" s="16"/>
      <c r="O821" s="16"/>
      <c r="P821" s="14"/>
      <c r="Q821" s="14"/>
      <c r="S821" s="14"/>
      <c r="T821" s="14"/>
      <c r="U821" s="14"/>
      <c r="V821" s="14"/>
      <c r="W821" s="14"/>
      <c r="X821" s="14"/>
      <c r="Y821" s="14"/>
      <c r="Z821" s="14"/>
      <c r="AA821" s="14"/>
      <c r="AB821" s="14"/>
      <c r="AC821" s="14"/>
      <c r="AD821" s="14"/>
    </row>
    <row r="822" spans="3:30" x14ac:dyDescent="0.3">
      <c r="C822" s="14"/>
      <c r="D822" s="14"/>
      <c r="E822" s="15"/>
      <c r="F822" s="15"/>
      <c r="G822" s="15"/>
      <c r="H822" s="14"/>
      <c r="I822" s="14"/>
      <c r="J822" s="16"/>
      <c r="K822" s="16"/>
      <c r="L822" s="16"/>
      <c r="M822" s="16"/>
      <c r="N822" s="16"/>
      <c r="O822" s="16"/>
      <c r="P822" s="14"/>
      <c r="Q822" s="14"/>
      <c r="S822" s="14"/>
      <c r="T822" s="14"/>
      <c r="U822" s="14"/>
      <c r="V822" s="14"/>
      <c r="W822" s="14"/>
      <c r="X822" s="14"/>
      <c r="Y822" s="14"/>
      <c r="Z822" s="14"/>
      <c r="AA822" s="14"/>
      <c r="AB822" s="14"/>
      <c r="AC822" s="14"/>
      <c r="AD822" s="14"/>
    </row>
    <row r="823" spans="3:30" x14ac:dyDescent="0.3">
      <c r="C823" s="14"/>
      <c r="D823" s="14"/>
      <c r="E823" s="15"/>
      <c r="F823" s="15"/>
      <c r="G823" s="15"/>
      <c r="H823" s="14"/>
      <c r="I823" s="14"/>
      <c r="J823" s="16"/>
      <c r="K823" s="16"/>
      <c r="L823" s="16"/>
      <c r="M823" s="16"/>
      <c r="N823" s="16"/>
      <c r="O823" s="16"/>
      <c r="P823" s="14"/>
      <c r="Q823" s="14"/>
      <c r="S823" s="14"/>
      <c r="T823" s="14"/>
      <c r="U823" s="14"/>
      <c r="V823" s="14"/>
      <c r="W823" s="14"/>
      <c r="X823" s="14"/>
      <c r="Y823" s="14"/>
      <c r="Z823" s="14"/>
      <c r="AA823" s="14"/>
      <c r="AB823" s="14"/>
      <c r="AC823" s="14"/>
      <c r="AD823" s="14"/>
    </row>
    <row r="824" spans="3:30" x14ac:dyDescent="0.3">
      <c r="C824" s="14"/>
      <c r="D824" s="14"/>
      <c r="E824" s="15"/>
      <c r="F824" s="15"/>
      <c r="G824" s="15"/>
      <c r="H824" s="14"/>
      <c r="I824" s="14"/>
      <c r="J824" s="16"/>
      <c r="K824" s="16"/>
      <c r="L824" s="16"/>
      <c r="M824" s="16"/>
      <c r="N824" s="16"/>
      <c r="O824" s="16"/>
      <c r="P824" s="14"/>
      <c r="Q824" s="14"/>
      <c r="S824" s="14"/>
      <c r="T824" s="14"/>
      <c r="U824" s="14"/>
      <c r="V824" s="14"/>
      <c r="W824" s="14"/>
      <c r="X824" s="14"/>
      <c r="Y824" s="14"/>
      <c r="Z824" s="14"/>
      <c r="AA824" s="14"/>
      <c r="AB824" s="14"/>
      <c r="AC824" s="14"/>
      <c r="AD824" s="14"/>
    </row>
    <row r="825" spans="3:30" x14ac:dyDescent="0.3">
      <c r="C825" s="14"/>
      <c r="D825" s="14"/>
      <c r="E825" s="15"/>
      <c r="F825" s="15"/>
      <c r="G825" s="15"/>
      <c r="H825" s="14"/>
      <c r="I825" s="14"/>
      <c r="J825" s="16"/>
      <c r="K825" s="16"/>
      <c r="L825" s="16"/>
      <c r="M825" s="16"/>
      <c r="N825" s="16"/>
      <c r="O825" s="16"/>
      <c r="P825" s="14"/>
      <c r="Q825" s="14"/>
      <c r="S825" s="14"/>
      <c r="T825" s="14"/>
      <c r="U825" s="14"/>
      <c r="V825" s="14"/>
      <c r="W825" s="14"/>
      <c r="X825" s="14"/>
      <c r="Y825" s="14"/>
      <c r="Z825" s="14"/>
      <c r="AA825" s="14"/>
      <c r="AB825" s="14"/>
      <c r="AC825" s="14"/>
      <c r="AD825" s="14"/>
    </row>
    <row r="826" spans="3:30" x14ac:dyDescent="0.3">
      <c r="C826" s="14"/>
      <c r="D826" s="14"/>
      <c r="E826" s="15"/>
      <c r="F826" s="15"/>
      <c r="G826" s="15"/>
      <c r="H826" s="14"/>
      <c r="I826" s="14"/>
      <c r="J826" s="16"/>
      <c r="K826" s="16"/>
      <c r="L826" s="16"/>
      <c r="M826" s="16"/>
      <c r="N826" s="16"/>
      <c r="O826" s="16"/>
      <c r="P826" s="14"/>
      <c r="Q826" s="14"/>
      <c r="S826" s="14"/>
      <c r="T826" s="14"/>
      <c r="U826" s="14"/>
      <c r="V826" s="14"/>
      <c r="W826" s="14"/>
      <c r="X826" s="14"/>
      <c r="Y826" s="14"/>
      <c r="Z826" s="14"/>
      <c r="AA826" s="14"/>
      <c r="AB826" s="14"/>
      <c r="AC826" s="14"/>
      <c r="AD826" s="14"/>
    </row>
    <row r="827" spans="3:30" x14ac:dyDescent="0.3">
      <c r="C827" s="14"/>
      <c r="D827" s="14"/>
      <c r="E827" s="15"/>
      <c r="F827" s="15"/>
      <c r="G827" s="15"/>
      <c r="H827" s="14"/>
      <c r="I827" s="14"/>
      <c r="J827" s="16"/>
      <c r="K827" s="16"/>
      <c r="L827" s="16"/>
      <c r="M827" s="16"/>
      <c r="N827" s="16"/>
      <c r="O827" s="16"/>
      <c r="P827" s="14"/>
      <c r="Q827" s="14"/>
      <c r="S827" s="14"/>
      <c r="T827" s="14"/>
      <c r="U827" s="14"/>
      <c r="V827" s="14"/>
      <c r="W827" s="14"/>
      <c r="X827" s="14"/>
      <c r="Y827" s="14"/>
      <c r="Z827" s="14"/>
      <c r="AA827" s="14"/>
      <c r="AB827" s="14"/>
      <c r="AC827" s="14"/>
      <c r="AD827" s="14"/>
    </row>
    <row r="828" spans="3:30" x14ac:dyDescent="0.3">
      <c r="C828" s="14"/>
      <c r="D828" s="14"/>
      <c r="E828" s="15"/>
      <c r="F828" s="15"/>
      <c r="G828" s="15"/>
      <c r="H828" s="14"/>
      <c r="I828" s="14"/>
      <c r="J828" s="16"/>
      <c r="K828" s="16"/>
      <c r="L828" s="16"/>
      <c r="M828" s="16"/>
      <c r="N828" s="16"/>
      <c r="O828" s="16"/>
      <c r="P828" s="14"/>
      <c r="Q828" s="14"/>
      <c r="S828" s="14"/>
      <c r="T828" s="14"/>
      <c r="U828" s="14"/>
      <c r="V828" s="14"/>
      <c r="W828" s="14"/>
      <c r="X828" s="14"/>
      <c r="Y828" s="14"/>
      <c r="Z828" s="14"/>
      <c r="AA828" s="14"/>
      <c r="AB828" s="14"/>
      <c r="AC828" s="14"/>
      <c r="AD828" s="14"/>
    </row>
    <row r="829" spans="3:30" x14ac:dyDescent="0.3">
      <c r="C829" s="14"/>
      <c r="D829" s="14"/>
      <c r="E829" s="15"/>
      <c r="F829" s="15"/>
      <c r="G829" s="15"/>
      <c r="H829" s="14"/>
      <c r="I829" s="14"/>
      <c r="J829" s="16"/>
      <c r="K829" s="16"/>
      <c r="L829" s="16"/>
      <c r="M829" s="16"/>
      <c r="N829" s="16"/>
      <c r="O829" s="16"/>
      <c r="P829" s="14"/>
      <c r="Q829" s="14"/>
      <c r="S829" s="14"/>
      <c r="T829" s="14"/>
      <c r="U829" s="14"/>
      <c r="V829" s="14"/>
      <c r="W829" s="14"/>
      <c r="X829" s="14"/>
      <c r="Y829" s="14"/>
      <c r="Z829" s="14"/>
      <c r="AA829" s="14"/>
      <c r="AB829" s="14"/>
      <c r="AC829" s="14"/>
      <c r="AD829" s="14"/>
    </row>
    <row r="830" spans="3:30" x14ac:dyDescent="0.3">
      <c r="C830" s="14"/>
      <c r="D830" s="14"/>
      <c r="E830" s="15"/>
      <c r="F830" s="15"/>
      <c r="G830" s="15"/>
      <c r="H830" s="14"/>
      <c r="I830" s="14"/>
      <c r="J830" s="16"/>
      <c r="K830" s="16"/>
      <c r="L830" s="16"/>
      <c r="M830" s="16"/>
      <c r="N830" s="16"/>
      <c r="O830" s="16"/>
      <c r="P830" s="14"/>
      <c r="Q830" s="14"/>
      <c r="S830" s="14"/>
      <c r="T830" s="14"/>
      <c r="U830" s="14"/>
      <c r="V830" s="14"/>
      <c r="W830" s="14"/>
      <c r="X830" s="14"/>
      <c r="Y830" s="14"/>
      <c r="Z830" s="14"/>
      <c r="AA830" s="14"/>
      <c r="AB830" s="14"/>
      <c r="AC830" s="14"/>
      <c r="AD830" s="14"/>
    </row>
    <row r="831" spans="3:30" x14ac:dyDescent="0.3">
      <c r="C831" s="14"/>
      <c r="D831" s="14"/>
      <c r="E831" s="15"/>
      <c r="F831" s="15"/>
      <c r="G831" s="15"/>
      <c r="H831" s="14"/>
      <c r="I831" s="14"/>
      <c r="J831" s="16"/>
      <c r="K831" s="16"/>
      <c r="L831" s="16"/>
      <c r="M831" s="16"/>
      <c r="N831" s="16"/>
      <c r="O831" s="16"/>
      <c r="P831" s="14"/>
      <c r="Q831" s="14"/>
      <c r="S831" s="14"/>
      <c r="T831" s="14"/>
      <c r="U831" s="14"/>
      <c r="V831" s="14"/>
      <c r="W831" s="14"/>
      <c r="X831" s="14"/>
      <c r="Y831" s="14"/>
      <c r="Z831" s="14"/>
      <c r="AA831" s="14"/>
      <c r="AB831" s="14"/>
      <c r="AC831" s="14"/>
      <c r="AD831" s="14"/>
    </row>
    <row r="832" spans="3:30" x14ac:dyDescent="0.3">
      <c r="C832" s="14"/>
      <c r="D832" s="14"/>
      <c r="E832" s="15"/>
      <c r="F832" s="15"/>
      <c r="G832" s="15"/>
      <c r="H832" s="14"/>
      <c r="I832" s="14"/>
      <c r="J832" s="16"/>
      <c r="K832" s="16"/>
      <c r="L832" s="16"/>
      <c r="M832" s="16"/>
      <c r="N832" s="16"/>
      <c r="O832" s="16"/>
      <c r="P832" s="14"/>
      <c r="Q832" s="14"/>
      <c r="S832" s="14"/>
      <c r="T832" s="14"/>
      <c r="U832" s="14"/>
      <c r="V832" s="14"/>
      <c r="W832" s="14"/>
      <c r="X832" s="14"/>
      <c r="Y832" s="14"/>
      <c r="Z832" s="14"/>
      <c r="AA832" s="14"/>
      <c r="AB832" s="14"/>
      <c r="AC832" s="14"/>
      <c r="AD832" s="14"/>
    </row>
    <row r="833" spans="3:30" x14ac:dyDescent="0.3">
      <c r="C833" s="14"/>
      <c r="D833" s="14"/>
      <c r="E833" s="15"/>
      <c r="F833" s="15"/>
      <c r="G833" s="15"/>
      <c r="H833" s="14"/>
      <c r="I833" s="14"/>
      <c r="J833" s="16"/>
      <c r="K833" s="16"/>
      <c r="L833" s="16"/>
      <c r="M833" s="16"/>
      <c r="N833" s="16"/>
      <c r="O833" s="16"/>
      <c r="P833" s="14"/>
      <c r="Q833" s="14"/>
      <c r="S833" s="14"/>
      <c r="T833" s="14"/>
      <c r="U833" s="14"/>
      <c r="V833" s="14"/>
      <c r="W833" s="14"/>
      <c r="X833" s="14"/>
      <c r="Y833" s="14"/>
      <c r="Z833" s="14"/>
      <c r="AA833" s="14"/>
      <c r="AB833" s="14"/>
      <c r="AC833" s="14"/>
      <c r="AD833" s="14"/>
    </row>
    <row r="834" spans="3:30" x14ac:dyDescent="0.3">
      <c r="C834" s="14"/>
      <c r="D834" s="14"/>
      <c r="E834" s="15"/>
      <c r="F834" s="15"/>
      <c r="G834" s="15"/>
      <c r="H834" s="14"/>
      <c r="I834" s="14"/>
      <c r="J834" s="16"/>
      <c r="K834" s="16"/>
      <c r="L834" s="16"/>
      <c r="M834" s="16"/>
      <c r="N834" s="16"/>
      <c r="O834" s="16"/>
      <c r="P834" s="14"/>
      <c r="Q834" s="14"/>
      <c r="S834" s="14"/>
      <c r="T834" s="14"/>
      <c r="U834" s="14"/>
      <c r="V834" s="14"/>
      <c r="W834" s="14"/>
      <c r="X834" s="14"/>
      <c r="Y834" s="14"/>
      <c r="Z834" s="14"/>
      <c r="AA834" s="14"/>
      <c r="AB834" s="14"/>
      <c r="AC834" s="14"/>
      <c r="AD834" s="14"/>
    </row>
    <row r="835" spans="3:30" x14ac:dyDescent="0.3">
      <c r="C835" s="14"/>
      <c r="D835" s="14"/>
      <c r="E835" s="15"/>
      <c r="F835" s="15"/>
      <c r="G835" s="15"/>
      <c r="H835" s="14"/>
      <c r="I835" s="14"/>
      <c r="J835" s="16"/>
      <c r="K835" s="16"/>
      <c r="L835" s="16"/>
      <c r="M835" s="16"/>
      <c r="N835" s="16"/>
      <c r="O835" s="16"/>
      <c r="P835" s="14"/>
      <c r="Q835" s="14"/>
      <c r="S835" s="14"/>
      <c r="T835" s="14"/>
      <c r="U835" s="14"/>
      <c r="V835" s="14"/>
      <c r="W835" s="14"/>
      <c r="X835" s="14"/>
      <c r="Y835" s="14"/>
      <c r="Z835" s="14"/>
      <c r="AA835" s="14"/>
      <c r="AB835" s="14"/>
      <c r="AC835" s="14"/>
      <c r="AD835" s="14"/>
    </row>
    <row r="836" spans="3:30" x14ac:dyDescent="0.3">
      <c r="C836" s="14"/>
      <c r="D836" s="14"/>
      <c r="E836" s="15"/>
      <c r="F836" s="15"/>
      <c r="G836" s="15"/>
      <c r="H836" s="14"/>
      <c r="I836" s="14"/>
      <c r="J836" s="16"/>
      <c r="K836" s="16"/>
      <c r="L836" s="16"/>
      <c r="M836" s="16"/>
      <c r="N836" s="16"/>
      <c r="O836" s="16"/>
      <c r="P836" s="14"/>
      <c r="Q836" s="14"/>
      <c r="S836" s="14"/>
      <c r="T836" s="14"/>
      <c r="U836" s="14"/>
      <c r="V836" s="14"/>
      <c r="W836" s="14"/>
      <c r="X836" s="14"/>
      <c r="Y836" s="14"/>
      <c r="Z836" s="14"/>
      <c r="AA836" s="14"/>
      <c r="AB836" s="14"/>
      <c r="AC836" s="14"/>
      <c r="AD836" s="14"/>
    </row>
    <row r="837" spans="3:30" x14ac:dyDescent="0.3">
      <c r="C837" s="14"/>
      <c r="D837" s="14"/>
      <c r="E837" s="15"/>
      <c r="F837" s="15"/>
      <c r="G837" s="15"/>
      <c r="H837" s="14"/>
      <c r="I837" s="14"/>
      <c r="J837" s="16"/>
      <c r="K837" s="16"/>
      <c r="L837" s="16"/>
      <c r="M837" s="16"/>
      <c r="N837" s="16"/>
      <c r="O837" s="16"/>
      <c r="P837" s="14"/>
      <c r="Q837" s="14"/>
      <c r="S837" s="14"/>
      <c r="T837" s="14"/>
      <c r="U837" s="14"/>
      <c r="V837" s="14"/>
      <c r="W837" s="14"/>
      <c r="X837" s="14"/>
      <c r="Y837" s="14"/>
      <c r="Z837" s="14"/>
      <c r="AA837" s="14"/>
      <c r="AB837" s="14"/>
      <c r="AC837" s="14"/>
      <c r="AD837" s="14"/>
    </row>
    <row r="838" spans="3:30" x14ac:dyDescent="0.3">
      <c r="C838" s="14"/>
      <c r="D838" s="14"/>
      <c r="E838" s="15"/>
      <c r="F838" s="15"/>
      <c r="G838" s="15"/>
      <c r="H838" s="14"/>
      <c r="I838" s="14"/>
      <c r="J838" s="16"/>
      <c r="K838" s="16"/>
      <c r="L838" s="16"/>
      <c r="M838" s="16"/>
      <c r="N838" s="16"/>
      <c r="O838" s="16"/>
      <c r="P838" s="14"/>
      <c r="Q838" s="14"/>
      <c r="S838" s="14"/>
      <c r="T838" s="14"/>
      <c r="U838" s="14"/>
      <c r="V838" s="14"/>
      <c r="W838" s="14"/>
      <c r="X838" s="14"/>
      <c r="Y838" s="14"/>
      <c r="Z838" s="14"/>
      <c r="AA838" s="14"/>
      <c r="AB838" s="14"/>
      <c r="AC838" s="14"/>
      <c r="AD838" s="14"/>
    </row>
    <row r="839" spans="3:30" x14ac:dyDescent="0.3">
      <c r="C839" s="14"/>
      <c r="D839" s="14"/>
      <c r="E839" s="15"/>
      <c r="F839" s="15"/>
      <c r="G839" s="15"/>
      <c r="H839" s="14"/>
      <c r="I839" s="14"/>
      <c r="J839" s="16"/>
      <c r="K839" s="16"/>
      <c r="L839" s="16"/>
      <c r="M839" s="16"/>
      <c r="N839" s="16"/>
      <c r="O839" s="16"/>
      <c r="P839" s="14"/>
      <c r="Q839" s="14"/>
      <c r="S839" s="14"/>
      <c r="T839" s="14"/>
      <c r="U839" s="14"/>
      <c r="V839" s="14"/>
      <c r="W839" s="14"/>
      <c r="X839" s="14"/>
      <c r="Y839" s="14"/>
      <c r="Z839" s="14"/>
      <c r="AA839" s="14"/>
      <c r="AB839" s="14"/>
      <c r="AC839" s="14"/>
      <c r="AD839" s="14"/>
    </row>
    <row r="840" spans="3:30" x14ac:dyDescent="0.3">
      <c r="C840" s="14"/>
      <c r="D840" s="14"/>
      <c r="E840" s="15"/>
      <c r="F840" s="15"/>
      <c r="G840" s="15"/>
      <c r="H840" s="14"/>
      <c r="I840" s="14"/>
      <c r="J840" s="16"/>
      <c r="K840" s="16"/>
      <c r="L840" s="16"/>
      <c r="M840" s="16"/>
      <c r="N840" s="16"/>
      <c r="O840" s="16"/>
      <c r="P840" s="14"/>
      <c r="Q840" s="14"/>
      <c r="S840" s="14"/>
      <c r="T840" s="14"/>
      <c r="U840" s="14"/>
      <c r="V840" s="14"/>
      <c r="W840" s="14"/>
      <c r="X840" s="14"/>
      <c r="Y840" s="14"/>
      <c r="Z840" s="14"/>
      <c r="AA840" s="14"/>
      <c r="AB840" s="14"/>
      <c r="AC840" s="14"/>
      <c r="AD840" s="14"/>
    </row>
    <row r="841" spans="3:30" x14ac:dyDescent="0.3">
      <c r="C841" s="14"/>
      <c r="D841" s="14"/>
      <c r="E841" s="15"/>
      <c r="F841" s="15"/>
      <c r="G841" s="15"/>
      <c r="H841" s="14"/>
      <c r="I841" s="14"/>
      <c r="J841" s="16"/>
      <c r="K841" s="16"/>
      <c r="L841" s="16"/>
      <c r="M841" s="16"/>
      <c r="N841" s="16"/>
      <c r="O841" s="16"/>
      <c r="P841" s="14"/>
      <c r="Q841" s="14"/>
      <c r="S841" s="14"/>
      <c r="T841" s="14"/>
      <c r="U841" s="14"/>
      <c r="V841" s="14"/>
      <c r="W841" s="14"/>
      <c r="X841" s="14"/>
      <c r="Y841" s="14"/>
      <c r="Z841" s="14"/>
      <c r="AA841" s="14"/>
      <c r="AB841" s="14"/>
      <c r="AC841" s="14"/>
      <c r="AD841" s="14"/>
    </row>
    <row r="842" spans="3:30" x14ac:dyDescent="0.3">
      <c r="C842" s="14"/>
      <c r="D842" s="14"/>
      <c r="E842" s="15"/>
      <c r="F842" s="15"/>
      <c r="G842" s="15"/>
      <c r="H842" s="14"/>
      <c r="I842" s="14"/>
      <c r="J842" s="16"/>
      <c r="K842" s="16"/>
      <c r="L842" s="16"/>
      <c r="M842" s="16"/>
      <c r="N842" s="16"/>
      <c r="O842" s="16"/>
      <c r="P842" s="14"/>
      <c r="Q842" s="14"/>
      <c r="S842" s="14"/>
      <c r="T842" s="14"/>
      <c r="U842" s="14"/>
      <c r="V842" s="14"/>
      <c r="W842" s="14"/>
      <c r="X842" s="14"/>
      <c r="Y842" s="14"/>
      <c r="Z842" s="14"/>
      <c r="AA842" s="14"/>
      <c r="AB842" s="14"/>
      <c r="AC842" s="14"/>
      <c r="AD842" s="14"/>
    </row>
    <row r="843" spans="3:30" x14ac:dyDescent="0.3">
      <c r="C843" s="14"/>
      <c r="D843" s="14"/>
      <c r="E843" s="15"/>
      <c r="F843" s="15"/>
      <c r="G843" s="15"/>
      <c r="H843" s="14"/>
      <c r="I843" s="14"/>
      <c r="J843" s="16"/>
      <c r="K843" s="16"/>
      <c r="L843" s="16"/>
      <c r="M843" s="16"/>
      <c r="N843" s="16"/>
      <c r="O843" s="16"/>
      <c r="P843" s="14"/>
      <c r="Q843" s="14"/>
      <c r="S843" s="14"/>
      <c r="T843" s="14"/>
      <c r="U843" s="14"/>
      <c r="V843" s="14"/>
      <c r="W843" s="14"/>
      <c r="X843" s="14"/>
      <c r="Y843" s="14"/>
      <c r="Z843" s="14"/>
      <c r="AA843" s="14"/>
      <c r="AB843" s="14"/>
      <c r="AC843" s="14"/>
      <c r="AD843" s="14"/>
    </row>
    <row r="844" spans="3:30" x14ac:dyDescent="0.3">
      <c r="C844" s="14"/>
      <c r="D844" s="14"/>
      <c r="E844" s="15"/>
      <c r="F844" s="15"/>
      <c r="G844" s="15"/>
      <c r="H844" s="14"/>
      <c r="I844" s="14"/>
      <c r="J844" s="16"/>
      <c r="K844" s="16"/>
      <c r="L844" s="16"/>
      <c r="M844" s="16"/>
      <c r="N844" s="16"/>
      <c r="O844" s="16"/>
      <c r="P844" s="14"/>
      <c r="Q844" s="14"/>
      <c r="S844" s="14"/>
      <c r="T844" s="14"/>
      <c r="U844" s="14"/>
      <c r="V844" s="14"/>
      <c r="W844" s="14"/>
      <c r="X844" s="14"/>
      <c r="Y844" s="14"/>
      <c r="Z844" s="14"/>
      <c r="AA844" s="14"/>
      <c r="AB844" s="14"/>
      <c r="AC844" s="14"/>
      <c r="AD844" s="14"/>
    </row>
    <row r="845" spans="3:30" x14ac:dyDescent="0.3">
      <c r="C845" s="14"/>
      <c r="D845" s="14"/>
      <c r="E845" s="15"/>
      <c r="F845" s="15"/>
      <c r="G845" s="15"/>
      <c r="H845" s="14"/>
      <c r="I845" s="14"/>
      <c r="J845" s="16"/>
      <c r="K845" s="16"/>
      <c r="L845" s="16"/>
      <c r="M845" s="16"/>
      <c r="N845" s="16"/>
      <c r="O845" s="16"/>
      <c r="P845" s="14"/>
      <c r="Q845" s="14"/>
      <c r="S845" s="14"/>
      <c r="T845" s="14"/>
      <c r="U845" s="14"/>
      <c r="V845" s="14"/>
      <c r="W845" s="14"/>
      <c r="X845" s="14"/>
      <c r="Y845" s="14"/>
      <c r="Z845" s="14"/>
      <c r="AA845" s="14"/>
      <c r="AB845" s="14"/>
      <c r="AC845" s="14"/>
      <c r="AD845" s="14"/>
    </row>
    <row r="846" spans="3:30" x14ac:dyDescent="0.3">
      <c r="C846" s="14"/>
      <c r="D846" s="14"/>
      <c r="E846" s="15"/>
      <c r="F846" s="15"/>
      <c r="G846" s="15"/>
      <c r="H846" s="14"/>
      <c r="I846" s="14"/>
      <c r="J846" s="16"/>
      <c r="K846" s="16"/>
      <c r="L846" s="16"/>
      <c r="M846" s="16"/>
      <c r="N846" s="16"/>
      <c r="O846" s="16"/>
      <c r="P846" s="14"/>
      <c r="Q846" s="14"/>
      <c r="S846" s="14"/>
      <c r="T846" s="14"/>
      <c r="U846" s="14"/>
      <c r="V846" s="14"/>
      <c r="W846" s="14"/>
      <c r="X846" s="14"/>
      <c r="Y846" s="14"/>
      <c r="Z846" s="14"/>
      <c r="AA846" s="14"/>
      <c r="AB846" s="14"/>
      <c r="AC846" s="14"/>
      <c r="AD846" s="14"/>
    </row>
    <row r="847" spans="3:30" x14ac:dyDescent="0.3">
      <c r="C847" s="14"/>
      <c r="D847" s="14"/>
      <c r="E847" s="15"/>
      <c r="F847" s="15"/>
      <c r="G847" s="15"/>
      <c r="H847" s="14"/>
      <c r="I847" s="14"/>
      <c r="J847" s="16"/>
      <c r="K847" s="16"/>
      <c r="L847" s="16"/>
      <c r="M847" s="16"/>
      <c r="N847" s="16"/>
      <c r="O847" s="16"/>
      <c r="P847" s="14"/>
      <c r="Q847" s="14"/>
      <c r="S847" s="14"/>
      <c r="T847" s="14"/>
      <c r="U847" s="14"/>
      <c r="V847" s="14"/>
      <c r="W847" s="14"/>
      <c r="X847" s="14"/>
      <c r="Y847" s="14"/>
      <c r="Z847" s="14"/>
      <c r="AA847" s="14"/>
      <c r="AB847" s="14"/>
      <c r="AC847" s="14"/>
      <c r="AD847" s="14"/>
    </row>
    <row r="848" spans="3:30" x14ac:dyDescent="0.3">
      <c r="C848" s="14"/>
      <c r="D848" s="14"/>
      <c r="E848" s="15"/>
      <c r="F848" s="15"/>
      <c r="G848" s="15"/>
      <c r="H848" s="14"/>
      <c r="I848" s="14"/>
      <c r="J848" s="16"/>
      <c r="K848" s="16"/>
      <c r="L848" s="16"/>
      <c r="M848" s="16"/>
      <c r="N848" s="16"/>
      <c r="O848" s="16"/>
      <c r="P848" s="14"/>
      <c r="Q848" s="14"/>
      <c r="S848" s="14"/>
      <c r="T848" s="14"/>
      <c r="U848" s="14"/>
      <c r="V848" s="14"/>
      <c r="W848" s="14"/>
      <c r="X848" s="14"/>
      <c r="Y848" s="14"/>
      <c r="Z848" s="14"/>
      <c r="AA848" s="14"/>
      <c r="AB848" s="14"/>
      <c r="AC848" s="14"/>
      <c r="AD848" s="14"/>
    </row>
    <row r="849" spans="3:30" x14ac:dyDescent="0.3">
      <c r="C849" s="14"/>
      <c r="D849" s="14"/>
      <c r="E849" s="15"/>
      <c r="F849" s="15"/>
      <c r="G849" s="15"/>
      <c r="H849" s="14"/>
      <c r="I849" s="14"/>
      <c r="J849" s="16"/>
      <c r="K849" s="16"/>
      <c r="L849" s="16"/>
      <c r="M849" s="16"/>
      <c r="N849" s="16"/>
      <c r="O849" s="16"/>
      <c r="P849" s="14"/>
      <c r="Q849" s="14"/>
      <c r="S849" s="14"/>
      <c r="T849" s="14"/>
      <c r="U849" s="14"/>
      <c r="V849" s="14"/>
      <c r="W849" s="14"/>
      <c r="X849" s="14"/>
      <c r="Y849" s="14"/>
      <c r="Z849" s="14"/>
      <c r="AA849" s="14"/>
      <c r="AB849" s="14"/>
      <c r="AC849" s="14"/>
      <c r="AD849" s="14"/>
    </row>
    <row r="850" spans="3:30" x14ac:dyDescent="0.3">
      <c r="C850" s="14"/>
      <c r="D850" s="14"/>
      <c r="E850" s="15"/>
      <c r="F850" s="15"/>
      <c r="G850" s="15"/>
      <c r="H850" s="14"/>
      <c r="I850" s="14"/>
      <c r="J850" s="16"/>
      <c r="K850" s="16"/>
      <c r="L850" s="16"/>
      <c r="M850" s="16"/>
      <c r="N850" s="16"/>
      <c r="O850" s="16"/>
      <c r="P850" s="14"/>
      <c r="Q850" s="14"/>
      <c r="S850" s="14"/>
      <c r="T850" s="14"/>
      <c r="U850" s="14"/>
      <c r="V850" s="14"/>
      <c r="W850" s="14"/>
      <c r="X850" s="14"/>
      <c r="Y850" s="14"/>
      <c r="Z850" s="14"/>
      <c r="AA850" s="14"/>
      <c r="AB850" s="14"/>
      <c r="AC850" s="14"/>
      <c r="AD850" s="14"/>
    </row>
    <row r="851" spans="3:30" x14ac:dyDescent="0.3">
      <c r="C851" s="14"/>
      <c r="D851" s="14"/>
      <c r="E851" s="15"/>
      <c r="F851" s="15"/>
      <c r="G851" s="15"/>
      <c r="H851" s="14"/>
      <c r="I851" s="14"/>
      <c r="J851" s="16"/>
      <c r="K851" s="16"/>
      <c r="L851" s="16"/>
      <c r="M851" s="16"/>
      <c r="N851" s="16"/>
      <c r="O851" s="16"/>
      <c r="P851" s="14"/>
      <c r="Q851" s="14"/>
      <c r="S851" s="14"/>
      <c r="T851" s="14"/>
      <c r="U851" s="14"/>
      <c r="V851" s="14"/>
      <c r="W851" s="14"/>
      <c r="X851" s="14"/>
      <c r="Y851" s="14"/>
      <c r="Z851" s="14"/>
      <c r="AA851" s="14"/>
      <c r="AB851" s="14"/>
      <c r="AC851" s="14"/>
      <c r="AD851" s="14"/>
    </row>
    <row r="852" spans="3:30" x14ac:dyDescent="0.3">
      <c r="C852" s="14"/>
      <c r="D852" s="14"/>
      <c r="E852" s="15"/>
      <c r="F852" s="15"/>
      <c r="G852" s="15"/>
      <c r="H852" s="14"/>
      <c r="I852" s="14"/>
      <c r="J852" s="16"/>
      <c r="K852" s="16"/>
      <c r="L852" s="16"/>
      <c r="M852" s="16"/>
      <c r="N852" s="16"/>
      <c r="O852" s="16"/>
      <c r="P852" s="14"/>
      <c r="Q852" s="14"/>
      <c r="S852" s="14"/>
      <c r="T852" s="14"/>
      <c r="U852" s="14"/>
      <c r="V852" s="14"/>
      <c r="W852" s="14"/>
      <c r="X852" s="14"/>
      <c r="Y852" s="14"/>
      <c r="Z852" s="14"/>
      <c r="AA852" s="14"/>
      <c r="AB852" s="14"/>
      <c r="AC852" s="14"/>
      <c r="AD852" s="14"/>
    </row>
    <row r="853" spans="3:30" x14ac:dyDescent="0.3">
      <c r="C853" s="14"/>
      <c r="D853" s="14"/>
      <c r="E853" s="15"/>
      <c r="F853" s="15"/>
      <c r="G853" s="15"/>
      <c r="H853" s="14"/>
      <c r="I853" s="14"/>
      <c r="J853" s="16"/>
      <c r="K853" s="16"/>
      <c r="L853" s="16"/>
      <c r="M853" s="16"/>
      <c r="N853" s="16"/>
      <c r="O853" s="16"/>
      <c r="P853" s="14"/>
      <c r="Q853" s="14"/>
      <c r="S853" s="14"/>
      <c r="T853" s="14"/>
      <c r="U853" s="14"/>
      <c r="V853" s="14"/>
      <c r="W853" s="14"/>
      <c r="X853" s="14"/>
      <c r="Y853" s="14"/>
      <c r="Z853" s="14"/>
      <c r="AA853" s="14"/>
      <c r="AB853" s="14"/>
      <c r="AC853" s="14"/>
      <c r="AD853" s="14"/>
    </row>
    <row r="854" spans="3:30" x14ac:dyDescent="0.3">
      <c r="C854" s="14"/>
      <c r="D854" s="14"/>
      <c r="E854" s="15"/>
      <c r="F854" s="15"/>
      <c r="G854" s="15"/>
      <c r="H854" s="14"/>
      <c r="I854" s="14"/>
      <c r="J854" s="16"/>
      <c r="K854" s="16"/>
      <c r="L854" s="16"/>
      <c r="M854" s="16"/>
      <c r="N854" s="16"/>
      <c r="O854" s="16"/>
      <c r="P854" s="14"/>
      <c r="Q854" s="14"/>
      <c r="S854" s="14"/>
      <c r="T854" s="14"/>
      <c r="U854" s="14"/>
      <c r="V854" s="14"/>
      <c r="W854" s="14"/>
      <c r="X854" s="14"/>
      <c r="Y854" s="14"/>
      <c r="Z854" s="14"/>
      <c r="AA854" s="14"/>
      <c r="AB854" s="14"/>
      <c r="AC854" s="14"/>
      <c r="AD854" s="14"/>
    </row>
    <row r="855" spans="3:30" x14ac:dyDescent="0.3">
      <c r="C855" s="14"/>
      <c r="D855" s="14"/>
      <c r="E855" s="15"/>
      <c r="F855" s="15"/>
      <c r="G855" s="15"/>
      <c r="H855" s="14"/>
      <c r="I855" s="14"/>
      <c r="J855" s="16"/>
      <c r="K855" s="16"/>
      <c r="L855" s="16"/>
      <c r="M855" s="16"/>
      <c r="N855" s="16"/>
      <c r="O855" s="16"/>
      <c r="P855" s="14"/>
      <c r="Q855" s="14"/>
      <c r="S855" s="14"/>
      <c r="T855" s="14"/>
      <c r="U855" s="14"/>
      <c r="V855" s="14"/>
      <c r="W855" s="14"/>
      <c r="X855" s="14"/>
      <c r="Y855" s="14"/>
      <c r="Z855" s="14"/>
      <c r="AA855" s="14"/>
      <c r="AB855" s="14"/>
      <c r="AC855" s="14"/>
      <c r="AD855" s="14"/>
    </row>
    <row r="856" spans="3:30" x14ac:dyDescent="0.3">
      <c r="C856" s="14"/>
      <c r="D856" s="14"/>
      <c r="E856" s="15"/>
      <c r="F856" s="15"/>
      <c r="G856" s="15"/>
      <c r="H856" s="14"/>
      <c r="I856" s="14"/>
      <c r="J856" s="16"/>
      <c r="K856" s="16"/>
      <c r="L856" s="16"/>
      <c r="M856" s="16"/>
      <c r="N856" s="16"/>
      <c r="O856" s="16"/>
      <c r="P856" s="14"/>
      <c r="Q856" s="14"/>
      <c r="S856" s="14"/>
      <c r="T856" s="14"/>
      <c r="U856" s="14"/>
      <c r="V856" s="14"/>
      <c r="W856" s="14"/>
      <c r="X856" s="14"/>
      <c r="Y856" s="14"/>
      <c r="Z856" s="14"/>
      <c r="AA856" s="14"/>
      <c r="AB856" s="14"/>
      <c r="AC856" s="14"/>
      <c r="AD856" s="14"/>
    </row>
    <row r="857" spans="3:30" x14ac:dyDescent="0.3">
      <c r="C857" s="14"/>
      <c r="D857" s="14"/>
      <c r="E857" s="15"/>
      <c r="F857" s="15"/>
      <c r="G857" s="15"/>
      <c r="H857" s="14"/>
      <c r="I857" s="14"/>
      <c r="J857" s="16"/>
      <c r="K857" s="16"/>
      <c r="L857" s="16"/>
      <c r="M857" s="16"/>
      <c r="N857" s="16"/>
      <c r="O857" s="16"/>
      <c r="P857" s="14"/>
      <c r="Q857" s="14"/>
      <c r="S857" s="14"/>
      <c r="T857" s="14"/>
      <c r="U857" s="14"/>
      <c r="V857" s="14"/>
      <c r="W857" s="14"/>
      <c r="X857" s="14"/>
      <c r="Y857" s="14"/>
      <c r="Z857" s="14"/>
      <c r="AA857" s="14"/>
      <c r="AB857" s="14"/>
      <c r="AC857" s="14"/>
      <c r="AD857" s="14"/>
    </row>
    <row r="858" spans="3:30" x14ac:dyDescent="0.3">
      <c r="C858" s="14"/>
      <c r="D858" s="14"/>
      <c r="E858" s="15"/>
      <c r="F858" s="15"/>
      <c r="G858" s="15"/>
      <c r="H858" s="14"/>
      <c r="I858" s="14"/>
      <c r="J858" s="16"/>
      <c r="K858" s="16"/>
      <c r="L858" s="16"/>
      <c r="M858" s="16"/>
      <c r="N858" s="16"/>
      <c r="O858" s="16"/>
      <c r="P858" s="14"/>
      <c r="Q858" s="14"/>
      <c r="S858" s="14"/>
      <c r="T858" s="14"/>
      <c r="U858" s="14"/>
      <c r="V858" s="14"/>
      <c r="W858" s="14"/>
      <c r="X858" s="14"/>
      <c r="Y858" s="14"/>
      <c r="Z858" s="14"/>
      <c r="AA858" s="14"/>
      <c r="AB858" s="14"/>
      <c r="AC858" s="14"/>
      <c r="AD858" s="14"/>
    </row>
    <row r="859" spans="3:30" x14ac:dyDescent="0.3">
      <c r="C859" s="14"/>
      <c r="D859" s="14"/>
      <c r="E859" s="15"/>
      <c r="F859" s="15"/>
      <c r="G859" s="15"/>
      <c r="H859" s="14"/>
      <c r="I859" s="14"/>
      <c r="J859" s="16"/>
      <c r="K859" s="16"/>
      <c r="L859" s="16"/>
      <c r="M859" s="16"/>
      <c r="N859" s="16"/>
      <c r="O859" s="16"/>
      <c r="P859" s="14"/>
      <c r="Q859" s="14"/>
      <c r="S859" s="14"/>
      <c r="T859" s="14"/>
      <c r="U859" s="14"/>
      <c r="V859" s="14"/>
      <c r="W859" s="14"/>
      <c r="X859" s="14"/>
      <c r="Y859" s="14"/>
      <c r="Z859" s="14"/>
      <c r="AA859" s="14"/>
      <c r="AB859" s="14"/>
      <c r="AC859" s="14"/>
      <c r="AD859" s="14"/>
    </row>
    <row r="860" spans="3:30" x14ac:dyDescent="0.3">
      <c r="C860" s="14"/>
      <c r="D860" s="14"/>
      <c r="E860" s="15"/>
      <c r="F860" s="15"/>
      <c r="G860" s="15"/>
      <c r="H860" s="14"/>
      <c r="I860" s="14"/>
      <c r="J860" s="16"/>
      <c r="K860" s="16"/>
      <c r="L860" s="16"/>
      <c r="M860" s="16"/>
      <c r="N860" s="16"/>
      <c r="O860" s="16"/>
      <c r="P860" s="14"/>
      <c r="Q860" s="14"/>
      <c r="S860" s="14"/>
      <c r="T860" s="14"/>
      <c r="U860" s="14"/>
      <c r="V860" s="14"/>
      <c r="W860" s="14"/>
      <c r="X860" s="14"/>
      <c r="Y860" s="14"/>
      <c r="Z860" s="14"/>
      <c r="AA860" s="14"/>
      <c r="AB860" s="14"/>
      <c r="AC860" s="14"/>
      <c r="AD860" s="14"/>
    </row>
    <row r="861" spans="3:30" x14ac:dyDescent="0.3">
      <c r="C861" s="14"/>
      <c r="D861" s="14"/>
      <c r="E861" s="15"/>
      <c r="F861" s="15"/>
      <c r="G861" s="15"/>
      <c r="H861" s="14"/>
      <c r="I861" s="14"/>
      <c r="J861" s="16"/>
      <c r="K861" s="16"/>
      <c r="L861" s="16"/>
      <c r="M861" s="16"/>
      <c r="N861" s="16"/>
      <c r="O861" s="16"/>
      <c r="P861" s="14"/>
      <c r="Q861" s="14"/>
      <c r="S861" s="14"/>
      <c r="T861" s="14"/>
      <c r="U861" s="14"/>
      <c r="V861" s="14"/>
      <c r="W861" s="14"/>
      <c r="X861" s="14"/>
      <c r="Y861" s="14"/>
      <c r="Z861" s="14"/>
      <c r="AA861" s="14"/>
      <c r="AB861" s="14"/>
      <c r="AC861" s="14"/>
      <c r="AD861" s="14"/>
    </row>
    <row r="862" spans="3:30" x14ac:dyDescent="0.3">
      <c r="C862" s="14"/>
      <c r="D862" s="14"/>
      <c r="E862" s="15"/>
      <c r="F862" s="15"/>
      <c r="G862" s="15"/>
      <c r="H862" s="14"/>
      <c r="I862" s="14"/>
      <c r="J862" s="16"/>
      <c r="K862" s="16"/>
      <c r="L862" s="16"/>
      <c r="M862" s="16"/>
      <c r="N862" s="16"/>
      <c r="O862" s="16"/>
      <c r="P862" s="14"/>
      <c r="Q862" s="14"/>
      <c r="S862" s="14"/>
      <c r="T862" s="14"/>
      <c r="U862" s="14"/>
      <c r="V862" s="14"/>
      <c r="W862" s="14"/>
      <c r="X862" s="14"/>
      <c r="Y862" s="14"/>
      <c r="Z862" s="14"/>
      <c r="AA862" s="14"/>
      <c r="AB862" s="14"/>
      <c r="AC862" s="14"/>
      <c r="AD862" s="14"/>
    </row>
    <row r="863" spans="3:30" x14ac:dyDescent="0.3">
      <c r="C863" s="14"/>
      <c r="D863" s="14"/>
      <c r="E863" s="15"/>
      <c r="F863" s="15"/>
      <c r="G863" s="15"/>
      <c r="H863" s="14"/>
      <c r="I863" s="14"/>
      <c r="J863" s="16"/>
      <c r="K863" s="16"/>
      <c r="L863" s="16"/>
      <c r="M863" s="16"/>
      <c r="N863" s="16"/>
      <c r="O863" s="16"/>
      <c r="P863" s="14"/>
      <c r="Q863" s="14"/>
      <c r="S863" s="14"/>
      <c r="T863" s="14"/>
      <c r="U863" s="14"/>
      <c r="V863" s="14"/>
      <c r="W863" s="14"/>
      <c r="X863" s="14"/>
      <c r="Y863" s="14"/>
      <c r="Z863" s="14"/>
      <c r="AA863" s="14"/>
      <c r="AB863" s="14"/>
      <c r="AC863" s="14"/>
      <c r="AD863" s="14"/>
    </row>
    <row r="864" spans="3:30" x14ac:dyDescent="0.3">
      <c r="C864" s="14"/>
      <c r="D864" s="14"/>
      <c r="E864" s="15"/>
      <c r="F864" s="15"/>
      <c r="G864" s="15"/>
      <c r="H864" s="14"/>
      <c r="I864" s="14"/>
      <c r="J864" s="16"/>
      <c r="K864" s="16"/>
      <c r="L864" s="16"/>
      <c r="M864" s="16"/>
      <c r="N864" s="16"/>
      <c r="O864" s="16"/>
      <c r="P864" s="14"/>
      <c r="Q864" s="14"/>
      <c r="S864" s="14"/>
      <c r="T864" s="14"/>
      <c r="U864" s="14"/>
      <c r="V864" s="14"/>
      <c r="W864" s="14"/>
      <c r="X864" s="14"/>
      <c r="Y864" s="14"/>
      <c r="Z864" s="14"/>
      <c r="AA864" s="14"/>
      <c r="AB864" s="14"/>
      <c r="AC864" s="14"/>
      <c r="AD864" s="14"/>
    </row>
    <row r="865" spans="3:30" x14ac:dyDescent="0.3">
      <c r="C865" s="14"/>
      <c r="D865" s="14"/>
      <c r="E865" s="15"/>
      <c r="F865" s="15"/>
      <c r="G865" s="15"/>
      <c r="H865" s="14"/>
      <c r="I865" s="14"/>
      <c r="J865" s="16"/>
      <c r="K865" s="16"/>
      <c r="L865" s="16"/>
      <c r="M865" s="16"/>
      <c r="N865" s="16"/>
      <c r="O865" s="16"/>
      <c r="P865" s="14"/>
      <c r="Q865" s="14"/>
      <c r="S865" s="14"/>
      <c r="T865" s="14"/>
      <c r="U865" s="14"/>
      <c r="V865" s="14"/>
      <c r="W865" s="14"/>
      <c r="X865" s="14"/>
      <c r="Y865" s="14"/>
      <c r="Z865" s="14"/>
      <c r="AA865" s="14"/>
      <c r="AB865" s="14"/>
      <c r="AC865" s="14"/>
      <c r="AD865" s="14"/>
    </row>
    <row r="866" spans="3:30" x14ac:dyDescent="0.3">
      <c r="C866" s="14"/>
      <c r="D866" s="14"/>
      <c r="E866" s="15"/>
      <c r="F866" s="15"/>
      <c r="G866" s="15"/>
      <c r="H866" s="14"/>
      <c r="I866" s="14"/>
      <c r="J866" s="16"/>
      <c r="K866" s="16"/>
      <c r="L866" s="16"/>
      <c r="M866" s="16"/>
      <c r="N866" s="16"/>
      <c r="O866" s="16"/>
      <c r="P866" s="14"/>
      <c r="Q866" s="14"/>
      <c r="S866" s="14"/>
      <c r="T866" s="14"/>
      <c r="U866" s="14"/>
      <c r="V866" s="14"/>
      <c r="W866" s="14"/>
      <c r="X866" s="14"/>
      <c r="Y866" s="14"/>
      <c r="Z866" s="14"/>
      <c r="AA866" s="14"/>
      <c r="AB866" s="14"/>
      <c r="AC866" s="14"/>
      <c r="AD866" s="14"/>
    </row>
    <row r="867" spans="3:30" x14ac:dyDescent="0.3">
      <c r="C867" s="14"/>
      <c r="D867" s="14"/>
      <c r="E867" s="15"/>
      <c r="F867" s="15"/>
      <c r="G867" s="15"/>
      <c r="H867" s="14"/>
      <c r="I867" s="14"/>
      <c r="J867" s="16"/>
      <c r="K867" s="16"/>
      <c r="L867" s="16"/>
      <c r="M867" s="16"/>
      <c r="N867" s="16"/>
      <c r="O867" s="16"/>
      <c r="P867" s="14"/>
      <c r="Q867" s="14"/>
      <c r="S867" s="14"/>
      <c r="T867" s="14"/>
      <c r="U867" s="14"/>
      <c r="V867" s="14"/>
      <c r="W867" s="14"/>
      <c r="X867" s="14"/>
      <c r="Y867" s="14"/>
      <c r="Z867" s="14"/>
      <c r="AA867" s="14"/>
      <c r="AB867" s="14"/>
      <c r="AC867" s="14"/>
      <c r="AD867" s="14"/>
    </row>
    <row r="868" spans="3:30" x14ac:dyDescent="0.3">
      <c r="C868" s="14"/>
      <c r="D868" s="14"/>
      <c r="E868" s="15"/>
      <c r="F868" s="15"/>
      <c r="G868" s="15"/>
      <c r="H868" s="14"/>
      <c r="I868" s="14"/>
      <c r="J868" s="16"/>
      <c r="K868" s="16"/>
      <c r="L868" s="16"/>
      <c r="M868" s="16"/>
      <c r="N868" s="16"/>
      <c r="O868" s="16"/>
      <c r="P868" s="14"/>
      <c r="Q868" s="14"/>
      <c r="S868" s="14"/>
      <c r="T868" s="14"/>
      <c r="U868" s="14"/>
      <c r="V868" s="14"/>
      <c r="W868" s="14"/>
      <c r="X868" s="14"/>
      <c r="Y868" s="14"/>
      <c r="Z868" s="14"/>
      <c r="AA868" s="14"/>
      <c r="AB868" s="14"/>
      <c r="AC868" s="14"/>
      <c r="AD868" s="14"/>
    </row>
    <row r="869" spans="3:30" x14ac:dyDescent="0.3">
      <c r="C869" s="14"/>
      <c r="D869" s="14"/>
      <c r="E869" s="15"/>
      <c r="F869" s="15"/>
      <c r="G869" s="15"/>
      <c r="H869" s="14"/>
      <c r="I869" s="14"/>
      <c r="J869" s="16"/>
      <c r="K869" s="16"/>
      <c r="L869" s="16"/>
      <c r="M869" s="16"/>
      <c r="N869" s="16"/>
      <c r="O869" s="16"/>
      <c r="P869" s="14"/>
      <c r="Q869" s="14"/>
      <c r="S869" s="14"/>
      <c r="T869" s="14"/>
      <c r="U869" s="14"/>
      <c r="V869" s="14"/>
      <c r="W869" s="14"/>
      <c r="X869" s="14"/>
      <c r="Y869" s="14"/>
      <c r="Z869" s="14"/>
      <c r="AA869" s="14"/>
      <c r="AB869" s="14"/>
      <c r="AC869" s="14"/>
      <c r="AD869" s="14"/>
    </row>
    <row r="870" spans="3:30" x14ac:dyDescent="0.3">
      <c r="C870" s="14"/>
      <c r="D870" s="14"/>
      <c r="E870" s="15"/>
      <c r="F870" s="15"/>
      <c r="G870" s="15"/>
      <c r="H870" s="14"/>
      <c r="I870" s="14"/>
      <c r="J870" s="16"/>
      <c r="K870" s="16"/>
      <c r="L870" s="16"/>
      <c r="M870" s="16"/>
      <c r="N870" s="16"/>
      <c r="O870" s="16"/>
      <c r="P870" s="14"/>
      <c r="Q870" s="14"/>
      <c r="S870" s="14"/>
      <c r="T870" s="14"/>
      <c r="U870" s="14"/>
      <c r="V870" s="14"/>
      <c r="W870" s="14"/>
      <c r="X870" s="14"/>
      <c r="Y870" s="14"/>
      <c r="Z870" s="14"/>
      <c r="AA870" s="14"/>
      <c r="AB870" s="14"/>
      <c r="AC870" s="14"/>
      <c r="AD870" s="14"/>
    </row>
    <row r="871" spans="3:30" x14ac:dyDescent="0.3">
      <c r="C871" s="14"/>
      <c r="D871" s="14"/>
      <c r="E871" s="15"/>
      <c r="F871" s="15"/>
      <c r="G871" s="15"/>
      <c r="H871" s="14"/>
      <c r="I871" s="14"/>
      <c r="J871" s="16"/>
      <c r="K871" s="16"/>
      <c r="L871" s="16"/>
      <c r="M871" s="16"/>
      <c r="N871" s="16"/>
      <c r="O871" s="16"/>
      <c r="P871" s="14"/>
      <c r="Q871" s="14"/>
      <c r="S871" s="14"/>
      <c r="T871" s="14"/>
      <c r="U871" s="14"/>
      <c r="V871" s="14"/>
      <c r="W871" s="14"/>
      <c r="X871" s="14"/>
      <c r="Y871" s="14"/>
      <c r="Z871" s="14"/>
      <c r="AA871" s="14"/>
      <c r="AB871" s="14"/>
      <c r="AC871" s="14"/>
      <c r="AD871" s="14"/>
    </row>
    <row r="872" spans="3:30" x14ac:dyDescent="0.3">
      <c r="C872" s="14"/>
      <c r="D872" s="14"/>
      <c r="E872" s="15"/>
      <c r="F872" s="15"/>
      <c r="G872" s="15"/>
      <c r="H872" s="14"/>
      <c r="I872" s="14"/>
      <c r="J872" s="16"/>
      <c r="K872" s="16"/>
      <c r="L872" s="16"/>
      <c r="M872" s="16"/>
      <c r="N872" s="16"/>
      <c r="O872" s="16"/>
      <c r="P872" s="14"/>
      <c r="Q872" s="14"/>
      <c r="S872" s="14"/>
      <c r="T872" s="14"/>
      <c r="U872" s="14"/>
      <c r="V872" s="14"/>
      <c r="W872" s="14"/>
      <c r="X872" s="14"/>
      <c r="Y872" s="14"/>
      <c r="Z872" s="14"/>
      <c r="AA872" s="14"/>
      <c r="AB872" s="14"/>
      <c r="AC872" s="14"/>
      <c r="AD872" s="14"/>
    </row>
    <row r="873" spans="3:30" x14ac:dyDescent="0.3">
      <c r="C873" s="14"/>
      <c r="D873" s="14"/>
      <c r="E873" s="15"/>
      <c r="F873" s="15"/>
      <c r="G873" s="15"/>
      <c r="H873" s="14"/>
      <c r="I873" s="14"/>
      <c r="J873" s="16"/>
      <c r="K873" s="16"/>
      <c r="L873" s="16"/>
      <c r="M873" s="16"/>
      <c r="N873" s="16"/>
      <c r="O873" s="16"/>
      <c r="P873" s="14"/>
      <c r="Q873" s="14"/>
      <c r="S873" s="14"/>
      <c r="T873" s="14"/>
      <c r="U873" s="14"/>
      <c r="V873" s="14"/>
      <c r="W873" s="14"/>
      <c r="X873" s="14"/>
      <c r="Y873" s="14"/>
      <c r="Z873" s="14"/>
      <c r="AA873" s="14"/>
      <c r="AB873" s="14"/>
      <c r="AC873" s="14"/>
      <c r="AD873" s="14"/>
    </row>
    <row r="874" spans="3:30" x14ac:dyDescent="0.3">
      <c r="C874" s="14"/>
      <c r="D874" s="14"/>
      <c r="E874" s="15"/>
      <c r="F874" s="15"/>
      <c r="G874" s="15"/>
      <c r="H874" s="14"/>
      <c r="I874" s="14"/>
      <c r="J874" s="16"/>
      <c r="K874" s="16"/>
      <c r="L874" s="16"/>
      <c r="M874" s="16"/>
      <c r="N874" s="16"/>
      <c r="O874" s="16"/>
      <c r="P874" s="14"/>
      <c r="Q874" s="14"/>
      <c r="S874" s="14"/>
      <c r="T874" s="14"/>
      <c r="U874" s="14"/>
      <c r="V874" s="14"/>
      <c r="W874" s="14"/>
      <c r="X874" s="14"/>
      <c r="Y874" s="14"/>
      <c r="Z874" s="14"/>
      <c r="AA874" s="14"/>
      <c r="AB874" s="14"/>
      <c r="AC874" s="14"/>
      <c r="AD874" s="14"/>
    </row>
    <row r="875" spans="3:30" x14ac:dyDescent="0.3">
      <c r="C875" s="14"/>
      <c r="D875" s="14"/>
      <c r="E875" s="15"/>
      <c r="F875" s="15"/>
      <c r="G875" s="15"/>
      <c r="H875" s="14"/>
      <c r="I875" s="14"/>
      <c r="J875" s="16"/>
      <c r="K875" s="16"/>
      <c r="L875" s="16"/>
      <c r="M875" s="16"/>
      <c r="N875" s="16"/>
      <c r="O875" s="16"/>
      <c r="P875" s="14"/>
      <c r="Q875" s="14"/>
      <c r="S875" s="14"/>
      <c r="T875" s="14"/>
      <c r="U875" s="14"/>
      <c r="V875" s="14"/>
      <c r="W875" s="14"/>
      <c r="X875" s="14"/>
      <c r="Y875" s="14"/>
      <c r="Z875" s="14"/>
      <c r="AA875" s="14"/>
      <c r="AB875" s="14"/>
      <c r="AC875" s="14"/>
      <c r="AD875" s="14"/>
    </row>
    <row r="876" spans="3:30" x14ac:dyDescent="0.3">
      <c r="C876" s="14"/>
      <c r="D876" s="14"/>
      <c r="E876" s="15"/>
      <c r="F876" s="15"/>
      <c r="G876" s="15"/>
      <c r="H876" s="14"/>
      <c r="I876" s="14"/>
      <c r="J876" s="16"/>
      <c r="K876" s="16"/>
      <c r="L876" s="16"/>
      <c r="M876" s="16"/>
      <c r="N876" s="16"/>
      <c r="O876" s="16"/>
      <c r="P876" s="14"/>
      <c r="Q876" s="14"/>
      <c r="S876" s="14"/>
      <c r="T876" s="14"/>
      <c r="U876" s="14"/>
      <c r="V876" s="14"/>
      <c r="W876" s="14"/>
      <c r="X876" s="14"/>
      <c r="Y876" s="14"/>
      <c r="Z876" s="14"/>
      <c r="AA876" s="14"/>
      <c r="AB876" s="14"/>
      <c r="AC876" s="14"/>
      <c r="AD876" s="14"/>
    </row>
    <row r="877" spans="3:30" x14ac:dyDescent="0.3">
      <c r="C877" s="14"/>
      <c r="D877" s="14"/>
      <c r="E877" s="15"/>
      <c r="F877" s="15"/>
      <c r="G877" s="15"/>
      <c r="H877" s="14"/>
      <c r="I877" s="14"/>
      <c r="J877" s="16"/>
      <c r="K877" s="16"/>
      <c r="L877" s="16"/>
      <c r="M877" s="16"/>
      <c r="N877" s="16"/>
      <c r="O877" s="16"/>
      <c r="P877" s="14"/>
      <c r="Q877" s="14"/>
      <c r="S877" s="14"/>
      <c r="T877" s="14"/>
      <c r="U877" s="14"/>
      <c r="V877" s="14"/>
      <c r="W877" s="14"/>
      <c r="X877" s="14"/>
      <c r="Y877" s="14"/>
      <c r="Z877" s="14"/>
      <c r="AA877" s="14"/>
      <c r="AB877" s="14"/>
      <c r="AC877" s="14"/>
      <c r="AD877" s="14"/>
    </row>
    <row r="878" spans="3:30" x14ac:dyDescent="0.3">
      <c r="C878" s="14"/>
      <c r="D878" s="14"/>
      <c r="E878" s="15"/>
      <c r="F878" s="15"/>
      <c r="G878" s="15"/>
      <c r="H878" s="14"/>
      <c r="I878" s="14"/>
      <c r="J878" s="16"/>
      <c r="K878" s="16"/>
      <c r="L878" s="16"/>
      <c r="M878" s="16"/>
      <c r="N878" s="16"/>
      <c r="O878" s="16"/>
      <c r="P878" s="14"/>
      <c r="Q878" s="14"/>
      <c r="S878" s="14"/>
      <c r="T878" s="14"/>
      <c r="U878" s="14"/>
      <c r="V878" s="14"/>
      <c r="W878" s="14"/>
      <c r="X878" s="14"/>
      <c r="Y878" s="14"/>
      <c r="Z878" s="14"/>
      <c r="AA878" s="14"/>
      <c r="AB878" s="14"/>
      <c r="AC878" s="14"/>
      <c r="AD878" s="14"/>
    </row>
    <row r="879" spans="3:30" x14ac:dyDescent="0.3">
      <c r="C879" s="14"/>
      <c r="D879" s="14"/>
      <c r="E879" s="15"/>
      <c r="F879" s="15"/>
      <c r="G879" s="15"/>
      <c r="H879" s="14"/>
      <c r="I879" s="14"/>
      <c r="J879" s="16"/>
      <c r="K879" s="16"/>
      <c r="L879" s="16"/>
      <c r="M879" s="16"/>
      <c r="N879" s="16"/>
      <c r="O879" s="16"/>
      <c r="P879" s="14"/>
      <c r="Q879" s="14"/>
      <c r="S879" s="14"/>
      <c r="T879" s="14"/>
      <c r="U879" s="14"/>
      <c r="V879" s="14"/>
      <c r="W879" s="14"/>
      <c r="X879" s="14"/>
      <c r="Y879" s="14"/>
      <c r="Z879" s="14"/>
      <c r="AA879" s="14"/>
      <c r="AB879" s="14"/>
      <c r="AC879" s="14"/>
      <c r="AD879" s="14"/>
    </row>
    <row r="880" spans="3:30" x14ac:dyDescent="0.3">
      <c r="C880" s="14"/>
      <c r="D880" s="14"/>
      <c r="E880" s="15"/>
      <c r="F880" s="15"/>
      <c r="G880" s="15"/>
      <c r="H880" s="14"/>
      <c r="I880" s="14"/>
      <c r="J880" s="16"/>
      <c r="K880" s="16"/>
      <c r="L880" s="16"/>
      <c r="M880" s="16"/>
      <c r="N880" s="16"/>
      <c r="O880" s="16"/>
      <c r="P880" s="14"/>
      <c r="Q880" s="14"/>
      <c r="S880" s="14"/>
      <c r="T880" s="14"/>
      <c r="U880" s="14"/>
      <c r="V880" s="14"/>
      <c r="W880" s="14"/>
      <c r="X880" s="14"/>
      <c r="Y880" s="14"/>
      <c r="Z880" s="14"/>
      <c r="AA880" s="14"/>
      <c r="AB880" s="14"/>
      <c r="AC880" s="14"/>
      <c r="AD880" s="14"/>
    </row>
    <row r="881" spans="3:30" x14ac:dyDescent="0.3">
      <c r="C881" s="14"/>
      <c r="D881" s="14"/>
      <c r="E881" s="15"/>
      <c r="F881" s="15"/>
      <c r="G881" s="15"/>
      <c r="H881" s="14"/>
      <c r="I881" s="14"/>
      <c r="J881" s="16"/>
      <c r="K881" s="16"/>
      <c r="L881" s="16"/>
      <c r="M881" s="16"/>
      <c r="N881" s="16"/>
      <c r="O881" s="16"/>
      <c r="P881" s="14"/>
      <c r="Q881" s="14"/>
      <c r="S881" s="14"/>
      <c r="T881" s="14"/>
      <c r="U881" s="14"/>
      <c r="V881" s="14"/>
      <c r="W881" s="14"/>
      <c r="X881" s="14"/>
      <c r="Y881" s="14"/>
      <c r="Z881" s="14"/>
      <c r="AA881" s="14"/>
      <c r="AB881" s="14"/>
      <c r="AC881" s="14"/>
      <c r="AD881" s="14"/>
    </row>
    <row r="882" spans="3:30" x14ac:dyDescent="0.3">
      <c r="C882" s="14"/>
      <c r="D882" s="14"/>
      <c r="E882" s="15"/>
      <c r="F882" s="15"/>
      <c r="G882" s="15"/>
      <c r="H882" s="14"/>
      <c r="I882" s="14"/>
      <c r="J882" s="16"/>
      <c r="K882" s="16"/>
      <c r="L882" s="16"/>
      <c r="M882" s="16"/>
      <c r="N882" s="16"/>
      <c r="O882" s="16"/>
      <c r="P882" s="14"/>
      <c r="Q882" s="14"/>
      <c r="S882" s="14"/>
      <c r="T882" s="14"/>
      <c r="U882" s="14"/>
      <c r="V882" s="14"/>
      <c r="W882" s="14"/>
      <c r="X882" s="14"/>
      <c r="Y882" s="14"/>
      <c r="Z882" s="14"/>
      <c r="AA882" s="14"/>
      <c r="AB882" s="14"/>
      <c r="AC882" s="14"/>
      <c r="AD882" s="14"/>
    </row>
    <row r="883" spans="3:30" x14ac:dyDescent="0.3">
      <c r="C883" s="14"/>
      <c r="D883" s="14"/>
      <c r="E883" s="15"/>
      <c r="F883" s="15"/>
      <c r="G883" s="15"/>
      <c r="H883" s="14"/>
      <c r="I883" s="14"/>
      <c r="J883" s="16"/>
      <c r="K883" s="16"/>
      <c r="L883" s="16"/>
      <c r="M883" s="16"/>
      <c r="N883" s="16"/>
      <c r="O883" s="16"/>
      <c r="P883" s="14"/>
      <c r="Q883" s="14"/>
      <c r="S883" s="14"/>
      <c r="T883" s="14"/>
      <c r="U883" s="14"/>
      <c r="V883" s="14"/>
      <c r="W883" s="14"/>
      <c r="X883" s="14"/>
      <c r="Y883" s="14"/>
      <c r="Z883" s="14"/>
      <c r="AA883" s="14"/>
      <c r="AB883" s="14"/>
      <c r="AC883" s="14"/>
      <c r="AD883" s="14"/>
    </row>
    <row r="884" spans="3:30" x14ac:dyDescent="0.3">
      <c r="C884" s="14"/>
      <c r="D884" s="14"/>
      <c r="E884" s="15"/>
      <c r="F884" s="15"/>
      <c r="G884" s="15"/>
      <c r="H884" s="14"/>
      <c r="I884" s="14"/>
      <c r="J884" s="16"/>
      <c r="K884" s="16"/>
      <c r="L884" s="16"/>
      <c r="M884" s="16"/>
      <c r="N884" s="16"/>
      <c r="O884" s="16"/>
      <c r="P884" s="14"/>
      <c r="Q884" s="14"/>
      <c r="S884" s="14"/>
      <c r="T884" s="14"/>
      <c r="U884" s="14"/>
      <c r="V884" s="14"/>
      <c r="W884" s="14"/>
      <c r="X884" s="14"/>
      <c r="Y884" s="14"/>
      <c r="Z884" s="14"/>
      <c r="AA884" s="14"/>
      <c r="AB884" s="14"/>
      <c r="AC884" s="14"/>
      <c r="AD884" s="14"/>
    </row>
    <row r="885" spans="3:30" x14ac:dyDescent="0.3">
      <c r="C885" s="14"/>
      <c r="D885" s="14"/>
      <c r="E885" s="15"/>
      <c r="F885" s="15"/>
      <c r="G885" s="15"/>
      <c r="H885" s="14"/>
      <c r="I885" s="14"/>
      <c r="J885" s="16"/>
      <c r="K885" s="16"/>
      <c r="L885" s="16"/>
      <c r="M885" s="16"/>
      <c r="N885" s="16"/>
      <c r="O885" s="16"/>
      <c r="P885" s="14"/>
      <c r="Q885" s="14"/>
      <c r="S885" s="14"/>
      <c r="T885" s="14"/>
      <c r="U885" s="14"/>
      <c r="V885" s="14"/>
      <c r="W885" s="14"/>
      <c r="X885" s="14"/>
      <c r="Y885" s="14"/>
      <c r="Z885" s="14"/>
      <c r="AA885" s="14"/>
      <c r="AB885" s="14"/>
      <c r="AC885" s="14"/>
      <c r="AD885" s="14"/>
    </row>
    <row r="886" spans="3:30" x14ac:dyDescent="0.3">
      <c r="C886" s="14"/>
      <c r="D886" s="14"/>
      <c r="E886" s="15"/>
      <c r="F886" s="15"/>
      <c r="G886" s="15"/>
      <c r="H886" s="14"/>
      <c r="I886" s="14"/>
      <c r="J886" s="16"/>
      <c r="K886" s="16"/>
      <c r="L886" s="16"/>
      <c r="M886" s="16"/>
      <c r="N886" s="16"/>
      <c r="O886" s="16"/>
      <c r="P886" s="14"/>
      <c r="Q886" s="14"/>
      <c r="S886" s="14"/>
      <c r="T886" s="14"/>
      <c r="U886" s="14"/>
      <c r="V886" s="14"/>
      <c r="W886" s="14"/>
      <c r="X886" s="14"/>
      <c r="Y886" s="14"/>
      <c r="Z886" s="14"/>
      <c r="AA886" s="14"/>
      <c r="AB886" s="14"/>
      <c r="AC886" s="14"/>
      <c r="AD886" s="14"/>
    </row>
    <row r="887" spans="3:30" x14ac:dyDescent="0.3">
      <c r="C887" s="14"/>
      <c r="D887" s="14"/>
      <c r="E887" s="15"/>
      <c r="F887" s="15"/>
      <c r="G887" s="15"/>
      <c r="H887" s="14"/>
      <c r="I887" s="14"/>
      <c r="J887" s="16"/>
      <c r="K887" s="16"/>
      <c r="L887" s="16"/>
      <c r="M887" s="16"/>
      <c r="N887" s="16"/>
      <c r="O887" s="16"/>
      <c r="P887" s="14"/>
      <c r="Q887" s="14"/>
      <c r="S887" s="14"/>
      <c r="T887" s="14"/>
      <c r="U887" s="14"/>
      <c r="V887" s="14"/>
      <c r="W887" s="14"/>
      <c r="X887" s="14"/>
      <c r="Y887" s="14"/>
      <c r="Z887" s="14"/>
      <c r="AA887" s="14"/>
      <c r="AB887" s="14"/>
      <c r="AC887" s="14"/>
      <c r="AD887" s="14"/>
    </row>
    <row r="888" spans="3:30" x14ac:dyDescent="0.3">
      <c r="C888" s="14"/>
      <c r="D888" s="14"/>
      <c r="E888" s="15"/>
      <c r="F888" s="15"/>
      <c r="G888" s="15"/>
      <c r="H888" s="14"/>
      <c r="I888" s="14"/>
      <c r="J888" s="16"/>
      <c r="K888" s="16"/>
      <c r="L888" s="16"/>
      <c r="M888" s="16"/>
      <c r="N888" s="16"/>
      <c r="O888" s="16"/>
      <c r="P888" s="14"/>
      <c r="Q888" s="14"/>
      <c r="S888" s="14"/>
      <c r="T888" s="14"/>
      <c r="U888" s="14"/>
      <c r="V888" s="14"/>
      <c r="W888" s="14"/>
      <c r="X888" s="14"/>
      <c r="Y888" s="14"/>
      <c r="Z888" s="14"/>
      <c r="AA888" s="14"/>
      <c r="AB888" s="14"/>
      <c r="AC888" s="14"/>
      <c r="AD888" s="14"/>
    </row>
    <row r="889" spans="3:30" x14ac:dyDescent="0.3">
      <c r="C889" s="14"/>
      <c r="D889" s="14"/>
      <c r="E889" s="15"/>
      <c r="F889" s="15"/>
      <c r="G889" s="15"/>
      <c r="H889" s="14"/>
      <c r="I889" s="14"/>
      <c r="J889" s="16"/>
      <c r="K889" s="16"/>
      <c r="L889" s="16"/>
      <c r="M889" s="16"/>
      <c r="N889" s="16"/>
      <c r="O889" s="16"/>
      <c r="P889" s="14"/>
      <c r="Q889" s="14"/>
      <c r="S889" s="14"/>
      <c r="T889" s="14"/>
      <c r="U889" s="14"/>
      <c r="V889" s="14"/>
      <c r="W889" s="14"/>
      <c r="X889" s="14"/>
      <c r="Y889" s="14"/>
      <c r="Z889" s="14"/>
      <c r="AA889" s="14"/>
      <c r="AB889" s="14"/>
      <c r="AC889" s="14"/>
      <c r="AD889" s="14"/>
    </row>
    <row r="890" spans="3:30" x14ac:dyDescent="0.3">
      <c r="C890" s="14"/>
      <c r="D890" s="14"/>
      <c r="E890" s="15"/>
      <c r="F890" s="15"/>
      <c r="G890" s="15"/>
      <c r="H890" s="14"/>
      <c r="I890" s="14"/>
      <c r="J890" s="16"/>
      <c r="K890" s="16"/>
      <c r="L890" s="16"/>
      <c r="M890" s="16"/>
      <c r="N890" s="16"/>
      <c r="O890" s="16"/>
      <c r="P890" s="14"/>
      <c r="Q890" s="14"/>
      <c r="S890" s="14"/>
      <c r="T890" s="14"/>
      <c r="U890" s="14"/>
      <c r="V890" s="14"/>
      <c r="W890" s="14"/>
      <c r="X890" s="14"/>
      <c r="Y890" s="14"/>
      <c r="Z890" s="14"/>
      <c r="AA890" s="14"/>
      <c r="AB890" s="14"/>
      <c r="AC890" s="14"/>
      <c r="AD890" s="14"/>
    </row>
    <row r="891" spans="3:30" x14ac:dyDescent="0.3">
      <c r="C891" s="14"/>
      <c r="D891" s="14"/>
      <c r="E891" s="15"/>
      <c r="F891" s="15"/>
      <c r="G891" s="15"/>
      <c r="H891" s="14"/>
      <c r="I891" s="14"/>
      <c r="J891" s="16"/>
      <c r="K891" s="16"/>
      <c r="L891" s="16"/>
      <c r="M891" s="16"/>
      <c r="N891" s="16"/>
      <c r="O891" s="16"/>
      <c r="P891" s="14"/>
      <c r="Q891" s="14"/>
      <c r="S891" s="14"/>
      <c r="T891" s="14"/>
      <c r="U891" s="14"/>
      <c r="V891" s="14"/>
      <c r="W891" s="14"/>
      <c r="X891" s="14"/>
      <c r="Y891" s="14"/>
      <c r="Z891" s="14"/>
      <c r="AA891" s="14"/>
      <c r="AB891" s="14"/>
      <c r="AC891" s="14"/>
      <c r="AD891" s="14"/>
    </row>
    <row r="892" spans="3:30" x14ac:dyDescent="0.3">
      <c r="C892" s="14"/>
      <c r="D892" s="14"/>
      <c r="E892" s="15"/>
      <c r="F892" s="15"/>
      <c r="G892" s="15"/>
      <c r="H892" s="14"/>
      <c r="I892" s="14"/>
      <c r="J892" s="16"/>
      <c r="K892" s="16"/>
      <c r="L892" s="16"/>
      <c r="M892" s="16"/>
      <c r="N892" s="16"/>
      <c r="O892" s="16"/>
      <c r="P892" s="14"/>
      <c r="Q892" s="14"/>
      <c r="S892" s="14"/>
      <c r="T892" s="14"/>
      <c r="U892" s="14"/>
      <c r="V892" s="14"/>
      <c r="W892" s="14"/>
      <c r="X892" s="14"/>
      <c r="Y892" s="14"/>
      <c r="Z892" s="14"/>
      <c r="AA892" s="14"/>
      <c r="AB892" s="14"/>
      <c r="AC892" s="14"/>
      <c r="AD892" s="14"/>
    </row>
    <row r="893" spans="3:30" x14ac:dyDescent="0.3">
      <c r="C893" s="14"/>
      <c r="D893" s="14"/>
      <c r="E893" s="15"/>
      <c r="F893" s="15"/>
      <c r="G893" s="15"/>
      <c r="H893" s="14"/>
      <c r="I893" s="14"/>
      <c r="J893" s="16"/>
      <c r="K893" s="16"/>
      <c r="L893" s="16"/>
      <c r="M893" s="16"/>
      <c r="N893" s="16"/>
      <c r="O893" s="16"/>
      <c r="P893" s="14"/>
      <c r="Q893" s="14"/>
      <c r="S893" s="14"/>
      <c r="T893" s="14"/>
      <c r="U893" s="14"/>
      <c r="V893" s="14"/>
      <c r="W893" s="14"/>
      <c r="X893" s="14"/>
      <c r="Y893" s="14"/>
      <c r="Z893" s="14"/>
      <c r="AA893" s="14"/>
      <c r="AB893" s="14"/>
      <c r="AC893" s="14"/>
      <c r="AD893" s="14"/>
    </row>
    <row r="894" spans="3:30" x14ac:dyDescent="0.3">
      <c r="C894" s="14"/>
      <c r="D894" s="14"/>
      <c r="E894" s="15"/>
      <c r="F894" s="15"/>
      <c r="G894" s="15"/>
      <c r="H894" s="14"/>
      <c r="I894" s="14"/>
      <c r="J894" s="16"/>
      <c r="K894" s="16"/>
      <c r="L894" s="16"/>
      <c r="M894" s="16"/>
      <c r="N894" s="16"/>
      <c r="O894" s="16"/>
      <c r="P894" s="14"/>
      <c r="Q894" s="14"/>
      <c r="S894" s="14"/>
      <c r="T894" s="14"/>
      <c r="U894" s="14"/>
      <c r="V894" s="14"/>
      <c r="W894" s="14"/>
      <c r="X894" s="14"/>
      <c r="Y894" s="14"/>
      <c r="Z894" s="14"/>
      <c r="AA894" s="14"/>
      <c r="AB894" s="14"/>
      <c r="AC894" s="14"/>
      <c r="AD894" s="14"/>
    </row>
    <row r="895" spans="3:30" x14ac:dyDescent="0.3">
      <c r="C895" s="14"/>
      <c r="D895" s="14"/>
      <c r="E895" s="15"/>
      <c r="F895" s="15"/>
      <c r="G895" s="15"/>
      <c r="H895" s="14"/>
      <c r="I895" s="14"/>
      <c r="J895" s="16"/>
      <c r="K895" s="16"/>
      <c r="L895" s="16"/>
      <c r="M895" s="16"/>
      <c r="N895" s="16"/>
      <c r="O895" s="16"/>
      <c r="P895" s="14"/>
      <c r="Q895" s="14"/>
      <c r="S895" s="14"/>
      <c r="T895" s="14"/>
      <c r="U895" s="14"/>
      <c r="V895" s="14"/>
      <c r="W895" s="14"/>
      <c r="X895" s="14"/>
      <c r="Y895" s="14"/>
      <c r="Z895" s="14"/>
      <c r="AA895" s="14"/>
      <c r="AB895" s="14"/>
      <c r="AC895" s="14"/>
      <c r="AD895" s="14"/>
    </row>
    <row r="896" spans="3:30" x14ac:dyDescent="0.3">
      <c r="C896" s="14"/>
      <c r="D896" s="14"/>
      <c r="E896" s="15"/>
      <c r="F896" s="15"/>
      <c r="G896" s="15"/>
      <c r="H896" s="14"/>
      <c r="I896" s="14"/>
      <c r="J896" s="16"/>
      <c r="K896" s="16"/>
      <c r="L896" s="16"/>
      <c r="M896" s="16"/>
      <c r="N896" s="16"/>
      <c r="O896" s="16"/>
      <c r="P896" s="14"/>
      <c r="Q896" s="14"/>
      <c r="S896" s="14"/>
      <c r="T896" s="14"/>
      <c r="U896" s="14"/>
      <c r="V896" s="14"/>
      <c r="W896" s="14"/>
      <c r="X896" s="14"/>
      <c r="Y896" s="14"/>
      <c r="Z896" s="14"/>
      <c r="AA896" s="14"/>
      <c r="AB896" s="14"/>
      <c r="AC896" s="14"/>
      <c r="AD896" s="14"/>
    </row>
    <row r="897" spans="3:30" x14ac:dyDescent="0.3">
      <c r="C897" s="14"/>
      <c r="D897" s="14"/>
      <c r="E897" s="15"/>
      <c r="F897" s="15"/>
      <c r="G897" s="15"/>
      <c r="H897" s="14"/>
      <c r="I897" s="14"/>
      <c r="J897" s="16"/>
      <c r="K897" s="16"/>
      <c r="L897" s="16"/>
      <c r="M897" s="16"/>
      <c r="N897" s="16"/>
      <c r="O897" s="16"/>
      <c r="P897" s="14"/>
      <c r="Q897" s="14"/>
      <c r="S897" s="14"/>
      <c r="T897" s="14"/>
      <c r="U897" s="14"/>
      <c r="V897" s="14"/>
      <c r="W897" s="14"/>
      <c r="X897" s="14"/>
      <c r="Y897" s="14"/>
      <c r="Z897" s="14"/>
      <c r="AA897" s="14"/>
      <c r="AB897" s="14"/>
      <c r="AC897" s="14"/>
      <c r="AD897" s="14"/>
    </row>
    <row r="898" spans="3:30" x14ac:dyDescent="0.3">
      <c r="C898" s="14"/>
      <c r="D898" s="14"/>
      <c r="E898" s="15"/>
      <c r="F898" s="15"/>
      <c r="G898" s="15"/>
      <c r="H898" s="14"/>
      <c r="I898" s="14"/>
      <c r="J898" s="16"/>
      <c r="K898" s="16"/>
      <c r="L898" s="16"/>
      <c r="M898" s="16"/>
      <c r="N898" s="16"/>
      <c r="O898" s="16"/>
      <c r="P898" s="14"/>
      <c r="Q898" s="14"/>
      <c r="S898" s="14"/>
      <c r="T898" s="14"/>
      <c r="U898" s="14"/>
      <c r="V898" s="14"/>
      <c r="W898" s="14"/>
      <c r="X898" s="14"/>
      <c r="Y898" s="14"/>
      <c r="Z898" s="14"/>
      <c r="AA898" s="14"/>
      <c r="AB898" s="14"/>
      <c r="AC898" s="14"/>
      <c r="AD898" s="14"/>
    </row>
    <row r="899" spans="3:30" x14ac:dyDescent="0.3">
      <c r="C899" s="14"/>
      <c r="D899" s="14"/>
      <c r="E899" s="15"/>
      <c r="F899" s="15"/>
      <c r="G899" s="15"/>
      <c r="H899" s="14"/>
      <c r="I899" s="14"/>
      <c r="J899" s="16"/>
      <c r="K899" s="16"/>
      <c r="L899" s="16"/>
      <c r="M899" s="16"/>
      <c r="N899" s="16"/>
      <c r="O899" s="16"/>
      <c r="P899" s="14"/>
      <c r="Q899" s="14"/>
      <c r="S899" s="14"/>
      <c r="T899" s="14"/>
      <c r="U899" s="14"/>
      <c r="V899" s="14"/>
      <c r="W899" s="14"/>
      <c r="X899" s="14"/>
      <c r="Y899" s="14"/>
      <c r="Z899" s="14"/>
      <c r="AA899" s="14"/>
      <c r="AB899" s="14"/>
      <c r="AC899" s="14"/>
      <c r="AD899" s="14"/>
    </row>
    <row r="900" spans="3:30" x14ac:dyDescent="0.3">
      <c r="C900" s="14"/>
      <c r="D900" s="14"/>
      <c r="E900" s="15"/>
      <c r="F900" s="15"/>
      <c r="G900" s="15"/>
      <c r="H900" s="14"/>
      <c r="I900" s="14"/>
      <c r="J900" s="16"/>
      <c r="K900" s="16"/>
      <c r="L900" s="16"/>
      <c r="M900" s="16"/>
      <c r="N900" s="16"/>
      <c r="O900" s="16"/>
      <c r="P900" s="14"/>
      <c r="Q900" s="14"/>
      <c r="S900" s="14"/>
      <c r="T900" s="14"/>
      <c r="U900" s="14"/>
      <c r="V900" s="14"/>
      <c r="W900" s="14"/>
      <c r="X900" s="14"/>
      <c r="Y900" s="14"/>
      <c r="Z900" s="14"/>
      <c r="AA900" s="14"/>
      <c r="AB900" s="14"/>
      <c r="AC900" s="14"/>
      <c r="AD900" s="14"/>
    </row>
    <row r="901" spans="3:30" x14ac:dyDescent="0.3">
      <c r="C901" s="14"/>
      <c r="D901" s="14"/>
      <c r="E901" s="15"/>
      <c r="F901" s="15"/>
      <c r="G901" s="15"/>
      <c r="H901" s="14"/>
      <c r="I901" s="14"/>
      <c r="J901" s="16"/>
      <c r="K901" s="16"/>
      <c r="L901" s="16"/>
      <c r="M901" s="16"/>
      <c r="N901" s="16"/>
      <c r="O901" s="16"/>
      <c r="P901" s="14"/>
      <c r="Q901" s="14"/>
      <c r="S901" s="14"/>
      <c r="T901" s="14"/>
      <c r="U901" s="14"/>
      <c r="V901" s="14"/>
      <c r="W901" s="14"/>
      <c r="X901" s="14"/>
      <c r="Y901" s="14"/>
      <c r="Z901" s="14"/>
      <c r="AA901" s="14"/>
      <c r="AB901" s="14"/>
      <c r="AC901" s="14"/>
      <c r="AD901" s="14"/>
    </row>
    <row r="902" spans="3:30" x14ac:dyDescent="0.3">
      <c r="C902" s="14"/>
      <c r="D902" s="14"/>
      <c r="E902" s="15"/>
      <c r="F902" s="15"/>
      <c r="G902" s="15"/>
      <c r="H902" s="14"/>
      <c r="I902" s="14"/>
      <c r="J902" s="16"/>
      <c r="K902" s="16"/>
      <c r="L902" s="16"/>
      <c r="M902" s="16"/>
      <c r="N902" s="16"/>
      <c r="O902" s="16"/>
      <c r="P902" s="14"/>
      <c r="Q902" s="14"/>
      <c r="S902" s="14"/>
      <c r="T902" s="14"/>
      <c r="U902" s="14"/>
      <c r="V902" s="14"/>
      <c r="W902" s="14"/>
      <c r="X902" s="14"/>
      <c r="Y902" s="14"/>
      <c r="Z902" s="14"/>
      <c r="AA902" s="14"/>
      <c r="AB902" s="14"/>
      <c r="AC902" s="14"/>
      <c r="AD902" s="14"/>
    </row>
    <row r="903" spans="3:30" x14ac:dyDescent="0.3">
      <c r="C903" s="14"/>
      <c r="D903" s="14"/>
      <c r="E903" s="15"/>
      <c r="F903" s="15"/>
      <c r="G903" s="15"/>
      <c r="H903" s="14"/>
      <c r="I903" s="14"/>
      <c r="J903" s="16"/>
      <c r="K903" s="16"/>
      <c r="L903" s="16"/>
      <c r="M903" s="16"/>
      <c r="N903" s="16"/>
      <c r="O903" s="16"/>
      <c r="P903" s="14"/>
      <c r="Q903" s="14"/>
      <c r="S903" s="14"/>
      <c r="T903" s="14"/>
      <c r="U903" s="14"/>
      <c r="V903" s="14"/>
      <c r="W903" s="14"/>
      <c r="X903" s="14"/>
      <c r="Y903" s="14"/>
      <c r="Z903" s="14"/>
      <c r="AA903" s="14"/>
      <c r="AB903" s="14"/>
      <c r="AC903" s="14"/>
      <c r="AD903" s="14"/>
    </row>
    <row r="904" spans="3:30" x14ac:dyDescent="0.3">
      <c r="C904" s="14"/>
      <c r="D904" s="14"/>
      <c r="E904" s="15"/>
      <c r="F904" s="15"/>
      <c r="G904" s="15"/>
      <c r="H904" s="14"/>
      <c r="I904" s="14"/>
      <c r="J904" s="16"/>
      <c r="K904" s="16"/>
      <c r="L904" s="16"/>
      <c r="M904" s="16"/>
      <c r="N904" s="16"/>
      <c r="O904" s="16"/>
      <c r="P904" s="14"/>
      <c r="Q904" s="14"/>
      <c r="S904" s="14"/>
      <c r="T904" s="14"/>
      <c r="U904" s="14"/>
      <c r="V904" s="14"/>
      <c r="W904" s="14"/>
      <c r="X904" s="14"/>
      <c r="Y904" s="14"/>
      <c r="Z904" s="14"/>
      <c r="AA904" s="14"/>
      <c r="AB904" s="14"/>
      <c r="AC904" s="14"/>
      <c r="AD904" s="14"/>
    </row>
    <row r="905" spans="3:30" x14ac:dyDescent="0.3">
      <c r="C905" s="14"/>
      <c r="D905" s="14"/>
      <c r="E905" s="15"/>
      <c r="F905" s="15"/>
      <c r="G905" s="15"/>
      <c r="H905" s="14"/>
      <c r="I905" s="14"/>
      <c r="J905" s="16"/>
      <c r="K905" s="16"/>
      <c r="L905" s="16"/>
      <c r="M905" s="16"/>
      <c r="N905" s="16"/>
      <c r="O905" s="16"/>
      <c r="P905" s="14"/>
      <c r="Q905" s="14"/>
      <c r="S905" s="14"/>
      <c r="T905" s="14"/>
      <c r="U905" s="14"/>
      <c r="V905" s="14"/>
      <c r="W905" s="14"/>
      <c r="X905" s="14"/>
      <c r="Y905" s="14"/>
      <c r="Z905" s="14"/>
      <c r="AA905" s="14"/>
      <c r="AB905" s="14"/>
      <c r="AC905" s="14"/>
      <c r="AD905" s="14"/>
    </row>
    <row r="906" spans="3:30" x14ac:dyDescent="0.3">
      <c r="C906" s="14"/>
      <c r="D906" s="14"/>
      <c r="E906" s="15"/>
      <c r="F906" s="15"/>
      <c r="G906" s="15"/>
      <c r="H906" s="14"/>
      <c r="I906" s="14"/>
      <c r="J906" s="16"/>
      <c r="K906" s="16"/>
      <c r="L906" s="16"/>
      <c r="M906" s="16"/>
      <c r="N906" s="16"/>
      <c r="O906" s="16"/>
      <c r="P906" s="14"/>
      <c r="Q906" s="14"/>
      <c r="S906" s="14"/>
      <c r="T906" s="14"/>
      <c r="U906" s="14"/>
      <c r="V906" s="14"/>
      <c r="W906" s="14"/>
      <c r="X906" s="14"/>
      <c r="Y906" s="14"/>
      <c r="Z906" s="14"/>
      <c r="AA906" s="14"/>
      <c r="AB906" s="14"/>
      <c r="AC906" s="14"/>
      <c r="AD906" s="14"/>
    </row>
    <row r="907" spans="3:30" x14ac:dyDescent="0.3">
      <c r="C907" s="14"/>
      <c r="D907" s="14"/>
      <c r="E907" s="15"/>
      <c r="F907" s="15"/>
      <c r="G907" s="15"/>
      <c r="H907" s="14"/>
      <c r="I907" s="14"/>
      <c r="J907" s="16"/>
      <c r="K907" s="16"/>
      <c r="L907" s="16"/>
      <c r="M907" s="16"/>
      <c r="N907" s="16"/>
      <c r="O907" s="16"/>
      <c r="P907" s="14"/>
      <c r="Q907" s="14"/>
      <c r="S907" s="14"/>
      <c r="T907" s="14"/>
      <c r="U907" s="14"/>
      <c r="V907" s="14"/>
      <c r="W907" s="14"/>
      <c r="X907" s="14"/>
      <c r="Y907" s="14"/>
      <c r="Z907" s="14"/>
      <c r="AA907" s="14"/>
      <c r="AB907" s="14"/>
      <c r="AC907" s="14"/>
      <c r="AD907" s="14"/>
    </row>
    <row r="908" spans="3:30" x14ac:dyDescent="0.3">
      <c r="C908" s="14"/>
      <c r="D908" s="14"/>
      <c r="E908" s="15"/>
      <c r="F908" s="15"/>
      <c r="G908" s="15"/>
      <c r="H908" s="14"/>
      <c r="I908" s="14"/>
      <c r="J908" s="16"/>
      <c r="K908" s="16"/>
      <c r="L908" s="16"/>
      <c r="M908" s="16"/>
      <c r="N908" s="16"/>
      <c r="O908" s="16"/>
      <c r="P908" s="14"/>
      <c r="Q908" s="14"/>
      <c r="S908" s="14"/>
      <c r="T908" s="14"/>
      <c r="U908" s="14"/>
      <c r="V908" s="14"/>
      <c r="W908" s="14"/>
      <c r="X908" s="14"/>
      <c r="Y908" s="14"/>
      <c r="Z908" s="14"/>
      <c r="AA908" s="14"/>
      <c r="AB908" s="14"/>
      <c r="AC908" s="14"/>
      <c r="AD908" s="14"/>
    </row>
    <row r="909" spans="3:30" x14ac:dyDescent="0.3">
      <c r="C909" s="14"/>
      <c r="D909" s="14"/>
      <c r="E909" s="15"/>
      <c r="F909" s="15"/>
      <c r="G909" s="15"/>
      <c r="H909" s="14"/>
      <c r="I909" s="14"/>
      <c r="J909" s="16"/>
      <c r="K909" s="16"/>
      <c r="L909" s="16"/>
      <c r="M909" s="16"/>
      <c r="N909" s="16"/>
      <c r="O909" s="16"/>
      <c r="P909" s="14"/>
      <c r="Q909" s="14"/>
      <c r="S909" s="14"/>
      <c r="T909" s="14"/>
      <c r="U909" s="14"/>
      <c r="V909" s="14"/>
      <c r="W909" s="14"/>
      <c r="X909" s="14"/>
      <c r="Y909" s="14"/>
      <c r="Z909" s="14"/>
      <c r="AA909" s="14"/>
      <c r="AB909" s="14"/>
      <c r="AC909" s="14"/>
      <c r="AD909" s="14"/>
    </row>
    <row r="910" spans="3:30" x14ac:dyDescent="0.3">
      <c r="C910" s="14"/>
      <c r="D910" s="14"/>
      <c r="E910" s="15"/>
      <c r="F910" s="15"/>
      <c r="G910" s="15"/>
      <c r="H910" s="14"/>
      <c r="I910" s="14"/>
      <c r="J910" s="16"/>
      <c r="K910" s="16"/>
      <c r="L910" s="16"/>
      <c r="M910" s="16"/>
      <c r="N910" s="16"/>
      <c r="O910" s="16"/>
      <c r="P910" s="14"/>
      <c r="Q910" s="14"/>
      <c r="S910" s="14"/>
      <c r="T910" s="14"/>
      <c r="U910" s="14"/>
      <c r="V910" s="14"/>
      <c r="W910" s="14"/>
      <c r="X910" s="14"/>
      <c r="Y910" s="14"/>
      <c r="Z910" s="14"/>
      <c r="AA910" s="14"/>
      <c r="AB910" s="14"/>
      <c r="AC910" s="14"/>
      <c r="AD910" s="14"/>
    </row>
    <row r="911" spans="3:30" x14ac:dyDescent="0.3">
      <c r="C911" s="14"/>
      <c r="D911" s="14"/>
      <c r="E911" s="15"/>
      <c r="F911" s="15"/>
      <c r="G911" s="15"/>
      <c r="H911" s="14"/>
      <c r="I911" s="14"/>
      <c r="J911" s="16"/>
      <c r="K911" s="16"/>
      <c r="L911" s="16"/>
      <c r="M911" s="16"/>
      <c r="N911" s="16"/>
      <c r="O911" s="16"/>
      <c r="P911" s="14"/>
      <c r="Q911" s="14"/>
      <c r="S911" s="14"/>
      <c r="T911" s="14"/>
      <c r="U911" s="14"/>
      <c r="V911" s="14"/>
      <c r="W911" s="14"/>
      <c r="X911" s="14"/>
      <c r="Y911" s="14"/>
      <c r="Z911" s="14"/>
      <c r="AA911" s="14"/>
      <c r="AB911" s="14"/>
      <c r="AC911" s="14"/>
      <c r="AD911" s="14"/>
    </row>
    <row r="912" spans="3:30" x14ac:dyDescent="0.3">
      <c r="C912" s="14"/>
      <c r="D912" s="14"/>
      <c r="E912" s="15"/>
      <c r="F912" s="15"/>
      <c r="G912" s="15"/>
      <c r="H912" s="14"/>
      <c r="I912" s="14"/>
      <c r="J912" s="16"/>
      <c r="K912" s="16"/>
      <c r="L912" s="16"/>
      <c r="M912" s="16"/>
      <c r="N912" s="16"/>
      <c r="O912" s="16"/>
      <c r="P912" s="14"/>
      <c r="Q912" s="14"/>
      <c r="S912" s="14"/>
      <c r="T912" s="14"/>
      <c r="U912" s="14"/>
      <c r="V912" s="14"/>
      <c r="W912" s="14"/>
      <c r="X912" s="14"/>
      <c r="Y912" s="14"/>
      <c r="Z912" s="14"/>
      <c r="AA912" s="14"/>
      <c r="AB912" s="14"/>
      <c r="AC912" s="14"/>
      <c r="AD912" s="14"/>
    </row>
    <row r="913" spans="3:30" x14ac:dyDescent="0.3">
      <c r="C913" s="14"/>
      <c r="D913" s="14"/>
      <c r="E913" s="15"/>
      <c r="F913" s="15"/>
      <c r="G913" s="15"/>
      <c r="H913" s="14"/>
      <c r="I913" s="14"/>
      <c r="J913" s="16"/>
      <c r="K913" s="16"/>
      <c r="L913" s="16"/>
      <c r="M913" s="16"/>
      <c r="N913" s="16"/>
      <c r="O913" s="16"/>
      <c r="P913" s="14"/>
      <c r="Q913" s="14"/>
      <c r="S913" s="14"/>
      <c r="T913" s="14"/>
      <c r="U913" s="14"/>
      <c r="V913" s="14"/>
      <c r="W913" s="14"/>
      <c r="X913" s="14"/>
      <c r="Y913" s="14"/>
      <c r="Z913" s="14"/>
      <c r="AA913" s="14"/>
      <c r="AB913" s="14"/>
      <c r="AC913" s="14"/>
      <c r="AD913" s="14"/>
    </row>
    <row r="914" spans="3:30" x14ac:dyDescent="0.3">
      <c r="C914" s="14"/>
      <c r="D914" s="14"/>
      <c r="E914" s="15"/>
      <c r="F914" s="15"/>
      <c r="G914" s="15"/>
      <c r="H914" s="14"/>
      <c r="I914" s="14"/>
      <c r="J914" s="16"/>
      <c r="K914" s="16"/>
      <c r="L914" s="16"/>
      <c r="M914" s="16"/>
      <c r="N914" s="16"/>
      <c r="O914" s="16"/>
      <c r="P914" s="14"/>
      <c r="Q914" s="14"/>
      <c r="S914" s="14"/>
      <c r="T914" s="14"/>
      <c r="U914" s="14"/>
      <c r="V914" s="14"/>
      <c r="W914" s="14"/>
      <c r="X914" s="14"/>
      <c r="Y914" s="14"/>
      <c r="Z914" s="14"/>
      <c r="AA914" s="14"/>
      <c r="AB914" s="14"/>
      <c r="AC914" s="14"/>
      <c r="AD914" s="14"/>
    </row>
    <row r="915" spans="3:30" x14ac:dyDescent="0.3">
      <c r="C915" s="14"/>
      <c r="D915" s="14"/>
      <c r="E915" s="15"/>
      <c r="F915" s="15"/>
      <c r="G915" s="15"/>
      <c r="H915" s="14"/>
      <c r="I915" s="14"/>
      <c r="J915" s="16"/>
      <c r="K915" s="16"/>
      <c r="L915" s="16"/>
      <c r="M915" s="16"/>
      <c r="N915" s="16"/>
      <c r="O915" s="16"/>
      <c r="P915" s="14"/>
      <c r="Q915" s="14"/>
      <c r="S915" s="14"/>
      <c r="T915" s="14"/>
      <c r="U915" s="14"/>
      <c r="V915" s="14"/>
      <c r="W915" s="14"/>
      <c r="X915" s="14"/>
      <c r="Y915" s="14"/>
      <c r="Z915" s="14"/>
      <c r="AA915" s="14"/>
      <c r="AB915" s="14"/>
      <c r="AC915" s="14"/>
      <c r="AD915" s="14"/>
    </row>
    <row r="916" spans="3:30" x14ac:dyDescent="0.3">
      <c r="C916" s="14"/>
      <c r="D916" s="14"/>
      <c r="E916" s="15"/>
      <c r="F916" s="15"/>
      <c r="G916" s="15"/>
      <c r="H916" s="14"/>
      <c r="I916" s="14"/>
      <c r="J916" s="16"/>
      <c r="K916" s="16"/>
      <c r="L916" s="16"/>
      <c r="M916" s="16"/>
      <c r="N916" s="16"/>
      <c r="O916" s="16"/>
      <c r="P916" s="14"/>
      <c r="Q916" s="14"/>
      <c r="S916" s="14"/>
      <c r="T916" s="14"/>
      <c r="U916" s="14"/>
      <c r="V916" s="14"/>
      <c r="W916" s="14"/>
      <c r="X916" s="14"/>
      <c r="Y916" s="14"/>
      <c r="Z916" s="14"/>
      <c r="AA916" s="14"/>
      <c r="AB916" s="14"/>
      <c r="AC916" s="14"/>
      <c r="AD916" s="14"/>
    </row>
    <row r="917" spans="3:30" x14ac:dyDescent="0.3">
      <c r="C917" s="14"/>
      <c r="D917" s="14"/>
      <c r="E917" s="15"/>
      <c r="F917" s="15"/>
      <c r="G917" s="15"/>
      <c r="H917" s="14"/>
      <c r="I917" s="14"/>
      <c r="J917" s="16"/>
      <c r="K917" s="16"/>
      <c r="L917" s="16"/>
      <c r="M917" s="16"/>
      <c r="N917" s="16"/>
      <c r="O917" s="16"/>
      <c r="P917" s="14"/>
      <c r="Q917" s="14"/>
      <c r="S917" s="14"/>
      <c r="T917" s="14"/>
      <c r="U917" s="14"/>
      <c r="V917" s="14"/>
      <c r="W917" s="14"/>
      <c r="X917" s="14"/>
      <c r="Y917" s="14"/>
      <c r="Z917" s="14"/>
      <c r="AA917" s="14"/>
      <c r="AB917" s="14"/>
      <c r="AC917" s="14"/>
      <c r="AD917" s="14"/>
    </row>
    <row r="918" spans="3:30" x14ac:dyDescent="0.3">
      <c r="C918" s="14"/>
      <c r="D918" s="14"/>
      <c r="E918" s="15"/>
      <c r="F918" s="15"/>
      <c r="G918" s="15"/>
      <c r="H918" s="14"/>
      <c r="I918" s="14"/>
      <c r="J918" s="16"/>
      <c r="K918" s="16"/>
      <c r="L918" s="16"/>
      <c r="M918" s="16"/>
      <c r="N918" s="16"/>
      <c r="O918" s="16"/>
      <c r="P918" s="14"/>
      <c r="Q918" s="14"/>
      <c r="S918" s="14"/>
      <c r="T918" s="14"/>
      <c r="U918" s="14"/>
      <c r="V918" s="14"/>
      <c r="W918" s="14"/>
      <c r="X918" s="14"/>
      <c r="Y918" s="14"/>
      <c r="Z918" s="14"/>
      <c r="AA918" s="14"/>
      <c r="AB918" s="14"/>
      <c r="AC918" s="14"/>
      <c r="AD918" s="14"/>
    </row>
    <row r="919" spans="3:30" x14ac:dyDescent="0.3">
      <c r="C919" s="14"/>
      <c r="D919" s="14"/>
      <c r="E919" s="15"/>
      <c r="F919" s="15"/>
      <c r="G919" s="15"/>
      <c r="H919" s="14"/>
      <c r="I919" s="14"/>
      <c r="J919" s="16"/>
      <c r="K919" s="16"/>
      <c r="L919" s="16"/>
      <c r="M919" s="16"/>
      <c r="N919" s="16"/>
      <c r="O919" s="16"/>
      <c r="P919" s="14"/>
      <c r="Q919" s="14"/>
      <c r="S919" s="14"/>
      <c r="T919" s="14"/>
      <c r="U919" s="14"/>
      <c r="V919" s="14"/>
      <c r="W919" s="14"/>
      <c r="X919" s="14"/>
      <c r="Y919" s="14"/>
      <c r="Z919" s="14"/>
      <c r="AA919" s="14"/>
      <c r="AB919" s="14"/>
      <c r="AC919" s="14"/>
      <c r="AD919" s="14"/>
    </row>
    <row r="920" spans="3:30" x14ac:dyDescent="0.3">
      <c r="C920" s="14"/>
      <c r="D920" s="14"/>
      <c r="E920" s="15"/>
      <c r="F920" s="15"/>
      <c r="G920" s="15"/>
      <c r="H920" s="14"/>
      <c r="I920" s="14"/>
      <c r="J920" s="16"/>
      <c r="K920" s="16"/>
      <c r="L920" s="16"/>
      <c r="M920" s="16"/>
      <c r="N920" s="16"/>
      <c r="O920" s="16"/>
      <c r="P920" s="14"/>
      <c r="Q920" s="14"/>
      <c r="S920" s="14"/>
      <c r="T920" s="14"/>
      <c r="U920" s="14"/>
      <c r="V920" s="14"/>
      <c r="W920" s="14"/>
      <c r="X920" s="14"/>
      <c r="Y920" s="14"/>
      <c r="Z920" s="14"/>
      <c r="AA920" s="14"/>
      <c r="AB920" s="14"/>
      <c r="AC920" s="14"/>
      <c r="AD920" s="14"/>
    </row>
    <row r="921" spans="3:30" x14ac:dyDescent="0.3">
      <c r="C921" s="14"/>
      <c r="D921" s="14"/>
      <c r="E921" s="15"/>
      <c r="F921" s="15"/>
      <c r="G921" s="15"/>
      <c r="H921" s="14"/>
      <c r="I921" s="14"/>
      <c r="J921" s="16"/>
      <c r="K921" s="16"/>
      <c r="L921" s="16"/>
      <c r="M921" s="16"/>
      <c r="N921" s="16"/>
      <c r="O921" s="16"/>
      <c r="P921" s="14"/>
      <c r="Q921" s="14"/>
      <c r="S921" s="14"/>
      <c r="T921" s="14"/>
      <c r="U921" s="14"/>
      <c r="V921" s="14"/>
      <c r="W921" s="14"/>
      <c r="X921" s="14"/>
      <c r="Y921" s="14"/>
      <c r="Z921" s="14"/>
      <c r="AA921" s="14"/>
      <c r="AB921" s="14"/>
      <c r="AC921" s="14"/>
      <c r="AD921" s="14"/>
    </row>
    <row r="922" spans="3:30" x14ac:dyDescent="0.3">
      <c r="C922" s="14"/>
      <c r="D922" s="14"/>
      <c r="E922" s="15"/>
      <c r="F922" s="15"/>
      <c r="G922" s="15"/>
      <c r="H922" s="14"/>
      <c r="I922" s="14"/>
      <c r="J922" s="16"/>
      <c r="K922" s="16"/>
      <c r="L922" s="16"/>
      <c r="M922" s="16"/>
      <c r="N922" s="16"/>
      <c r="O922" s="16"/>
      <c r="P922" s="14"/>
      <c r="Q922" s="14"/>
      <c r="S922" s="14"/>
      <c r="T922" s="14"/>
      <c r="U922" s="14"/>
      <c r="V922" s="14"/>
      <c r="W922" s="14"/>
      <c r="X922" s="14"/>
      <c r="Y922" s="14"/>
      <c r="Z922" s="14"/>
      <c r="AA922" s="14"/>
      <c r="AB922" s="14"/>
      <c r="AC922" s="14"/>
      <c r="AD922" s="14"/>
    </row>
    <row r="923" spans="3:30" x14ac:dyDescent="0.3">
      <c r="C923" s="14"/>
      <c r="D923" s="14"/>
      <c r="E923" s="15"/>
      <c r="F923" s="15"/>
      <c r="G923" s="15"/>
      <c r="H923" s="14"/>
      <c r="I923" s="14"/>
      <c r="J923" s="16"/>
      <c r="K923" s="16"/>
      <c r="L923" s="16"/>
      <c r="M923" s="16"/>
      <c r="N923" s="16"/>
      <c r="O923" s="16"/>
      <c r="P923" s="14"/>
      <c r="Q923" s="14"/>
      <c r="S923" s="14"/>
      <c r="T923" s="14"/>
      <c r="U923" s="14"/>
      <c r="V923" s="14"/>
      <c r="W923" s="14"/>
      <c r="X923" s="14"/>
      <c r="Y923" s="14"/>
      <c r="Z923" s="14"/>
      <c r="AA923" s="14"/>
      <c r="AB923" s="14"/>
      <c r="AC923" s="14"/>
      <c r="AD923" s="14"/>
    </row>
    <row r="924" spans="3:30" x14ac:dyDescent="0.3">
      <c r="C924" s="14"/>
      <c r="D924" s="14"/>
      <c r="E924" s="15"/>
      <c r="F924" s="15"/>
      <c r="G924" s="15"/>
      <c r="H924" s="14"/>
      <c r="I924" s="14"/>
      <c r="J924" s="16"/>
      <c r="K924" s="16"/>
      <c r="L924" s="16"/>
      <c r="M924" s="16"/>
      <c r="N924" s="16"/>
      <c r="O924" s="16"/>
      <c r="P924" s="14"/>
      <c r="Q924" s="14"/>
      <c r="S924" s="14"/>
      <c r="T924" s="14"/>
      <c r="U924" s="14"/>
      <c r="V924" s="14"/>
      <c r="W924" s="14"/>
      <c r="X924" s="14"/>
      <c r="Y924" s="14"/>
      <c r="Z924" s="14"/>
      <c r="AA924" s="14"/>
      <c r="AB924" s="14"/>
      <c r="AC924" s="14"/>
      <c r="AD924" s="14"/>
    </row>
    <row r="925" spans="3:30" x14ac:dyDescent="0.3">
      <c r="C925" s="14"/>
      <c r="D925" s="14"/>
      <c r="E925" s="15"/>
      <c r="F925" s="15"/>
      <c r="G925" s="15"/>
      <c r="H925" s="14"/>
      <c r="I925" s="14"/>
      <c r="J925" s="16"/>
      <c r="K925" s="16"/>
      <c r="L925" s="16"/>
      <c r="M925" s="16"/>
      <c r="N925" s="16"/>
      <c r="O925" s="16"/>
      <c r="P925" s="14"/>
      <c r="Q925" s="14"/>
      <c r="S925" s="14"/>
      <c r="T925" s="14"/>
      <c r="U925" s="14"/>
      <c r="V925" s="14"/>
      <c r="W925" s="14"/>
      <c r="X925" s="14"/>
      <c r="Y925" s="14"/>
      <c r="Z925" s="14"/>
      <c r="AA925" s="14"/>
      <c r="AB925" s="14"/>
      <c r="AC925" s="14"/>
      <c r="AD925" s="14"/>
    </row>
    <row r="926" spans="3:30" x14ac:dyDescent="0.3">
      <c r="C926" s="14"/>
      <c r="D926" s="14"/>
      <c r="E926" s="15"/>
      <c r="F926" s="15"/>
      <c r="G926" s="15"/>
      <c r="H926" s="14"/>
      <c r="I926" s="14"/>
      <c r="J926" s="16"/>
      <c r="K926" s="16"/>
      <c r="L926" s="16"/>
      <c r="M926" s="16"/>
      <c r="N926" s="16"/>
      <c r="O926" s="16"/>
      <c r="P926" s="14"/>
      <c r="Q926" s="14"/>
      <c r="S926" s="14"/>
      <c r="T926" s="14"/>
      <c r="U926" s="14"/>
      <c r="V926" s="14"/>
      <c r="W926" s="14"/>
      <c r="X926" s="14"/>
      <c r="Y926" s="14"/>
      <c r="Z926" s="14"/>
      <c r="AA926" s="14"/>
      <c r="AB926" s="14"/>
      <c r="AC926" s="14"/>
      <c r="AD926" s="14"/>
    </row>
    <row r="927" spans="3:30" x14ac:dyDescent="0.3">
      <c r="C927" s="14"/>
      <c r="D927" s="14"/>
      <c r="E927" s="15"/>
      <c r="F927" s="15"/>
      <c r="G927" s="15"/>
      <c r="H927" s="14"/>
      <c r="I927" s="14"/>
      <c r="J927" s="16"/>
      <c r="K927" s="16"/>
      <c r="L927" s="16"/>
      <c r="M927" s="16"/>
      <c r="N927" s="16"/>
      <c r="O927" s="16"/>
      <c r="P927" s="14"/>
      <c r="Q927" s="14"/>
      <c r="S927" s="14"/>
      <c r="T927" s="14"/>
      <c r="U927" s="14"/>
      <c r="V927" s="14"/>
      <c r="W927" s="14"/>
      <c r="X927" s="14"/>
      <c r="Y927" s="14"/>
      <c r="Z927" s="14"/>
      <c r="AA927" s="14"/>
      <c r="AB927" s="14"/>
      <c r="AC927" s="14"/>
      <c r="AD927" s="14"/>
    </row>
    <row r="928" spans="3:30" x14ac:dyDescent="0.3">
      <c r="C928" s="14"/>
      <c r="D928" s="14"/>
      <c r="E928" s="15"/>
      <c r="F928" s="15"/>
      <c r="G928" s="15"/>
      <c r="H928" s="14"/>
      <c r="I928" s="14"/>
      <c r="J928" s="16"/>
      <c r="K928" s="16"/>
      <c r="L928" s="16"/>
      <c r="M928" s="16"/>
      <c r="N928" s="16"/>
      <c r="O928" s="16"/>
      <c r="P928" s="14"/>
      <c r="Q928" s="14"/>
      <c r="S928" s="14"/>
      <c r="T928" s="14"/>
      <c r="U928" s="14"/>
      <c r="V928" s="14"/>
      <c r="W928" s="14"/>
      <c r="X928" s="14"/>
      <c r="Y928" s="14"/>
      <c r="Z928" s="14"/>
      <c r="AA928" s="14"/>
      <c r="AB928" s="14"/>
      <c r="AC928" s="14"/>
      <c r="AD928" s="14"/>
    </row>
    <row r="929" spans="3:30" x14ac:dyDescent="0.3">
      <c r="C929" s="14"/>
      <c r="D929" s="14"/>
      <c r="E929" s="15"/>
      <c r="F929" s="15"/>
      <c r="G929" s="15"/>
      <c r="H929" s="14"/>
      <c r="I929" s="14"/>
      <c r="J929" s="16"/>
      <c r="K929" s="16"/>
      <c r="L929" s="16"/>
      <c r="M929" s="16"/>
      <c r="N929" s="16"/>
      <c r="O929" s="16"/>
      <c r="P929" s="14"/>
      <c r="Q929" s="14"/>
      <c r="S929" s="14"/>
      <c r="T929" s="14"/>
      <c r="U929" s="14"/>
      <c r="V929" s="14"/>
      <c r="W929" s="14"/>
      <c r="X929" s="14"/>
      <c r="Y929" s="14"/>
      <c r="Z929" s="14"/>
      <c r="AA929" s="14"/>
      <c r="AB929" s="14"/>
      <c r="AC929" s="14"/>
      <c r="AD929" s="14"/>
    </row>
    <row r="930" spans="3:30" x14ac:dyDescent="0.3">
      <c r="C930" s="14"/>
      <c r="D930" s="14"/>
      <c r="E930" s="15"/>
      <c r="F930" s="15"/>
      <c r="G930" s="15"/>
      <c r="H930" s="14"/>
      <c r="I930" s="14"/>
      <c r="J930" s="16"/>
      <c r="K930" s="16"/>
      <c r="L930" s="16"/>
      <c r="M930" s="16"/>
      <c r="N930" s="16"/>
      <c r="O930" s="16"/>
      <c r="P930" s="14"/>
      <c r="Q930" s="14"/>
      <c r="S930" s="14"/>
      <c r="T930" s="14"/>
      <c r="U930" s="14"/>
      <c r="V930" s="14"/>
      <c r="W930" s="14"/>
      <c r="X930" s="14"/>
      <c r="Y930" s="14"/>
      <c r="Z930" s="14"/>
      <c r="AA930" s="14"/>
      <c r="AB930" s="14"/>
      <c r="AC930" s="14"/>
      <c r="AD930" s="14"/>
    </row>
    <row r="931" spans="3:30" x14ac:dyDescent="0.3">
      <c r="C931" s="14"/>
      <c r="D931" s="14"/>
      <c r="E931" s="15"/>
      <c r="F931" s="15"/>
      <c r="G931" s="15"/>
      <c r="H931" s="14"/>
      <c r="I931" s="14"/>
      <c r="J931" s="16"/>
      <c r="K931" s="16"/>
      <c r="L931" s="16"/>
      <c r="M931" s="16"/>
      <c r="N931" s="16"/>
      <c r="O931" s="16"/>
      <c r="P931" s="14"/>
      <c r="Q931" s="14"/>
      <c r="S931" s="14"/>
      <c r="T931" s="14"/>
      <c r="U931" s="14"/>
      <c r="V931" s="14"/>
      <c r="W931" s="14"/>
      <c r="X931" s="14"/>
      <c r="Y931" s="14"/>
      <c r="Z931" s="14"/>
      <c r="AA931" s="14"/>
      <c r="AB931" s="14"/>
      <c r="AC931" s="14"/>
      <c r="AD931" s="14"/>
    </row>
    <row r="932" spans="3:30" x14ac:dyDescent="0.3">
      <c r="C932" s="14"/>
      <c r="D932" s="14"/>
      <c r="E932" s="15"/>
      <c r="F932" s="15"/>
      <c r="G932" s="15"/>
      <c r="H932" s="14"/>
      <c r="I932" s="14"/>
      <c r="J932" s="16"/>
      <c r="K932" s="16"/>
      <c r="L932" s="16"/>
      <c r="M932" s="16"/>
      <c r="N932" s="16"/>
      <c r="O932" s="16"/>
      <c r="P932" s="14"/>
      <c r="Q932" s="14"/>
      <c r="S932" s="14"/>
      <c r="T932" s="14"/>
      <c r="U932" s="14"/>
      <c r="V932" s="14"/>
      <c r="W932" s="14"/>
      <c r="X932" s="14"/>
      <c r="Y932" s="14"/>
      <c r="Z932" s="14"/>
      <c r="AA932" s="14"/>
      <c r="AB932" s="14"/>
      <c r="AC932" s="14"/>
      <c r="AD932" s="14"/>
    </row>
    <row r="933" spans="3:30" x14ac:dyDescent="0.3">
      <c r="C933" s="14"/>
      <c r="D933" s="14"/>
      <c r="E933" s="15"/>
      <c r="F933" s="15"/>
      <c r="G933" s="15"/>
      <c r="H933" s="14"/>
      <c r="I933" s="14"/>
      <c r="J933" s="16"/>
      <c r="K933" s="16"/>
      <c r="L933" s="16"/>
      <c r="M933" s="16"/>
      <c r="N933" s="16"/>
      <c r="O933" s="16"/>
      <c r="P933" s="14"/>
      <c r="Q933" s="14"/>
      <c r="S933" s="14"/>
      <c r="T933" s="14"/>
      <c r="U933" s="14"/>
      <c r="V933" s="14"/>
      <c r="W933" s="14"/>
      <c r="X933" s="14"/>
      <c r="Y933" s="14"/>
      <c r="Z933" s="14"/>
      <c r="AA933" s="14"/>
      <c r="AB933" s="14"/>
      <c r="AC933" s="14"/>
      <c r="AD933" s="14"/>
    </row>
    <row r="934" spans="3:30" x14ac:dyDescent="0.3">
      <c r="C934" s="14"/>
      <c r="D934" s="14"/>
      <c r="E934" s="15"/>
      <c r="F934" s="15"/>
      <c r="G934" s="15"/>
      <c r="H934" s="14"/>
      <c r="I934" s="14"/>
      <c r="J934" s="16"/>
      <c r="K934" s="16"/>
      <c r="L934" s="16"/>
      <c r="M934" s="16"/>
      <c r="N934" s="16"/>
      <c r="O934" s="16"/>
      <c r="P934" s="14"/>
      <c r="Q934" s="14"/>
      <c r="S934" s="14"/>
      <c r="T934" s="14"/>
      <c r="U934" s="14"/>
      <c r="V934" s="14"/>
      <c r="W934" s="14"/>
      <c r="X934" s="14"/>
      <c r="Y934" s="14"/>
      <c r="Z934" s="14"/>
      <c r="AA934" s="14"/>
      <c r="AB934" s="14"/>
      <c r="AC934" s="14"/>
      <c r="AD934" s="14"/>
    </row>
    <row r="935" spans="3:30" x14ac:dyDescent="0.3">
      <c r="C935" s="14"/>
      <c r="D935" s="14"/>
      <c r="E935" s="15"/>
      <c r="F935" s="15"/>
      <c r="G935" s="15"/>
      <c r="H935" s="14"/>
      <c r="I935" s="14"/>
      <c r="J935" s="16"/>
      <c r="K935" s="16"/>
      <c r="L935" s="16"/>
      <c r="M935" s="16"/>
      <c r="N935" s="16"/>
      <c r="O935" s="16"/>
      <c r="P935" s="14"/>
      <c r="Q935" s="14"/>
      <c r="S935" s="14"/>
      <c r="T935" s="14"/>
      <c r="U935" s="14"/>
      <c r="V935" s="14"/>
      <c r="W935" s="14"/>
      <c r="X935" s="14"/>
      <c r="Y935" s="14"/>
      <c r="Z935" s="14"/>
      <c r="AA935" s="14"/>
      <c r="AB935" s="14"/>
      <c r="AC935" s="14"/>
      <c r="AD935" s="14"/>
    </row>
    <row r="936" spans="3:30" x14ac:dyDescent="0.3">
      <c r="C936" s="14"/>
      <c r="D936" s="14"/>
      <c r="E936" s="15"/>
      <c r="F936" s="15"/>
      <c r="G936" s="15"/>
      <c r="H936" s="14"/>
      <c r="I936" s="14"/>
      <c r="J936" s="16"/>
      <c r="K936" s="16"/>
      <c r="L936" s="16"/>
      <c r="M936" s="16"/>
      <c r="N936" s="16"/>
      <c r="O936" s="16"/>
      <c r="P936" s="14"/>
      <c r="Q936" s="14"/>
      <c r="S936" s="14"/>
      <c r="T936" s="14"/>
      <c r="U936" s="14"/>
      <c r="V936" s="14"/>
      <c r="W936" s="14"/>
      <c r="X936" s="14"/>
      <c r="Y936" s="14"/>
      <c r="Z936" s="14"/>
      <c r="AA936" s="14"/>
      <c r="AB936" s="14"/>
      <c r="AC936" s="14"/>
      <c r="AD936" s="14"/>
    </row>
    <row r="937" spans="3:30" x14ac:dyDescent="0.3">
      <c r="C937" s="14"/>
      <c r="D937" s="14"/>
      <c r="E937" s="15"/>
      <c r="F937" s="15"/>
      <c r="G937" s="15"/>
      <c r="H937" s="14"/>
      <c r="I937" s="14"/>
      <c r="J937" s="16"/>
      <c r="K937" s="16"/>
      <c r="L937" s="16"/>
      <c r="M937" s="16"/>
      <c r="N937" s="16"/>
      <c r="O937" s="16"/>
      <c r="P937" s="14"/>
      <c r="Q937" s="14"/>
      <c r="S937" s="14"/>
      <c r="T937" s="14"/>
      <c r="U937" s="14"/>
      <c r="V937" s="14"/>
      <c r="W937" s="14"/>
      <c r="X937" s="14"/>
      <c r="Y937" s="14"/>
      <c r="Z937" s="14"/>
      <c r="AA937" s="14"/>
      <c r="AB937" s="14"/>
      <c r="AC937" s="14"/>
      <c r="AD937" s="14"/>
    </row>
    <row r="938" spans="3:30" x14ac:dyDescent="0.3">
      <c r="C938" s="14"/>
      <c r="D938" s="14"/>
      <c r="E938" s="15"/>
      <c r="F938" s="15"/>
      <c r="G938" s="15"/>
      <c r="H938" s="14"/>
      <c r="I938" s="14"/>
      <c r="J938" s="16"/>
      <c r="K938" s="16"/>
      <c r="L938" s="16"/>
      <c r="M938" s="16"/>
      <c r="N938" s="16"/>
      <c r="O938" s="16"/>
      <c r="P938" s="14"/>
      <c r="Q938" s="14"/>
      <c r="S938" s="14"/>
      <c r="T938" s="14"/>
      <c r="U938" s="14"/>
      <c r="V938" s="14"/>
      <c r="W938" s="14"/>
      <c r="X938" s="14"/>
      <c r="Y938" s="14"/>
      <c r="Z938" s="14"/>
      <c r="AA938" s="14"/>
      <c r="AB938" s="14"/>
      <c r="AC938" s="14"/>
      <c r="AD938" s="14"/>
    </row>
    <row r="939" spans="3:30" x14ac:dyDescent="0.3">
      <c r="C939" s="14"/>
      <c r="D939" s="14"/>
      <c r="E939" s="15"/>
      <c r="F939" s="15"/>
      <c r="G939" s="15"/>
      <c r="H939" s="14"/>
      <c r="I939" s="14"/>
      <c r="J939" s="16"/>
      <c r="K939" s="16"/>
      <c r="L939" s="16"/>
      <c r="M939" s="16"/>
      <c r="N939" s="16"/>
      <c r="O939" s="16"/>
      <c r="P939" s="14"/>
      <c r="Q939" s="14"/>
      <c r="S939" s="14"/>
      <c r="T939" s="14"/>
      <c r="U939" s="14"/>
      <c r="V939" s="14"/>
      <c r="W939" s="14"/>
      <c r="X939" s="14"/>
      <c r="Y939" s="14"/>
      <c r="Z939" s="14"/>
      <c r="AA939" s="14"/>
      <c r="AB939" s="14"/>
      <c r="AC939" s="14"/>
      <c r="AD939" s="14"/>
    </row>
    <row r="940" spans="3:30" x14ac:dyDescent="0.3">
      <c r="C940" s="14"/>
      <c r="D940" s="14"/>
      <c r="E940" s="15"/>
      <c r="F940" s="15"/>
      <c r="G940" s="15"/>
      <c r="H940" s="14"/>
      <c r="I940" s="14"/>
      <c r="J940" s="16"/>
      <c r="K940" s="16"/>
      <c r="L940" s="16"/>
      <c r="M940" s="16"/>
      <c r="N940" s="16"/>
      <c r="O940" s="16"/>
      <c r="P940" s="14"/>
      <c r="Q940" s="14"/>
      <c r="S940" s="14"/>
      <c r="T940" s="14"/>
      <c r="U940" s="14"/>
      <c r="V940" s="14"/>
      <c r="W940" s="14"/>
      <c r="X940" s="14"/>
      <c r="Y940" s="14"/>
      <c r="Z940" s="14"/>
      <c r="AA940" s="14"/>
      <c r="AB940" s="14"/>
      <c r="AC940" s="14"/>
      <c r="AD940" s="14"/>
    </row>
    <row r="941" spans="3:30" x14ac:dyDescent="0.3">
      <c r="C941" s="14"/>
      <c r="D941" s="14"/>
      <c r="E941" s="15"/>
      <c r="F941" s="15"/>
      <c r="G941" s="15"/>
      <c r="H941" s="14"/>
      <c r="I941" s="14"/>
      <c r="J941" s="16"/>
      <c r="K941" s="16"/>
      <c r="L941" s="16"/>
      <c r="M941" s="16"/>
      <c r="N941" s="16"/>
      <c r="O941" s="16"/>
      <c r="P941" s="14"/>
      <c r="Q941" s="14"/>
      <c r="S941" s="14"/>
      <c r="T941" s="14"/>
      <c r="U941" s="14"/>
      <c r="V941" s="14"/>
      <c r="W941" s="14"/>
      <c r="X941" s="14"/>
      <c r="Y941" s="14"/>
      <c r="Z941" s="14"/>
      <c r="AA941" s="14"/>
      <c r="AB941" s="14"/>
      <c r="AC941" s="14"/>
      <c r="AD941" s="14"/>
    </row>
    <row r="942" spans="3:30" x14ac:dyDescent="0.3">
      <c r="C942" s="14"/>
      <c r="D942" s="14"/>
      <c r="E942" s="15"/>
      <c r="F942" s="15"/>
      <c r="G942" s="15"/>
      <c r="H942" s="14"/>
      <c r="I942" s="14"/>
      <c r="J942" s="16"/>
      <c r="K942" s="16"/>
      <c r="L942" s="16"/>
      <c r="M942" s="16"/>
      <c r="N942" s="16"/>
      <c r="O942" s="16"/>
      <c r="P942" s="14"/>
      <c r="Q942" s="14"/>
      <c r="S942" s="14"/>
      <c r="T942" s="14"/>
      <c r="U942" s="14"/>
      <c r="V942" s="14"/>
      <c r="W942" s="14"/>
      <c r="X942" s="14"/>
      <c r="Y942" s="14"/>
      <c r="Z942" s="14"/>
      <c r="AA942" s="14"/>
      <c r="AB942" s="14"/>
      <c r="AC942" s="14"/>
      <c r="AD942" s="14"/>
    </row>
    <row r="943" spans="3:30" x14ac:dyDescent="0.3">
      <c r="C943" s="14"/>
      <c r="D943" s="14"/>
      <c r="E943" s="15"/>
      <c r="F943" s="15"/>
      <c r="G943" s="15"/>
      <c r="H943" s="14"/>
      <c r="I943" s="14"/>
      <c r="J943" s="16"/>
      <c r="K943" s="16"/>
      <c r="L943" s="16"/>
      <c r="M943" s="16"/>
      <c r="N943" s="16"/>
      <c r="O943" s="16"/>
      <c r="P943" s="14"/>
      <c r="Q943" s="14"/>
      <c r="S943" s="14"/>
      <c r="T943" s="14"/>
      <c r="U943" s="14"/>
      <c r="V943" s="14"/>
      <c r="W943" s="14"/>
      <c r="X943" s="14"/>
      <c r="Y943" s="14"/>
      <c r="Z943" s="14"/>
      <c r="AA943" s="14"/>
      <c r="AB943" s="14"/>
      <c r="AC943" s="14"/>
      <c r="AD943" s="14"/>
    </row>
    <row r="944" spans="3:30" x14ac:dyDescent="0.3">
      <c r="C944" s="14"/>
      <c r="D944" s="14"/>
      <c r="E944" s="15"/>
      <c r="F944" s="15"/>
      <c r="G944" s="15"/>
      <c r="H944" s="14"/>
      <c r="I944" s="14"/>
      <c r="J944" s="16"/>
      <c r="K944" s="16"/>
      <c r="L944" s="16"/>
      <c r="M944" s="16"/>
      <c r="N944" s="16"/>
      <c r="O944" s="16"/>
      <c r="P944" s="14"/>
      <c r="Q944" s="14"/>
      <c r="S944" s="14"/>
      <c r="T944" s="14"/>
      <c r="U944" s="14"/>
      <c r="V944" s="14"/>
      <c r="W944" s="14"/>
      <c r="X944" s="14"/>
      <c r="Y944" s="14"/>
      <c r="Z944" s="14"/>
      <c r="AA944" s="14"/>
      <c r="AB944" s="14"/>
      <c r="AC944" s="14"/>
      <c r="AD944" s="14"/>
    </row>
    <row r="945" spans="3:30" x14ac:dyDescent="0.3">
      <c r="C945" s="14"/>
      <c r="D945" s="14"/>
      <c r="E945" s="15"/>
      <c r="F945" s="15"/>
      <c r="G945" s="15"/>
      <c r="H945" s="14"/>
      <c r="I945" s="14"/>
      <c r="J945" s="16"/>
      <c r="K945" s="16"/>
      <c r="L945" s="16"/>
      <c r="M945" s="16"/>
      <c r="N945" s="16"/>
      <c r="O945" s="16"/>
      <c r="P945" s="14"/>
      <c r="Q945" s="14"/>
      <c r="S945" s="14"/>
      <c r="T945" s="14"/>
      <c r="U945" s="14"/>
      <c r="V945" s="14"/>
      <c r="W945" s="14"/>
      <c r="X945" s="14"/>
      <c r="Y945" s="14"/>
      <c r="Z945" s="14"/>
      <c r="AA945" s="14"/>
      <c r="AB945" s="14"/>
      <c r="AC945" s="14"/>
      <c r="AD945" s="14"/>
    </row>
    <row r="946" spans="3:30" x14ac:dyDescent="0.3">
      <c r="C946" s="14"/>
      <c r="D946" s="14"/>
      <c r="E946" s="15"/>
      <c r="F946" s="15"/>
      <c r="G946" s="15"/>
      <c r="H946" s="14"/>
      <c r="I946" s="14"/>
      <c r="J946" s="16"/>
      <c r="K946" s="16"/>
      <c r="L946" s="16"/>
      <c r="M946" s="16"/>
      <c r="N946" s="16"/>
      <c r="O946" s="16"/>
      <c r="P946" s="14"/>
      <c r="Q946" s="14"/>
      <c r="S946" s="14"/>
      <c r="T946" s="14"/>
      <c r="U946" s="14"/>
      <c r="V946" s="14"/>
      <c r="W946" s="14"/>
      <c r="X946" s="14"/>
      <c r="Y946" s="14"/>
      <c r="Z946" s="14"/>
      <c r="AA946" s="14"/>
      <c r="AB946" s="14"/>
      <c r="AC946" s="14"/>
      <c r="AD946" s="14"/>
    </row>
    <row r="947" spans="3:30" x14ac:dyDescent="0.3">
      <c r="C947" s="14"/>
      <c r="D947" s="14"/>
      <c r="E947" s="15"/>
      <c r="F947" s="15"/>
      <c r="G947" s="15"/>
      <c r="H947" s="14"/>
      <c r="I947" s="14"/>
      <c r="J947" s="16"/>
      <c r="K947" s="16"/>
      <c r="L947" s="16"/>
      <c r="M947" s="16"/>
      <c r="N947" s="16"/>
      <c r="O947" s="16"/>
      <c r="P947" s="14"/>
      <c r="Q947" s="14"/>
      <c r="S947" s="14"/>
      <c r="T947" s="14"/>
      <c r="U947" s="14"/>
      <c r="V947" s="14"/>
      <c r="W947" s="14"/>
      <c r="X947" s="14"/>
      <c r="Y947" s="14"/>
      <c r="Z947" s="14"/>
      <c r="AA947" s="14"/>
      <c r="AB947" s="14"/>
      <c r="AC947" s="14"/>
      <c r="AD947" s="14"/>
    </row>
    <row r="948" spans="3:30" x14ac:dyDescent="0.3">
      <c r="C948" s="14"/>
      <c r="D948" s="14"/>
      <c r="E948" s="15"/>
      <c r="F948" s="15"/>
      <c r="G948" s="15"/>
      <c r="H948" s="14"/>
      <c r="I948" s="14"/>
      <c r="J948" s="16"/>
      <c r="K948" s="16"/>
      <c r="L948" s="16"/>
      <c r="M948" s="16"/>
      <c r="N948" s="16"/>
      <c r="O948" s="16"/>
      <c r="P948" s="14"/>
      <c r="Q948" s="14"/>
      <c r="S948" s="14"/>
      <c r="T948" s="14"/>
      <c r="U948" s="14"/>
      <c r="V948" s="14"/>
      <c r="W948" s="14"/>
      <c r="X948" s="14"/>
      <c r="Y948" s="14"/>
      <c r="Z948" s="14"/>
      <c r="AA948" s="14"/>
      <c r="AB948" s="14"/>
      <c r="AC948" s="14"/>
      <c r="AD948" s="14"/>
    </row>
    <row r="949" spans="3:30" x14ac:dyDescent="0.3">
      <c r="C949" s="14"/>
      <c r="D949" s="14"/>
      <c r="E949" s="15"/>
      <c r="F949" s="15"/>
      <c r="G949" s="15"/>
      <c r="H949" s="14"/>
      <c r="I949" s="14"/>
      <c r="J949" s="16"/>
      <c r="K949" s="16"/>
      <c r="L949" s="16"/>
      <c r="M949" s="16"/>
      <c r="N949" s="16"/>
      <c r="O949" s="16"/>
      <c r="P949" s="14"/>
      <c r="Q949" s="14"/>
      <c r="S949" s="14"/>
      <c r="T949" s="14"/>
      <c r="U949" s="14"/>
      <c r="V949" s="14"/>
      <c r="W949" s="14"/>
      <c r="X949" s="14"/>
      <c r="Y949" s="14"/>
      <c r="Z949" s="14"/>
      <c r="AA949" s="14"/>
      <c r="AB949" s="14"/>
      <c r="AC949" s="14"/>
      <c r="AD949" s="14"/>
    </row>
    <row r="950" spans="3:30" x14ac:dyDescent="0.3">
      <c r="C950" s="14"/>
      <c r="D950" s="14"/>
      <c r="E950" s="15"/>
      <c r="F950" s="15"/>
      <c r="G950" s="15"/>
      <c r="H950" s="14"/>
      <c r="I950" s="14"/>
      <c r="J950" s="16"/>
      <c r="K950" s="16"/>
      <c r="L950" s="16"/>
      <c r="M950" s="16"/>
      <c r="N950" s="16"/>
      <c r="O950" s="16"/>
      <c r="P950" s="14"/>
      <c r="Q950" s="14"/>
      <c r="S950" s="14"/>
      <c r="T950" s="14"/>
      <c r="U950" s="14"/>
      <c r="V950" s="14"/>
      <c r="W950" s="14"/>
      <c r="X950" s="14"/>
      <c r="Y950" s="14"/>
      <c r="Z950" s="14"/>
      <c r="AA950" s="14"/>
      <c r="AB950" s="14"/>
      <c r="AC950" s="14"/>
      <c r="AD950" s="14"/>
    </row>
    <row r="951" spans="3:30" x14ac:dyDescent="0.3">
      <c r="C951" s="14"/>
      <c r="D951" s="14"/>
      <c r="E951" s="15"/>
      <c r="F951" s="15"/>
      <c r="G951" s="15"/>
      <c r="H951" s="14"/>
      <c r="I951" s="14"/>
      <c r="J951" s="16"/>
      <c r="K951" s="16"/>
      <c r="L951" s="16"/>
      <c r="M951" s="16"/>
      <c r="N951" s="16"/>
      <c r="O951" s="16"/>
      <c r="P951" s="14"/>
      <c r="Q951" s="14"/>
      <c r="S951" s="14"/>
      <c r="T951" s="14"/>
      <c r="U951" s="14"/>
      <c r="V951" s="14"/>
      <c r="W951" s="14"/>
      <c r="X951" s="14"/>
      <c r="Y951" s="14"/>
      <c r="Z951" s="14"/>
      <c r="AA951" s="14"/>
      <c r="AB951" s="14"/>
      <c r="AC951" s="14"/>
      <c r="AD951" s="14"/>
    </row>
    <row r="952" spans="3:30" x14ac:dyDescent="0.3">
      <c r="C952" s="14"/>
      <c r="D952" s="14"/>
      <c r="E952" s="15"/>
      <c r="F952" s="15"/>
      <c r="G952" s="15"/>
      <c r="H952" s="14"/>
      <c r="I952" s="14"/>
      <c r="J952" s="16"/>
      <c r="K952" s="16"/>
      <c r="L952" s="16"/>
      <c r="M952" s="16"/>
      <c r="N952" s="16"/>
      <c r="O952" s="16"/>
      <c r="P952" s="14"/>
      <c r="Q952" s="14"/>
      <c r="S952" s="14"/>
      <c r="T952" s="14"/>
      <c r="U952" s="14"/>
      <c r="V952" s="14"/>
      <c r="W952" s="14"/>
      <c r="X952" s="14"/>
      <c r="Y952" s="14"/>
      <c r="Z952" s="14"/>
      <c r="AA952" s="14"/>
      <c r="AB952" s="14"/>
      <c r="AC952" s="14"/>
      <c r="AD952" s="14"/>
    </row>
    <row r="953" spans="3:30" x14ac:dyDescent="0.3">
      <c r="C953" s="14"/>
      <c r="D953" s="14"/>
      <c r="E953" s="15"/>
      <c r="F953" s="15"/>
      <c r="G953" s="15"/>
      <c r="H953" s="14"/>
      <c r="I953" s="14"/>
      <c r="J953" s="16"/>
      <c r="K953" s="16"/>
      <c r="L953" s="16"/>
      <c r="M953" s="16"/>
      <c r="N953" s="16"/>
      <c r="O953" s="16"/>
      <c r="P953" s="14"/>
      <c r="Q953" s="14"/>
      <c r="S953" s="14"/>
      <c r="T953" s="14"/>
      <c r="U953" s="14"/>
      <c r="V953" s="14"/>
      <c r="W953" s="14"/>
      <c r="X953" s="14"/>
      <c r="Y953" s="14"/>
      <c r="Z953" s="14"/>
      <c r="AA953" s="14"/>
      <c r="AB953" s="14"/>
      <c r="AC953" s="14"/>
      <c r="AD953" s="14"/>
    </row>
    <row r="954" spans="3:30" x14ac:dyDescent="0.3">
      <c r="C954" s="14"/>
      <c r="D954" s="14"/>
      <c r="E954" s="15"/>
      <c r="F954" s="15"/>
      <c r="G954" s="15"/>
      <c r="H954" s="14"/>
      <c r="I954" s="14"/>
      <c r="J954" s="16"/>
      <c r="K954" s="16"/>
      <c r="L954" s="16"/>
      <c r="M954" s="16"/>
      <c r="N954" s="16"/>
      <c r="O954" s="16"/>
      <c r="P954" s="14"/>
      <c r="Q954" s="14"/>
      <c r="S954" s="14"/>
      <c r="T954" s="14"/>
      <c r="U954" s="14"/>
      <c r="V954" s="14"/>
      <c r="W954" s="14"/>
      <c r="X954" s="14"/>
      <c r="Y954" s="14"/>
      <c r="Z954" s="14"/>
      <c r="AA954" s="14"/>
      <c r="AB954" s="14"/>
      <c r="AC954" s="14"/>
      <c r="AD954" s="14"/>
    </row>
    <row r="955" spans="3:30" x14ac:dyDescent="0.3">
      <c r="C955" s="14"/>
      <c r="D955" s="14"/>
      <c r="E955" s="15"/>
      <c r="F955" s="15"/>
      <c r="G955" s="15"/>
      <c r="H955" s="14"/>
      <c r="I955" s="14"/>
      <c r="J955" s="16"/>
      <c r="K955" s="16"/>
      <c r="L955" s="16"/>
      <c r="M955" s="16"/>
      <c r="N955" s="16"/>
      <c r="O955" s="16"/>
      <c r="P955" s="14"/>
      <c r="Q955" s="14"/>
      <c r="S955" s="14"/>
      <c r="T955" s="14"/>
      <c r="U955" s="14"/>
      <c r="V955" s="14"/>
      <c r="W955" s="14"/>
      <c r="X955" s="14"/>
      <c r="Y955" s="14"/>
      <c r="Z955" s="14"/>
      <c r="AA955" s="14"/>
      <c r="AB955" s="14"/>
      <c r="AC955" s="14"/>
      <c r="AD955" s="14"/>
    </row>
    <row r="956" spans="3:30" x14ac:dyDescent="0.3">
      <c r="C956" s="14"/>
      <c r="D956" s="14"/>
      <c r="E956" s="15"/>
      <c r="F956" s="15"/>
      <c r="G956" s="15"/>
      <c r="H956" s="14"/>
      <c r="I956" s="14"/>
      <c r="J956" s="16"/>
      <c r="K956" s="16"/>
      <c r="L956" s="16"/>
      <c r="M956" s="16"/>
      <c r="N956" s="16"/>
      <c r="O956" s="16"/>
      <c r="P956" s="14"/>
      <c r="Q956" s="14"/>
      <c r="S956" s="14"/>
      <c r="T956" s="14"/>
      <c r="U956" s="14"/>
      <c r="V956" s="14"/>
      <c r="W956" s="14"/>
      <c r="X956" s="14"/>
      <c r="Y956" s="14"/>
      <c r="Z956" s="14"/>
      <c r="AA956" s="14"/>
      <c r="AB956" s="14"/>
      <c r="AC956" s="14"/>
      <c r="AD956" s="14"/>
    </row>
    <row r="957" spans="3:30" x14ac:dyDescent="0.3">
      <c r="C957" s="14"/>
      <c r="D957" s="14"/>
      <c r="E957" s="15"/>
      <c r="F957" s="15"/>
      <c r="G957" s="15"/>
      <c r="H957" s="14"/>
      <c r="I957" s="14"/>
      <c r="J957" s="16"/>
      <c r="K957" s="16"/>
      <c r="L957" s="16"/>
      <c r="M957" s="16"/>
      <c r="N957" s="16"/>
      <c r="O957" s="16"/>
      <c r="P957" s="14"/>
      <c r="Q957" s="14"/>
      <c r="S957" s="14"/>
      <c r="T957" s="14"/>
      <c r="U957" s="14"/>
      <c r="V957" s="14"/>
      <c r="W957" s="14"/>
      <c r="X957" s="14"/>
      <c r="Y957" s="14"/>
      <c r="Z957" s="14"/>
      <c r="AA957" s="14"/>
      <c r="AB957" s="14"/>
      <c r="AC957" s="14"/>
      <c r="AD957" s="14"/>
    </row>
    <row r="958" spans="3:30" x14ac:dyDescent="0.3">
      <c r="C958" s="14"/>
      <c r="D958" s="14"/>
      <c r="E958" s="15"/>
      <c r="F958" s="15"/>
      <c r="G958" s="15"/>
      <c r="H958" s="14"/>
      <c r="I958" s="14"/>
      <c r="J958" s="16"/>
      <c r="K958" s="16"/>
      <c r="L958" s="16"/>
      <c r="M958" s="16"/>
      <c r="N958" s="16"/>
      <c r="O958" s="16"/>
      <c r="P958" s="14"/>
      <c r="Q958" s="14"/>
      <c r="S958" s="14"/>
      <c r="T958" s="14"/>
      <c r="U958" s="14"/>
      <c r="V958" s="14"/>
      <c r="W958" s="14"/>
      <c r="X958" s="14"/>
      <c r="Y958" s="14"/>
      <c r="Z958" s="14"/>
      <c r="AA958" s="14"/>
      <c r="AB958" s="14"/>
      <c r="AC958" s="14"/>
      <c r="AD958" s="14"/>
    </row>
    <row r="959" spans="3:30" x14ac:dyDescent="0.3">
      <c r="C959" s="14"/>
      <c r="D959" s="14"/>
      <c r="E959" s="15"/>
      <c r="F959" s="15"/>
      <c r="G959" s="15"/>
      <c r="H959" s="14"/>
      <c r="I959" s="14"/>
      <c r="J959" s="16"/>
      <c r="K959" s="16"/>
      <c r="L959" s="16"/>
      <c r="M959" s="16"/>
      <c r="N959" s="16"/>
      <c r="O959" s="16"/>
      <c r="P959" s="14"/>
      <c r="Q959" s="14"/>
      <c r="S959" s="14"/>
      <c r="T959" s="14"/>
      <c r="U959" s="14"/>
      <c r="V959" s="14"/>
      <c r="W959" s="14"/>
      <c r="X959" s="14"/>
      <c r="Y959" s="14"/>
      <c r="Z959" s="14"/>
      <c r="AA959" s="14"/>
      <c r="AB959" s="14"/>
      <c r="AC959" s="14"/>
      <c r="AD959" s="14"/>
    </row>
    <row r="960" spans="3:30" x14ac:dyDescent="0.3">
      <c r="C960" s="14"/>
      <c r="D960" s="14"/>
      <c r="E960" s="15"/>
      <c r="F960" s="15"/>
      <c r="G960" s="15"/>
      <c r="H960" s="14"/>
      <c r="I960" s="14"/>
      <c r="J960" s="16"/>
      <c r="K960" s="16"/>
      <c r="L960" s="16"/>
      <c r="M960" s="16"/>
      <c r="N960" s="16"/>
      <c r="O960" s="16"/>
      <c r="P960" s="14"/>
      <c r="Q960" s="14"/>
      <c r="S960" s="14"/>
      <c r="T960" s="14"/>
      <c r="U960" s="14"/>
      <c r="V960" s="14"/>
      <c r="W960" s="14"/>
      <c r="X960" s="14"/>
      <c r="Y960" s="14"/>
      <c r="Z960" s="14"/>
      <c r="AA960" s="14"/>
      <c r="AB960" s="14"/>
      <c r="AC960" s="14"/>
      <c r="AD960" s="14"/>
    </row>
    <row r="961" spans="3:30" x14ac:dyDescent="0.3">
      <c r="C961" s="14"/>
      <c r="D961" s="14"/>
      <c r="E961" s="15"/>
      <c r="F961" s="15"/>
      <c r="G961" s="15"/>
      <c r="H961" s="14"/>
      <c r="I961" s="14"/>
      <c r="J961" s="16"/>
      <c r="K961" s="16"/>
      <c r="L961" s="16"/>
      <c r="M961" s="16"/>
      <c r="N961" s="16"/>
      <c r="O961" s="16"/>
      <c r="P961" s="14"/>
      <c r="Q961" s="14"/>
      <c r="S961" s="14"/>
      <c r="T961" s="14"/>
      <c r="U961" s="14"/>
      <c r="V961" s="14"/>
      <c r="W961" s="14"/>
      <c r="X961" s="14"/>
      <c r="Y961" s="14"/>
      <c r="Z961" s="14"/>
      <c r="AA961" s="14"/>
      <c r="AB961" s="14"/>
      <c r="AC961" s="14"/>
      <c r="AD961" s="14"/>
    </row>
    <row r="962" spans="3:30" x14ac:dyDescent="0.3">
      <c r="C962" s="14"/>
      <c r="D962" s="14"/>
      <c r="E962" s="15"/>
      <c r="F962" s="15"/>
      <c r="G962" s="15"/>
      <c r="H962" s="14"/>
      <c r="I962" s="14"/>
      <c r="J962" s="16"/>
      <c r="K962" s="16"/>
      <c r="L962" s="16"/>
      <c r="M962" s="16"/>
      <c r="N962" s="16"/>
      <c r="O962" s="16"/>
      <c r="P962" s="14"/>
      <c r="Q962" s="14"/>
      <c r="S962" s="14"/>
      <c r="T962" s="14"/>
      <c r="U962" s="14"/>
      <c r="V962" s="14"/>
      <c r="W962" s="14"/>
      <c r="X962" s="14"/>
      <c r="Y962" s="14"/>
      <c r="Z962" s="14"/>
      <c r="AA962" s="14"/>
      <c r="AB962" s="14"/>
      <c r="AC962" s="14"/>
      <c r="AD962" s="14"/>
    </row>
    <row r="963" spans="3:30" x14ac:dyDescent="0.3">
      <c r="C963" s="14"/>
      <c r="D963" s="14"/>
      <c r="E963" s="15"/>
      <c r="F963" s="15"/>
      <c r="G963" s="15"/>
      <c r="H963" s="14"/>
      <c r="I963" s="14"/>
      <c r="J963" s="16"/>
      <c r="K963" s="16"/>
      <c r="L963" s="16"/>
      <c r="M963" s="16"/>
      <c r="N963" s="16"/>
      <c r="O963" s="16"/>
      <c r="P963" s="14"/>
      <c r="Q963" s="14"/>
      <c r="S963" s="14"/>
      <c r="T963" s="14"/>
      <c r="U963" s="14"/>
      <c r="V963" s="14"/>
      <c r="W963" s="14"/>
      <c r="X963" s="14"/>
      <c r="Y963" s="14"/>
      <c r="Z963" s="14"/>
      <c r="AA963" s="14"/>
      <c r="AB963" s="14"/>
      <c r="AC963" s="14"/>
      <c r="AD963" s="14"/>
    </row>
    <row r="964" spans="3:30" x14ac:dyDescent="0.3">
      <c r="C964" s="14"/>
      <c r="D964" s="14"/>
      <c r="E964" s="15"/>
      <c r="F964" s="15"/>
      <c r="G964" s="15"/>
      <c r="H964" s="14"/>
      <c r="I964" s="14"/>
      <c r="J964" s="16"/>
      <c r="K964" s="16"/>
      <c r="L964" s="16"/>
      <c r="M964" s="16"/>
      <c r="N964" s="16"/>
      <c r="O964" s="16"/>
      <c r="P964" s="14"/>
      <c r="Q964" s="14"/>
      <c r="S964" s="14"/>
      <c r="T964" s="14"/>
      <c r="U964" s="14"/>
      <c r="V964" s="14"/>
      <c r="W964" s="14"/>
      <c r="X964" s="14"/>
      <c r="Y964" s="14"/>
      <c r="Z964" s="14"/>
      <c r="AA964" s="14"/>
      <c r="AB964" s="14"/>
      <c r="AC964" s="14"/>
      <c r="AD964" s="14"/>
    </row>
    <row r="965" spans="3:30" x14ac:dyDescent="0.3">
      <c r="C965" s="14"/>
      <c r="D965" s="14"/>
      <c r="E965" s="15"/>
      <c r="F965" s="15"/>
      <c r="G965" s="15"/>
      <c r="H965" s="14"/>
      <c r="I965" s="14"/>
      <c r="J965" s="16"/>
      <c r="K965" s="16"/>
      <c r="L965" s="16"/>
      <c r="M965" s="16"/>
      <c r="N965" s="16"/>
      <c r="O965" s="16"/>
      <c r="P965" s="14"/>
      <c r="Q965" s="14"/>
      <c r="S965" s="14"/>
      <c r="T965" s="14"/>
      <c r="U965" s="14"/>
      <c r="V965" s="14"/>
      <c r="W965" s="14"/>
      <c r="X965" s="14"/>
      <c r="Y965" s="14"/>
      <c r="Z965" s="14"/>
      <c r="AA965" s="14"/>
      <c r="AB965" s="14"/>
      <c r="AC965" s="14"/>
      <c r="AD965" s="14"/>
    </row>
    <row r="966" spans="3:30" x14ac:dyDescent="0.3">
      <c r="C966" s="14"/>
      <c r="D966" s="14"/>
      <c r="E966" s="15"/>
      <c r="F966" s="15"/>
      <c r="G966" s="15"/>
      <c r="H966" s="14"/>
      <c r="I966" s="14"/>
      <c r="J966" s="16"/>
      <c r="K966" s="16"/>
      <c r="L966" s="16"/>
      <c r="M966" s="16"/>
      <c r="N966" s="16"/>
      <c r="O966" s="16"/>
      <c r="P966" s="14"/>
      <c r="Q966" s="14"/>
      <c r="S966" s="14"/>
      <c r="T966" s="14"/>
      <c r="U966" s="14"/>
      <c r="V966" s="14"/>
      <c r="W966" s="14"/>
      <c r="X966" s="14"/>
      <c r="Y966" s="14"/>
      <c r="Z966" s="14"/>
      <c r="AA966" s="14"/>
      <c r="AB966" s="14"/>
      <c r="AC966" s="14"/>
      <c r="AD966" s="14"/>
    </row>
    <row r="967" spans="3:30" x14ac:dyDescent="0.3">
      <c r="C967" s="14"/>
      <c r="D967" s="14"/>
      <c r="E967" s="15"/>
      <c r="F967" s="15"/>
      <c r="G967" s="15"/>
      <c r="H967" s="14"/>
      <c r="I967" s="14"/>
      <c r="J967" s="16"/>
      <c r="K967" s="16"/>
      <c r="L967" s="16"/>
      <c r="M967" s="16"/>
      <c r="N967" s="16"/>
      <c r="O967" s="16"/>
      <c r="P967" s="14"/>
      <c r="Q967" s="14"/>
      <c r="S967" s="14"/>
      <c r="T967" s="14"/>
      <c r="U967" s="14"/>
      <c r="V967" s="14"/>
      <c r="W967" s="14"/>
      <c r="X967" s="14"/>
      <c r="Y967" s="14"/>
      <c r="Z967" s="14"/>
      <c r="AA967" s="14"/>
      <c r="AB967" s="14"/>
      <c r="AC967" s="14"/>
      <c r="AD967" s="14"/>
    </row>
    <row r="968" spans="3:30" x14ac:dyDescent="0.3">
      <c r="C968" s="14"/>
      <c r="D968" s="14"/>
      <c r="E968" s="15"/>
      <c r="F968" s="15"/>
      <c r="G968" s="15"/>
      <c r="H968" s="14"/>
      <c r="I968" s="14"/>
      <c r="J968" s="16"/>
      <c r="K968" s="16"/>
      <c r="L968" s="16"/>
      <c r="M968" s="16"/>
      <c r="N968" s="16"/>
      <c r="O968" s="16"/>
      <c r="P968" s="14"/>
      <c r="Q968" s="14"/>
      <c r="S968" s="14"/>
      <c r="T968" s="14"/>
      <c r="U968" s="14"/>
      <c r="V968" s="14"/>
      <c r="W968" s="14"/>
      <c r="X968" s="14"/>
      <c r="Y968" s="14"/>
      <c r="Z968" s="14"/>
      <c r="AA968" s="14"/>
      <c r="AB968" s="14"/>
      <c r="AC968" s="14"/>
      <c r="AD968" s="14"/>
    </row>
    <row r="969" spans="3:30" x14ac:dyDescent="0.3">
      <c r="C969" s="14"/>
      <c r="D969" s="14"/>
      <c r="E969" s="15"/>
      <c r="F969" s="15"/>
      <c r="G969" s="15"/>
      <c r="H969" s="14"/>
      <c r="I969" s="14"/>
      <c r="J969" s="16"/>
      <c r="K969" s="16"/>
      <c r="L969" s="16"/>
      <c r="M969" s="16"/>
      <c r="N969" s="16"/>
      <c r="O969" s="16"/>
      <c r="P969" s="14"/>
      <c r="Q969" s="14"/>
      <c r="S969" s="14"/>
      <c r="T969" s="14"/>
      <c r="U969" s="14"/>
      <c r="V969" s="14"/>
      <c r="W969" s="14"/>
      <c r="X969" s="14"/>
      <c r="Y969" s="14"/>
      <c r="Z969" s="14"/>
      <c r="AA969" s="14"/>
      <c r="AB969" s="14"/>
      <c r="AC969" s="14"/>
      <c r="AD969" s="14"/>
    </row>
    <row r="970" spans="3:30" x14ac:dyDescent="0.3">
      <c r="C970" s="14"/>
      <c r="D970" s="14"/>
      <c r="E970" s="15"/>
      <c r="F970" s="15"/>
      <c r="G970" s="15"/>
      <c r="H970" s="14"/>
      <c r="I970" s="14"/>
      <c r="J970" s="16"/>
      <c r="K970" s="16"/>
      <c r="L970" s="16"/>
      <c r="M970" s="16"/>
      <c r="N970" s="16"/>
      <c r="O970" s="16"/>
      <c r="P970" s="14"/>
      <c r="Q970" s="14"/>
      <c r="S970" s="14"/>
      <c r="T970" s="14"/>
      <c r="U970" s="14"/>
      <c r="V970" s="14"/>
      <c r="W970" s="14"/>
      <c r="X970" s="14"/>
      <c r="Y970" s="14"/>
      <c r="Z970" s="14"/>
      <c r="AA970" s="14"/>
      <c r="AB970" s="14"/>
      <c r="AC970" s="14"/>
      <c r="AD970" s="14"/>
    </row>
    <row r="971" spans="3:30" x14ac:dyDescent="0.3">
      <c r="C971" s="14"/>
      <c r="D971" s="14"/>
      <c r="E971" s="15"/>
      <c r="F971" s="15"/>
      <c r="G971" s="15"/>
      <c r="H971" s="14"/>
      <c r="I971" s="14"/>
      <c r="J971" s="16"/>
      <c r="K971" s="16"/>
      <c r="L971" s="16"/>
      <c r="M971" s="16"/>
      <c r="N971" s="16"/>
      <c r="O971" s="16"/>
      <c r="P971" s="14"/>
      <c r="Q971" s="14"/>
      <c r="S971" s="14"/>
      <c r="T971" s="14"/>
      <c r="U971" s="14"/>
      <c r="V971" s="14"/>
      <c r="W971" s="14"/>
      <c r="X971" s="14"/>
      <c r="Y971" s="14"/>
      <c r="Z971" s="14"/>
      <c r="AA971" s="14"/>
      <c r="AB971" s="14"/>
      <c r="AC971" s="14"/>
      <c r="AD971" s="14"/>
    </row>
    <row r="972" spans="3:30" x14ac:dyDescent="0.3">
      <c r="C972" s="14"/>
      <c r="D972" s="14"/>
      <c r="E972" s="15"/>
      <c r="F972" s="15"/>
      <c r="G972" s="15"/>
      <c r="H972" s="14"/>
      <c r="I972" s="14"/>
      <c r="J972" s="16"/>
      <c r="K972" s="16"/>
      <c r="L972" s="16"/>
      <c r="M972" s="16"/>
      <c r="N972" s="16"/>
      <c r="O972" s="16"/>
      <c r="P972" s="14"/>
      <c r="Q972" s="14"/>
      <c r="S972" s="14"/>
      <c r="T972" s="14"/>
      <c r="U972" s="14"/>
      <c r="V972" s="14"/>
      <c r="W972" s="14"/>
      <c r="X972" s="14"/>
      <c r="Y972" s="14"/>
      <c r="Z972" s="14"/>
      <c r="AA972" s="14"/>
      <c r="AB972" s="14"/>
      <c r="AC972" s="14"/>
      <c r="AD972" s="14"/>
    </row>
    <row r="973" spans="3:30" x14ac:dyDescent="0.3">
      <c r="C973" s="14"/>
      <c r="D973" s="14"/>
      <c r="E973" s="15"/>
      <c r="F973" s="15"/>
      <c r="G973" s="15"/>
      <c r="H973" s="14"/>
      <c r="I973" s="14"/>
      <c r="J973" s="16"/>
      <c r="K973" s="16"/>
      <c r="L973" s="16"/>
      <c r="M973" s="16"/>
      <c r="N973" s="16"/>
      <c r="O973" s="16"/>
      <c r="P973" s="14"/>
      <c r="Q973" s="14"/>
      <c r="S973" s="14"/>
      <c r="T973" s="14"/>
      <c r="U973" s="14"/>
      <c r="V973" s="14"/>
      <c r="W973" s="14"/>
      <c r="X973" s="14"/>
      <c r="Y973" s="14"/>
      <c r="Z973" s="14"/>
      <c r="AA973" s="14"/>
      <c r="AB973" s="14"/>
      <c r="AC973" s="14"/>
      <c r="AD973" s="14"/>
    </row>
    <row r="974" spans="3:30" x14ac:dyDescent="0.3">
      <c r="C974" s="14"/>
      <c r="D974" s="14"/>
      <c r="E974" s="15"/>
      <c r="F974" s="15"/>
      <c r="G974" s="15"/>
      <c r="H974" s="14"/>
      <c r="I974" s="14"/>
      <c r="J974" s="16"/>
      <c r="K974" s="16"/>
      <c r="L974" s="16"/>
      <c r="M974" s="16"/>
      <c r="N974" s="16"/>
      <c r="O974" s="16"/>
      <c r="P974" s="14"/>
      <c r="Q974" s="14"/>
      <c r="S974" s="14"/>
      <c r="T974" s="14"/>
      <c r="U974" s="14"/>
      <c r="V974" s="14"/>
      <c r="W974" s="14"/>
      <c r="X974" s="14"/>
      <c r="Y974" s="14"/>
      <c r="Z974" s="14"/>
      <c r="AA974" s="14"/>
      <c r="AB974" s="14"/>
      <c r="AC974" s="14"/>
      <c r="AD974" s="14"/>
    </row>
    <row r="975" spans="3:30" x14ac:dyDescent="0.3">
      <c r="C975" s="14"/>
      <c r="D975" s="14"/>
      <c r="E975" s="15"/>
      <c r="F975" s="15"/>
      <c r="G975" s="15"/>
      <c r="H975" s="14"/>
      <c r="I975" s="14"/>
      <c r="J975" s="16"/>
      <c r="K975" s="16"/>
      <c r="L975" s="16"/>
      <c r="M975" s="16"/>
      <c r="N975" s="16"/>
      <c r="O975" s="16"/>
      <c r="P975" s="14"/>
      <c r="Q975" s="14"/>
      <c r="S975" s="14"/>
      <c r="T975" s="14"/>
      <c r="U975" s="14"/>
      <c r="V975" s="14"/>
      <c r="W975" s="14"/>
      <c r="X975" s="14"/>
      <c r="Y975" s="14"/>
      <c r="Z975" s="14"/>
      <c r="AA975" s="14"/>
      <c r="AB975" s="14"/>
      <c r="AC975" s="14"/>
      <c r="AD975" s="14"/>
    </row>
    <row r="976" spans="3:30" x14ac:dyDescent="0.3">
      <c r="C976" s="14"/>
      <c r="D976" s="14"/>
      <c r="E976" s="15"/>
      <c r="F976" s="15"/>
      <c r="G976" s="15"/>
      <c r="H976" s="14"/>
      <c r="I976" s="14"/>
      <c r="J976" s="16"/>
      <c r="K976" s="16"/>
      <c r="L976" s="16"/>
      <c r="M976" s="16"/>
      <c r="N976" s="16"/>
      <c r="O976" s="16"/>
      <c r="P976" s="14"/>
      <c r="Q976" s="14"/>
      <c r="S976" s="14"/>
      <c r="T976" s="14"/>
      <c r="U976" s="14"/>
      <c r="V976" s="14"/>
      <c r="W976" s="14"/>
      <c r="X976" s="14"/>
      <c r="Y976" s="14"/>
      <c r="Z976" s="14"/>
      <c r="AA976" s="14"/>
      <c r="AB976" s="14"/>
      <c r="AC976" s="14"/>
      <c r="AD976" s="14"/>
    </row>
    <row r="977" spans="3:30" x14ac:dyDescent="0.3">
      <c r="C977" s="14"/>
      <c r="D977" s="14"/>
      <c r="E977" s="15"/>
      <c r="F977" s="15"/>
      <c r="G977" s="15"/>
      <c r="H977" s="14"/>
      <c r="I977" s="14"/>
      <c r="J977" s="16"/>
      <c r="K977" s="16"/>
      <c r="L977" s="16"/>
      <c r="M977" s="16"/>
      <c r="N977" s="16"/>
      <c r="O977" s="16"/>
      <c r="P977" s="14"/>
      <c r="Q977" s="14"/>
      <c r="S977" s="14"/>
      <c r="T977" s="14"/>
      <c r="U977" s="14"/>
      <c r="V977" s="14"/>
      <c r="W977" s="14"/>
      <c r="X977" s="14"/>
      <c r="Y977" s="14"/>
      <c r="Z977" s="14"/>
      <c r="AA977" s="14"/>
      <c r="AB977" s="14"/>
      <c r="AC977" s="14"/>
      <c r="AD977" s="14"/>
    </row>
    <row r="978" spans="3:30" x14ac:dyDescent="0.3">
      <c r="C978" s="14"/>
      <c r="D978" s="14"/>
      <c r="E978" s="15"/>
      <c r="F978" s="15"/>
      <c r="G978" s="15"/>
      <c r="H978" s="14"/>
      <c r="I978" s="14"/>
      <c r="J978" s="16"/>
      <c r="K978" s="16"/>
      <c r="L978" s="16"/>
      <c r="M978" s="16"/>
      <c r="N978" s="16"/>
      <c r="O978" s="16"/>
      <c r="P978" s="14"/>
      <c r="Q978" s="14"/>
      <c r="S978" s="14"/>
      <c r="T978" s="14"/>
      <c r="U978" s="14"/>
      <c r="V978" s="14"/>
      <c r="W978" s="14"/>
      <c r="X978" s="14"/>
      <c r="Y978" s="14"/>
      <c r="Z978" s="14"/>
      <c r="AA978" s="14"/>
      <c r="AB978" s="14"/>
      <c r="AC978" s="14"/>
      <c r="AD978" s="14"/>
    </row>
    <row r="979" spans="3:30" x14ac:dyDescent="0.3">
      <c r="C979" s="14"/>
      <c r="D979" s="14"/>
      <c r="E979" s="15"/>
      <c r="F979" s="15"/>
      <c r="G979" s="15"/>
      <c r="H979" s="14"/>
      <c r="I979" s="14"/>
      <c r="J979" s="16"/>
      <c r="K979" s="16"/>
      <c r="L979" s="16"/>
      <c r="M979" s="16"/>
      <c r="N979" s="16"/>
      <c r="O979" s="16"/>
      <c r="P979" s="14"/>
      <c r="Q979" s="14"/>
      <c r="S979" s="14"/>
      <c r="T979" s="14"/>
      <c r="U979" s="14"/>
      <c r="V979" s="14"/>
      <c r="W979" s="14"/>
      <c r="X979" s="14"/>
      <c r="Y979" s="14"/>
      <c r="Z979" s="14"/>
      <c r="AA979" s="14"/>
      <c r="AB979" s="14"/>
      <c r="AC979" s="14"/>
      <c r="AD979" s="14"/>
    </row>
    <row r="980" spans="3:30" x14ac:dyDescent="0.3">
      <c r="C980" s="14"/>
      <c r="D980" s="14"/>
      <c r="E980" s="15"/>
      <c r="F980" s="15"/>
      <c r="G980" s="15"/>
      <c r="H980" s="14"/>
      <c r="I980" s="14"/>
      <c r="J980" s="16"/>
      <c r="K980" s="16"/>
      <c r="L980" s="16"/>
      <c r="M980" s="16"/>
      <c r="N980" s="16"/>
      <c r="O980" s="16"/>
      <c r="P980" s="14"/>
      <c r="Q980" s="14"/>
      <c r="S980" s="14"/>
      <c r="T980" s="14"/>
      <c r="U980" s="14"/>
      <c r="V980" s="14"/>
      <c r="W980" s="14"/>
      <c r="X980" s="14"/>
      <c r="Y980" s="14"/>
      <c r="Z980" s="14"/>
      <c r="AA980" s="14"/>
      <c r="AB980" s="14"/>
      <c r="AC980" s="14"/>
      <c r="AD980" s="14"/>
    </row>
    <row r="981" spans="3:30" x14ac:dyDescent="0.3">
      <c r="C981" s="14"/>
      <c r="D981" s="14"/>
      <c r="E981" s="15"/>
      <c r="F981" s="15"/>
      <c r="G981" s="15"/>
      <c r="H981" s="14"/>
      <c r="I981" s="14"/>
      <c r="J981" s="16"/>
      <c r="K981" s="16"/>
      <c r="L981" s="16"/>
      <c r="M981" s="16"/>
      <c r="N981" s="16"/>
      <c r="O981" s="16"/>
      <c r="P981" s="14"/>
      <c r="Q981" s="14"/>
      <c r="S981" s="14"/>
      <c r="T981" s="14"/>
      <c r="U981" s="14"/>
      <c r="V981" s="14"/>
      <c r="W981" s="14"/>
      <c r="X981" s="14"/>
      <c r="Y981" s="14"/>
      <c r="Z981" s="14"/>
      <c r="AA981" s="14"/>
      <c r="AB981" s="14"/>
      <c r="AC981" s="14"/>
      <c r="AD981" s="14"/>
    </row>
    <row r="982" spans="3:30" x14ac:dyDescent="0.3">
      <c r="C982" s="14"/>
      <c r="D982" s="14"/>
      <c r="E982" s="15"/>
      <c r="F982" s="15"/>
      <c r="G982" s="15"/>
      <c r="H982" s="14"/>
      <c r="I982" s="14"/>
      <c r="J982" s="16"/>
      <c r="K982" s="16"/>
      <c r="L982" s="16"/>
      <c r="M982" s="16"/>
      <c r="N982" s="16"/>
      <c r="O982" s="16"/>
      <c r="P982" s="14"/>
      <c r="Q982" s="14"/>
      <c r="S982" s="14"/>
      <c r="T982" s="14"/>
      <c r="U982" s="14"/>
      <c r="V982" s="14"/>
      <c r="W982" s="14"/>
      <c r="X982" s="14"/>
      <c r="Y982" s="14"/>
      <c r="Z982" s="14"/>
      <c r="AA982" s="14"/>
      <c r="AB982" s="14"/>
      <c r="AC982" s="14"/>
      <c r="AD982" s="14"/>
    </row>
    <row r="983" spans="3:30" x14ac:dyDescent="0.3">
      <c r="C983" s="14"/>
      <c r="D983" s="14"/>
      <c r="E983" s="15"/>
      <c r="F983" s="15"/>
      <c r="G983" s="15"/>
      <c r="H983" s="14"/>
      <c r="I983" s="14"/>
      <c r="J983" s="16"/>
      <c r="K983" s="16"/>
      <c r="L983" s="16"/>
      <c r="M983" s="16"/>
      <c r="N983" s="16"/>
      <c r="O983" s="16"/>
      <c r="P983" s="14"/>
      <c r="Q983" s="14"/>
      <c r="S983" s="14"/>
      <c r="T983" s="14"/>
      <c r="U983" s="14"/>
      <c r="V983" s="14"/>
      <c r="W983" s="14"/>
      <c r="X983" s="14"/>
      <c r="Y983" s="14"/>
      <c r="Z983" s="14"/>
      <c r="AA983" s="14"/>
      <c r="AB983" s="14"/>
      <c r="AC983" s="14"/>
      <c r="AD983" s="14"/>
    </row>
    <row r="984" spans="3:30" x14ac:dyDescent="0.3">
      <c r="C984" s="14"/>
      <c r="D984" s="14"/>
      <c r="E984" s="15"/>
      <c r="F984" s="15"/>
      <c r="G984" s="15"/>
      <c r="H984" s="14"/>
      <c r="I984" s="14"/>
      <c r="J984" s="16"/>
      <c r="K984" s="16"/>
      <c r="L984" s="16"/>
      <c r="M984" s="16"/>
      <c r="N984" s="16"/>
      <c r="O984" s="16"/>
      <c r="P984" s="14"/>
      <c r="Q984" s="14"/>
      <c r="S984" s="14"/>
      <c r="T984" s="14"/>
      <c r="U984" s="14"/>
      <c r="V984" s="14"/>
      <c r="W984" s="14"/>
      <c r="X984" s="14"/>
      <c r="Y984" s="14"/>
      <c r="Z984" s="14"/>
      <c r="AA984" s="14"/>
      <c r="AB984" s="14"/>
      <c r="AC984" s="14"/>
      <c r="AD984" s="14"/>
    </row>
    <row r="985" spans="3:30" x14ac:dyDescent="0.3">
      <c r="C985" s="14"/>
      <c r="D985" s="14"/>
      <c r="E985" s="15"/>
      <c r="F985" s="15"/>
      <c r="G985" s="15"/>
      <c r="H985" s="14"/>
      <c r="I985" s="14"/>
      <c r="J985" s="16"/>
      <c r="K985" s="16"/>
      <c r="L985" s="16"/>
      <c r="M985" s="16"/>
      <c r="N985" s="16"/>
      <c r="O985" s="16"/>
      <c r="P985" s="14"/>
      <c r="Q985" s="14"/>
      <c r="S985" s="14"/>
      <c r="T985" s="14"/>
      <c r="U985" s="14"/>
      <c r="V985" s="14"/>
      <c r="W985" s="14"/>
      <c r="X985" s="14"/>
      <c r="Y985" s="14"/>
      <c r="Z985" s="14"/>
      <c r="AA985" s="14"/>
      <c r="AB985" s="14"/>
      <c r="AC985" s="14"/>
      <c r="AD985" s="14"/>
    </row>
    <row r="986" spans="3:30" x14ac:dyDescent="0.3">
      <c r="C986" s="14"/>
      <c r="D986" s="14"/>
      <c r="E986" s="15"/>
      <c r="F986" s="15"/>
      <c r="G986" s="15"/>
      <c r="H986" s="14"/>
      <c r="I986" s="14"/>
      <c r="J986" s="16"/>
      <c r="K986" s="16"/>
      <c r="L986" s="16"/>
      <c r="M986" s="16"/>
      <c r="N986" s="16"/>
      <c r="O986" s="16"/>
      <c r="P986" s="14"/>
      <c r="Q986" s="14"/>
      <c r="S986" s="14"/>
      <c r="T986" s="14"/>
      <c r="U986" s="14"/>
      <c r="V986" s="14"/>
      <c r="W986" s="14"/>
      <c r="X986" s="14"/>
      <c r="Y986" s="14"/>
      <c r="Z986" s="14"/>
      <c r="AA986" s="14"/>
      <c r="AB986" s="14"/>
      <c r="AC986" s="14"/>
      <c r="AD986" s="14"/>
    </row>
    <row r="987" spans="3:30" x14ac:dyDescent="0.3">
      <c r="C987" s="14"/>
      <c r="D987" s="14"/>
      <c r="E987" s="15"/>
      <c r="F987" s="15"/>
      <c r="G987" s="15"/>
      <c r="H987" s="14"/>
      <c r="I987" s="14"/>
      <c r="J987" s="16"/>
      <c r="K987" s="16"/>
      <c r="L987" s="16"/>
      <c r="M987" s="16"/>
      <c r="N987" s="16"/>
      <c r="O987" s="16"/>
      <c r="P987" s="14"/>
      <c r="Q987" s="14"/>
      <c r="S987" s="14"/>
      <c r="T987" s="14"/>
      <c r="U987" s="14"/>
      <c r="V987" s="14"/>
      <c r="W987" s="14"/>
      <c r="X987" s="14"/>
      <c r="Y987" s="14"/>
      <c r="Z987" s="14"/>
      <c r="AA987" s="14"/>
      <c r="AB987" s="14"/>
      <c r="AC987" s="14"/>
      <c r="AD987" s="14"/>
    </row>
    <row r="988" spans="3:30" x14ac:dyDescent="0.3">
      <c r="C988" s="14"/>
      <c r="D988" s="14"/>
      <c r="E988" s="15"/>
      <c r="F988" s="15"/>
      <c r="G988" s="15"/>
      <c r="H988" s="14"/>
      <c r="I988" s="14"/>
      <c r="J988" s="16"/>
      <c r="K988" s="16"/>
      <c r="L988" s="16"/>
      <c r="M988" s="16"/>
      <c r="N988" s="16"/>
      <c r="O988" s="16"/>
      <c r="P988" s="14"/>
      <c r="Q988" s="14"/>
      <c r="S988" s="14"/>
      <c r="T988" s="14"/>
      <c r="U988" s="14"/>
      <c r="V988" s="14"/>
      <c r="W988" s="14"/>
      <c r="X988" s="14"/>
      <c r="Y988" s="14"/>
      <c r="Z988" s="14"/>
      <c r="AA988" s="14"/>
      <c r="AB988" s="14"/>
      <c r="AC988" s="14"/>
      <c r="AD988" s="14"/>
    </row>
    <row r="989" spans="3:30" x14ac:dyDescent="0.3">
      <c r="C989" s="14"/>
      <c r="D989" s="14"/>
      <c r="E989" s="15"/>
      <c r="F989" s="15"/>
      <c r="G989" s="15"/>
      <c r="H989" s="14"/>
      <c r="I989" s="14"/>
      <c r="J989" s="16"/>
      <c r="K989" s="16"/>
      <c r="L989" s="16"/>
      <c r="M989" s="16"/>
      <c r="N989" s="16"/>
      <c r="O989" s="16"/>
      <c r="P989" s="14"/>
      <c r="Q989" s="14"/>
      <c r="S989" s="14"/>
      <c r="T989" s="14"/>
      <c r="U989" s="14"/>
      <c r="V989" s="14"/>
      <c r="W989" s="14"/>
      <c r="X989" s="14"/>
      <c r="Y989" s="14"/>
      <c r="Z989" s="14"/>
      <c r="AA989" s="14"/>
      <c r="AB989" s="14"/>
      <c r="AC989" s="14"/>
      <c r="AD989" s="14"/>
    </row>
    <row r="990" spans="3:30" x14ac:dyDescent="0.3">
      <c r="C990" s="14"/>
      <c r="D990" s="14"/>
      <c r="E990" s="15"/>
      <c r="F990" s="15"/>
      <c r="G990" s="15"/>
      <c r="H990" s="14"/>
      <c r="I990" s="14"/>
      <c r="J990" s="16"/>
      <c r="K990" s="16"/>
      <c r="L990" s="16"/>
      <c r="M990" s="16"/>
      <c r="N990" s="16"/>
      <c r="O990" s="16"/>
      <c r="P990" s="14"/>
      <c r="Q990" s="14"/>
      <c r="S990" s="14"/>
      <c r="T990" s="14"/>
      <c r="U990" s="14"/>
      <c r="V990" s="14"/>
      <c r="W990" s="14"/>
      <c r="X990" s="14"/>
      <c r="Y990" s="14"/>
      <c r="Z990" s="14"/>
      <c r="AA990" s="14"/>
      <c r="AB990" s="14"/>
      <c r="AC990" s="14"/>
      <c r="AD990" s="14"/>
    </row>
    <row r="991" spans="3:30" x14ac:dyDescent="0.3">
      <c r="C991" s="14"/>
      <c r="D991" s="14"/>
      <c r="E991" s="15"/>
      <c r="F991" s="15"/>
      <c r="G991" s="15"/>
      <c r="H991" s="14"/>
      <c r="I991" s="14"/>
      <c r="J991" s="16"/>
      <c r="K991" s="16"/>
      <c r="L991" s="16"/>
      <c r="M991" s="16"/>
      <c r="N991" s="16"/>
      <c r="O991" s="16"/>
      <c r="P991" s="14"/>
      <c r="Q991" s="14"/>
      <c r="S991" s="14"/>
      <c r="T991" s="14"/>
      <c r="U991" s="14"/>
      <c r="V991" s="14"/>
      <c r="W991" s="14"/>
      <c r="X991" s="14"/>
      <c r="Y991" s="14"/>
      <c r="Z991" s="14"/>
      <c r="AA991" s="14"/>
      <c r="AB991" s="14"/>
      <c r="AC991" s="14"/>
      <c r="AD991" s="14"/>
    </row>
    <row r="992" spans="3:30" x14ac:dyDescent="0.3">
      <c r="C992" s="14"/>
      <c r="D992" s="14"/>
      <c r="E992" s="15"/>
      <c r="F992" s="15"/>
      <c r="G992" s="15"/>
      <c r="H992" s="14"/>
      <c r="I992" s="14"/>
      <c r="J992" s="16"/>
      <c r="K992" s="16"/>
      <c r="L992" s="16"/>
      <c r="M992" s="16"/>
      <c r="N992" s="16"/>
      <c r="O992" s="16"/>
      <c r="P992" s="14"/>
      <c r="Q992" s="14"/>
      <c r="S992" s="14"/>
      <c r="T992" s="14"/>
      <c r="U992" s="14"/>
      <c r="V992" s="14"/>
      <c r="W992" s="14"/>
      <c r="X992" s="14"/>
      <c r="Y992" s="14"/>
      <c r="Z992" s="14"/>
      <c r="AA992" s="14"/>
      <c r="AB992" s="14"/>
      <c r="AC992" s="14"/>
      <c r="AD992" s="14"/>
    </row>
    <row r="993" spans="3:30" x14ac:dyDescent="0.3">
      <c r="C993" s="14"/>
      <c r="D993" s="14"/>
      <c r="E993" s="15"/>
      <c r="F993" s="15"/>
      <c r="G993" s="15"/>
      <c r="H993" s="14"/>
      <c r="I993" s="14"/>
      <c r="J993" s="16"/>
      <c r="K993" s="16"/>
      <c r="L993" s="16"/>
      <c r="M993" s="16"/>
      <c r="N993" s="16"/>
      <c r="O993" s="16"/>
      <c r="P993" s="14"/>
      <c r="Q993" s="14"/>
      <c r="S993" s="14"/>
      <c r="T993" s="14"/>
      <c r="U993" s="14"/>
      <c r="V993" s="14"/>
      <c r="W993" s="14"/>
      <c r="X993" s="14"/>
      <c r="Y993" s="14"/>
      <c r="Z993" s="14"/>
      <c r="AA993" s="14"/>
      <c r="AB993" s="14"/>
      <c r="AC993" s="14"/>
      <c r="AD993" s="14"/>
    </row>
    <row r="994" spans="3:30" x14ac:dyDescent="0.3">
      <c r="C994" s="14"/>
      <c r="D994" s="14"/>
      <c r="E994" s="15"/>
      <c r="F994" s="15"/>
      <c r="G994" s="15"/>
      <c r="H994" s="14"/>
      <c r="I994" s="14"/>
      <c r="J994" s="16"/>
      <c r="K994" s="16"/>
      <c r="L994" s="16"/>
      <c r="M994" s="16"/>
      <c r="N994" s="16"/>
      <c r="O994" s="16"/>
      <c r="P994" s="14"/>
      <c r="Q994" s="14"/>
      <c r="S994" s="14"/>
      <c r="T994" s="14"/>
      <c r="U994" s="14"/>
      <c r="V994" s="14"/>
      <c r="W994" s="14"/>
      <c r="X994" s="14"/>
      <c r="Y994" s="14"/>
      <c r="Z994" s="14"/>
      <c r="AA994" s="14"/>
      <c r="AB994" s="14"/>
      <c r="AC994" s="14"/>
      <c r="AD994" s="14"/>
    </row>
    <row r="995" spans="3:30" x14ac:dyDescent="0.3">
      <c r="C995" s="14"/>
      <c r="D995" s="14"/>
      <c r="E995" s="15"/>
      <c r="F995" s="15"/>
      <c r="G995" s="15"/>
      <c r="H995" s="14"/>
      <c r="I995" s="14"/>
      <c r="J995" s="16"/>
      <c r="K995" s="16"/>
      <c r="L995" s="16"/>
      <c r="M995" s="16"/>
      <c r="N995" s="16"/>
      <c r="O995" s="16"/>
      <c r="P995" s="14"/>
      <c r="Q995" s="14"/>
      <c r="S995" s="14"/>
      <c r="T995" s="14"/>
      <c r="U995" s="14"/>
      <c r="V995" s="14"/>
      <c r="W995" s="14"/>
      <c r="X995" s="14"/>
      <c r="Y995" s="14"/>
      <c r="Z995" s="14"/>
      <c r="AA995" s="14"/>
      <c r="AB995" s="14"/>
      <c r="AC995" s="14"/>
      <c r="AD995" s="14"/>
    </row>
    <row r="996" spans="3:30" x14ac:dyDescent="0.3">
      <c r="C996" s="14"/>
      <c r="D996" s="14"/>
      <c r="E996" s="15"/>
      <c r="F996" s="15"/>
      <c r="G996" s="15"/>
      <c r="H996" s="14"/>
      <c r="I996" s="14"/>
      <c r="J996" s="16"/>
      <c r="K996" s="16"/>
      <c r="L996" s="16"/>
      <c r="M996" s="16"/>
      <c r="N996" s="16"/>
      <c r="O996" s="16"/>
      <c r="P996" s="14"/>
      <c r="Q996" s="14"/>
      <c r="S996" s="14"/>
      <c r="T996" s="14"/>
      <c r="U996" s="14"/>
      <c r="V996" s="14"/>
      <c r="W996" s="14"/>
      <c r="X996" s="14"/>
      <c r="Y996" s="14"/>
      <c r="Z996" s="14"/>
      <c r="AA996" s="14"/>
      <c r="AB996" s="14"/>
      <c r="AC996" s="14"/>
      <c r="AD996" s="14"/>
    </row>
    <row r="997" spans="3:30" x14ac:dyDescent="0.3">
      <c r="C997" s="14"/>
      <c r="D997" s="14"/>
      <c r="E997" s="15"/>
      <c r="F997" s="15"/>
      <c r="G997" s="15"/>
      <c r="H997" s="14"/>
      <c r="I997" s="14"/>
      <c r="J997" s="16"/>
      <c r="K997" s="16"/>
      <c r="L997" s="16"/>
      <c r="M997" s="16"/>
      <c r="N997" s="16"/>
      <c r="O997" s="16"/>
      <c r="P997" s="14"/>
      <c r="Q997" s="14"/>
      <c r="S997" s="14"/>
      <c r="T997" s="14"/>
      <c r="U997" s="14"/>
      <c r="V997" s="14"/>
      <c r="W997" s="14"/>
      <c r="X997" s="14"/>
      <c r="Y997" s="14"/>
      <c r="Z997" s="14"/>
      <c r="AA997" s="14"/>
      <c r="AB997" s="14"/>
      <c r="AC997" s="14"/>
      <c r="AD997" s="14"/>
    </row>
    <row r="998" spans="3:30" x14ac:dyDescent="0.3">
      <c r="C998" s="14"/>
      <c r="D998" s="14"/>
      <c r="E998" s="15"/>
      <c r="F998" s="15"/>
      <c r="G998" s="15"/>
      <c r="H998" s="14"/>
      <c r="I998" s="14"/>
      <c r="J998" s="16"/>
      <c r="K998" s="16"/>
      <c r="L998" s="16"/>
      <c r="M998" s="16"/>
      <c r="N998" s="16"/>
      <c r="O998" s="16"/>
      <c r="P998" s="14"/>
      <c r="Q998" s="14"/>
      <c r="S998" s="14"/>
      <c r="T998" s="14"/>
      <c r="U998" s="14"/>
      <c r="V998" s="14"/>
      <c r="W998" s="14"/>
      <c r="X998" s="14"/>
      <c r="Y998" s="14"/>
      <c r="Z998" s="14"/>
      <c r="AA998" s="14"/>
      <c r="AB998" s="14"/>
      <c r="AC998" s="14"/>
      <c r="AD998" s="14"/>
    </row>
    <row r="999" spans="3:30" x14ac:dyDescent="0.3">
      <c r="C999" s="14"/>
      <c r="D999" s="14"/>
      <c r="E999" s="15"/>
      <c r="F999" s="15"/>
      <c r="G999" s="15"/>
      <c r="H999" s="14"/>
      <c r="I999" s="14"/>
      <c r="J999" s="16"/>
      <c r="K999" s="16"/>
      <c r="L999" s="16"/>
      <c r="M999" s="16"/>
      <c r="N999" s="16"/>
      <c r="O999" s="16"/>
      <c r="P999" s="14"/>
      <c r="Q999" s="14"/>
      <c r="S999" s="14"/>
      <c r="T999" s="14"/>
      <c r="U999" s="14"/>
      <c r="V999" s="14"/>
      <c r="W999" s="14"/>
      <c r="X999" s="14"/>
      <c r="Y999" s="14"/>
      <c r="Z999" s="14"/>
      <c r="AA999" s="14"/>
      <c r="AB999" s="14"/>
      <c r="AC999" s="14"/>
      <c r="AD999" s="14"/>
    </row>
    <row r="1000" spans="3:30" x14ac:dyDescent="0.3">
      <c r="C1000" s="14"/>
      <c r="D1000" s="14"/>
      <c r="E1000" s="15"/>
      <c r="F1000" s="15"/>
      <c r="G1000" s="15"/>
      <c r="H1000" s="14"/>
      <c r="I1000" s="14"/>
      <c r="J1000" s="16"/>
      <c r="K1000" s="16"/>
      <c r="L1000" s="16"/>
      <c r="M1000" s="16"/>
      <c r="N1000" s="16"/>
      <c r="O1000" s="16"/>
      <c r="P1000" s="14"/>
      <c r="Q1000" s="14"/>
      <c r="S1000" s="14"/>
      <c r="T1000" s="14"/>
      <c r="U1000" s="14"/>
      <c r="V1000" s="14"/>
      <c r="W1000" s="14"/>
      <c r="X1000" s="14"/>
      <c r="Y1000" s="14"/>
      <c r="Z1000" s="14"/>
      <c r="AA1000" s="14"/>
      <c r="AB1000" s="14"/>
      <c r="AC1000" s="14"/>
      <c r="AD1000" s="14"/>
    </row>
  </sheetData>
  <conditionalFormatting sqref="A2:A1000 C2:D1000 H2:H1000 AA2:AD1000">
    <cfRule type="expression" dxfId="461" priority="8">
      <formula>AND($G2&gt;=3,$H2&gt;3.2)</formula>
    </cfRule>
  </conditionalFormatting>
  <conditionalFormatting sqref="R2:R401">
    <cfRule type="expression" dxfId="460" priority="4">
      <formula>AND($G2&gt;=2,$G2&lt;=4)</formula>
    </cfRule>
  </conditionalFormatting>
  <conditionalFormatting sqref="R2:R1000">
    <cfRule type="expression" dxfId="459" priority="7">
      <formula>OR($R2="Poisson",$R2="Binomial Negativa")</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538A-5FB3-4AD7-8351-131408F498F3}">
  <dimension ref="A1:X1000"/>
  <sheetViews>
    <sheetView workbookViewId="0">
      <selection activeCell="C16" sqref="C16"/>
    </sheetView>
  </sheetViews>
  <sheetFormatPr defaultRowHeight="14.4" x14ac:dyDescent="0.3"/>
  <cols>
    <col min="1" max="1" width="8.33203125" customWidth="1"/>
    <col min="2" max="2" width="19.44140625" customWidth="1"/>
    <col min="3" max="3" width="20" customWidth="1"/>
    <col min="4" max="6" width="6.77734375" customWidth="1"/>
    <col min="7" max="10" width="12.77734375" customWidth="1"/>
    <col min="11" max="11" width="12.21875" customWidth="1"/>
    <col min="12" max="17" width="9.77734375" customWidth="1"/>
    <col min="18" max="19" width="16.6640625" customWidth="1"/>
    <col min="20" max="20" width="13" customWidth="1"/>
    <col min="21" max="21" width="7.6640625" hidden="1" customWidth="1"/>
    <col min="22" max="50" width="0" hidden="1" customWidth="1"/>
  </cols>
  <sheetData>
    <row r="1" spans="1:24" ht="30" customHeight="1" x14ac:dyDescent="0.45">
      <c r="A1" s="320" t="s">
        <v>657</v>
      </c>
      <c r="B1" s="320"/>
      <c r="C1" s="320"/>
      <c r="D1" s="320"/>
      <c r="E1" s="320"/>
      <c r="F1" s="320"/>
      <c r="G1" s="320"/>
      <c r="H1" s="320"/>
      <c r="I1" s="320"/>
      <c r="J1" s="320"/>
      <c r="K1" s="320"/>
      <c r="L1" s="320"/>
      <c r="M1" s="320"/>
      <c r="N1" s="320"/>
      <c r="O1" s="320"/>
      <c r="P1" s="320"/>
      <c r="Q1" s="320"/>
      <c r="R1" s="320"/>
      <c r="S1" s="320"/>
      <c r="T1" s="320"/>
      <c r="U1" s="23"/>
      <c r="V1" t="s">
        <v>1052</v>
      </c>
      <c r="W1" t="s">
        <v>1053</v>
      </c>
      <c r="X1" t="s">
        <v>1054</v>
      </c>
    </row>
    <row r="2" spans="1:24" x14ac:dyDescent="0.3">
      <c r="A2" s="283" t="s">
        <v>8221</v>
      </c>
      <c r="B2" s="283"/>
      <c r="C2" s="283"/>
      <c r="D2" s="283"/>
      <c r="E2" s="283"/>
      <c r="F2" s="283"/>
      <c r="G2" s="283"/>
      <c r="H2" s="283"/>
      <c r="I2" s="283"/>
      <c r="J2" s="283"/>
      <c r="K2" s="283"/>
      <c r="L2" s="283"/>
      <c r="M2" s="283"/>
      <c r="N2" s="283"/>
      <c r="O2" s="283"/>
      <c r="P2" s="283"/>
      <c r="Q2" s="283"/>
      <c r="R2" s="283"/>
      <c r="S2" s="283"/>
      <c r="T2" s="283"/>
      <c r="U2" s="24"/>
      <c r="V2">
        <f>IF(AND(Equipes!A2&lt;&gt;"",Equipes!B2&lt;&gt;"USA - MLS-Cross",Equipes!G2&gt;=4,Equipes!K2&gt;=90%),IFERROR((Equipes!C2*Equipes!E2+Equipes!D2*Equipes!F2)/Equipes!G2,0),"")</f>
        <v>3.5833333333333299</v>
      </c>
      <c r="W2">
        <f>IF(V2="","",IFERROR((Equipes!G2/(Equipes!G2+4))*V2+(1-Equipes!G2/(Equipes!G2+4))*Equipes!I2,V2))</f>
        <v>3.3124999999999973</v>
      </c>
      <c r="X2">
        <f>IF(V2="","",ROUND(Equipes!L2*1000000000,0)+ROUND(W2*1000000,0)+Equipes!G2*1000+(1001-ROW()))</f>
        <v>919992166</v>
      </c>
    </row>
    <row r="3" spans="1:24" ht="30" customHeight="1" x14ac:dyDescent="0.3">
      <c r="A3" s="319" t="s">
        <v>658</v>
      </c>
      <c r="B3" s="319"/>
      <c r="C3" s="319"/>
      <c r="D3" s="319"/>
      <c r="E3" s="319"/>
      <c r="F3" s="319"/>
      <c r="G3" s="319"/>
      <c r="H3" s="319"/>
      <c r="I3" s="319"/>
      <c r="J3" s="319"/>
      <c r="K3" s="319"/>
      <c r="L3" s="319"/>
      <c r="M3" s="319"/>
      <c r="N3" s="319"/>
      <c r="O3" s="319"/>
      <c r="P3" s="319"/>
      <c r="Q3" s="319"/>
      <c r="R3" s="319"/>
      <c r="S3" s="319"/>
      <c r="T3" s="319"/>
      <c r="U3" s="37"/>
      <c r="V3">
        <f>IF(AND(Equipes!A3&lt;&gt;"",Equipes!B3&lt;&gt;"USA - MLS-Cross",Equipes!G3&gt;=4,Equipes!K3&gt;=90%),IFERROR((Equipes!C3*Equipes!E3+Equipes!D3*Equipes!F3)/Equipes!G3,0),"")</f>
        <v>4</v>
      </c>
      <c r="W3">
        <f>IF(V3="","",IFERROR((Equipes!G3/(Equipes!G3+4))*V3+(1-Equipes!G3/(Equipes!G3+4))*Equipes!I3,V3))</f>
        <v>3.9050000000000002</v>
      </c>
      <c r="X3">
        <f>IF(V3="","",ROUND(Equipes!L3*1000000000,0)+ROUND(W3*1000000,0)+Equipes!G3*1000+(1001-ROW()))</f>
        <v>920584665</v>
      </c>
    </row>
    <row r="4" spans="1:24" ht="30" customHeight="1" x14ac:dyDescent="0.3">
      <c r="A4" s="38" t="s">
        <v>405</v>
      </c>
      <c r="B4" s="38" t="s">
        <v>343</v>
      </c>
      <c r="C4" s="38" t="s">
        <v>344</v>
      </c>
      <c r="D4" s="38" t="s">
        <v>401</v>
      </c>
      <c r="E4" s="38" t="s">
        <v>653</v>
      </c>
      <c r="F4" s="38" t="s">
        <v>654</v>
      </c>
      <c r="G4" s="38" t="s">
        <v>406</v>
      </c>
      <c r="H4" s="38" t="s">
        <v>656</v>
      </c>
      <c r="I4" s="38" t="s">
        <v>655</v>
      </c>
      <c r="J4" s="38" t="s">
        <v>476</v>
      </c>
      <c r="K4" s="38" t="s">
        <v>345</v>
      </c>
      <c r="L4" s="38" t="s">
        <v>424</v>
      </c>
      <c r="M4" s="38" t="s">
        <v>425</v>
      </c>
      <c r="N4" s="38" t="s">
        <v>407</v>
      </c>
      <c r="O4" s="38" t="s">
        <v>408</v>
      </c>
      <c r="P4" s="38" t="s">
        <v>409</v>
      </c>
      <c r="Q4" s="38" t="s">
        <v>346</v>
      </c>
      <c r="R4" s="38" t="s">
        <v>354</v>
      </c>
      <c r="S4" s="38" t="s">
        <v>410</v>
      </c>
      <c r="T4" s="38" t="s">
        <v>411</v>
      </c>
    </row>
    <row r="5" spans="1:24" x14ac:dyDescent="0.3">
      <c r="A5" s="27" cm="1">
        <f t="array" ref="A5:T44">_xlfn.LET(_xlpm.teams,_xlfn._xlws.FILTER(Equipes!A2:A1000,(Equipes!A2:A1000&lt;&gt;"")*(Equipes!B2:B1000&lt;&gt;"USA - MLS-Cross")*(Equipes!G2:G1000&gt;=4)*(Equipes!K2:K1000&gt;=90%)),_xlpm.leagues,_xlfn._xlws.FILTER(Equipes!B2:B1000,(Equipes!A2:A1000&lt;&gt;"")*(Equipes!B2:B1000&lt;&gt;"USA - MLS-Cross")*(Equipes!G2:G1000&gt;=4)*(Equipes!K2:K1000&gt;=90%)),_xlpm.homegames,_xlfn._xlws.FILTER(Equipes!E2:E1000,(Equipes!A2:A1000&lt;&gt;"")*(Equipes!B2:B1000&lt;&gt;"USA - MLS-Cross")*(Equipes!G2:G1000&gt;=4)*(Equipes!K2:K1000&gt;=90%)),_xlpm.awaygames,_xlfn._xlws.FILTER(Equipes!F2:F1000,(Equipes!A2:A1000&lt;&gt;"")*(Equipes!B2:B1000&lt;&gt;"USA - MLS-Cross")*(Equipes!G2:G1000&gt;=4)*(Equipes!K2:K1000&gt;=90%)),_xlpm.games,_xlfn._xlws.FILTER(Equipes!G2:G1000,(Equipes!A2:A1000&lt;&gt;"")*(Equipes!B2:B1000&lt;&gt;"USA - MLS-Cross")*(Equipes!G2:G1000&gt;=4)*(Equipes!K2:K1000&gt;=90%)),_xlpm.homeindex,_xlfn._xlws.FILTER(Equipes!C2:C1000,(Equipes!A2:A1000&lt;&gt;"")*(Equipes!B2:B1000&lt;&gt;"USA - MLS-Cross")*(Equipes!G2:G1000&gt;=4)*(Equipes!K2:K1000&gt;=90%)),_xlpm.awayindex,_xlfn._xlws.FILTER(Equipes!D2:D1000,(Equipes!A2:A1000&lt;&gt;"")*(Equipes!B2:B1000&lt;&gt;"USA - MLS-Cross")*(Equipes!G2:G1000&gt;=4)*(Equipes!K2:K1000&gt;=90%)),_xlpm.goalsavg,_xlfn._xlws.FILTER(Equipes!H2:H1000,(Equipes!A2:A1000&lt;&gt;"")*(Equipes!B2:B1000&lt;&gt;"USA - MLS-Cross")*(Equipes!G2:G1000&gt;=4)*(Equipes!K2:K1000&gt;=90%)),_xlpm.leagueavg,_xlfn._xlws.FILTER(Equipes!I2:I1000,(Equipes!A2:A1000&lt;&gt;"")*(Equipes!B2:B1000&lt;&gt;"USA - MLS-Cross")*(Equipes!G2:G1000&gt;=4)*(Equipes!K2:K1000&gt;=90%)),_xlpm.over05,_xlfn._xlws.FILTER(Equipes!K2:K1000,(Equipes!A2:A1000&lt;&gt;"")*(Equipes!B2:B1000&lt;&gt;"USA - MLS-Cross")*(Equipes!G2:G1000&gt;=4)*(Equipes!K2:K1000&gt;=90%)),_xlpm.over15,_xlfn._xlws.FILTER(Equipes!L2:L1000,(Equipes!A2:A1000&lt;&gt;"")*(Equipes!B2:B1000&lt;&gt;"USA - MLS-Cross")*(Equipes!G2:G1000&gt;=4)*(Equipes!K2:K1000&gt;=90%)),_xlpm.over25,_xlfn._xlws.FILTER(Equipes!M2:M1000,(Equipes!A2:A1000&lt;&gt;"")*(Equipes!B2:B1000&lt;&gt;"USA - MLS-Cross")*(Equipes!G2:G1000&gt;=4)*(Equipes!K2:K1000&gt;=90%)),_xlpm.over35,_xlfn._xlws.FILTER(Equipes!N2:N1000,(Equipes!A2:A1000&lt;&gt;"")*(Equipes!B2:B1000&lt;&gt;"USA - MLS-Cross")*(Equipes!G2:G1000&gt;=4)*(Equipes!K2:K1000&gt;=90%)),_xlpm.bothscore,_xlfn._xlws.FILTER(Equipes!O2:O1000,(Equipes!A2:A1000&lt;&gt;"")*(Equipes!B2:B1000&lt;&gt;"USA - MLS-Cross")*(Equipes!G2:G1000&gt;=4)*(Equipes!K2:K1000&gt;=90%)),_xlpm.nomark,_xlfn._xlws.FILTER(Equipes!J2:J1000,(Equipes!A2:A1000&lt;&gt;"")*(Equipes!B2:B1000&lt;&gt;"USA - MLS-Cross")*(Equipes!G2:G1000&gt;=4)*(Equipes!K2:K1000&gt;=90%)),_xlpm.model,_xlfn._xlws.FILTER(Equipes!R2:R1000,(Equipes!A2:A1000&lt;&gt;"")*(Equipes!B2:B1000&lt;&gt;"USA - MLS-Cross")*(Equipes!G2:G1000&gt;=4)*(Equipes!K2:K1000&gt;=90%)),_xlpm.score,IFERROR((_xlpm.homeindex*_xlpm.homegames+_xlpm.awayindex*_xlpm.awaygames)/_xlpm.games,0),_xlpm.weight,_xlpm.games/(_xlpm.games+4),_xlpm.adjusted,IFERROR(_xlpm.weight*_xlpm.score+(1-_xlpm.weight)*_xlpm.leagueavg,_xlpm.score),_xlpm.normalized,IFERROR(_xlpm.score/_xlpm.leagueavg,0),_xlpm.quality,IF(_xlpm.games&gt;=8,"Robusta","Em formação"),_xlpm.dataset,_xlfn.HSTACK(_xlpm.teams,_xlpm.leagues,_xlpm.games,_xlpm.homeindex,_xlpm.awayindex,_xlpm.score,_xlpm.adjusted,_xlpm.normalized,_xlpm.goalsavg,_xlpm.leagueavg,_xlpm.over05,_xlpm.over15,_xlpm.over25,_xlpm.over35,_xlpm.bothscore,_xlpm.nomark,_xlpm.model,_xlpm.quality),_xlpm.sorted,_xlfn.SORTBY(_xlpm.dataset,_xlpm.over15,-1,_xlpm.adjusted,-1,_xlpm.games,-1),_xlpm.topteams,_xlfn.TAKE(_xlpm.sorted,MIN(40,ROWS(_xlpm.sorted))),_xlfn.HSTACK(_xlfn.SEQUENCE(ROWS(_xlpm.topteams)),_xlpm.topteams,IF(_xlfn.SEQUENCE(ROWS(_xlpm.topteams))&gt;0,"Selecionada","")))</f>
        <v>1</v>
      </c>
      <c r="B5" t="str">
        <v>Para</v>
      </c>
      <c r="C5" t="str">
        <v>AUS - NPL South Australia</v>
      </c>
      <c r="D5" s="27">
        <v>12</v>
      </c>
      <c r="E5" s="26">
        <v>5.8</v>
      </c>
      <c r="F5" s="26">
        <v>5.1428571428571397</v>
      </c>
      <c r="G5" s="26">
        <v>5.4166666666666643</v>
      </c>
      <c r="H5" s="40">
        <v>4.987499999999998</v>
      </c>
      <c r="I5" s="26">
        <v>1.4639639639639632</v>
      </c>
      <c r="J5" s="26">
        <v>0.58333333333333304</v>
      </c>
      <c r="K5" s="26">
        <v>3.7</v>
      </c>
      <c r="L5" s="29">
        <v>1</v>
      </c>
      <c r="M5" s="29">
        <v>1</v>
      </c>
      <c r="N5" s="29">
        <v>0.83333333333333304</v>
      </c>
      <c r="O5" s="29">
        <v>0.66666666666666696</v>
      </c>
      <c r="P5" s="29">
        <v>0.41666666666666702</v>
      </c>
      <c r="Q5" s="29">
        <v>0.58333333333333304</v>
      </c>
      <c r="R5" t="str">
        <v>Poisson</v>
      </c>
      <c r="S5" s="28" t="str">
        <v>Robusta</v>
      </c>
      <c r="T5" s="28" t="str">
        <v>Selecionada</v>
      </c>
      <c r="U5" s="28"/>
    </row>
    <row r="6" spans="1:24" x14ac:dyDescent="0.3">
      <c r="A6" s="27">
        <v>2</v>
      </c>
      <c r="B6" t="str">
        <v>Närpes Kraft</v>
      </c>
      <c r="C6" t="str">
        <v>FIN - Kakkonen C</v>
      </c>
      <c r="D6" s="27">
        <v>12</v>
      </c>
      <c r="E6" s="26">
        <v>5.4285714285714297</v>
      </c>
      <c r="F6" s="26">
        <v>4.8</v>
      </c>
      <c r="G6" s="26">
        <v>5.166666666666667</v>
      </c>
      <c r="H6" s="40">
        <v>4.9550000000000001</v>
      </c>
      <c r="I6" s="26">
        <v>1.1959876543209877</v>
      </c>
      <c r="J6" s="26">
        <v>2.9166666666666701</v>
      </c>
      <c r="K6" s="26">
        <v>4.32</v>
      </c>
      <c r="L6" s="29">
        <v>1</v>
      </c>
      <c r="M6" s="29">
        <v>1</v>
      </c>
      <c r="N6" s="29">
        <v>1</v>
      </c>
      <c r="O6" s="29">
        <v>0.75</v>
      </c>
      <c r="P6" s="29">
        <v>0.83333333333333304</v>
      </c>
      <c r="Q6" s="29">
        <v>0</v>
      </c>
      <c r="R6" t="str">
        <v>Poisson</v>
      </c>
      <c r="S6" s="28" t="str">
        <v>Robusta</v>
      </c>
      <c r="T6" s="28" t="str">
        <v>Selecionada</v>
      </c>
      <c r="U6" s="28"/>
    </row>
    <row r="7" spans="1:24" x14ac:dyDescent="0.3">
      <c r="A7" s="27">
        <v>3</v>
      </c>
      <c r="B7" t="str">
        <v>KR Reykjavik (KR Reykjavík)</v>
      </c>
      <c r="C7" t="str">
        <v>ISL - Besta-deild karla (PL)</v>
      </c>
      <c r="D7" s="27">
        <v>12</v>
      </c>
      <c r="E7" s="26">
        <v>6</v>
      </c>
      <c r="F7" s="26">
        <v>5.1666666666666696</v>
      </c>
      <c r="G7" s="26">
        <v>5.5833333333333348</v>
      </c>
      <c r="H7" s="40">
        <v>4.8125000000000009</v>
      </c>
      <c r="I7" s="26">
        <v>2.2333333333333338</v>
      </c>
      <c r="J7" s="26">
        <v>3.25</v>
      </c>
      <c r="K7" s="26">
        <v>2.5</v>
      </c>
      <c r="L7" s="29">
        <v>1</v>
      </c>
      <c r="M7" s="29">
        <v>1</v>
      </c>
      <c r="N7" s="29">
        <v>0.83333333333333304</v>
      </c>
      <c r="O7" s="29">
        <v>0.83333333333333304</v>
      </c>
      <c r="P7" s="29">
        <v>0.83333333333333304</v>
      </c>
      <c r="Q7" s="29">
        <v>8.3333333333333301E-2</v>
      </c>
      <c r="R7" t="str">
        <v>Poisson</v>
      </c>
      <c r="S7" s="28" t="str">
        <v>Robusta</v>
      </c>
      <c r="T7" s="28" t="str">
        <v>Selecionada</v>
      </c>
      <c r="U7" s="28"/>
    </row>
    <row r="8" spans="1:24" x14ac:dyDescent="0.3">
      <c r="A8" s="27">
        <v>4</v>
      </c>
      <c r="B8" t="str">
        <v>FK Haugesund</v>
      </c>
      <c r="C8" t="str">
        <v>NOR - OBOS-ligaen</v>
      </c>
      <c r="D8" s="27">
        <v>12</v>
      </c>
      <c r="E8" s="26">
        <v>4.8333333333333304</v>
      </c>
      <c r="F8" s="26">
        <v>6.3333333333333304</v>
      </c>
      <c r="G8" s="26">
        <v>5.5833333333333313</v>
      </c>
      <c r="H8" s="40">
        <v>4.8124999999999982</v>
      </c>
      <c r="I8" s="26">
        <v>2.2333333333333325</v>
      </c>
      <c r="J8" s="26">
        <v>3.4166666666666701</v>
      </c>
      <c r="K8" s="26">
        <v>2.5</v>
      </c>
      <c r="L8" s="29">
        <v>1</v>
      </c>
      <c r="M8" s="29">
        <v>1</v>
      </c>
      <c r="N8" s="29">
        <v>0.91666666666666696</v>
      </c>
      <c r="O8" s="29">
        <v>0.83333333333333304</v>
      </c>
      <c r="P8" s="29">
        <v>0.91666666666666696</v>
      </c>
      <c r="Q8" s="29">
        <v>0</v>
      </c>
      <c r="R8" t="str">
        <v>Poisson</v>
      </c>
      <c r="S8" s="28" t="str">
        <v>Robusta</v>
      </c>
      <c r="T8" s="28" t="str">
        <v>Selecionada</v>
      </c>
      <c r="U8" s="28"/>
    </row>
    <row r="9" spans="1:24" x14ac:dyDescent="0.3">
      <c r="A9" s="27">
        <v>5</v>
      </c>
      <c r="B9" t="str">
        <v>FC Cincinnati</v>
      </c>
      <c r="C9" t="str">
        <v>USA - MLS-East</v>
      </c>
      <c r="D9" s="27">
        <v>12</v>
      </c>
      <c r="E9" s="26">
        <v>6.1666666666666696</v>
      </c>
      <c r="F9" s="26">
        <v>4.6666666666666696</v>
      </c>
      <c r="G9" s="26">
        <v>5.4166666666666687</v>
      </c>
      <c r="H9" s="40">
        <v>4.6875000000000018</v>
      </c>
      <c r="I9" s="26">
        <v>2.1666666666666674</v>
      </c>
      <c r="J9" s="26">
        <v>3</v>
      </c>
      <c r="K9" s="26">
        <v>2.5</v>
      </c>
      <c r="L9" s="29">
        <v>1</v>
      </c>
      <c r="M9" s="29">
        <v>1</v>
      </c>
      <c r="N9" s="29">
        <v>0.83333333333333304</v>
      </c>
      <c r="O9" s="29">
        <v>0.75</v>
      </c>
      <c r="P9" s="29">
        <v>0.91666666666666696</v>
      </c>
      <c r="Q9" s="29">
        <v>0</v>
      </c>
      <c r="R9" t="str">
        <v>Poisson</v>
      </c>
      <c r="S9" s="28" t="str">
        <v>Robusta</v>
      </c>
      <c r="T9" s="28" t="str">
        <v>Selecionada</v>
      </c>
      <c r="U9" s="28"/>
    </row>
    <row r="10" spans="1:24" x14ac:dyDescent="0.3">
      <c r="A10" s="27">
        <v>6</v>
      </c>
      <c r="B10" t="str">
        <v>VPS Akatemia</v>
      </c>
      <c r="C10" t="str">
        <v>FIN - Kakkonen C</v>
      </c>
      <c r="D10" s="27">
        <v>12</v>
      </c>
      <c r="E10" s="26">
        <v>5.6</v>
      </c>
      <c r="F10" s="26">
        <v>4.1428571428571397</v>
      </c>
      <c r="G10" s="26">
        <v>4.7499999999999982</v>
      </c>
      <c r="H10" s="40">
        <v>4.6424999999999983</v>
      </c>
      <c r="I10" s="26">
        <v>1.0995370370370365</v>
      </c>
      <c r="J10" s="26">
        <v>2.8333333333333299</v>
      </c>
      <c r="K10" s="26">
        <v>4.32</v>
      </c>
      <c r="L10" s="29">
        <v>1</v>
      </c>
      <c r="M10" s="29">
        <v>1</v>
      </c>
      <c r="N10" s="29">
        <v>0.91666666666666696</v>
      </c>
      <c r="O10" s="29">
        <v>0.75</v>
      </c>
      <c r="P10" s="29">
        <v>0.75</v>
      </c>
      <c r="Q10" s="29">
        <v>8.3333333333333301E-2</v>
      </c>
      <c r="R10" t="str">
        <v>Poisson</v>
      </c>
      <c r="S10" s="28" t="str">
        <v>Robusta</v>
      </c>
      <c r="T10" s="28" t="str">
        <v>Selecionada</v>
      </c>
      <c r="U10" s="28"/>
    </row>
    <row r="11" spans="1:24" x14ac:dyDescent="0.3">
      <c r="A11" s="27">
        <v>7</v>
      </c>
      <c r="B11" t="str">
        <v>Ranheim Fotball</v>
      </c>
      <c r="C11" t="str">
        <v>NOR - OBOS-ligaen</v>
      </c>
      <c r="D11" s="27">
        <v>12</v>
      </c>
      <c r="E11" s="26">
        <v>5.3333333333333304</v>
      </c>
      <c r="F11" s="26">
        <v>5.1666666666666696</v>
      </c>
      <c r="G11" s="26">
        <v>5.25</v>
      </c>
      <c r="H11" s="40">
        <v>4.5625</v>
      </c>
      <c r="I11" s="26">
        <v>2.1</v>
      </c>
      <c r="J11" s="26">
        <v>2.4166666666666701</v>
      </c>
      <c r="K11" s="26">
        <v>2.5</v>
      </c>
      <c r="L11" s="29">
        <v>1</v>
      </c>
      <c r="M11" s="29">
        <v>1</v>
      </c>
      <c r="N11" s="29">
        <v>0.91666666666666696</v>
      </c>
      <c r="O11" s="29">
        <v>0.83333333333333304</v>
      </c>
      <c r="P11" s="29">
        <v>0.91666666666666696</v>
      </c>
      <c r="Q11" s="29">
        <v>8.3333333333333301E-2</v>
      </c>
      <c r="R11" t="str">
        <v>Poisson</v>
      </c>
      <c r="S11" s="28" t="str">
        <v>Robusta</v>
      </c>
      <c r="T11" s="28" t="str">
        <v>Selecionada</v>
      </c>
      <c r="U11" s="28"/>
    </row>
    <row r="12" spans="1:24" x14ac:dyDescent="0.3">
      <c r="A12" s="27">
        <v>8</v>
      </c>
      <c r="B12" t="str">
        <v>Magic United</v>
      </c>
      <c r="C12" t="str">
        <v>AUS - NPL Queensland</v>
      </c>
      <c r="D12" s="27">
        <v>12</v>
      </c>
      <c r="E12" s="26">
        <v>4.8333333333333304</v>
      </c>
      <c r="F12" s="26">
        <v>4.6666666666666696</v>
      </c>
      <c r="G12" s="26">
        <v>4.75</v>
      </c>
      <c r="H12" s="40">
        <v>4.5024999999999995</v>
      </c>
      <c r="I12" s="26">
        <v>1.2632978723404256</v>
      </c>
      <c r="J12" s="26">
        <v>2</v>
      </c>
      <c r="K12" s="26">
        <v>3.76</v>
      </c>
      <c r="L12" s="29">
        <v>1</v>
      </c>
      <c r="M12" s="29">
        <v>1</v>
      </c>
      <c r="N12" s="29">
        <v>1</v>
      </c>
      <c r="O12" s="29">
        <v>0.66666666666666696</v>
      </c>
      <c r="P12" s="29">
        <v>0.83333333333333304</v>
      </c>
      <c r="Q12" s="29">
        <v>0.16666666666666699</v>
      </c>
      <c r="R12" t="str">
        <v>Poisson</v>
      </c>
      <c r="S12" s="28" t="str">
        <v>Robusta</v>
      </c>
      <c r="T12" s="28" t="str">
        <v>Selecionada</v>
      </c>
      <c r="U12" s="28"/>
    </row>
    <row r="13" spans="1:24" x14ac:dyDescent="0.3">
      <c r="A13" s="27">
        <v>9</v>
      </c>
      <c r="B13" t="str">
        <v>HPS</v>
      </c>
      <c r="C13" t="str">
        <v>FIN - Kakkonen A</v>
      </c>
      <c r="D13" s="27">
        <v>12</v>
      </c>
      <c r="E13" s="26">
        <v>6</v>
      </c>
      <c r="F13" s="26">
        <v>3.3333333333333299</v>
      </c>
      <c r="G13" s="26">
        <v>4.6666666666666652</v>
      </c>
      <c r="H13" s="40">
        <v>4.4474999999999989</v>
      </c>
      <c r="I13" s="26">
        <v>1.2313104661389618</v>
      </c>
      <c r="J13" s="26">
        <v>2.5833333333333299</v>
      </c>
      <c r="K13" s="26">
        <v>3.79</v>
      </c>
      <c r="L13" s="29">
        <v>1</v>
      </c>
      <c r="M13" s="29">
        <v>1</v>
      </c>
      <c r="N13" s="29">
        <v>0.66666666666666696</v>
      </c>
      <c r="O13" s="29">
        <v>0.58333333333333304</v>
      </c>
      <c r="P13" s="29">
        <v>0.66666666666666696</v>
      </c>
      <c r="Q13" s="29">
        <v>8.3333333333333301E-2</v>
      </c>
      <c r="R13" t="str">
        <v>Poisson</v>
      </c>
      <c r="S13" s="28" t="str">
        <v>Robusta</v>
      </c>
      <c r="T13" s="28" t="str">
        <v>Selecionada</v>
      </c>
      <c r="U13" s="28"/>
    </row>
    <row r="14" spans="1:24" x14ac:dyDescent="0.3">
      <c r="A14" s="27">
        <v>10</v>
      </c>
      <c r="B14" t="str">
        <v>Jaro 2</v>
      </c>
      <c r="C14" t="str">
        <v>FIN - Kakkonen C</v>
      </c>
      <c r="D14" s="27">
        <v>12</v>
      </c>
      <c r="E14" s="26">
        <v>3.1666666666666701</v>
      </c>
      <c r="F14" s="26">
        <v>5.6666666666666696</v>
      </c>
      <c r="G14" s="26">
        <v>4.4166666666666696</v>
      </c>
      <c r="H14" s="40">
        <v>4.3925000000000018</v>
      </c>
      <c r="I14" s="26">
        <v>1.0223765432098773</v>
      </c>
      <c r="J14" s="26">
        <v>1.3333333333333299</v>
      </c>
      <c r="K14" s="26">
        <v>4.32</v>
      </c>
      <c r="L14" s="29">
        <v>1</v>
      </c>
      <c r="M14" s="29">
        <v>1</v>
      </c>
      <c r="N14" s="29">
        <v>0.75</v>
      </c>
      <c r="O14" s="29">
        <v>0.58333333333333304</v>
      </c>
      <c r="P14" s="29">
        <v>0.66666666666666696</v>
      </c>
      <c r="Q14" s="29">
        <v>0.16666666666666699</v>
      </c>
      <c r="R14" t="str">
        <v>Poisson</v>
      </c>
      <c r="S14" s="28" t="str">
        <v>Robusta</v>
      </c>
      <c r="T14" s="28" t="str">
        <v>Selecionada</v>
      </c>
      <c r="U14" s="28"/>
    </row>
    <row r="15" spans="1:24" x14ac:dyDescent="0.3">
      <c r="A15" s="27">
        <v>11</v>
      </c>
      <c r="B15" t="str">
        <v>Sogndal Fotball</v>
      </c>
      <c r="C15" t="str">
        <v>NOR - OBOS-ligaen</v>
      </c>
      <c r="D15" s="27">
        <v>12</v>
      </c>
      <c r="E15" s="26">
        <v>4.8333333333333304</v>
      </c>
      <c r="F15" s="26">
        <v>4.3333333333333304</v>
      </c>
      <c r="G15" s="26">
        <v>4.5833333333333304</v>
      </c>
      <c r="H15" s="40">
        <v>4.0624999999999982</v>
      </c>
      <c r="I15" s="26">
        <v>1.8333333333333321</v>
      </c>
      <c r="J15" s="26">
        <v>2.0833333333333299</v>
      </c>
      <c r="K15" s="26">
        <v>2.5</v>
      </c>
      <c r="L15" s="29">
        <v>1</v>
      </c>
      <c r="M15" s="29">
        <v>1</v>
      </c>
      <c r="N15" s="29">
        <v>0.83333333333333304</v>
      </c>
      <c r="O15" s="29">
        <v>0.83333333333333304</v>
      </c>
      <c r="P15" s="29">
        <v>0.83333333333333304</v>
      </c>
      <c r="Q15" s="29">
        <v>0.16666666666666699</v>
      </c>
      <c r="R15" t="str">
        <v>Poisson</v>
      </c>
      <c r="S15" s="28" t="str">
        <v>Robusta</v>
      </c>
      <c r="T15" s="28" t="str">
        <v>Selecionada</v>
      </c>
      <c r="U15" s="28"/>
    </row>
    <row r="16" spans="1:24" x14ac:dyDescent="0.3">
      <c r="A16" s="27">
        <v>12</v>
      </c>
      <c r="B16" t="str">
        <v>Olympic Kingsway</v>
      </c>
      <c r="C16" t="str">
        <v>AUS - NPL Western Australia</v>
      </c>
      <c r="D16" s="27">
        <v>12</v>
      </c>
      <c r="E16" s="26">
        <v>4.2</v>
      </c>
      <c r="F16" s="26">
        <v>4.28571428571429</v>
      </c>
      <c r="G16" s="26">
        <v>4.2500000000000027</v>
      </c>
      <c r="H16" s="40">
        <v>4.0150000000000015</v>
      </c>
      <c r="I16" s="26">
        <v>1.2839879154078557</v>
      </c>
      <c r="J16" s="26">
        <v>2.5833333333333299</v>
      </c>
      <c r="K16" s="26">
        <v>3.31</v>
      </c>
      <c r="L16" s="29">
        <v>1</v>
      </c>
      <c r="M16" s="29">
        <v>1</v>
      </c>
      <c r="N16" s="29">
        <v>0.91666666666666696</v>
      </c>
      <c r="O16" s="29">
        <v>0.5</v>
      </c>
      <c r="P16" s="29">
        <v>0.83333333333333304</v>
      </c>
      <c r="Q16" s="29">
        <v>8.3333333333333301E-2</v>
      </c>
      <c r="R16" t="str">
        <v>Poisson</v>
      </c>
      <c r="S16" s="28" t="str">
        <v>Robusta</v>
      </c>
      <c r="T16" s="28" t="str">
        <v>Selecionada</v>
      </c>
      <c r="U16" s="28"/>
    </row>
    <row r="17" spans="1:21" x14ac:dyDescent="0.3">
      <c r="A17" s="27">
        <v>13</v>
      </c>
      <c r="B17" t="str">
        <v>Kongsvinger IL</v>
      </c>
      <c r="C17" t="str">
        <v>NOR - OBOS-ligaen</v>
      </c>
      <c r="D17" s="27">
        <v>12</v>
      </c>
      <c r="E17" s="26">
        <v>5.6</v>
      </c>
      <c r="F17" s="26">
        <v>3.71428571428571</v>
      </c>
      <c r="G17" s="26">
        <v>4.4999999999999973</v>
      </c>
      <c r="H17" s="40">
        <v>3.9999999999999982</v>
      </c>
      <c r="I17" s="26">
        <v>1.7999999999999989</v>
      </c>
      <c r="J17" s="26">
        <v>2.75</v>
      </c>
      <c r="K17" s="26">
        <v>2.5</v>
      </c>
      <c r="L17" s="29">
        <v>1</v>
      </c>
      <c r="M17" s="29">
        <v>1</v>
      </c>
      <c r="N17" s="29">
        <v>0.83333333333333304</v>
      </c>
      <c r="O17" s="29">
        <v>0.58333333333333304</v>
      </c>
      <c r="P17" s="29">
        <v>0.83333333333333304</v>
      </c>
      <c r="Q17" s="29">
        <v>8.3333333333333301E-2</v>
      </c>
      <c r="R17" t="str">
        <v>Poisson</v>
      </c>
      <c r="S17" s="28" t="str">
        <v>Robusta</v>
      </c>
      <c r="T17" s="28" t="str">
        <v>Selecionada</v>
      </c>
      <c r="U17" s="28"/>
    </row>
    <row r="18" spans="1:21" x14ac:dyDescent="0.3">
      <c r="A18" s="27">
        <v>14</v>
      </c>
      <c r="B18" t="str">
        <v>Real Oruro</v>
      </c>
      <c r="C18" t="str">
        <v>BOL - Div. Profesional</v>
      </c>
      <c r="D18" s="27">
        <v>12</v>
      </c>
      <c r="E18" s="26">
        <v>4.5999999999999996</v>
      </c>
      <c r="F18" s="26">
        <v>3.71428571428571</v>
      </c>
      <c r="G18" s="26">
        <v>4.0833333333333313</v>
      </c>
      <c r="H18" s="40">
        <v>3.9674999999999985</v>
      </c>
      <c r="I18" s="26">
        <v>1.1279926335174948</v>
      </c>
      <c r="J18" s="26">
        <v>1.75</v>
      </c>
      <c r="K18" s="26">
        <v>3.62</v>
      </c>
      <c r="L18" s="29">
        <v>1</v>
      </c>
      <c r="M18" s="29">
        <v>1</v>
      </c>
      <c r="N18" s="29">
        <v>0.91666666666666696</v>
      </c>
      <c r="O18" s="29">
        <v>0.58333333333333304</v>
      </c>
      <c r="P18" s="29">
        <v>0.83333333333333304</v>
      </c>
      <c r="Q18" s="29">
        <v>0.16666666666666699</v>
      </c>
      <c r="R18" t="str">
        <v>Poisson</v>
      </c>
      <c r="S18" s="28" t="str">
        <v>Robusta</v>
      </c>
      <c r="T18" s="28" t="str">
        <v>Selecionada</v>
      </c>
      <c r="U18" s="28"/>
    </row>
    <row r="19" spans="1:21" x14ac:dyDescent="0.3">
      <c r="A19" s="27">
        <v>15</v>
      </c>
      <c r="B19" t="str">
        <v>EPS</v>
      </c>
      <c r="C19" t="str">
        <v>FIN - Kakkonen B</v>
      </c>
      <c r="D19" s="27">
        <v>12</v>
      </c>
      <c r="E19" s="26">
        <v>4</v>
      </c>
      <c r="F19" s="26">
        <v>4.2</v>
      </c>
      <c r="G19" s="26">
        <v>4.083333333333333</v>
      </c>
      <c r="H19" s="40">
        <v>3.9525000000000001</v>
      </c>
      <c r="I19" s="26">
        <v>1.1470037453183519</v>
      </c>
      <c r="J19" s="26">
        <v>2.5</v>
      </c>
      <c r="K19" s="26">
        <v>3.56</v>
      </c>
      <c r="L19" s="29">
        <v>1</v>
      </c>
      <c r="M19" s="29">
        <v>1</v>
      </c>
      <c r="N19" s="29">
        <v>0.83333333333333304</v>
      </c>
      <c r="O19" s="29">
        <v>0.58333333333333304</v>
      </c>
      <c r="P19" s="29">
        <v>0.83333333333333304</v>
      </c>
      <c r="Q19" s="29">
        <v>0</v>
      </c>
      <c r="R19" t="str">
        <v>Poisson</v>
      </c>
      <c r="S19" s="28" t="str">
        <v>Robusta</v>
      </c>
      <c r="T19" s="28" t="str">
        <v>Selecionada</v>
      </c>
      <c r="U19" s="28"/>
    </row>
    <row r="20" spans="1:21" x14ac:dyDescent="0.3">
      <c r="A20" s="27">
        <v>16</v>
      </c>
      <c r="B20" t="str">
        <v>Brisbane Olympic FC</v>
      </c>
      <c r="C20" t="str">
        <v>AUS - NPL Queensland</v>
      </c>
      <c r="D20" s="27">
        <v>12</v>
      </c>
      <c r="E20" s="26">
        <v>4</v>
      </c>
      <c r="F20" s="26">
        <v>4</v>
      </c>
      <c r="G20" s="26">
        <v>4</v>
      </c>
      <c r="H20" s="40">
        <v>3.94</v>
      </c>
      <c r="I20" s="26">
        <v>1.0638297872340425</v>
      </c>
      <c r="J20" s="26">
        <v>1.5833333333333299</v>
      </c>
      <c r="K20" s="26">
        <v>3.76</v>
      </c>
      <c r="L20" s="29">
        <v>1</v>
      </c>
      <c r="M20" s="29">
        <v>1</v>
      </c>
      <c r="N20" s="29">
        <v>0.91666666666666696</v>
      </c>
      <c r="O20" s="29">
        <v>0.5</v>
      </c>
      <c r="P20" s="29">
        <v>0.75</v>
      </c>
      <c r="Q20" s="29">
        <v>0.16666666666666699</v>
      </c>
      <c r="R20" t="str">
        <v>Poisson</v>
      </c>
      <c r="S20" s="28" t="str">
        <v>Robusta</v>
      </c>
      <c r="T20" s="28" t="str">
        <v>Selecionada</v>
      </c>
      <c r="U20" s="28"/>
    </row>
    <row r="21" spans="1:21" x14ac:dyDescent="0.3">
      <c r="A21" s="27">
        <v>17</v>
      </c>
      <c r="B21" t="str">
        <v>Hestrafors IF</v>
      </c>
      <c r="C21" t="str">
        <v>SWE - 2ª D Västra Götaland</v>
      </c>
      <c r="D21" s="27">
        <v>12</v>
      </c>
      <c r="E21" s="26">
        <v>4.8</v>
      </c>
      <c r="F21" s="26">
        <v>4.1428571428571397</v>
      </c>
      <c r="G21" s="26">
        <v>4.4166666666666652</v>
      </c>
      <c r="H21" s="40">
        <v>3.9374999999999991</v>
      </c>
      <c r="I21" s="26">
        <v>1.7666666666666662</v>
      </c>
      <c r="J21" s="26">
        <v>2.3333333333333299</v>
      </c>
      <c r="K21" s="26">
        <v>2.5</v>
      </c>
      <c r="L21" s="29">
        <v>1</v>
      </c>
      <c r="M21" s="29">
        <v>1</v>
      </c>
      <c r="N21" s="29">
        <v>0.91666666666666696</v>
      </c>
      <c r="O21" s="29">
        <v>0.66666666666666696</v>
      </c>
      <c r="P21" s="29">
        <v>0.83333333333333304</v>
      </c>
      <c r="Q21" s="29">
        <v>8.3333333333333301E-2</v>
      </c>
      <c r="R21" t="str">
        <v>Poisson</v>
      </c>
      <c r="S21" s="28" t="str">
        <v>Robusta</v>
      </c>
      <c r="T21" s="28" t="str">
        <v>Selecionada</v>
      </c>
      <c r="U21" s="28"/>
    </row>
    <row r="22" spans="1:21" x14ac:dyDescent="0.3">
      <c r="A22" s="27">
        <v>18</v>
      </c>
      <c r="B22" t="str">
        <v>Perth Azzurri</v>
      </c>
      <c r="C22" t="str">
        <v>AUS - NPL Western Australia</v>
      </c>
      <c r="D22" s="27">
        <v>12</v>
      </c>
      <c r="E22" s="26">
        <v>4</v>
      </c>
      <c r="F22" s="26">
        <v>4.125</v>
      </c>
      <c r="G22" s="26">
        <v>4.083333333333333</v>
      </c>
      <c r="H22" s="40">
        <v>3.89</v>
      </c>
      <c r="I22" s="26">
        <v>1.2336354481369587</v>
      </c>
      <c r="J22" s="26">
        <v>2.25</v>
      </c>
      <c r="K22" s="26">
        <v>3.31</v>
      </c>
      <c r="L22" s="29">
        <v>1</v>
      </c>
      <c r="M22" s="29">
        <v>1</v>
      </c>
      <c r="N22" s="29">
        <v>0.66666666666666696</v>
      </c>
      <c r="O22" s="29">
        <v>0.58333333333333304</v>
      </c>
      <c r="P22" s="29">
        <v>0.91666666666666696</v>
      </c>
      <c r="Q22" s="29">
        <v>8.3333333333333301E-2</v>
      </c>
      <c r="R22" t="str">
        <v>Poisson</v>
      </c>
      <c r="S22" s="28" t="str">
        <v>Robusta</v>
      </c>
      <c r="T22" s="28" t="str">
        <v>Selecionada</v>
      </c>
      <c r="U22" s="28"/>
    </row>
    <row r="23" spans="1:21" x14ac:dyDescent="0.3">
      <c r="A23" s="27">
        <v>19</v>
      </c>
      <c r="B23" t="str">
        <v>Rochedale Rovers</v>
      </c>
      <c r="C23" t="str">
        <v>AUS - NPL Queensland</v>
      </c>
      <c r="D23" s="27">
        <v>12</v>
      </c>
      <c r="E23" s="26">
        <v>4.28571428571429</v>
      </c>
      <c r="F23" s="26">
        <v>3.4</v>
      </c>
      <c r="G23" s="26">
        <v>3.9166666666666692</v>
      </c>
      <c r="H23" s="40">
        <v>3.8775000000000017</v>
      </c>
      <c r="I23" s="26">
        <v>1.0416666666666674</v>
      </c>
      <c r="J23" s="26">
        <v>1.75</v>
      </c>
      <c r="K23" s="26">
        <v>3.76</v>
      </c>
      <c r="L23" s="29">
        <v>1</v>
      </c>
      <c r="M23" s="29">
        <v>1</v>
      </c>
      <c r="N23" s="29">
        <v>0.83333333333333304</v>
      </c>
      <c r="O23" s="29">
        <v>0.58333333333333304</v>
      </c>
      <c r="P23" s="29">
        <v>0.75</v>
      </c>
      <c r="Q23" s="29">
        <v>0.16666666666666699</v>
      </c>
      <c r="R23" t="str">
        <v>Poisson</v>
      </c>
      <c r="S23" s="28" t="str">
        <v>Robusta</v>
      </c>
      <c r="T23" s="28" t="str">
        <v>Selecionada</v>
      </c>
      <c r="U23" s="28"/>
    </row>
    <row r="24" spans="1:21" x14ac:dyDescent="0.3">
      <c r="A24" s="27">
        <v>20</v>
      </c>
      <c r="B24" t="str">
        <v>HIFK</v>
      </c>
      <c r="C24" t="str">
        <v>FIN - Kakkonen A</v>
      </c>
      <c r="D24" s="27">
        <v>12</v>
      </c>
      <c r="E24" s="26">
        <v>3.5714285714285698</v>
      </c>
      <c r="F24" s="26">
        <v>4.2</v>
      </c>
      <c r="G24" s="26">
        <v>3.8333333333333321</v>
      </c>
      <c r="H24" s="40">
        <v>3.8224999999999989</v>
      </c>
      <c r="I24" s="26">
        <v>1.0114335971855757</v>
      </c>
      <c r="J24" s="26">
        <v>2.0833333333333299</v>
      </c>
      <c r="K24" s="26">
        <v>3.79</v>
      </c>
      <c r="L24" s="29">
        <v>1</v>
      </c>
      <c r="M24" s="29">
        <v>1</v>
      </c>
      <c r="N24" s="29">
        <v>0.66666666666666696</v>
      </c>
      <c r="O24" s="29">
        <v>0.41666666666666702</v>
      </c>
      <c r="P24" s="29">
        <v>0.75</v>
      </c>
      <c r="Q24" s="29">
        <v>8.3333333333333301E-2</v>
      </c>
      <c r="R24" t="str">
        <v>Poisson</v>
      </c>
      <c r="S24" s="28" t="str">
        <v>Robusta</v>
      </c>
      <c r="T24" s="28" t="str">
        <v>Selecionada</v>
      </c>
      <c r="U24" s="28"/>
    </row>
    <row r="25" spans="1:21" x14ac:dyDescent="0.3">
      <c r="A25" s="27">
        <v>21</v>
      </c>
      <c r="B25" t="str">
        <v>Avondale FC</v>
      </c>
      <c r="C25" t="str">
        <v>AUS - NPL Victoria</v>
      </c>
      <c r="D25" s="27">
        <v>12</v>
      </c>
      <c r="E25" s="26">
        <v>5.1666666666666696</v>
      </c>
      <c r="F25" s="26">
        <v>3.3333333333333299</v>
      </c>
      <c r="G25" s="26">
        <v>4.25</v>
      </c>
      <c r="H25" s="40">
        <v>3.8125</v>
      </c>
      <c r="I25" s="26">
        <v>1.7</v>
      </c>
      <c r="J25" s="26">
        <v>2.9166666666666701</v>
      </c>
      <c r="K25" s="26">
        <v>2.5</v>
      </c>
      <c r="L25" s="29">
        <v>1</v>
      </c>
      <c r="M25" s="29">
        <v>1</v>
      </c>
      <c r="N25" s="29">
        <v>0.75</v>
      </c>
      <c r="O25" s="29">
        <v>0.58333333333333304</v>
      </c>
      <c r="P25" s="29">
        <v>0.5</v>
      </c>
      <c r="Q25" s="29">
        <v>0.16666666666666699</v>
      </c>
      <c r="R25" t="str">
        <v>Binomial Negativa</v>
      </c>
      <c r="S25" s="28" t="str">
        <v>Robusta</v>
      </c>
      <c r="T25" s="28" t="str">
        <v>Selecionada</v>
      </c>
      <c r="U25" s="28"/>
    </row>
    <row r="26" spans="1:21" x14ac:dyDescent="0.3">
      <c r="A26" s="27">
        <v>22</v>
      </c>
      <c r="B26" t="str">
        <v>Moss FK</v>
      </c>
      <c r="C26" t="str">
        <v>NOR - OBOS-ligaen</v>
      </c>
      <c r="D26" s="27">
        <v>12</v>
      </c>
      <c r="E26" s="26">
        <v>4.1666666666666696</v>
      </c>
      <c r="F26" s="26">
        <v>4.3333333333333304</v>
      </c>
      <c r="G26" s="26">
        <v>4.25</v>
      </c>
      <c r="H26" s="40">
        <v>3.8125</v>
      </c>
      <c r="I26" s="26">
        <v>1.7</v>
      </c>
      <c r="J26" s="26">
        <v>1.75</v>
      </c>
      <c r="K26" s="26">
        <v>2.5</v>
      </c>
      <c r="L26" s="29">
        <v>1</v>
      </c>
      <c r="M26" s="29">
        <v>1</v>
      </c>
      <c r="N26" s="29">
        <v>0.91666666666666696</v>
      </c>
      <c r="O26" s="29">
        <v>0.66666666666666696</v>
      </c>
      <c r="P26" s="29">
        <v>0.91666666666666696</v>
      </c>
      <c r="Q26" s="29">
        <v>8.3333333333333301E-2</v>
      </c>
      <c r="R26" t="str">
        <v>Poisson</v>
      </c>
      <c r="S26" s="28" t="str">
        <v>Robusta</v>
      </c>
      <c r="T26" s="28" t="str">
        <v>Selecionada</v>
      </c>
      <c r="U26" s="28"/>
    </row>
    <row r="27" spans="1:21" x14ac:dyDescent="0.3">
      <c r="A27" s="27">
        <v>23</v>
      </c>
      <c r="B27" t="str">
        <v>Vikingur Reykjavik (Víkingur Reykjavík)</v>
      </c>
      <c r="C27" t="str">
        <v>ISL - Besta-deild karla (PL)</v>
      </c>
      <c r="D27" s="27">
        <v>12</v>
      </c>
      <c r="E27" s="26">
        <v>4.4000000000000004</v>
      </c>
      <c r="F27" s="26">
        <v>4.1428571428571397</v>
      </c>
      <c r="G27" s="26">
        <v>4.2499999999999982</v>
      </c>
      <c r="H27" s="40">
        <v>3.8124999999999987</v>
      </c>
      <c r="I27" s="26">
        <v>1.6999999999999993</v>
      </c>
      <c r="J27" s="26">
        <v>3.25</v>
      </c>
      <c r="K27" s="26">
        <v>2.5</v>
      </c>
      <c r="L27" s="29">
        <v>1</v>
      </c>
      <c r="M27" s="29">
        <v>1</v>
      </c>
      <c r="N27" s="29">
        <v>0.83333333333333304</v>
      </c>
      <c r="O27" s="29">
        <v>0.75</v>
      </c>
      <c r="P27" s="29">
        <v>0.66666666666666696</v>
      </c>
      <c r="Q27" s="29">
        <v>0</v>
      </c>
      <c r="R27" t="str">
        <v>Poisson</v>
      </c>
      <c r="S27" s="28" t="str">
        <v>Robusta</v>
      </c>
      <c r="T27" s="28" t="str">
        <v>Selecionada</v>
      </c>
      <c r="U27" s="28"/>
    </row>
    <row r="28" spans="1:21" x14ac:dyDescent="0.3">
      <c r="A28" s="27">
        <v>24</v>
      </c>
      <c r="B28" t="str">
        <v>PuiU</v>
      </c>
      <c r="C28" t="str">
        <v>FIN - Kakkonen A</v>
      </c>
      <c r="D28" s="27">
        <v>12</v>
      </c>
      <c r="E28" s="26">
        <v>3.28571428571429</v>
      </c>
      <c r="F28" s="26">
        <v>4.4000000000000004</v>
      </c>
      <c r="G28" s="26">
        <v>3.7500000000000022</v>
      </c>
      <c r="H28" s="40">
        <v>3.7600000000000016</v>
      </c>
      <c r="I28" s="26">
        <v>0.9894459102902381</v>
      </c>
      <c r="J28" s="26">
        <v>1.4166666666666701</v>
      </c>
      <c r="K28" s="26">
        <v>3.79</v>
      </c>
      <c r="L28" s="29">
        <v>1</v>
      </c>
      <c r="M28" s="29">
        <v>1</v>
      </c>
      <c r="N28" s="29">
        <v>0.66666666666666696</v>
      </c>
      <c r="O28" s="29">
        <v>0.5</v>
      </c>
      <c r="P28" s="29">
        <v>0.66666666666666696</v>
      </c>
      <c r="Q28" s="29">
        <v>0.33333333333333298</v>
      </c>
      <c r="R28" t="str">
        <v>Poisson</v>
      </c>
      <c r="S28" s="28" t="str">
        <v>Robusta</v>
      </c>
      <c r="T28" s="28" t="str">
        <v>Selecionada</v>
      </c>
      <c r="U28" s="28"/>
    </row>
    <row r="29" spans="1:21" x14ac:dyDescent="0.3">
      <c r="A29" s="27">
        <v>25</v>
      </c>
      <c r="B29" t="str">
        <v>FC Järfälla</v>
      </c>
      <c r="C29" t="str">
        <v>SWE - 1ª D Norra</v>
      </c>
      <c r="D29" s="27">
        <v>12</v>
      </c>
      <c r="E29" s="26">
        <v>4.6666666666666696</v>
      </c>
      <c r="F29" s="26">
        <v>3.6666666666666701</v>
      </c>
      <c r="G29" s="26">
        <v>4.1666666666666705</v>
      </c>
      <c r="H29" s="40">
        <v>3.7500000000000027</v>
      </c>
      <c r="I29" s="26">
        <v>1.6666666666666683</v>
      </c>
      <c r="J29" s="26">
        <v>1.5833333333333299</v>
      </c>
      <c r="K29" s="26">
        <v>2.5</v>
      </c>
      <c r="L29" s="29">
        <v>1</v>
      </c>
      <c r="M29" s="29">
        <v>1</v>
      </c>
      <c r="N29" s="29">
        <v>0.83333333333333304</v>
      </c>
      <c r="O29" s="29">
        <v>0.75</v>
      </c>
      <c r="P29" s="29">
        <v>0.66666666666666696</v>
      </c>
      <c r="Q29" s="29">
        <v>0.25</v>
      </c>
      <c r="R29" t="str">
        <v>Poisson</v>
      </c>
      <c r="S29" s="28" t="str">
        <v>Robusta</v>
      </c>
      <c r="T29" s="28" t="str">
        <v>Selecionada</v>
      </c>
      <c r="U29" s="28"/>
    </row>
    <row r="30" spans="1:21" x14ac:dyDescent="0.3">
      <c r="A30" s="27">
        <v>26</v>
      </c>
      <c r="B30" t="str">
        <v>Torns IF</v>
      </c>
      <c r="C30" t="str">
        <v>SWE - 2ª D Södra Götaland</v>
      </c>
      <c r="D30" s="27">
        <v>12</v>
      </c>
      <c r="E30" s="26">
        <v>3.2</v>
      </c>
      <c r="F30" s="26">
        <v>4.8571428571428603</v>
      </c>
      <c r="G30" s="26">
        <v>4.1666666666666687</v>
      </c>
      <c r="H30" s="40">
        <v>3.7500000000000018</v>
      </c>
      <c r="I30" s="26">
        <v>1.6666666666666674</v>
      </c>
      <c r="J30" s="26">
        <v>1.25</v>
      </c>
      <c r="K30" s="26">
        <v>2.5</v>
      </c>
      <c r="L30" s="29">
        <v>1</v>
      </c>
      <c r="M30" s="29">
        <v>1</v>
      </c>
      <c r="N30" s="29">
        <v>0.83333333333333304</v>
      </c>
      <c r="O30" s="29">
        <v>0.66666666666666696</v>
      </c>
      <c r="P30" s="29">
        <v>0.66666666666666696</v>
      </c>
      <c r="Q30" s="29">
        <v>0.25</v>
      </c>
      <c r="R30" t="str">
        <v>Poisson</v>
      </c>
      <c r="S30" s="28" t="str">
        <v>Robusta</v>
      </c>
      <c r="T30" s="28" t="str">
        <v>Selecionada</v>
      </c>
      <c r="U30" s="28"/>
    </row>
    <row r="31" spans="1:21" x14ac:dyDescent="0.3">
      <c r="A31" s="27">
        <v>27</v>
      </c>
      <c r="B31" t="str">
        <v>San Jose Earthquakes</v>
      </c>
      <c r="C31" t="str">
        <v>USA - MLS-West</v>
      </c>
      <c r="D31" s="27">
        <v>12</v>
      </c>
      <c r="E31" s="26">
        <v>3.8</v>
      </c>
      <c r="F31" s="26">
        <v>4.4285714285714297</v>
      </c>
      <c r="G31" s="26">
        <v>4.166666666666667</v>
      </c>
      <c r="H31" s="40">
        <v>3.75</v>
      </c>
      <c r="I31" s="26">
        <v>1.6666666666666667</v>
      </c>
      <c r="J31" s="26">
        <v>2.25</v>
      </c>
      <c r="K31" s="26">
        <v>2.5</v>
      </c>
      <c r="L31" s="29">
        <v>1</v>
      </c>
      <c r="M31" s="29">
        <v>1</v>
      </c>
      <c r="N31" s="29">
        <v>0.75</v>
      </c>
      <c r="O31" s="29">
        <v>0.75</v>
      </c>
      <c r="P31" s="29">
        <v>0.91666666666666696</v>
      </c>
      <c r="Q31" s="29">
        <v>8.3333333333333301E-2</v>
      </c>
      <c r="R31" t="str">
        <v>Poisson</v>
      </c>
      <c r="S31" s="28" t="str">
        <v>Robusta</v>
      </c>
      <c r="T31" s="28" t="str">
        <v>Selecionada</v>
      </c>
      <c r="U31" s="28"/>
    </row>
    <row r="32" spans="1:21" x14ac:dyDescent="0.3">
      <c r="A32" s="27">
        <v>28</v>
      </c>
      <c r="B32" t="str">
        <v>Western Sydney Youth</v>
      </c>
      <c r="C32" t="str">
        <v>AUS - NPL New South Wales</v>
      </c>
      <c r="D32" s="27">
        <v>12</v>
      </c>
      <c r="E32" s="26">
        <v>3.8571428571428599</v>
      </c>
      <c r="F32" s="26">
        <v>4.2</v>
      </c>
      <c r="G32" s="26">
        <v>4.0000000000000009</v>
      </c>
      <c r="H32" s="40">
        <v>3.680000000000001</v>
      </c>
      <c r="I32" s="26">
        <v>1.470588235294118</v>
      </c>
      <c r="J32" s="26">
        <v>2.1666666666666701</v>
      </c>
      <c r="K32" s="26">
        <v>2.72</v>
      </c>
      <c r="L32" s="29">
        <v>1</v>
      </c>
      <c r="M32" s="29">
        <v>1</v>
      </c>
      <c r="N32" s="29">
        <v>0.83333333333333304</v>
      </c>
      <c r="O32" s="29">
        <v>0.41666666666666702</v>
      </c>
      <c r="P32" s="29">
        <v>0.41666666666666702</v>
      </c>
      <c r="Q32" s="29">
        <v>0.33333333333333298</v>
      </c>
      <c r="R32" t="str">
        <v>Binomial Negativa</v>
      </c>
      <c r="S32" s="28" t="str">
        <v>Robusta</v>
      </c>
      <c r="T32" s="28" t="str">
        <v>Selecionada</v>
      </c>
      <c r="U32" s="28"/>
    </row>
    <row r="33" spans="1:22" x14ac:dyDescent="0.3">
      <c r="A33" s="27">
        <v>29</v>
      </c>
      <c r="B33" t="str">
        <v>IK Sirius</v>
      </c>
      <c r="C33" t="str">
        <v>SWE - Allsvenskan</v>
      </c>
      <c r="D33" s="27">
        <v>12</v>
      </c>
      <c r="E33" s="26">
        <v>4.5</v>
      </c>
      <c r="F33" s="26">
        <v>3.5</v>
      </c>
      <c r="G33" s="26">
        <v>4</v>
      </c>
      <c r="H33" s="40">
        <v>3.625</v>
      </c>
      <c r="I33" s="26">
        <v>1.6</v>
      </c>
      <c r="J33" s="26">
        <v>2.6666666666666701</v>
      </c>
      <c r="K33" s="26">
        <v>2.5</v>
      </c>
      <c r="L33" s="29">
        <v>1</v>
      </c>
      <c r="M33" s="29">
        <v>1</v>
      </c>
      <c r="N33" s="29">
        <v>0.83333333333333304</v>
      </c>
      <c r="O33" s="29">
        <v>0.58333333333333304</v>
      </c>
      <c r="P33" s="29">
        <v>0.75</v>
      </c>
      <c r="Q33" s="29">
        <v>0</v>
      </c>
      <c r="R33" t="str">
        <v>Poisson</v>
      </c>
      <c r="S33" s="28" t="str">
        <v>Robusta</v>
      </c>
      <c r="T33" s="28" t="str">
        <v>Selecionada</v>
      </c>
      <c r="U33" s="28"/>
    </row>
    <row r="34" spans="1:22" x14ac:dyDescent="0.3">
      <c r="A34" s="27">
        <v>30</v>
      </c>
      <c r="B34" t="str">
        <v>Falkenbergs FF</v>
      </c>
      <c r="C34" t="str">
        <v>SWE - Superettan</v>
      </c>
      <c r="D34" s="27">
        <v>12</v>
      </c>
      <c r="E34" s="26">
        <v>3.1666666666666701</v>
      </c>
      <c r="F34" s="26">
        <v>4.5</v>
      </c>
      <c r="G34" s="26">
        <v>3.8333333333333353</v>
      </c>
      <c r="H34" s="40">
        <v>3.5000000000000013</v>
      </c>
      <c r="I34" s="26">
        <v>1.5333333333333341</v>
      </c>
      <c r="J34" s="26">
        <v>2.0833333333333299</v>
      </c>
      <c r="K34" s="26">
        <v>2.5</v>
      </c>
      <c r="L34" s="29">
        <v>1</v>
      </c>
      <c r="M34" s="29">
        <v>1</v>
      </c>
      <c r="N34" s="29">
        <v>0.83333333333333304</v>
      </c>
      <c r="O34" s="29">
        <v>0.5</v>
      </c>
      <c r="P34" s="29">
        <v>0.91666666666666696</v>
      </c>
      <c r="Q34" s="29">
        <v>8.3333333333333301E-2</v>
      </c>
      <c r="R34" t="str">
        <v>Poisson</v>
      </c>
      <c r="S34" s="28" t="str">
        <v>Robusta</v>
      </c>
      <c r="T34" s="28" t="str">
        <v>Selecionada</v>
      </c>
      <c r="U34" s="28"/>
    </row>
    <row r="35" spans="1:22" x14ac:dyDescent="0.3">
      <c r="A35" s="27">
        <v>31</v>
      </c>
      <c r="B35" t="str">
        <v>New York Red Bulls</v>
      </c>
      <c r="C35" t="str">
        <v>USA - MLS-East</v>
      </c>
      <c r="D35" s="27">
        <v>12</v>
      </c>
      <c r="E35" s="26">
        <v>4</v>
      </c>
      <c r="F35" s="26">
        <v>3.6666666666666701</v>
      </c>
      <c r="G35" s="26">
        <v>3.8333333333333353</v>
      </c>
      <c r="H35" s="40">
        <v>3.5000000000000013</v>
      </c>
      <c r="I35" s="26">
        <v>1.5333333333333341</v>
      </c>
      <c r="J35" s="26">
        <v>1.6666666666666701</v>
      </c>
      <c r="K35" s="26">
        <v>2.5</v>
      </c>
      <c r="L35" s="29">
        <v>1</v>
      </c>
      <c r="M35" s="29">
        <v>1</v>
      </c>
      <c r="N35" s="29">
        <v>0.66666666666666696</v>
      </c>
      <c r="O35" s="29">
        <v>0.58333333333333304</v>
      </c>
      <c r="P35" s="29">
        <v>0.75</v>
      </c>
      <c r="Q35" s="29">
        <v>0.25</v>
      </c>
      <c r="R35" t="str">
        <v>Poisson</v>
      </c>
      <c r="S35" s="28" t="str">
        <v>Robusta</v>
      </c>
      <c r="T35" s="28" t="str">
        <v>Selecionada</v>
      </c>
      <c r="U35" s="28"/>
    </row>
    <row r="36" spans="1:22" x14ac:dyDescent="0.3">
      <c r="A36" s="27">
        <v>32</v>
      </c>
      <c r="B36" t="str">
        <v>Västra Frölunda IF</v>
      </c>
      <c r="C36" t="str">
        <v>SWE - 2ª D Västra Götaland</v>
      </c>
      <c r="D36" s="27">
        <v>12</v>
      </c>
      <c r="E36" s="26">
        <v>4.1428571428571397</v>
      </c>
      <c r="F36" s="26">
        <v>3.4</v>
      </c>
      <c r="G36" s="26">
        <v>3.8333333333333317</v>
      </c>
      <c r="H36" s="40">
        <v>3.4999999999999987</v>
      </c>
      <c r="I36" s="26">
        <v>1.5333333333333328</v>
      </c>
      <c r="J36" s="26">
        <v>2.3333333333333299</v>
      </c>
      <c r="K36" s="26">
        <v>2.5</v>
      </c>
      <c r="L36" s="29">
        <v>1</v>
      </c>
      <c r="M36" s="29">
        <v>1</v>
      </c>
      <c r="N36" s="29">
        <v>0.66666666666666696</v>
      </c>
      <c r="O36" s="29">
        <v>0.41666666666666702</v>
      </c>
      <c r="P36" s="29">
        <v>0.58333333333333304</v>
      </c>
      <c r="Q36" s="29">
        <v>0.16666666666666699</v>
      </c>
      <c r="R36" t="str">
        <v>Poisson</v>
      </c>
      <c r="S36" s="28" t="str">
        <v>Robusta</v>
      </c>
      <c r="T36" s="28" t="str">
        <v>Selecionada</v>
      </c>
      <c r="U36" s="28"/>
    </row>
    <row r="37" spans="1:22" x14ac:dyDescent="0.3">
      <c r="A37" s="27">
        <v>33</v>
      </c>
      <c r="B37" t="str">
        <v>Changchun Yatai</v>
      </c>
      <c r="C37" t="str">
        <v>CHN - League One</v>
      </c>
      <c r="D37" s="27">
        <v>12</v>
      </c>
      <c r="E37" s="26">
        <v>3.71428571428571</v>
      </c>
      <c r="F37" s="26">
        <v>4</v>
      </c>
      <c r="G37" s="26">
        <v>3.8333333333333308</v>
      </c>
      <c r="H37" s="40">
        <v>3.4999999999999982</v>
      </c>
      <c r="I37" s="26">
        <v>1.5333333333333323</v>
      </c>
      <c r="J37" s="26">
        <v>1.5833333333333299</v>
      </c>
      <c r="K37" s="26">
        <v>2.5</v>
      </c>
      <c r="L37" s="29">
        <v>1</v>
      </c>
      <c r="M37" s="29">
        <v>1</v>
      </c>
      <c r="N37" s="29">
        <v>1</v>
      </c>
      <c r="O37" s="29">
        <v>0.58333333333333304</v>
      </c>
      <c r="P37" s="29">
        <v>0.91666666666666696</v>
      </c>
      <c r="Q37" s="29">
        <v>8.3333333333333301E-2</v>
      </c>
      <c r="R37" t="str">
        <v>Poisson</v>
      </c>
      <c r="S37" s="28" t="str">
        <v>Robusta</v>
      </c>
      <c r="T37" s="28" t="str">
        <v>Selecionada</v>
      </c>
      <c r="U37" s="28"/>
    </row>
    <row r="38" spans="1:22" x14ac:dyDescent="0.3">
      <c r="A38" s="27">
        <v>34</v>
      </c>
      <c r="B38" t="str">
        <v>Zhejiang Professional FC</v>
      </c>
      <c r="C38" t="str">
        <v>CHN - Super League</v>
      </c>
      <c r="D38" s="27">
        <v>12</v>
      </c>
      <c r="E38" s="26">
        <v>4.4000000000000004</v>
      </c>
      <c r="F38" s="26">
        <v>3.28571428571429</v>
      </c>
      <c r="G38" s="26">
        <v>3.7500000000000022</v>
      </c>
      <c r="H38" s="40">
        <v>3.4375000000000018</v>
      </c>
      <c r="I38" s="26">
        <v>1.5000000000000009</v>
      </c>
      <c r="J38" s="26">
        <v>1.8333333333333299</v>
      </c>
      <c r="K38" s="26">
        <v>2.5</v>
      </c>
      <c r="L38" s="29">
        <v>1</v>
      </c>
      <c r="M38" s="29">
        <v>1</v>
      </c>
      <c r="N38" s="29">
        <v>0.75</v>
      </c>
      <c r="O38" s="29">
        <v>0.58333333333333304</v>
      </c>
      <c r="P38" s="29">
        <v>0.83333333333333304</v>
      </c>
      <c r="Q38" s="29">
        <v>8.3333333333333301E-2</v>
      </c>
      <c r="R38" t="str">
        <v>Poisson</v>
      </c>
      <c r="S38" s="28" t="str">
        <v>Robusta</v>
      </c>
      <c r="T38" s="28" t="str">
        <v>Selecionada</v>
      </c>
      <c r="U38" s="28"/>
    </row>
    <row r="39" spans="1:22" x14ac:dyDescent="0.3">
      <c r="A39" s="27">
        <v>35</v>
      </c>
      <c r="B39" t="str">
        <v>SK Brann</v>
      </c>
      <c r="C39" t="str">
        <v>NOR - Eliteserien</v>
      </c>
      <c r="D39" s="27">
        <v>12</v>
      </c>
      <c r="E39" s="26">
        <v>3.8333333333333299</v>
      </c>
      <c r="F39" s="26">
        <v>3.6666666666666701</v>
      </c>
      <c r="G39" s="26">
        <v>3.75</v>
      </c>
      <c r="H39" s="40">
        <v>3.4375</v>
      </c>
      <c r="I39" s="26">
        <v>1.5</v>
      </c>
      <c r="J39" s="26">
        <v>2.0833333333333299</v>
      </c>
      <c r="K39" s="26">
        <v>2.5</v>
      </c>
      <c r="L39" s="29">
        <v>1</v>
      </c>
      <c r="M39" s="29">
        <v>1</v>
      </c>
      <c r="N39" s="29">
        <v>0.91666666666666696</v>
      </c>
      <c r="O39" s="29">
        <v>0.5</v>
      </c>
      <c r="P39" s="29">
        <v>0.91666666666666696</v>
      </c>
      <c r="Q39" s="29">
        <v>0</v>
      </c>
      <c r="R39" t="str">
        <v>Poisson</v>
      </c>
      <c r="S39" s="28" t="str">
        <v>Robusta</v>
      </c>
      <c r="T39" s="28" t="str">
        <v>Selecionada</v>
      </c>
      <c r="U39" s="28"/>
    </row>
    <row r="40" spans="1:22" x14ac:dyDescent="0.3">
      <c r="A40" s="27">
        <v>36</v>
      </c>
      <c r="B40" t="str">
        <v>Club Aurora</v>
      </c>
      <c r="C40" t="str">
        <v>BOL - Div. Profesional</v>
      </c>
      <c r="D40" s="27">
        <v>12</v>
      </c>
      <c r="E40" s="26">
        <v>4.5</v>
      </c>
      <c r="F40" s="26">
        <v>2.1666666666666701</v>
      </c>
      <c r="G40" s="26">
        <v>3.3333333333333353</v>
      </c>
      <c r="H40" s="40">
        <v>3.4050000000000011</v>
      </c>
      <c r="I40" s="26">
        <v>0.92081031307550698</v>
      </c>
      <c r="J40" s="26">
        <v>1.8333333333333299</v>
      </c>
      <c r="K40" s="26">
        <v>3.62</v>
      </c>
      <c r="L40" s="29">
        <v>1</v>
      </c>
      <c r="M40" s="29">
        <v>1</v>
      </c>
      <c r="N40" s="29">
        <v>0.5</v>
      </c>
      <c r="O40" s="29">
        <v>0.41666666666666702</v>
      </c>
      <c r="P40" s="29">
        <v>0.83333333333333304</v>
      </c>
      <c r="Q40" s="29">
        <v>8.3333333333333301E-2</v>
      </c>
      <c r="R40" t="str">
        <v>Poisson</v>
      </c>
      <c r="S40" s="28" t="str">
        <v>Robusta</v>
      </c>
      <c r="T40" s="28" t="str">
        <v>Selecionada</v>
      </c>
      <c r="U40" s="28"/>
    </row>
    <row r="41" spans="1:22" x14ac:dyDescent="0.3">
      <c r="A41" s="27">
        <v>37</v>
      </c>
      <c r="B41" t="str">
        <v>Sporting Kansas City</v>
      </c>
      <c r="C41" t="str">
        <v>USA - MLS-West</v>
      </c>
      <c r="D41" s="27">
        <v>12</v>
      </c>
      <c r="E41" s="26">
        <v>3</v>
      </c>
      <c r="F41" s="26">
        <v>4.3333333333333304</v>
      </c>
      <c r="G41" s="26">
        <v>3.6666666666666656</v>
      </c>
      <c r="H41" s="40">
        <v>3.3749999999999991</v>
      </c>
      <c r="I41" s="26">
        <v>1.4666666666666663</v>
      </c>
      <c r="J41" s="26">
        <v>1</v>
      </c>
      <c r="K41" s="26">
        <v>2.5</v>
      </c>
      <c r="L41" s="29">
        <v>1</v>
      </c>
      <c r="M41" s="29">
        <v>1</v>
      </c>
      <c r="N41" s="29">
        <v>0.83333333333333304</v>
      </c>
      <c r="O41" s="29">
        <v>0.5</v>
      </c>
      <c r="P41" s="29">
        <v>0.58333333333333304</v>
      </c>
      <c r="Q41" s="29">
        <v>0.41666666666666702</v>
      </c>
      <c r="R41" t="str">
        <v>Poisson</v>
      </c>
      <c r="S41" s="28" t="str">
        <v>Robusta</v>
      </c>
      <c r="T41" s="28" t="str">
        <v>Selecionada</v>
      </c>
      <c r="U41" s="28"/>
    </row>
    <row r="42" spans="1:22" x14ac:dyDescent="0.3">
      <c r="A42" s="27">
        <v>38</v>
      </c>
      <c r="B42" t="str">
        <v>Qviding FIF</v>
      </c>
      <c r="C42" t="str">
        <v>SWE - 2ª D Västra Götaland</v>
      </c>
      <c r="D42" s="27">
        <v>12</v>
      </c>
      <c r="E42" s="26">
        <v>4</v>
      </c>
      <c r="F42" s="26">
        <v>3.3333333333333299</v>
      </c>
      <c r="G42" s="26">
        <v>3.6666666666666647</v>
      </c>
      <c r="H42" s="40">
        <v>3.3749999999999987</v>
      </c>
      <c r="I42" s="26">
        <v>1.4666666666666659</v>
      </c>
      <c r="J42" s="26">
        <v>1.9166666666666701</v>
      </c>
      <c r="K42" s="26">
        <v>2.5</v>
      </c>
      <c r="L42" s="29">
        <v>1</v>
      </c>
      <c r="M42" s="29">
        <v>1</v>
      </c>
      <c r="N42" s="29">
        <v>0.91666666666666696</v>
      </c>
      <c r="O42" s="29">
        <v>0.58333333333333304</v>
      </c>
      <c r="P42" s="29">
        <v>0.83333333333333304</v>
      </c>
      <c r="Q42" s="29">
        <v>8.3333333333333301E-2</v>
      </c>
      <c r="R42" t="str">
        <v>Poisson</v>
      </c>
      <c r="S42" s="28" t="str">
        <v>Robusta</v>
      </c>
      <c r="T42" s="28" t="str">
        <v>Selecionada</v>
      </c>
      <c r="U42" s="28"/>
    </row>
    <row r="43" spans="1:22" x14ac:dyDescent="0.3">
      <c r="A43" s="27">
        <v>39</v>
      </c>
      <c r="B43" t="str">
        <v>IFK Karlshamn</v>
      </c>
      <c r="C43" t="str">
        <v>SWE - 2ª D Södra Götaland</v>
      </c>
      <c r="D43" s="27">
        <v>12</v>
      </c>
      <c r="E43" s="26">
        <v>3.3333333333333299</v>
      </c>
      <c r="F43" s="26">
        <v>3.8333333333333299</v>
      </c>
      <c r="G43" s="26">
        <v>3.5833333333333299</v>
      </c>
      <c r="H43" s="40">
        <v>3.3124999999999973</v>
      </c>
      <c r="I43" s="26">
        <v>1.433333333333332</v>
      </c>
      <c r="J43" s="26">
        <v>1.1666666666666701</v>
      </c>
      <c r="K43" s="26">
        <v>2.5</v>
      </c>
      <c r="L43" s="29">
        <v>1</v>
      </c>
      <c r="M43" s="29">
        <v>1</v>
      </c>
      <c r="N43" s="29">
        <v>0.83333333333333304</v>
      </c>
      <c r="O43" s="29">
        <v>0.5</v>
      </c>
      <c r="P43" s="29">
        <v>0.75</v>
      </c>
      <c r="Q43" s="29">
        <v>0.16666666666666699</v>
      </c>
      <c r="R43" t="str">
        <v>Poisson</v>
      </c>
      <c r="S43" s="28" t="str">
        <v>Robusta</v>
      </c>
      <c r="T43" s="28" t="str">
        <v>Selecionada</v>
      </c>
      <c r="U43" s="28"/>
    </row>
    <row r="44" spans="1:22" x14ac:dyDescent="0.3">
      <c r="A44" s="27">
        <v>40</v>
      </c>
      <c r="B44" t="str">
        <v>Portland Timbers</v>
      </c>
      <c r="C44" t="str">
        <v>USA - MLS-West</v>
      </c>
      <c r="D44" s="27">
        <v>12</v>
      </c>
      <c r="E44" s="26">
        <v>3.8333333333333299</v>
      </c>
      <c r="F44" s="26">
        <v>3.1666666666666701</v>
      </c>
      <c r="G44" s="26">
        <v>3.5</v>
      </c>
      <c r="H44" s="40">
        <v>3.25</v>
      </c>
      <c r="I44" s="26">
        <v>1.4</v>
      </c>
      <c r="J44" s="26">
        <v>2</v>
      </c>
      <c r="K44" s="26">
        <v>2.5</v>
      </c>
      <c r="L44" s="29">
        <v>1</v>
      </c>
      <c r="M44" s="29">
        <v>1</v>
      </c>
      <c r="N44" s="29">
        <v>0.75</v>
      </c>
      <c r="O44" s="29">
        <v>0.41666666666666702</v>
      </c>
      <c r="P44" s="29">
        <v>0.66666666666666696</v>
      </c>
      <c r="Q44" s="29">
        <v>0.25</v>
      </c>
      <c r="R44" t="str">
        <v>Poisson</v>
      </c>
      <c r="S44" s="28" t="str">
        <v>Robusta</v>
      </c>
      <c r="T44" s="28" t="str">
        <v>Selecionada</v>
      </c>
      <c r="U44" s="28"/>
    </row>
    <row r="45" spans="1:22" ht="18" customHeight="1" x14ac:dyDescent="0.3"/>
    <row r="46" spans="1:22" ht="18" customHeight="1" x14ac:dyDescent="0.3">
      <c r="U46" s="42" t="s">
        <v>43</v>
      </c>
      <c r="V46" s="42" t="s">
        <v>1538</v>
      </c>
    </row>
    <row r="47" spans="1:22" ht="18" customHeight="1" x14ac:dyDescent="0.3">
      <c r="U47" t="s">
        <v>18</v>
      </c>
      <c r="V47" s="97">
        <f>COUNTIF($C$5:$C$44,U47&amp;" - *")</f>
        <v>7</v>
      </c>
    </row>
    <row r="48" spans="1:22" ht="18" customHeight="1" x14ac:dyDescent="0.3">
      <c r="U48" t="s">
        <v>7</v>
      </c>
      <c r="V48" s="97">
        <f>COUNTIF($C$5:$C$44,U48&amp;" - *")</f>
        <v>8</v>
      </c>
    </row>
    <row r="49" spans="21:22" ht="18" customHeight="1" x14ac:dyDescent="0.3">
      <c r="U49" t="s">
        <v>10</v>
      </c>
      <c r="V49" s="97">
        <f>COUNTIF($C$5:$C$44,U49&amp;" - *")</f>
        <v>2</v>
      </c>
    </row>
    <row r="50" spans="21:22" ht="18" customHeight="1" x14ac:dyDescent="0.3">
      <c r="U50" t="s">
        <v>12</v>
      </c>
      <c r="V50" s="97">
        <f>COUNTIF($C$5:$C$44,U50&amp;" - *")</f>
        <v>0</v>
      </c>
    </row>
    <row r="51" spans="21:22" ht="18" customHeight="1" x14ac:dyDescent="0.3">
      <c r="U51" t="s">
        <v>24</v>
      </c>
      <c r="V51" s="97">
        <f>COUNTIF($C$5:$C$44,U51&amp;" - *")</f>
        <v>2</v>
      </c>
    </row>
    <row r="52" spans="21:22" ht="18" customHeight="1" x14ac:dyDescent="0.3">
      <c r="U52" s="98" t="s">
        <v>1539</v>
      </c>
      <c r="V52" s="99">
        <f>COUNTA($C$5:$C$44)-SUM($V$47:$V$51)</f>
        <v>21</v>
      </c>
    </row>
    <row r="53" spans="21:22" ht="18" customHeight="1" x14ac:dyDescent="0.3"/>
    <row r="54" spans="21:22" ht="18" customHeight="1" x14ac:dyDescent="0.3"/>
    <row r="55" spans="21:22" ht="18" customHeight="1" x14ac:dyDescent="0.3"/>
    <row r="56" spans="21:22" ht="18" customHeight="1" x14ac:dyDescent="0.3"/>
    <row r="57" spans="21:22" ht="18" customHeight="1" x14ac:dyDescent="0.3"/>
    <row r="58" spans="21:22" ht="18" customHeight="1" x14ac:dyDescent="0.3"/>
    <row r="59" spans="21:22" ht="18" customHeight="1" x14ac:dyDescent="0.3"/>
    <row r="60" spans="21:22" ht="18" customHeight="1" x14ac:dyDescent="0.3"/>
    <row r="61" spans="21:22" ht="18" customHeight="1" x14ac:dyDescent="0.3"/>
    <row r="62" spans="21:22" ht="18" customHeight="1" x14ac:dyDescent="0.3"/>
    <row r="63" spans="21:22" ht="18" customHeight="1" x14ac:dyDescent="0.3"/>
    <row r="64" spans="21:22" ht="18" customHeight="1" x14ac:dyDescent="0.3"/>
    <row r="65" ht="18" customHeight="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sheetData>
  <mergeCells count="3">
    <mergeCell ref="A2:T2"/>
    <mergeCell ref="A3:T3"/>
    <mergeCell ref="A1:T1"/>
  </mergeCells>
  <conditionalFormatting sqref="H5:H44">
    <cfRule type="colorScale" priority="10">
      <colorScale>
        <cfvo type="min"/>
        <cfvo type="percentile" val="50"/>
        <cfvo type="max"/>
        <color rgb="FFF8696B"/>
        <color rgb="FFFFEB84"/>
        <color rgb="FF63BE7B"/>
      </colorScale>
    </cfRule>
  </conditionalFormatting>
  <conditionalFormatting sqref="I5:I44">
    <cfRule type="expression" dxfId="458" priority="6">
      <formula>AND($I5&lt;&gt;"",$I5&gt;=1.1)</formula>
    </cfRule>
  </conditionalFormatting>
  <conditionalFormatting sqref="L5:M44">
    <cfRule type="expression" dxfId="457" priority="7">
      <formula>AND($L5&gt;=90%,$M5&gt;=80%)</formula>
    </cfRule>
  </conditionalFormatting>
  <conditionalFormatting sqref="N5:N44">
    <cfRule type="expression" dxfId="456" priority="8">
      <formula>AND($N5&lt;&gt;"",$N5&gt;=70%)</formula>
    </cfRule>
  </conditionalFormatting>
  <conditionalFormatting sqref="T5:T44">
    <cfRule type="expression" dxfId="455" priority="9">
      <formula>$T5="Selecionada"</formula>
    </cfRule>
  </conditionalFormatting>
  <conditionalFormatting sqref="U5:U44">
    <cfRule type="expression" dxfId="454" priority="5">
      <formula>$U5="Selecionada"</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62F5-ED23-4145-9CAB-140B17BC9FCD}">
  <dimension ref="A1:O17"/>
  <sheetViews>
    <sheetView topLeftCell="B1" workbookViewId="0">
      <selection activeCell="N10" sqref="N10"/>
    </sheetView>
  </sheetViews>
  <sheetFormatPr defaultRowHeight="14.4" x14ac:dyDescent="0.3"/>
  <cols>
    <col min="1" max="1" width="9.77734375" bestFit="1" customWidth="1"/>
    <col min="2" max="4" width="22.21875" customWidth="1"/>
    <col min="5" max="5" width="5.88671875" bestFit="1" customWidth="1"/>
    <col min="6" max="6" width="5.21875" bestFit="1" customWidth="1"/>
    <col min="7" max="7" width="6.109375" bestFit="1" customWidth="1"/>
    <col min="9" max="10" width="7.77734375" bestFit="1" customWidth="1"/>
    <col min="11" max="12" width="11.77734375" bestFit="1" customWidth="1"/>
    <col min="14" max="14" width="18.5546875" customWidth="1"/>
    <col min="15" max="15" width="26.88671875" customWidth="1"/>
  </cols>
  <sheetData>
    <row r="1" spans="1:15" ht="31.95" customHeight="1" x14ac:dyDescent="0.45">
      <c r="A1" s="321" t="s">
        <v>8187</v>
      </c>
      <c r="B1" s="321"/>
      <c r="C1" s="321"/>
      <c r="D1" s="321"/>
      <c r="E1" s="321"/>
      <c r="F1" s="321"/>
      <c r="G1" s="321"/>
      <c r="H1" s="321"/>
      <c r="I1" s="321"/>
      <c r="J1" s="321"/>
      <c r="K1" s="321"/>
      <c r="L1" s="321"/>
      <c r="M1" s="321"/>
      <c r="N1" s="321"/>
      <c r="O1" s="321"/>
    </row>
    <row r="2" spans="1:15" x14ac:dyDescent="0.3">
      <c r="A2" s="283" t="s">
        <v>8188</v>
      </c>
      <c r="B2" s="283"/>
      <c r="C2" s="283"/>
      <c r="D2" s="283"/>
      <c r="E2" s="283"/>
      <c r="F2" s="283"/>
      <c r="G2" s="283"/>
      <c r="H2" s="283"/>
      <c r="I2" s="283"/>
      <c r="J2" s="283"/>
      <c r="K2" s="283"/>
      <c r="L2" s="283"/>
      <c r="M2" s="283"/>
      <c r="N2" s="283"/>
      <c r="O2" s="283"/>
    </row>
    <row r="4" spans="1:15" x14ac:dyDescent="0.3">
      <c r="A4" s="322" t="s">
        <v>8189</v>
      </c>
      <c r="B4" s="322"/>
      <c r="C4" s="322"/>
      <c r="D4" s="322"/>
      <c r="E4" s="322"/>
      <c r="F4" s="322"/>
      <c r="G4" s="322"/>
      <c r="H4" s="322"/>
      <c r="I4" s="322"/>
      <c r="J4" s="322"/>
      <c r="K4" s="322"/>
      <c r="L4" s="322"/>
      <c r="M4" s="322"/>
      <c r="N4" s="322"/>
      <c r="O4" s="322"/>
    </row>
    <row r="5" spans="1:15" x14ac:dyDescent="0.3">
      <c r="A5" s="213" t="s">
        <v>8190</v>
      </c>
      <c r="B5" s="213" t="s">
        <v>45</v>
      </c>
      <c r="C5" s="213" t="s">
        <v>48</v>
      </c>
      <c r="D5" s="213" t="s">
        <v>0</v>
      </c>
      <c r="E5" s="213" t="s">
        <v>8191</v>
      </c>
      <c r="F5" s="213" t="s">
        <v>8192</v>
      </c>
      <c r="G5" s="213" t="s">
        <v>3057</v>
      </c>
      <c r="H5" s="213" t="s">
        <v>8193</v>
      </c>
      <c r="I5" s="213" t="s">
        <v>8198</v>
      </c>
      <c r="J5" s="213" t="s">
        <v>8199</v>
      </c>
      <c r="K5" s="213" t="s">
        <v>8194</v>
      </c>
      <c r="L5" s="213" t="s">
        <v>8195</v>
      </c>
      <c r="M5" s="213" t="s">
        <v>8196</v>
      </c>
      <c r="N5" s="213" t="s">
        <v>8200</v>
      </c>
      <c r="O5" s="213" t="s">
        <v>8201</v>
      </c>
    </row>
    <row r="6" spans="1:15" x14ac:dyDescent="0.3">
      <c r="A6" s="28">
        <f>_xlfn.RANK.EQ(J6,$J$6:$J$10,0)</f>
        <v>3</v>
      </c>
      <c r="B6" t="s">
        <v>257</v>
      </c>
      <c r="C6" t="s">
        <v>1147</v>
      </c>
      <c r="D6" t="str">
        <f>IFERROR(_xlfn.XLOOKUP(B6,Equipes!$A$2:$A$1000,Equipes!$B$2:$B$1000,"Sem histórico"),"Sem histórico")</f>
        <v>AUS - NPL Queensland</v>
      </c>
      <c r="E6" s="181">
        <f>COUNTIFS(tblDados[Mandante],B6,tblDados[Primeira_Ocorrencia],1)</f>
        <v>7</v>
      </c>
      <c r="F6" s="181">
        <f>COUNTIFS(tblDados[Visitante],C6,tblDados[Primeira_Ocorrencia],1)</f>
        <v>9</v>
      </c>
      <c r="G6" s="100">
        <f>_xlfn.LET(_xlpm.h,AVERAGE(_xlfn.XLOOKUP(B6,Equipes!$A$2:$A$1000,Equipes!$AA$2:$AA$1000),_xlfn.XLOOKUP(C6,Equipes!$A$2:$A$1000,Equipes!$AD$2:$AD$1000)),_xlpm.a,AVERAGE(_xlfn.XLOOKUP(C6,Equipes!$A$2:$A$1000,Equipes!$AC$2:$AC$1000),_xlfn.XLOOKUP(B6,Equipes!$A$2:$A$1000,Equipes!$AB$2:$AB$1000)),_xlpm.h+_xlpm.a)</f>
        <v>3.6999999999999997</v>
      </c>
      <c r="H6" s="103">
        <f>EXP(-G6)</f>
        <v>2.4723526470339399E-2</v>
      </c>
      <c r="I6" s="103">
        <f>1-_xlfn.POISSON.DIST(1,G6,TRUE)</f>
        <v>0.88379942558940483</v>
      </c>
      <c r="J6" s="103">
        <f>1-_xlfn.POISSON.DIST(2,G6,TRUE)</f>
        <v>0.71456688689993175</v>
      </c>
      <c r="K6" s="103" cm="1">
        <f t="array" ref="K6">MIN(IFERROR(SUMPRODUCT((tblDados[Mandante]=B6)*(tblDados[Primeira_Ocorrencia]=1)*((tblDados[GM_M]+tblDados[GS_M])&gt;=2))/E6,0),IFERROR(SUMPRODUCT((tblDados[Visitante]=C6)*(tblDados[Primeira_Ocorrencia]=1)*((tblDados[GM_V]+tblDados[GS_V])&gt;=2))/F6,0))</f>
        <v>0.8571428571428571</v>
      </c>
      <c r="L6" s="103" cm="1">
        <f t="array" ref="L6">MIN(IFERROR(SUMPRODUCT((tblDados[Mandante]=B6)*(tblDados[Primeira_Ocorrencia]=1)*((tblDados[GM_M]+tblDados[GS_M])&gt;=3))/E6,0),IFERROR(SUMPRODUCT((tblDados[Visitante]=C6)*(tblDados[Primeira_Ocorrencia]=1)*((tblDados[GM_V]+tblDados[GS_V])&gt;=3))/F6,0))</f>
        <v>0.7142857142857143</v>
      </c>
      <c r="M6" s="100" cm="1">
        <f t="array" ref="M6">_xlfn.LET(_xlpm.h,_xlfn._xlws.FILTER(tblDados[GM_M]+tblDados[GS_M],(tblDados[Mandante]=B6)*(tblDados[Primeira_Ocorrencia]=1),""),_xlpm.a,_xlfn._xlws.FILTER(tblDados[GM_V]+tblDados[GS_V],(tblDados[Visitante]=C6)*(tblDados[Primeira_Ocorrencia]=1),""),AVERAGE(IFERROR(AVERAGE(_xlfn.TAKE(_xlpm.h,-MIN(5,ROWS(_xlpm.h)))),0),IFERROR(AVERAGE(_xlfn.TAKE(_xlpm.a,-MIN(5,ROWS(_xlpm.a)))),0)))</f>
        <v>3.5999999999999996</v>
      </c>
      <c r="N6" t="str">
        <f>IF(AND(I6&gt;=80%,J6&gt;=55%),"OVER 2,00","NÃO ELEGÍVEL")</f>
        <v>OVER 2,00</v>
      </c>
      <c r="O6" t="str">
        <f>IF(AND(J6&gt;=80%,L6&gt;=75%),"FORTE",IF(AND(J6&gt;=65%,I6&gt;=85%),"BOA","ELEGÍVEL COM CAUTELA"))</f>
        <v>BOA</v>
      </c>
    </row>
    <row r="7" spans="1:15" x14ac:dyDescent="0.3">
      <c r="A7" s="28">
        <f t="shared" ref="A7:A10" si="0">_xlfn.RANK.EQ(J7,$J$6:$J$10,0)</f>
        <v>1</v>
      </c>
      <c r="B7" t="s">
        <v>7266</v>
      </c>
      <c r="C7" t="s">
        <v>7259</v>
      </c>
      <c r="D7" t="str">
        <f>IFERROR(_xlfn.XLOOKUP(B7,Equipes!$A$2:$A$1000,Equipes!$B$2:$B$1000,"Sem histórico"),"Sem histórico")</f>
        <v>CHN - Super League</v>
      </c>
      <c r="E7" s="181">
        <f>COUNTIFS(tblDados[Mandante],B7,tblDados[Primeira_Ocorrencia],1)</f>
        <v>6</v>
      </c>
      <c r="F7" s="181">
        <f>COUNTIFS(tblDados[Visitante],C7,tblDados[Primeira_Ocorrencia],1)</f>
        <v>7</v>
      </c>
      <c r="G7" s="100">
        <f>_xlfn.LET(_xlpm.h,AVERAGE(_xlfn.XLOOKUP(B7,Equipes!$A$2:$A$1000,Equipes!$AA$2:$AA$1000),_xlfn.XLOOKUP(C7,Equipes!$A$2:$A$1000,Equipes!$AD$2:$AD$1000)),_xlpm.a,AVERAGE(_xlfn.XLOOKUP(C7,Equipes!$A$2:$A$1000,Equipes!$AC$2:$AC$1000),_xlfn.XLOOKUP(B7,Equipes!$A$2:$A$1000,Equipes!$AB$2:$AB$1000)),_xlpm.h+_xlpm.a)</f>
        <v>4.55</v>
      </c>
      <c r="H7" s="103">
        <f t="shared" ref="H7:H10" si="1">EXP(-G7)</f>
        <v>1.0567204383852655E-2</v>
      </c>
      <c r="I7" s="103">
        <f t="shared" ref="I7:I10" si="2">1-_xlfn.POISSON.DIST(1,G7,TRUE)</f>
        <v>0.94135201566961779</v>
      </c>
      <c r="J7" s="103">
        <f t="shared" ref="J7:J10" si="3">1-_xlfn.POISSON.DIST(2,G7,TRUE)</f>
        <v>0.83196824129126301</v>
      </c>
      <c r="K7" s="103" cm="1">
        <f t="array" ref="K7">MIN(IFERROR(SUMPRODUCT((tblDados[Mandante]=B7)*(tblDados[Primeira_Ocorrencia]=1)*((tblDados[GM_M]+tblDados[GS_M])&gt;=2))/E7,0),IFERROR(SUMPRODUCT((tblDados[Visitante]=C7)*(tblDados[Primeira_Ocorrencia]=1)*((tblDados[GM_V]+tblDados[GS_V])&gt;=2))/F7,0))</f>
        <v>1</v>
      </c>
      <c r="L7" s="103" cm="1">
        <f t="array" ref="L7">MIN(IFERROR(SUMPRODUCT((tblDados[Mandante]=B7)*(tblDados[Primeira_Ocorrencia]=1)*((tblDados[GM_M]+tblDados[GS_M])&gt;=3))/E7,0),IFERROR(SUMPRODUCT((tblDados[Visitante]=C7)*(tblDados[Primeira_Ocorrencia]=1)*((tblDados[GM_V]+tblDados[GS_V])&gt;=3))/F7,0))</f>
        <v>0.8571428571428571</v>
      </c>
      <c r="M7" s="100" cm="1">
        <f t="array" ref="M7">_xlfn.LET(_xlpm.h,_xlfn._xlws.FILTER(tblDados[GM_M]+tblDados[GS_M],(tblDados[Mandante]=B7)*(tblDados[Primeira_Ocorrencia]=1),""),_xlpm.a,_xlfn._xlws.FILTER(tblDados[GM_V]+tblDados[GS_V],(tblDados[Visitante]=C7)*(tblDados[Primeira_Ocorrencia]=1),""),AVERAGE(IFERROR(AVERAGE(_xlfn.TAKE(_xlpm.h,-MIN(5,ROWS(_xlpm.h)))),0),IFERROR(AVERAGE(_xlfn.TAKE(_xlpm.a,-MIN(5,ROWS(_xlpm.a)))),0)))</f>
        <v>4.4000000000000004</v>
      </c>
      <c r="N7" t="str">
        <f t="shared" ref="N7:N9" si="4">IF(AND(I7&gt;=80%,J7&gt;=55%),"OVER 2,00","NÃO ELEGÍVEL")</f>
        <v>OVER 2,00</v>
      </c>
      <c r="O7" t="str">
        <f t="shared" ref="O7:O9" si="5">IF(AND(J7&gt;=80%,L7&gt;=75%),"FORTE",IF(AND(J7&gt;=65%,I7&gt;=85%),"BOA","ELEGÍVEL COM CAUTELA"))</f>
        <v>FORTE</v>
      </c>
    </row>
    <row r="8" spans="1:15" x14ac:dyDescent="0.3">
      <c r="A8" s="28">
        <f t="shared" si="0"/>
        <v>4</v>
      </c>
      <c r="B8" t="s">
        <v>260</v>
      </c>
      <c r="C8" t="s">
        <v>1117</v>
      </c>
      <c r="D8" t="str">
        <f>IFERROR(_xlfn.XLOOKUP(B8,Equipes!$A$2:$A$1000,Equipes!$B$2:$B$1000,"Sem histórico"),"Sem histórico")</f>
        <v>AUS - NPL Queensland</v>
      </c>
      <c r="E8" s="181">
        <f>COUNTIFS(tblDados[Mandante],B8,tblDados[Primeira_Ocorrencia],1)</f>
        <v>6</v>
      </c>
      <c r="F8" s="181">
        <f>COUNTIFS(tblDados[Visitante],C8,tblDados[Primeira_Ocorrencia],1)</f>
        <v>4</v>
      </c>
      <c r="G8" s="100">
        <f>_xlfn.LET(_xlpm.h,AVERAGE(_xlfn.XLOOKUP(B8,Equipes!$A$2:$A$1000,Equipes!$AA$2:$AA$1000),_xlfn.XLOOKUP(C8,Equipes!$A$2:$A$1000,Equipes!$AD$2:$AD$1000)),_xlpm.a,AVERAGE(_xlfn.XLOOKUP(C8,Equipes!$A$2:$A$1000,Equipes!$AC$2:$AC$1000),_xlfn.XLOOKUP(B8,Equipes!$A$2:$A$1000,Equipes!$AB$2:$AB$1000)),_xlpm.h+_xlpm.a)</f>
        <v>3.2</v>
      </c>
      <c r="H8" s="103">
        <f t="shared" si="1"/>
        <v>4.0762203978366211E-2</v>
      </c>
      <c r="I8" s="103">
        <f t="shared" si="2"/>
        <v>0.82879874329086189</v>
      </c>
      <c r="J8" s="103">
        <f t="shared" si="3"/>
        <v>0.6200962589216269</v>
      </c>
      <c r="K8" s="103" cm="1">
        <f t="array" ref="K8">MIN(IFERROR(SUMPRODUCT((tblDados[Mandante]=B8)*(tblDados[Primeira_Ocorrencia]=1)*((tblDados[GM_M]+tblDados[GS_M])&gt;=2))/E8,0),IFERROR(SUMPRODUCT((tblDados[Visitante]=C8)*(tblDados[Primeira_Ocorrencia]=1)*((tblDados[GM_V]+tblDados[GS_V])&gt;=2))/F8,0))</f>
        <v>0.5</v>
      </c>
      <c r="L8" s="103" cm="1">
        <f t="array" ref="L8">MIN(IFERROR(SUMPRODUCT((tblDados[Mandante]=B8)*(tblDados[Primeira_Ocorrencia]=1)*((tblDados[GM_M]+tblDados[GS_M])&gt;=3))/E8,0),IFERROR(SUMPRODUCT((tblDados[Visitante]=C8)*(tblDados[Primeira_Ocorrencia]=1)*((tblDados[GM_V]+tblDados[GS_V])&gt;=3))/F8,0))</f>
        <v>0.5</v>
      </c>
      <c r="M8" s="100" cm="1">
        <f t="array" ref="M8">_xlfn.LET(_xlpm.h,_xlfn._xlws.FILTER(tblDados[GM_M]+tblDados[GS_M],(tblDados[Mandante]=B8)*(tblDados[Primeira_Ocorrencia]=1),""),_xlpm.a,_xlfn._xlws.FILTER(tblDados[GM_V]+tblDados[GS_V],(tblDados[Visitante]=C8)*(tblDados[Primeira_Ocorrencia]=1),""),AVERAGE(IFERROR(AVERAGE(_xlfn.TAKE(_xlpm.h,-MIN(5,ROWS(_xlpm.h)))),0),IFERROR(AVERAGE(_xlfn.TAKE(_xlpm.a,-MIN(5,ROWS(_xlpm.a)))),0)))</f>
        <v>3.25</v>
      </c>
      <c r="N8" t="str">
        <f t="shared" si="4"/>
        <v>OVER 2,00</v>
      </c>
      <c r="O8" t="str">
        <f t="shared" si="5"/>
        <v>ELEGÍVEL COM CAUTELA</v>
      </c>
    </row>
    <row r="9" spans="1:15" x14ac:dyDescent="0.3">
      <c r="A9" s="28">
        <f t="shared" si="0"/>
        <v>2</v>
      </c>
      <c r="B9" t="s">
        <v>1128</v>
      </c>
      <c r="C9" t="s">
        <v>256</v>
      </c>
      <c r="D9" t="str">
        <f>IFERROR(_xlfn.XLOOKUP(B9,Equipes!$A$2:$A$1000,Equipes!$B$2:$B$1000,"Sem histórico"),"Sem histórico")</f>
        <v>AUS - NPL Queensland</v>
      </c>
      <c r="E9" s="181">
        <f>COUNTIFS(tblDados[Mandante],B9,tblDados[Primeira_Ocorrencia],1)</f>
        <v>6</v>
      </c>
      <c r="F9" s="181">
        <f>COUNTIFS(tblDados[Visitante],C9,tblDados[Primeira_Ocorrencia],1)</f>
        <v>9</v>
      </c>
      <c r="G9" s="100">
        <f>_xlfn.LET(_xlpm.h,AVERAGE(_xlfn.XLOOKUP(B9,Equipes!$A$2:$A$1000,Equipes!$AA$2:$AA$1000),_xlfn.XLOOKUP(C9,Equipes!$A$2:$A$1000,Equipes!$AD$2:$AD$1000)),_xlpm.a,AVERAGE(_xlfn.XLOOKUP(C9,Equipes!$A$2:$A$1000,Equipes!$AC$2:$AC$1000),_xlfn.XLOOKUP(B9,Equipes!$A$2:$A$1000,Equipes!$AB$2:$AB$1000)),_xlpm.h+_xlpm.a)</f>
        <v>4.0833333333333348</v>
      </c>
      <c r="H9" s="103">
        <f t="shared" si="1"/>
        <v>1.6851201259947483E-2</v>
      </c>
      <c r="I9" s="103">
        <f t="shared" si="2"/>
        <v>0.91433972692860022</v>
      </c>
      <c r="J9" s="103">
        <f t="shared" si="3"/>
        <v>0.77385453864688525</v>
      </c>
      <c r="K9" s="103" cm="1">
        <f t="array" ref="K9">MIN(IFERROR(SUMPRODUCT((tblDados[Mandante]=B9)*(tblDados[Primeira_Ocorrencia]=1)*((tblDados[GM_M]+tblDados[GS_M])&gt;=2))/E9,0),IFERROR(SUMPRODUCT((tblDados[Visitante]=C9)*(tblDados[Primeira_Ocorrencia]=1)*((tblDados[GM_V]+tblDados[GS_V])&gt;=2))/F9,0))</f>
        <v>0.88888888888888884</v>
      </c>
      <c r="L9" s="103" cm="1">
        <f t="array" ref="L9">MIN(IFERROR(SUMPRODUCT((tblDados[Mandante]=B9)*(tblDados[Primeira_Ocorrencia]=1)*((tblDados[GM_M]+tblDados[GS_M])&gt;=3))/E9,0),IFERROR(SUMPRODUCT((tblDados[Visitante]=C9)*(tblDados[Primeira_Ocorrencia]=1)*((tblDados[GM_V]+tblDados[GS_V])&gt;=3))/F9,0))</f>
        <v>0.66666666666666663</v>
      </c>
      <c r="M9" s="100" cm="1">
        <f t="array" ref="M9">_xlfn.LET(_xlpm.h,_xlfn._xlws.FILTER(tblDados[GM_M]+tblDados[GS_M],(tblDados[Mandante]=B9)*(tblDados[Primeira_Ocorrencia]=1),""),_xlpm.a,_xlfn._xlws.FILTER(tblDados[GM_V]+tblDados[GS_V],(tblDados[Visitante]=C9)*(tblDados[Primeira_Ocorrencia]=1),""),AVERAGE(IFERROR(AVERAGE(_xlfn.TAKE(_xlpm.h,-MIN(5,ROWS(_xlpm.h)))),0),IFERROR(AVERAGE(_xlfn.TAKE(_xlpm.a,-MIN(5,ROWS(_xlpm.a)))),0)))</f>
        <v>4.1999999999999993</v>
      </c>
      <c r="N9" t="str">
        <f t="shared" si="4"/>
        <v>OVER 2,00</v>
      </c>
      <c r="O9" t="str">
        <f t="shared" si="5"/>
        <v>BOA</v>
      </c>
    </row>
    <row r="10" spans="1:15" x14ac:dyDescent="0.3">
      <c r="A10" s="28">
        <f t="shared" si="0"/>
        <v>5</v>
      </c>
      <c r="B10" t="s">
        <v>1139</v>
      </c>
      <c r="C10" t="s">
        <v>1124</v>
      </c>
      <c r="D10" t="str">
        <f>IFERROR(_xlfn.XLOOKUP(B10,Equipes!$A$2:$A$1000,Equipes!$B$2:$B$1000,"Sem histórico"),"Sem histórico")</f>
        <v>AUS - NPL Queensland</v>
      </c>
      <c r="E10" s="181">
        <f>COUNTIFS(tblDados[Mandante],B10,tblDados[Primeira_Ocorrencia],1)</f>
        <v>10</v>
      </c>
      <c r="F10" s="181">
        <f>COUNTIFS(tblDados[Visitante],C10,tblDados[Primeira_Ocorrencia],1)</f>
        <v>6</v>
      </c>
      <c r="G10" s="100">
        <f>_xlfn.LET(_xlpm.h,AVERAGE(_xlfn.XLOOKUP(B10,Equipes!$A$2:$A$1000,Equipes!$AA$2:$AA$1000),_xlfn.XLOOKUP(C10,Equipes!$A$2:$A$1000,Equipes!$AD$2:$AD$1000)),_xlpm.a,AVERAGE(_xlfn.XLOOKUP(C10,Equipes!$A$2:$A$1000,Equipes!$AC$2:$AC$1000),_xlfn.XLOOKUP(B10,Equipes!$A$2:$A$1000,Equipes!$AB$2:$AB$1000)),_xlpm.h+_xlpm.a)</f>
        <v>2.7750000000000004</v>
      </c>
      <c r="H10" s="103">
        <f t="shared" si="1"/>
        <v>6.2349476689673403E-2</v>
      </c>
      <c r="I10" s="103">
        <f t="shared" si="2"/>
        <v>0.76463072549648292</v>
      </c>
      <c r="J10" s="103">
        <f t="shared" si="3"/>
        <v>0.52456575602977484</v>
      </c>
      <c r="K10" s="103" cm="1">
        <f t="array" ref="K10">MIN(IFERROR(SUMPRODUCT((tblDados[Mandante]=B10)*(tblDados[Primeira_Ocorrencia]=1)*((tblDados[GM_M]+tblDados[GS_M])&gt;=2))/E10,0),IFERROR(SUMPRODUCT((tblDados[Visitante]=C10)*(tblDados[Primeira_Ocorrencia]=1)*((tblDados[GM_V]+tblDados[GS_V])&gt;=2))/F10,0))</f>
        <v>0.7</v>
      </c>
      <c r="L10" s="103" cm="1">
        <f t="array" ref="L10">MIN(IFERROR(SUMPRODUCT((tblDados[Mandante]=B10)*(tblDados[Primeira_Ocorrencia]=1)*((tblDados[GM_M]+tblDados[GS_M])&gt;=3))/E10,0),IFERROR(SUMPRODUCT((tblDados[Visitante]=C10)*(tblDados[Primeira_Ocorrencia]=1)*((tblDados[GM_V]+tblDados[GS_V])&gt;=3))/F10,0))</f>
        <v>0.6</v>
      </c>
      <c r="M10" s="100" cm="1">
        <f t="array" ref="M10">_xlfn.LET(_xlpm.h,_xlfn._xlws.FILTER(tblDados[GM_M]+tblDados[GS_M],(tblDados[Mandante]=B10)*(tblDados[Primeira_Ocorrencia]=1),""),_xlpm.a,_xlfn._xlws.FILTER(tblDados[GM_V]+tblDados[GS_V],(tblDados[Visitante]=C10)*(tblDados[Primeira_Ocorrencia]=1),""),AVERAGE(IFERROR(AVERAGE(_xlfn.TAKE(_xlpm.h,-MIN(5,ROWS(_xlpm.h)))),0),IFERROR(AVERAGE(_xlfn.TAKE(_xlpm.a,-MIN(5,ROWS(_xlpm.a)))),0)))</f>
        <v>2.9</v>
      </c>
      <c r="N10" t="s">
        <v>8202</v>
      </c>
      <c r="O10" t="s">
        <v>8203</v>
      </c>
    </row>
    <row r="12" spans="1:15" x14ac:dyDescent="0.3">
      <c r="A12" s="322" t="s">
        <v>8197</v>
      </c>
      <c r="B12" s="322"/>
      <c r="C12" s="322"/>
      <c r="D12" s="322"/>
      <c r="E12" s="322"/>
      <c r="F12" s="322"/>
      <c r="G12" s="322"/>
      <c r="H12" s="322"/>
      <c r="I12" s="322"/>
      <c r="J12" s="322"/>
      <c r="K12" s="322"/>
      <c r="L12" s="322"/>
      <c r="M12" s="322"/>
      <c r="N12" s="322"/>
      <c r="O12" s="322"/>
    </row>
    <row r="13" spans="1:15" ht="28.05" customHeight="1" x14ac:dyDescent="0.3">
      <c r="A13" s="311" t="s">
        <v>8204</v>
      </c>
      <c r="B13" s="311"/>
      <c r="C13" s="311"/>
      <c r="D13" s="311"/>
      <c r="E13" s="311"/>
      <c r="F13" s="311"/>
      <c r="G13" s="311"/>
      <c r="H13" s="311"/>
      <c r="I13" s="311"/>
      <c r="J13" s="311"/>
      <c r="K13" s="311"/>
      <c r="L13" s="311"/>
      <c r="M13" s="311"/>
      <c r="N13" s="311"/>
      <c r="O13" s="311"/>
    </row>
    <row r="14" spans="1:15" ht="28.05" customHeight="1" x14ac:dyDescent="0.3">
      <c r="A14" s="311"/>
      <c r="B14" s="311"/>
      <c r="C14" s="311"/>
      <c r="D14" s="311"/>
      <c r="E14" s="311"/>
      <c r="F14" s="311"/>
      <c r="G14" s="311"/>
      <c r="H14" s="311"/>
      <c r="I14" s="311"/>
      <c r="J14" s="311"/>
      <c r="K14" s="311"/>
      <c r="L14" s="311"/>
      <c r="M14" s="311"/>
      <c r="N14" s="311"/>
      <c r="O14" s="311"/>
    </row>
    <row r="15" spans="1:15" ht="28.05" customHeight="1" x14ac:dyDescent="0.3">
      <c r="A15" s="311"/>
      <c r="B15" s="311"/>
      <c r="C15" s="311"/>
      <c r="D15" s="311"/>
      <c r="E15" s="311"/>
      <c r="F15" s="311"/>
      <c r="G15" s="311"/>
      <c r="H15" s="311"/>
      <c r="I15" s="311"/>
      <c r="J15" s="311"/>
      <c r="K15" s="311"/>
      <c r="L15" s="311"/>
      <c r="M15" s="311"/>
      <c r="N15" s="311"/>
      <c r="O15" s="311"/>
    </row>
    <row r="16" spans="1:15" ht="28.05" customHeight="1" x14ac:dyDescent="0.3">
      <c r="A16" s="311"/>
      <c r="B16" s="311"/>
      <c r="C16" s="311"/>
      <c r="D16" s="311"/>
      <c r="E16" s="311"/>
      <c r="F16" s="311"/>
      <c r="G16" s="311"/>
      <c r="H16" s="311"/>
      <c r="I16" s="311"/>
      <c r="J16" s="311"/>
      <c r="K16" s="311"/>
      <c r="L16" s="311"/>
      <c r="M16" s="311"/>
      <c r="N16" s="311"/>
      <c r="O16" s="311"/>
    </row>
    <row r="17" spans="1:15" ht="28.05" customHeight="1" x14ac:dyDescent="0.3">
      <c r="A17" s="311"/>
      <c r="B17" s="311"/>
      <c r="C17" s="311"/>
      <c r="D17" s="311"/>
      <c r="E17" s="311"/>
      <c r="F17" s="311"/>
      <c r="G17" s="311"/>
      <c r="H17" s="311"/>
      <c r="I17" s="311"/>
      <c r="J17" s="311"/>
      <c r="K17" s="311"/>
      <c r="L17" s="311"/>
      <c r="M17" s="311"/>
      <c r="N17" s="311"/>
      <c r="O17" s="311"/>
    </row>
  </sheetData>
  <mergeCells count="5">
    <mergeCell ref="A13:O17"/>
    <mergeCell ref="A1:O1"/>
    <mergeCell ref="A2:O2"/>
    <mergeCell ref="A4:O4"/>
    <mergeCell ref="A12:O12"/>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EF22-0E18-4ABD-919D-33231047974C}">
  <dimension ref="A1:J1000"/>
  <sheetViews>
    <sheetView topLeftCell="A14" zoomScale="90" zoomScaleNormal="90" workbookViewId="0">
      <selection activeCell="B5" sqref="B5"/>
    </sheetView>
  </sheetViews>
  <sheetFormatPr defaultRowHeight="14.4" x14ac:dyDescent="0.3"/>
  <cols>
    <col min="1" max="1" width="19.44140625" customWidth="1"/>
    <col min="2" max="3" width="17" customWidth="1"/>
    <col min="4" max="4" width="22.21875" customWidth="1"/>
    <col min="5" max="5" width="4.109375" style="43" customWidth="1"/>
    <col min="6" max="6" width="17" customWidth="1"/>
    <col min="7" max="7" width="28.6640625" customWidth="1"/>
    <col min="8" max="8" width="17" customWidth="1"/>
    <col min="9" max="9" width="37" customWidth="1"/>
    <col min="10" max="10" width="4.109375" customWidth="1"/>
    <col min="11" max="11" width="9.6640625" customWidth="1"/>
    <col min="12" max="12" width="13.33203125" customWidth="1"/>
    <col min="13" max="13" width="5.88671875" customWidth="1"/>
    <col min="14" max="24" width="8.109375" customWidth="1"/>
    <col min="25" max="50" width="0" hidden="1" customWidth="1"/>
  </cols>
  <sheetData>
    <row r="1" spans="1:10" ht="28.05" customHeight="1" x14ac:dyDescent="0.3">
      <c r="A1" s="291" t="s">
        <v>11434</v>
      </c>
      <c r="B1" s="291"/>
      <c r="C1" s="291"/>
      <c r="D1" s="291"/>
      <c r="E1" s="292"/>
      <c r="F1" s="291"/>
      <c r="G1" s="291"/>
      <c r="H1" s="291"/>
      <c r="I1" s="292"/>
      <c r="J1" s="292"/>
    </row>
    <row r="2" spans="1:10" ht="19.95" customHeight="1" x14ac:dyDescent="0.3">
      <c r="A2" s="293" t="s">
        <v>11435</v>
      </c>
      <c r="B2" s="293"/>
      <c r="C2" s="293"/>
      <c r="D2" s="293"/>
      <c r="E2" s="294"/>
      <c r="F2" s="293"/>
      <c r="G2" s="293"/>
      <c r="H2" s="293"/>
      <c r="I2" s="294"/>
      <c r="J2" s="294"/>
    </row>
    <row r="3" spans="1:10" ht="12" customHeight="1" x14ac:dyDescent="0.3">
      <c r="A3" s="118"/>
      <c r="B3" s="118"/>
      <c r="C3" s="118"/>
      <c r="D3" s="118"/>
      <c r="E3" s="119"/>
      <c r="F3" s="118"/>
      <c r="G3" s="118"/>
      <c r="H3" s="118"/>
      <c r="I3" s="119"/>
      <c r="J3" s="119"/>
    </row>
    <row r="4" spans="1:10" ht="22.05" customHeight="1" x14ac:dyDescent="0.3">
      <c r="A4" s="290" t="s">
        <v>412</v>
      </c>
      <c r="B4" s="290"/>
      <c r="C4" s="290"/>
      <c r="D4" s="290"/>
      <c r="E4" s="295"/>
      <c r="F4" s="290"/>
      <c r="G4" s="290"/>
      <c r="H4" s="290"/>
      <c r="I4" s="295"/>
      <c r="J4" s="295"/>
    </row>
    <row r="5" spans="1:10" ht="19.95" customHeight="1" x14ac:dyDescent="0.3">
      <c r="A5" s="47" t="s">
        <v>45</v>
      </c>
      <c r="B5" s="114" t="s">
        <v>4793</v>
      </c>
      <c r="C5" s="49"/>
      <c r="D5" s="131" t="s">
        <v>344</v>
      </c>
      <c r="E5" s="288" t="str">
        <f>IF($B$5="","",IFERROR(INDEX(Equipes!$B$2:$B$1000,MATCH($B$5,Equipes!$A$2:$A$1000,0)),"Sem histórico"))</f>
        <v>SWE - Allsvenskan</v>
      </c>
      <c r="F5" s="289"/>
      <c r="G5" s="289"/>
      <c r="H5" s="296" t="str">
        <f>IF($B$5="","",IF(COUNTIF(Equipes!$A$2:$A$1000,TRIM($B$5))&gt;0,"✓ Histórico disponível",IF(COUNTIF(CadastroEquipes,TRIM($B$5))&gt;0,"⚠ Cadastrada, sem histórico","⚠ Nome não cadastrado")))</f>
        <v>✓ Histórico disponível</v>
      </c>
      <c r="I5" s="297"/>
      <c r="J5" s="298"/>
    </row>
    <row r="6" spans="1:10" ht="19.95" customHeight="1" x14ac:dyDescent="0.3">
      <c r="A6" s="47" t="s">
        <v>48</v>
      </c>
      <c r="B6" s="114" t="s">
        <v>4754</v>
      </c>
      <c r="C6" s="49"/>
      <c r="D6" s="131" t="s">
        <v>344</v>
      </c>
      <c r="E6" s="288" t="str">
        <f>IF($B$6="","",IFERROR(INDEX(Equipes!$B$2:$B$1000,MATCH($B$6,Equipes!$A$2:$A$1000,0)),"Sem histórico"))</f>
        <v>SWE - Allsvenskan</v>
      </c>
      <c r="F6" s="289"/>
      <c r="G6" s="289"/>
      <c r="H6" s="296" t="str">
        <f>IF($B$6="","",IF(COUNTIF(Equipes!$A$2:$A$1000,TRIM($B$6))&gt;0,"✓ Histórico disponível",IF(COUNTIF(CadastroEquipes,TRIM($B$6))&gt;0,"⚠ Cadastrada, sem histórico","⚠ Nome não cadastrado")))</f>
        <v>✓ Histórico disponível</v>
      </c>
      <c r="I6" s="297"/>
      <c r="J6" s="298"/>
    </row>
    <row r="7" spans="1:10" ht="12" customHeight="1" x14ac:dyDescent="0.3">
      <c r="A7" s="118"/>
      <c r="B7" s="118"/>
      <c r="C7" s="118"/>
      <c r="D7" s="118"/>
      <c r="E7" s="119"/>
      <c r="F7" s="118"/>
      <c r="G7" s="118"/>
      <c r="H7" s="118"/>
      <c r="I7" s="119"/>
      <c r="J7" s="119"/>
    </row>
    <row r="8" spans="1:10" ht="22.05" customHeight="1" x14ac:dyDescent="0.3">
      <c r="A8" s="290" t="s">
        <v>413</v>
      </c>
      <c r="B8" s="290"/>
      <c r="C8" s="290"/>
      <c r="D8" s="290"/>
      <c r="E8" s="120"/>
      <c r="F8" s="299" t="s">
        <v>815</v>
      </c>
      <c r="G8" s="299"/>
      <c r="H8" s="299"/>
      <c r="I8" s="119"/>
      <c r="J8" s="119"/>
    </row>
    <row r="9" spans="1:10" ht="22.05" customHeight="1" x14ac:dyDescent="0.3">
      <c r="A9" s="132" t="s">
        <v>414</v>
      </c>
      <c r="B9" s="132" t="s">
        <v>45</v>
      </c>
      <c r="C9" s="132" t="s">
        <v>48</v>
      </c>
      <c r="D9" s="132" t="s">
        <v>44</v>
      </c>
      <c r="E9" s="133"/>
      <c r="F9" s="132" t="s">
        <v>804</v>
      </c>
      <c r="G9" s="132" t="s">
        <v>801</v>
      </c>
      <c r="H9" s="132" t="s">
        <v>805</v>
      </c>
      <c r="I9" s="133"/>
      <c r="J9" s="133"/>
    </row>
    <row r="10" spans="1:10" ht="19.95" customHeight="1" x14ac:dyDescent="0.3">
      <c r="A10" s="47" t="s">
        <v>415</v>
      </c>
      <c r="B10" s="134">
        <f>IF(OR($B$5="",$B$6=""),"",_xlfn.LET(_xlpm.x,IFERROR(INDEX(Equipes!$AA$2:$AA$1000,MATCH($B$5,Equipes!$A$2:$A$1000,0)),""),_xlpm.y,IFERROR(INDEX(Equipes!$AD$2:$AD$1000,MATCH($B$6,Equipes!$A$2:$A$1000,0)),""),IF(OR(_xlpm.x="",_xlpm.y=""),"",AVERAGE(_xlpm.x,_xlpm.y))))</f>
        <v>2.4</v>
      </c>
      <c r="C10" s="134">
        <f>IF(OR($B$5="",$B$6=""),"",_xlfn.LET(_xlpm.x,IFERROR(INDEX(Equipes!$AC$2:$AC$1000,MATCH($B$6,Equipes!$A$2:$A$1000,0)),""),_xlpm.y,IFERROR(INDEX(Equipes!$AB$2:$AB$1000,MATCH($B$5,Equipes!$A$2:$A$1000,0)),""),IF(OR(_xlpm.x="",_xlpm.y=""),"",AVERAGE(_xlpm.x,_xlpm.y))))</f>
        <v>1.8</v>
      </c>
      <c r="D10" s="134">
        <f>IF(OR(B10="",C10=""),"",B10+C10)</f>
        <v>4.2</v>
      </c>
      <c r="E10" s="119"/>
      <c r="F10" s="47" t="s">
        <v>806</v>
      </c>
      <c r="G10" s="121" t="str">
        <f>IF($H$10=0,"Sem linha aprovada","Até Over "&amp;FIXED($H$10,2,FALSE))</f>
        <v>Até Over 1,75</v>
      </c>
      <c r="H10" s="135" cm="1">
        <f t="array" ref="H10">IF($D$10="",0,_xlfn.LET(_xlpm.ls,{0.5;0.75;1;1.25;1.5;1.75;2;2.25;2.5;2.75;3},_xlpm.th,{0.95;0.94;0.925;0.9125;0.9;0.88;0.86;0.84;0.82;0.8025;0.785},_xlpm.sc,_xlfn.MAP(_xlpm.ls,_xlfn.LAMBDA(_xlpm.l,_xlfn.LET(_xlpm.n,INT(_xlpm.l),_xlpm.f,ROUND(MOD(_xlpm.l,1),2),_xlpm.si,_xlfn.LAMBDA(_xlpm.k,1-_xlfn.POISSON.DIST(_xlpm.k,$D$10,TRUE)+0.5*_xlfn.POISSON.DIST(_xlpm.k,$D$10,FALSE)),_xlpm.sh,_xlfn.LAMBDA(_xlpm.k,1-_xlfn.POISSON.DIST(_xlpm.k,$D$10,TRUE)),IF(_xlpm.f=0.5,_xlpm.sh(_xlpm.n),IF(_xlpm.f=0,_xlpm.si(_xlpm.n),IF(_xlpm.f=0.25,AVERAGE(_xlpm.si(_xlpm.n),_xlpm.sh(_xlpm.n)),AVERAGE(_xlpm.sh(_xlpm.n),_xlpm.si(_xlpm.n+1)))))))),IFERROR(MAX(_xlfn._xlws.FILTER(_xlpm.ls,_xlpm.sc&gt;=_xlpm.th)),0)))</f>
        <v>1.75</v>
      </c>
      <c r="I10" s="119"/>
      <c r="J10" s="119"/>
    </row>
    <row r="11" spans="1:10" ht="19.95" customHeight="1" x14ac:dyDescent="0.3">
      <c r="A11" s="47" t="s">
        <v>416</v>
      </c>
      <c r="B11" s="136">
        <f>IFERROR(INDEX(Equipes!$E$2:$E$1000,MATCH($B$5,Equipes!$A$2:$A$1000,0)),"")</f>
        <v>5</v>
      </c>
      <c r="C11" s="136">
        <f>IFERROR(INDEX(Equipes!$F$2:$F$1000,MATCH($B$6,Equipes!$A$2:$A$1000,0)),"")</f>
        <v>5</v>
      </c>
      <c r="D11" s="136">
        <f>IF(OR(B11="",C11=""),"",MIN(B11,C11))</f>
        <v>5</v>
      </c>
      <c r="E11" s="119"/>
      <c r="F11" s="47" t="s">
        <v>427</v>
      </c>
      <c r="G11" s="121" t="str">
        <f>IF($D$10="","Aguardando histórico",IF($H$11=0,"Baixo potencial","Suporta Over "&amp;FIXED($H$11,2,FALSE)))</f>
        <v>Suporta Over 2,50</v>
      </c>
      <c r="H11" s="135">
        <f>IF($D$10="",0,IF($D$10&lt;1.5,0,IF($D$10&lt;2.5,0.5,IF($D$10&lt;3.5,1.5,IF($D$10&lt;4.5,2.5,3)))))</f>
        <v>2.5</v>
      </c>
      <c r="I11" s="119"/>
      <c r="J11" s="119"/>
    </row>
    <row r="12" spans="1:10" ht="19.95" customHeight="1" x14ac:dyDescent="0.3">
      <c r="A12" s="47" t="s">
        <v>417</v>
      </c>
      <c r="B12" s="137">
        <f>IFERROR(INDEX(Equipes!$C$2:$C$1000,MATCH($B$5,Equipes!$A$2:$A$1000,0)),"")</f>
        <v>2.6</v>
      </c>
      <c r="C12" s="137">
        <f>IFERROR(INDEX(Equipes!$D$2:$D$1000,MATCH($B$6,Equipes!$A$2:$A$1000,0)),"")</f>
        <v>5.8</v>
      </c>
      <c r="D12" s="137">
        <f>IF(OR(B12="",C12=""),"",AVERAGE(B12,C12))</f>
        <v>4.2</v>
      </c>
      <c r="E12" s="119"/>
      <c r="F12" s="47" t="s">
        <v>3078</v>
      </c>
      <c r="G12" s="121" t="str">
        <f>IF($H$12=0,"Sem concentração Over","Top 8 suporta Over "&amp;FIXED($H$12,2,FALSE))</f>
        <v>Top 8 suporta Over 3,00</v>
      </c>
      <c r="H12" s="135" cm="1">
        <f t="array" ref="H12">IF($D$10="",0,_xlfn.LET(_xlpm.t,VALUE(_xlfn.TEXTBEFORE($G$19:$G$26," x "))+VALUE(_xlfn.TEXTAFTER($G$19:$G$26," x ")),MAX(0,MIN(3,FLOOR(MEDIAN(_xlpm.t)-0.5,0.25)))))</f>
        <v>3</v>
      </c>
      <c r="I12" s="119"/>
      <c r="J12" s="119"/>
    </row>
    <row r="13" spans="1:10" ht="19.95" customHeight="1" x14ac:dyDescent="0.3">
      <c r="A13" s="47" t="s">
        <v>418</v>
      </c>
      <c r="B13" s="127" t="str">
        <f>IFERROR(INDEX(Equipes!$R$2:$R$1000,MATCH($B$5,Equipes!$A$2:$A$1000,0)),"")</f>
        <v>Poisson</v>
      </c>
      <c r="C13" s="127" t="str">
        <f>IFERROR(INDEX(Equipes!$R$2:$R$1000,MATCH($B$6,Equipes!$A$2:$A$1000,0)),"")</f>
        <v>Poisson</v>
      </c>
      <c r="D13" s="127" t="str">
        <f>IF(OR(B13="",C13=""),"",IF(OR(B13="Amostra Insuficiente",C13="Amostra Insuficiente"),"Poisson preliminar",IF(B13=C13,B13,"Poisson base / dispersão")))</f>
        <v>Poisson</v>
      </c>
      <c r="E13" s="119"/>
      <c r="F13" s="47" t="s">
        <v>848</v>
      </c>
      <c r="G13" s="122" t="str">
        <f>IF($H$13=0,"SEM CONSENSO","OVER "&amp;FIXED($H$13,2,FALSE))</f>
        <v>OVER 2,50</v>
      </c>
      <c r="H13" s="138">
        <f>MEDIAN($H$10:$H$12)</f>
        <v>2.5</v>
      </c>
      <c r="I13" s="119"/>
      <c r="J13" s="119"/>
    </row>
    <row r="14" spans="1:10" ht="19.95" customHeight="1" x14ac:dyDescent="0.3">
      <c r="A14" s="47" t="s">
        <v>419</v>
      </c>
      <c r="B14" s="127" t="str">
        <f>IF(B11="","",IF(B11&gt;=10,"Robusta",IF(B11&gt;=5,"Em formação","Preliminar")))</f>
        <v>Em formação</v>
      </c>
      <c r="C14" s="127" t="str">
        <f>IF(C11="","",IF(C11&gt;=10,"Robusta",IF(C11&gt;=5,"Em formação","Preliminar")))</f>
        <v>Em formação</v>
      </c>
      <c r="D14" s="127" t="str">
        <f>IF(OR(B11="",C11=""),"",IF(MIN(B11,C11)&gt;=10,"Robusta",IF(MIN(B11,C11)&gt;=5,"Em formação","Preliminar")))</f>
        <v>Em formação</v>
      </c>
      <c r="E14" s="119"/>
      <c r="F14" s="47" t="s">
        <v>849</v>
      </c>
      <c r="G14" s="123" t="str">
        <f>IF($H$14&gt;=15,"FASE 2 — OTIMIZAR LUCRO","FASE 1 — PRESERVAR CAPITAL")</f>
        <v>FASE 1 — PRESERVAR CAPITAL</v>
      </c>
      <c r="H14" s="139">
        <f>_xlfn.LET(_xlpm.l,IF($E$5=$E$6,$E$5,IF(AND(ISNUMBER(SEARCH("Kakkonen",$E$5)),ISNUMBER(SEARCH("Kakkonen",$E$6))),"FIN - Kakkonen",$E$5&amp;" / "&amp;$E$6)),COUNTIF(tblCalibracao[Liga],_xlpm.l))</f>
        <v>1</v>
      </c>
      <c r="I14" s="119"/>
      <c r="J14" s="119"/>
    </row>
    <row r="15" spans="1:10" ht="30" customHeight="1" x14ac:dyDescent="0.3">
      <c r="A15" s="47" t="s">
        <v>420</v>
      </c>
      <c r="B15" s="286">
        <v>0</v>
      </c>
      <c r="C15" s="287"/>
      <c r="D15" s="113" t="s">
        <v>421</v>
      </c>
      <c r="E15" s="119"/>
      <c r="F15" s="47" t="s">
        <v>807</v>
      </c>
      <c r="G15" s="115" t="str">
        <f>IF($H$13=0,"NÃO APOSTAR",IF(1-$H$40&gt;10%,"NÃO APOSTAR — 0x0 "&amp;TEXT(1-$H$40,"0.0%"),"ANALISAR OVER "&amp;FIXED(MIN(3,$H$13+IF(AND($D$10&gt;=2.5,$D$10&lt;3.5),IF(1-$H$40&lt;7.5%,0.5,0.25),0)),2,FALSE)))</f>
        <v>ANALISAR OVER 2,50</v>
      </c>
      <c r="H15" s="140" t="str">
        <f>IF($H$13=0,"—",IF(1-$H$40&gt;10%,"IMPEDITIVO",IF(AND($D$10&gt;=2.5,$D$10&lt;3.5),IF(1-$H$40&lt;7.5%,"Avançar +0,50","Avançar +0,25"),IF($D$10&gt;=3.5,"Sem avanço automático","Máxima proteção"))))</f>
        <v>Sem avanço automático</v>
      </c>
      <c r="I15" s="119"/>
      <c r="J15" s="119"/>
    </row>
    <row r="16" spans="1:10" ht="12" customHeight="1" x14ac:dyDescent="0.3">
      <c r="A16" s="118"/>
      <c r="B16" s="118"/>
      <c r="C16" s="118"/>
      <c r="D16" s="118"/>
      <c r="E16" s="119"/>
      <c r="F16" s="124"/>
      <c r="G16" s="124"/>
      <c r="H16" s="124"/>
      <c r="I16" s="119"/>
      <c r="J16" s="119"/>
    </row>
    <row r="17" spans="1:10" ht="22.05" customHeight="1" x14ac:dyDescent="0.3">
      <c r="A17" s="290" t="s">
        <v>816</v>
      </c>
      <c r="B17" s="290"/>
      <c r="C17" s="290"/>
      <c r="D17" s="290"/>
      <c r="E17" s="120"/>
      <c r="F17" s="290" t="s">
        <v>830</v>
      </c>
      <c r="G17" s="290"/>
      <c r="H17" s="290"/>
      <c r="I17" s="119"/>
      <c r="J17" s="119"/>
    </row>
    <row r="18" spans="1:10" ht="22.05" customHeight="1" x14ac:dyDescent="0.3">
      <c r="A18" s="132" t="s">
        <v>817</v>
      </c>
      <c r="B18" s="132" t="s">
        <v>818</v>
      </c>
      <c r="C18" s="132" t="s">
        <v>423</v>
      </c>
      <c r="D18" s="48" t="s">
        <v>819</v>
      </c>
      <c r="E18" s="133"/>
      <c r="F18" s="132" t="s">
        <v>405</v>
      </c>
      <c r="G18" s="132" t="s">
        <v>742</v>
      </c>
      <c r="H18" s="132" t="s">
        <v>422</v>
      </c>
      <c r="I18" s="133"/>
      <c r="J18" s="133"/>
    </row>
    <row r="19" spans="1:10" ht="22.05" customHeight="1" x14ac:dyDescent="0.3">
      <c r="A19" s="125">
        <v>0.5</v>
      </c>
      <c r="B19" s="126">
        <f t="shared" ref="B19:B29" si="0">IF($D$10="","",_xlfn.LET(_xlpm.l,$A19,_xlpm.n,INT(_xlpm.l),_xlpm.f,ROUND(MOD(_xlpm.l,1),2),_xlpm.si,1-_xlfn.POISSON.DIST(_xlpm.n,$D$10,TRUE)+0.5*_xlfn.POISSON.DIST(_xlpm.n,$D$10,FALSE),_xlpm.sh,1-_xlfn.POISSON.DIST(_xlpm.n,$D$10,TRUE),IF(_xlpm.f=0.5,_xlpm.sh,IF(_xlpm.f=0,_xlpm.si,IF(_xlpm.f=0.25,AVERAGE(_xlpm.si,_xlpm.sh),AVERAGE(_xlpm.sh,1-_xlfn.POISSON.DIST(_xlpm.n+1,$D$10,TRUE)+0.5*_xlfn.POISSON.DIST(_xlpm.n+1,$D$10,FALSE)))))))</f>
        <v>0.9850044231795223</v>
      </c>
      <c r="C19" s="127" t="str" cm="1">
        <f t="array" ref="C19">IF($B19="","",_xlfn.LET(_xlpm.l,$A19,_xlpm.lim,_xlfn.XLOOKUP(_xlpm.l,{0.5,0.75,1,1.25,1.5,1.75,2,2.25,2.5,2.75,3},{0.95,0.94,0.925,0.9125,0.9,0.88,0.86,0.84,0.82,0.8025,0.785}),IF($B19&gt;=_xlpm.lim,"APROVADA",IF($B19&gt;=_xlpm.lim-5%,"PRÓXIMA","ABAIXO"))))</f>
        <v>APROVADA</v>
      </c>
      <c r="D19" s="141" t="s">
        <v>820</v>
      </c>
      <c r="E19" s="119"/>
      <c r="F19" s="154" cm="1">
        <f t="array" ref="F19:H26">IF(OR($B$10="",$C$10=""),"",_xlfn.LET(_xlpm.n,9,_xlpm.i,_xlfn.SEQUENCE(_xlpm.n*_xlpm.n,1,0),_xlpm.h,INT(_xlpm.i/_xlpm.n),_xlpm.a,MOD(_xlpm.i,_xlpm.n),_xlpm.p,_xlfn.POISSON.DIST(_xlpm.h,$B$10,FALSE)*_xlfn.POISSON.DIST(_xlpm.a,$C$10,FALSE)*IF((_xlpm.h=0)*(_xlpm.a=0),1-$B$10*$C$10*$B$15,IF((_xlpm.h=0)*(_xlpm.a=1),1+$B$10*$B$15,IF((_xlpm.h=1)*(_xlpm.a=0),1+$C$10*$B$15,IF((_xlpm.h=1)*(_xlpm.a=1),1-$B$15,1)))),_xlpm.s,_xlfn.SORTBY(_xlfn.HSTACK(_xlpm.h&amp;" x "&amp;_xlpm.a,_xlpm.p),_xlpm.p,-1),_xlfn.HSTACK(_xlfn.SEQUENCE(8),_xlfn.TAKE(_xlpm.s,8))))</f>
        <v>1</v>
      </c>
      <c r="G19" s="140" t="str">
        <v>2 x 1</v>
      </c>
      <c r="H19" s="155">
        <v>7.7737070237356459E-2</v>
      </c>
      <c r="I19" s="119"/>
      <c r="J19" s="119"/>
    </row>
    <row r="20" spans="1:10" ht="22.05" customHeight="1" x14ac:dyDescent="0.3">
      <c r="A20" s="125">
        <v>0.75</v>
      </c>
      <c r="B20" s="126">
        <f t="shared" si="0"/>
        <v>0.96925906751802071</v>
      </c>
      <c r="C20" s="127" t="str" cm="1">
        <f t="array" ref="C20">IF($B20="","",_xlfn.LET(_xlpm.l,$A20,_xlpm.lim,_xlfn.XLOOKUP(_xlpm.l,{0.5,0.75,1,1.25,1.5,1.75,2,2.25,2.5,2.75,3},{0.95,0.94,0.925,0.9125,0.9,0.88,0.86,0.84,0.82,0.8025,0.785}),IF($B20&gt;=_xlpm.lim,"APROVADA",IF($B20&gt;=_xlpm.lim-5%,"PRÓXIMA","ABAIXO"))))</f>
        <v>APROVADA</v>
      </c>
      <c r="D20" s="141" t="s">
        <v>821</v>
      </c>
      <c r="E20" s="119"/>
      <c r="F20" s="154">
        <v>2</v>
      </c>
      <c r="G20" s="140" t="str">
        <v>2 x 2</v>
      </c>
      <c r="H20" s="155">
        <v>6.996336321362083E-2</v>
      </c>
      <c r="I20" s="119"/>
      <c r="J20" s="119"/>
    </row>
    <row r="21" spans="1:10" ht="22.05" customHeight="1" x14ac:dyDescent="0.3">
      <c r="A21" s="125">
        <v>1</v>
      </c>
      <c r="B21" s="126">
        <f t="shared" si="0"/>
        <v>0.95351371185651912</v>
      </c>
      <c r="C21" s="127" t="str" cm="1">
        <f t="array" ref="C21">IF($B21="","",_xlfn.LET(_xlpm.l,$A21,_xlpm.lim,_xlfn.XLOOKUP(_xlpm.l,{0.5,0.75,1,1.25,1.5,1.75,2,2.25,2.5,2.75,3},{0.95,0.94,0.925,0.9125,0.9,0.88,0.86,0.84,0.82,0.8025,0.785}),IF($B21&gt;=_xlpm.lim,"APROVADA",IF($B21&gt;=_xlpm.lim-5%,"PRÓXIMA","ABAIXO"))))</f>
        <v>APROVADA</v>
      </c>
      <c r="D21" s="141" t="s">
        <v>822</v>
      </c>
      <c r="E21" s="119"/>
      <c r="F21" s="136">
        <v>3</v>
      </c>
      <c r="G21" s="153" t="str">
        <v>1 x 1</v>
      </c>
      <c r="H21" s="152">
        <v>6.4780891864463702E-2</v>
      </c>
      <c r="I21" s="119"/>
      <c r="J21" s="119"/>
    </row>
    <row r="22" spans="1:10" ht="22.05" customHeight="1" x14ac:dyDescent="0.3">
      <c r="A22" s="125">
        <v>1.25</v>
      </c>
      <c r="B22" s="126">
        <f t="shared" si="0"/>
        <v>0.93776835619501753</v>
      </c>
      <c r="C22" s="127" t="str" cm="1">
        <f t="array" ref="C22">IF($B22="","",_xlfn.LET(_xlpm.l,$A22,_xlpm.lim,_xlfn.XLOOKUP(_xlpm.l,{0.5,0.75,1,1.25,1.5,1.75,2,2.25,2.5,2.75,3},{0.95,0.94,0.925,0.9125,0.9,0.88,0.86,0.84,0.82,0.8025,0.785}),IF($B22&gt;=_xlpm.lim,"APROVADA",IF($B22&gt;=_xlpm.lim-5%,"PRÓXIMA","ABAIXO"))))</f>
        <v>APROVADA</v>
      </c>
      <c r="D22" s="141" t="s">
        <v>823</v>
      </c>
      <c r="E22" s="119"/>
      <c r="F22" s="136">
        <v>4</v>
      </c>
      <c r="G22" s="153" t="str">
        <v>3 x 1</v>
      </c>
      <c r="H22" s="152">
        <v>6.2189656189885152E-2</v>
      </c>
      <c r="I22" s="119"/>
      <c r="J22" s="119"/>
    </row>
    <row r="23" spans="1:10" ht="22.05" customHeight="1" x14ac:dyDescent="0.3">
      <c r="A23" s="125">
        <v>1.5</v>
      </c>
      <c r="B23" s="126">
        <f t="shared" si="0"/>
        <v>0.92202300053351594</v>
      </c>
      <c r="C23" s="127" t="str" cm="1">
        <f t="array" ref="C23">IF($B23="","",_xlfn.LET(_xlpm.l,$A23,_xlpm.lim,_xlfn.XLOOKUP(_xlpm.l,{0.5,0.75,1,1.25,1.5,1.75,2,2.25,2.5,2.75,3},{0.95,0.94,0.925,0.9125,0.9,0.88,0.86,0.84,0.82,0.8025,0.785}),IF($B23&gt;=_xlpm.lim,"APROVADA",IF($B23&gt;=_xlpm.lim-5%,"PRÓXIMA","ABAIXO"))))</f>
        <v>APROVADA</v>
      </c>
      <c r="D23" s="141" t="s">
        <v>820</v>
      </c>
      <c r="E23" s="119"/>
      <c r="F23" s="136">
        <v>5</v>
      </c>
      <c r="G23" s="153" t="str">
        <v>1 x 2</v>
      </c>
      <c r="H23" s="152">
        <v>5.8302802678017338E-2</v>
      </c>
      <c r="I23" s="119"/>
      <c r="J23" s="119"/>
    </row>
    <row r="24" spans="1:10" ht="22.05" customHeight="1" x14ac:dyDescent="0.3">
      <c r="A24" s="125">
        <v>1.75</v>
      </c>
      <c r="B24" s="126">
        <f t="shared" si="0"/>
        <v>0.88895775364436258</v>
      </c>
      <c r="C24" s="127" t="str" cm="1">
        <f t="array" ref="C24">IF($B24="","",_xlfn.LET(_xlpm.l,$A24,_xlpm.lim,_xlfn.XLOOKUP(_xlpm.l,{0.5,0.75,1,1.25,1.5,1.75,2,2.25,2.5,2.75,3},{0.95,0.94,0.925,0.9125,0.9,0.88,0.86,0.84,0.82,0.8025,0.785}),IF($B24&gt;=_xlpm.lim,"APROVADA",IF($B24&gt;=_xlpm.lim-5%,"PRÓXIMA","ABAIXO"))))</f>
        <v>APROVADA</v>
      </c>
      <c r="D24" s="141" t="s">
        <v>824</v>
      </c>
      <c r="E24" s="119"/>
      <c r="F24" s="136">
        <v>6</v>
      </c>
      <c r="G24" s="136" t="str">
        <v>3 x 2</v>
      </c>
      <c r="H24" s="152">
        <v>5.5970690570896653E-2</v>
      </c>
      <c r="I24" s="119"/>
      <c r="J24" s="119"/>
    </row>
    <row r="25" spans="1:10" ht="22.05" customHeight="1" x14ac:dyDescent="0.3">
      <c r="A25" s="125">
        <v>2</v>
      </c>
      <c r="B25" s="126">
        <f t="shared" si="0"/>
        <v>0.85589250675520923</v>
      </c>
      <c r="C25" s="127" t="str" cm="1">
        <f t="array" ref="C25">IF($B25="","",_xlfn.LET(_xlpm.l,$A25,_xlpm.lim,_xlfn.XLOOKUP(_xlpm.l,{0.5,0.75,1,1.25,1.5,1.75,2,2.25,2.5,2.75,3},{0.95,0.94,0.925,0.9125,0.9,0.88,0.86,0.84,0.82,0.8025,0.785}),IF($B25&gt;=_xlpm.lim,"APROVADA",IF($B25&gt;=_xlpm.lim-5%,"PRÓXIMA","ABAIXO"))))</f>
        <v>PRÓXIMA</v>
      </c>
      <c r="D25" s="141" t="s">
        <v>825</v>
      </c>
      <c r="E25" s="119"/>
      <c r="F25" s="136">
        <v>7</v>
      </c>
      <c r="G25" s="137" t="str">
        <v>2 x 0</v>
      </c>
      <c r="H25" s="152">
        <v>4.3187261242975804E-2</v>
      </c>
      <c r="I25" s="119"/>
      <c r="J25" s="119"/>
    </row>
    <row r="26" spans="1:10" ht="22.05" customHeight="1" x14ac:dyDescent="0.3">
      <c r="A26" s="125">
        <v>2.25</v>
      </c>
      <c r="B26" s="126">
        <f t="shared" si="0"/>
        <v>0.82282725986605587</v>
      </c>
      <c r="C26" s="127" t="str" cm="1">
        <f t="array" ref="C26">IF($B26="","",_xlfn.LET(_xlpm.l,$A26,_xlpm.lim,_xlfn.XLOOKUP(_xlpm.l,{0.5,0.75,1,1.25,1.5,1.75,2,2.25,2.5,2.75,3},{0.95,0.94,0.925,0.9125,0.9,0.88,0.86,0.84,0.82,0.8025,0.785}),IF($B26&gt;=_xlpm.lim,"APROVADA",IF($B26&gt;=_xlpm.lim-5%,"PRÓXIMA","ABAIXO"))))</f>
        <v>PRÓXIMA</v>
      </c>
      <c r="D26" s="141" t="s">
        <v>826</v>
      </c>
      <c r="E26" s="119"/>
      <c r="F26" s="136">
        <v>8</v>
      </c>
      <c r="G26" s="153" t="str">
        <v>2 x 3</v>
      </c>
      <c r="H26" s="152">
        <v>4.197801792817249E-2</v>
      </c>
      <c r="I26" s="119"/>
      <c r="J26" s="119"/>
    </row>
    <row r="27" spans="1:10" ht="22.05" customHeight="1" x14ac:dyDescent="0.3">
      <c r="A27" s="125">
        <v>2.5</v>
      </c>
      <c r="B27" s="126">
        <f t="shared" si="0"/>
        <v>0.78976201297690252</v>
      </c>
      <c r="C27" s="127" t="str" cm="1">
        <f t="array" ref="C27">IF($B27="","",_xlfn.LET(_xlpm.l,$A27,_xlpm.lim,_xlfn.XLOOKUP(_xlpm.l,{0.5,0.75,1,1.25,1.5,1.75,2,2.25,2.5,2.75,3},{0.95,0.94,0.925,0.9125,0.9,0.88,0.86,0.84,0.82,0.8025,0.785}),IF($B27&gt;=_xlpm.lim,"APROVADA",IF($B27&gt;=_xlpm.lim-5%,"PRÓXIMA","ABAIXO"))))</f>
        <v>PRÓXIMA</v>
      </c>
      <c r="D27" s="141" t="s">
        <v>820</v>
      </c>
      <c r="E27" s="120"/>
      <c r="F27" s="128"/>
      <c r="G27" s="128"/>
      <c r="H27" s="128"/>
      <c r="I27" s="119"/>
      <c r="J27" s="119"/>
    </row>
    <row r="28" spans="1:10" ht="22.05" customHeight="1" x14ac:dyDescent="0.3">
      <c r="A28" s="125">
        <v>2.75</v>
      </c>
      <c r="B28" s="126">
        <f t="shared" si="0"/>
        <v>0.74347066733208789</v>
      </c>
      <c r="C28" s="127" t="str" cm="1">
        <f t="array" ref="C28">IF($B28="","",_xlfn.LET(_xlpm.l,$A28,_xlpm.lim,_xlfn.XLOOKUP(_xlpm.l,{0.5,0.75,1,1.25,1.5,1.75,2,2.25,2.5,2.75,3},{0.95,0.94,0.925,0.9125,0.9,0.88,0.86,0.84,0.82,0.8025,0.785}),IF($B28&gt;=_xlpm.lim,"APROVADA",IF($B28&gt;=_xlpm.lim-5%,"PRÓXIMA","ABAIXO"))))</f>
        <v>ABAIXO</v>
      </c>
      <c r="D28" s="141" t="s">
        <v>827</v>
      </c>
      <c r="E28" s="119"/>
      <c r="I28" s="119"/>
      <c r="J28" s="119"/>
    </row>
    <row r="29" spans="1:10" ht="22.05" customHeight="1" x14ac:dyDescent="0.3">
      <c r="A29" s="125">
        <v>3</v>
      </c>
      <c r="B29" s="126">
        <f t="shared" si="0"/>
        <v>0.69717932168727326</v>
      </c>
      <c r="C29" s="127" t="str" cm="1">
        <f t="array" ref="C29">IF($B29="","",_xlfn.LET(_xlpm.l,$A29,_xlpm.lim,_xlfn.XLOOKUP(_xlpm.l,{0.5,0.75,1,1.25,1.5,1.75,2,2.25,2.5,2.75,3},{0.95,0.94,0.925,0.9125,0.9,0.88,0.86,0.84,0.82,0.8025,0.785}),IF($B29&gt;=_xlpm.lim,"APROVADA",IF($B29&gt;=_xlpm.lim-5%,"PRÓXIMA","ABAIXO"))))</f>
        <v>ABAIXO</v>
      </c>
      <c r="D29" s="141" t="s">
        <v>828</v>
      </c>
      <c r="E29" s="119"/>
      <c r="I29" s="119"/>
      <c r="J29" s="119"/>
    </row>
    <row r="30" spans="1:10" ht="36" customHeight="1" x14ac:dyDescent="0.3">
      <c r="A30" s="285" t="s">
        <v>829</v>
      </c>
      <c r="B30" s="285"/>
      <c r="C30" s="285"/>
      <c r="D30" s="285"/>
      <c r="E30" s="119"/>
      <c r="I30" s="119"/>
      <c r="J30" s="119"/>
    </row>
    <row r="31" spans="1:10" ht="12" customHeight="1" x14ac:dyDescent="0.3">
      <c r="A31" s="129"/>
      <c r="B31" s="129"/>
      <c r="C31" s="129"/>
      <c r="D31" s="129"/>
      <c r="E31" s="130"/>
      <c r="F31" s="129"/>
      <c r="G31" s="129"/>
      <c r="H31" s="129"/>
      <c r="I31" s="130"/>
      <c r="J31" s="130"/>
    </row>
    <row r="32" spans="1:10" ht="12" customHeight="1" x14ac:dyDescent="0.3">
      <c r="A32" s="124"/>
      <c r="B32" s="124"/>
      <c r="C32" s="124"/>
      <c r="D32" s="124"/>
      <c r="E32" s="124"/>
      <c r="F32" s="124"/>
      <c r="G32" s="124"/>
      <c r="H32" s="124"/>
      <c r="I32" s="124"/>
      <c r="J32" s="124"/>
    </row>
    <row r="33" spans="1:10" ht="25.95" customHeight="1" x14ac:dyDescent="0.4">
      <c r="A33" s="282" t="s">
        <v>3067</v>
      </c>
      <c r="B33" s="282"/>
      <c r="C33" s="282"/>
      <c r="D33" s="282"/>
      <c r="E33" s="282"/>
      <c r="F33" s="282"/>
      <c r="G33" s="282"/>
      <c r="H33" s="282"/>
      <c r="I33" s="282"/>
    </row>
    <row r="34" spans="1:10" ht="19.95" customHeight="1" x14ac:dyDescent="0.3">
      <c r="A34" s="283" t="s">
        <v>3068</v>
      </c>
      <c r="B34" s="283"/>
      <c r="C34" s="283"/>
      <c r="D34" s="283"/>
      <c r="E34" s="283"/>
      <c r="F34" s="283"/>
      <c r="G34" s="283"/>
      <c r="H34" s="283"/>
      <c r="I34" s="283"/>
    </row>
    <row r="35" spans="1:10" ht="12" customHeight="1" x14ac:dyDescent="0.3">
      <c r="E35"/>
    </row>
    <row r="36" spans="1:10" ht="22.05" customHeight="1" x14ac:dyDescent="0.3">
      <c r="A36" s="143" t="s">
        <v>3057</v>
      </c>
      <c r="B36" s="100">
        <f>$D$10</f>
        <v>4.2</v>
      </c>
      <c r="C36" s="144" t="s">
        <v>3069</v>
      </c>
      <c r="D36" s="100">
        <f>IF(OR(B36="",NOT(ISNUMBER(I36)),NOT(ISNUMBER(J36))),"",MAX(B36*1.05,AVERAGE(I36,J36)))</f>
        <v>4.41</v>
      </c>
      <c r="E36" s="143" t="s">
        <v>3070</v>
      </c>
      <c r="F36" t="s">
        <v>1541</v>
      </c>
      <c r="G36" s="143" t="s">
        <v>3060</v>
      </c>
      <c r="H36" t="str">
        <f>IF(D36="","",IF(D36&gt;B36*1.15,"SUPERDISPERSÃO","PRÓXIMA DO POISSON"))</f>
        <v>PRÓXIMA DO POISSON</v>
      </c>
      <c r="I36" cm="1">
        <f t="array" ref="I36">_xlfn.LET(_xlpm.n,$B$5,_xlpm.c,SUMPRODUCT((TRIM(tblDados[Mandante])=_xlpm.n)*tblDados[Primeira_Ocorrencia])+SUMPRODUCT((TRIM(tblDados[Visitante])=_xlpm.n)*tblDados[Primeira_Ocorrencia]),_xlpm.s,SUMPRODUCT((TRIM(tblDados[Mandante])=_xlpm.n)*tblDados[Primeira_Ocorrencia]*(tblDados[GM_M]+tblDados[GS_M]))+SUMPRODUCT((TRIM(tblDados[Visitante])=_xlpm.n)*tblDados[Primeira_Ocorrencia]*(tblDados[GM_V]+tblDados[GS_V])),_xlpm.q,SUMPRODUCT((TRIM(tblDados[Mandante])=_xlpm.n)*tblDados[Primeira_Ocorrencia]*(tblDados[GM_M]+tblDados[GS_M])^2)+SUMPRODUCT((TRIM(tblDados[Visitante])=_xlpm.n)*tblDados[Primeira_Ocorrencia]*(tblDados[GM_V]+tblDados[GS_V])^2),IF(_xlpm.c&gt;1,(_xlpm.q-_xlpm.s^2/_xlpm.c)/(_xlpm.c-1),$B$36))</f>
        <v>1.5378787878787883</v>
      </c>
      <c r="J36" cm="1">
        <f t="array" ref="J36">_xlfn.LET(_xlpm.n,$B$6,_xlpm.c,SUMPRODUCT((TRIM(tblDados[Mandante])=_xlpm.n)*tblDados[Primeira_Ocorrencia])+SUMPRODUCT((TRIM(tblDados[Visitante])=_xlpm.n)*tblDados[Primeira_Ocorrencia]),_xlpm.s,SUMPRODUCT((TRIM(tblDados[Mandante])=_xlpm.n)*tblDados[Primeira_Ocorrencia]*(tblDados[GM_M]+tblDados[GS_M]))+SUMPRODUCT((TRIM(tblDados[Visitante])=_xlpm.n)*tblDados[Primeira_Ocorrencia]*(tblDados[GM_V]+tblDados[GS_V])),_xlpm.q,SUMPRODUCT((TRIM(tblDados[Mandante])=_xlpm.n)*tblDados[Primeira_Ocorrencia]*(tblDados[GM_M]+tblDados[GS_M])^2)+SUMPRODUCT((TRIM(tblDados[Visitante])=_xlpm.n)*tblDados[Primeira_Ocorrencia]*(tblDados[GM_V]+tblDados[GS_V])^2),IF(_xlpm.c&gt;1,(_xlpm.q-_xlpm.s^2/_xlpm.c)/(_xlpm.c-1),$B$36))</f>
        <v>4.628787878787878</v>
      </c>
    </row>
    <row r="37" spans="1:10" ht="22.05" customHeight="1" x14ac:dyDescent="0.3">
      <c r="A37" s="143" t="s">
        <v>3059</v>
      </c>
      <c r="B37" cm="1">
        <f t="array" ref="B37">SUMPRODUCT((TRIM(tblDados[Mandante])=$B$5)*tblDados[Primeira_Ocorrencia])+SUMPRODUCT((TRIM(tblDados[Visitante])=$B$5)*tblDados[Primeira_Ocorrencia])+SUMPRODUCT((TRIM(tblDados[Mandante])=$B$6)*tblDados[Primeira_Ocorrencia])+SUMPRODUCT((TRIM(tblDados[Visitante])=$B$6)*tblDados[Primeira_Ocorrencia])</f>
        <v>24</v>
      </c>
      <c r="C37" s="143" t="s">
        <v>3058</v>
      </c>
      <c r="D37" s="100">
        <f>IF(OR(D36="",B36="",D36&lt;=B36),"",B36^2/(D36-B36))</f>
        <v>84.000000000000014</v>
      </c>
      <c r="E37" s="143" t="s">
        <v>3071</v>
      </c>
      <c r="F37" s="103">
        <f>IF(OR(D37="",B36=""),"",D37/(D37+B36))</f>
        <v>0.95238095238095233</v>
      </c>
      <c r="G37" s="143" t="s">
        <v>3066</v>
      </c>
      <c r="H37" s="142">
        <v>0.75</v>
      </c>
    </row>
    <row r="38" spans="1:10" x14ac:dyDescent="0.3">
      <c r="E38"/>
    </row>
    <row r="39" spans="1:10" ht="42" customHeight="1" x14ac:dyDescent="0.3">
      <c r="A39" s="117" t="s">
        <v>817</v>
      </c>
      <c r="B39" s="117" t="s">
        <v>3061</v>
      </c>
      <c r="C39" s="117" t="s">
        <v>3062</v>
      </c>
      <c r="D39" s="117" t="s">
        <v>3075</v>
      </c>
      <c r="E39" s="148"/>
      <c r="F39" s="117" t="s">
        <v>3076</v>
      </c>
      <c r="G39" s="117" t="s">
        <v>3063</v>
      </c>
      <c r="H39" s="117" t="s">
        <v>3064</v>
      </c>
      <c r="I39" s="147" t="s">
        <v>3065</v>
      </c>
    </row>
    <row r="40" spans="1:10" ht="19.95" customHeight="1" x14ac:dyDescent="0.3">
      <c r="A40" s="26">
        <v>0.5</v>
      </c>
      <c r="B40" s="29">
        <f t="shared" ref="B40:B50" si="1">IF($B$36="","",1-_xlfn.POISSON.DIST(IF(ROUND(MOD($A40,1),2)=0.75,INT($A40)+1,INT($A40)),$B$36,TRUE))</f>
        <v>0.9850044231795223</v>
      </c>
      <c r="C40" s="29">
        <f t="shared" ref="C40:C50" si="2">IF($B$36="","",1-_xlfn.POISSON.DIST(IF(ROUND(MOD($A40,1),2)=0.5,INT($A40),IF(ROUND(MOD($A40,1),2)=0,INT($A40)-1,IF(ROUND(MOD($A40,1),2)=0.25,INT($A40)-1,INT($A40)))),$B$36,TRUE))</f>
        <v>0.9850044231795223</v>
      </c>
      <c r="D40" s="29">
        <f t="shared" ref="D40:D50" si="3">IF(OR($D$37="",$F$37=""),"",1-_xlfn.NEGBINOM.DIST(IF(ROUND(MOD($A40,1),2)=0.75,INT($A40)+1,INT($A40)),$D$37,$F$37,TRUE))</f>
        <v>0.98340035202603737</v>
      </c>
      <c r="E40" s="149"/>
      <c r="F40" s="29">
        <f t="shared" ref="F40:F50" si="4">IF(OR($D$37="",$F$37=""),"",1-_xlfn.NEGBINOM.DIST(IF(ROUND(MOD($A40,1),2)=0.5,INT($A40),IF(ROUND(MOD($A40,1),2)=0,INT($A40)-1,IF(ROUND(MOD($A40,1),2)=0.25,INT($A40)-1,INT($A40)))),$D$37,$F$37,TRUE))</f>
        <v>0.98340035202603737</v>
      </c>
      <c r="G40" s="29">
        <f t="shared" ref="G40:G50" si="5">IF(OR(B40="",D40=""),"",MIN(B40,D40))</f>
        <v>0.98340035202603737</v>
      </c>
      <c r="H40" s="29">
        <f t="shared" ref="H40:H50" si="6">IF(OR(C40="",F40=""),"",MIN(C40,F40))</f>
        <v>0.98340035202603737</v>
      </c>
      <c r="I40" s="28" t="str">
        <f t="shared" ref="I40:I50" si="7">IF(G40="","",IF(G40&gt;=75%,"GREEN ≥75%",IF(H40&gt;=75%,"PROTEÇÃO ≥75%","ABAIXO")))</f>
        <v>GREEN ≥75%</v>
      </c>
    </row>
    <row r="41" spans="1:10" ht="19.95" customHeight="1" x14ac:dyDescent="0.3">
      <c r="A41" s="26">
        <v>0.75</v>
      </c>
      <c r="B41" s="29">
        <f t="shared" si="1"/>
        <v>0.92202300053351594</v>
      </c>
      <c r="C41" s="29">
        <f t="shared" si="2"/>
        <v>0.9850044231795223</v>
      </c>
      <c r="D41" s="29">
        <f t="shared" si="3"/>
        <v>0.91700176013018697</v>
      </c>
      <c r="E41" s="149"/>
      <c r="F41" s="29">
        <f t="shared" si="4"/>
        <v>0.98340035202603737</v>
      </c>
      <c r="G41" s="29">
        <f t="shared" si="5"/>
        <v>0.91700176013018697</v>
      </c>
      <c r="H41" s="29">
        <f t="shared" si="6"/>
        <v>0.98340035202603737</v>
      </c>
      <c r="I41" s="28" t="str">
        <f t="shared" si="7"/>
        <v>GREEN ≥75%</v>
      </c>
    </row>
    <row r="42" spans="1:10" ht="19.95" customHeight="1" x14ac:dyDescent="0.3">
      <c r="A42" s="26">
        <v>1</v>
      </c>
      <c r="B42" s="29">
        <f t="shared" si="1"/>
        <v>0.92202300053351594</v>
      </c>
      <c r="C42" s="29">
        <f t="shared" si="2"/>
        <v>0.9850044231795223</v>
      </c>
      <c r="D42" s="29">
        <f t="shared" si="3"/>
        <v>0.91700176013018697</v>
      </c>
      <c r="E42" s="149"/>
      <c r="F42" s="29">
        <f t="shared" si="4"/>
        <v>0.98340035202603737</v>
      </c>
      <c r="G42" s="29">
        <f t="shared" si="5"/>
        <v>0.91700176013018697</v>
      </c>
      <c r="H42" s="29">
        <f t="shared" si="6"/>
        <v>0.98340035202603737</v>
      </c>
      <c r="I42" s="28" t="str">
        <f t="shared" si="7"/>
        <v>GREEN ≥75%</v>
      </c>
    </row>
    <row r="43" spans="1:10" ht="19.95" customHeight="1" x14ac:dyDescent="0.3">
      <c r="A43" s="26">
        <v>1.25</v>
      </c>
      <c r="B43" s="29">
        <f t="shared" si="1"/>
        <v>0.92202300053351594</v>
      </c>
      <c r="C43" s="29">
        <f t="shared" si="2"/>
        <v>0.9850044231795223</v>
      </c>
      <c r="D43" s="29">
        <f t="shared" si="3"/>
        <v>0.91700176013018697</v>
      </c>
      <c r="E43" s="149"/>
      <c r="F43" s="29">
        <f t="shared" si="4"/>
        <v>0.98340035202603737</v>
      </c>
      <c r="G43" s="29">
        <f t="shared" si="5"/>
        <v>0.91700176013018697</v>
      </c>
      <c r="H43" s="29">
        <f t="shared" si="6"/>
        <v>0.98340035202603737</v>
      </c>
      <c r="I43" s="28" t="str">
        <f t="shared" si="7"/>
        <v>GREEN ≥75%</v>
      </c>
    </row>
    <row r="44" spans="1:10" ht="19.95" customHeight="1" x14ac:dyDescent="0.3">
      <c r="A44" s="26">
        <v>1.5</v>
      </c>
      <c r="B44" s="29">
        <f t="shared" si="1"/>
        <v>0.92202300053351594</v>
      </c>
      <c r="C44" s="29">
        <f t="shared" si="2"/>
        <v>0.92202300053351594</v>
      </c>
      <c r="D44" s="29">
        <f t="shared" si="3"/>
        <v>0.91700176013018697</v>
      </c>
      <c r="E44" s="149"/>
      <c r="F44" s="29">
        <f t="shared" si="4"/>
        <v>0.91700176013018697</v>
      </c>
      <c r="G44" s="29">
        <f t="shared" si="5"/>
        <v>0.91700176013018697</v>
      </c>
      <c r="H44" s="29">
        <f t="shared" si="6"/>
        <v>0.91700176013018697</v>
      </c>
      <c r="I44" s="28" t="str">
        <f t="shared" si="7"/>
        <v>GREEN ≥75%</v>
      </c>
    </row>
    <row r="45" spans="1:10" ht="19.95" customHeight="1" x14ac:dyDescent="0.3">
      <c r="A45" s="26">
        <v>1.75</v>
      </c>
      <c r="B45" s="29">
        <f t="shared" si="1"/>
        <v>0.78976201297690252</v>
      </c>
      <c r="C45" s="29">
        <f t="shared" si="2"/>
        <v>0.92202300053351594</v>
      </c>
      <c r="D45" s="29">
        <f t="shared" si="3"/>
        <v>0.78262365748382279</v>
      </c>
      <c r="E45" s="149"/>
      <c r="F45" s="29">
        <f t="shared" si="4"/>
        <v>0.91700176013018697</v>
      </c>
      <c r="G45" s="29">
        <f t="shared" si="5"/>
        <v>0.78262365748382279</v>
      </c>
      <c r="H45" s="29">
        <f t="shared" si="6"/>
        <v>0.91700176013018697</v>
      </c>
      <c r="I45" s="28" t="str">
        <f t="shared" si="7"/>
        <v>GREEN ≥75%</v>
      </c>
    </row>
    <row r="46" spans="1:10" ht="19.95" customHeight="1" x14ac:dyDescent="0.3">
      <c r="A46" s="26">
        <v>2</v>
      </c>
      <c r="B46" s="29">
        <f t="shared" si="1"/>
        <v>0.78976201297690252</v>
      </c>
      <c r="C46" s="29">
        <f t="shared" si="2"/>
        <v>0.92202300053351594</v>
      </c>
      <c r="D46" s="29">
        <f t="shared" si="3"/>
        <v>0.78262365748382279</v>
      </c>
      <c r="E46" s="149"/>
      <c r="F46" s="29">
        <f t="shared" si="4"/>
        <v>0.91700176013018697</v>
      </c>
      <c r="G46" s="29">
        <f t="shared" si="5"/>
        <v>0.78262365748382279</v>
      </c>
      <c r="H46" s="29">
        <f t="shared" si="6"/>
        <v>0.91700176013018697</v>
      </c>
      <c r="I46" s="150" t="str">
        <f t="shared" si="7"/>
        <v>GREEN ≥75%</v>
      </c>
      <c r="J46" s="116"/>
    </row>
    <row r="47" spans="1:10" ht="19.95" customHeight="1" x14ac:dyDescent="0.3">
      <c r="A47" s="26">
        <v>2.25</v>
      </c>
      <c r="B47" s="29">
        <f t="shared" si="1"/>
        <v>0.78976201297690252</v>
      </c>
      <c r="C47" s="29">
        <f t="shared" si="2"/>
        <v>0.92202300053351594</v>
      </c>
      <c r="D47" s="29">
        <f t="shared" si="3"/>
        <v>0.78262365748382279</v>
      </c>
      <c r="E47" s="149"/>
      <c r="F47" s="29">
        <f t="shared" si="4"/>
        <v>0.91700176013018697</v>
      </c>
      <c r="G47" s="29">
        <f t="shared" si="5"/>
        <v>0.78262365748382279</v>
      </c>
      <c r="H47" s="29">
        <f t="shared" si="6"/>
        <v>0.91700176013018697</v>
      </c>
      <c r="I47" s="28" t="str">
        <f t="shared" si="7"/>
        <v>GREEN ≥75%</v>
      </c>
    </row>
    <row r="48" spans="1:10" ht="19.95" customHeight="1" x14ac:dyDescent="0.3">
      <c r="A48" s="26">
        <v>2.5</v>
      </c>
      <c r="B48" s="29">
        <f t="shared" si="1"/>
        <v>0.78976201297690252</v>
      </c>
      <c r="C48" s="29">
        <f t="shared" si="2"/>
        <v>0.78976201297690252</v>
      </c>
      <c r="D48" s="29">
        <f t="shared" si="3"/>
        <v>0.78262365748382279</v>
      </c>
      <c r="E48" s="149"/>
      <c r="F48" s="29">
        <f t="shared" si="4"/>
        <v>0.78262365748382279</v>
      </c>
      <c r="G48" s="29">
        <f t="shared" si="5"/>
        <v>0.78262365748382279</v>
      </c>
      <c r="H48" s="29">
        <f t="shared" si="6"/>
        <v>0.78262365748382279</v>
      </c>
      <c r="I48" s="28" t="str">
        <f t="shared" si="7"/>
        <v>GREEN ≥75%</v>
      </c>
    </row>
    <row r="49" spans="1:9" ht="19.95" customHeight="1" x14ac:dyDescent="0.3">
      <c r="A49" s="26">
        <v>2.75</v>
      </c>
      <c r="B49" s="29">
        <f t="shared" si="1"/>
        <v>0.60459663039764389</v>
      </c>
      <c r="C49" s="29">
        <f t="shared" si="2"/>
        <v>0.78976201297690252</v>
      </c>
      <c r="D49" s="29">
        <f t="shared" si="3"/>
        <v>0.59918688244275387</v>
      </c>
      <c r="E49" s="149"/>
      <c r="F49" s="29">
        <f t="shared" si="4"/>
        <v>0.78262365748382279</v>
      </c>
      <c r="G49" s="29">
        <f t="shared" si="5"/>
        <v>0.59918688244275387</v>
      </c>
      <c r="H49" s="29">
        <f t="shared" si="6"/>
        <v>0.78262365748382279</v>
      </c>
      <c r="I49" s="28" t="str">
        <f t="shared" si="7"/>
        <v>PROTEÇÃO ≥75%</v>
      </c>
    </row>
    <row r="50" spans="1:9" ht="19.95" customHeight="1" x14ac:dyDescent="0.3">
      <c r="A50" s="26">
        <v>3</v>
      </c>
      <c r="B50" s="29">
        <f t="shared" si="1"/>
        <v>0.60459663039764389</v>
      </c>
      <c r="C50" s="29">
        <f t="shared" si="2"/>
        <v>0.78976201297690252</v>
      </c>
      <c r="D50" s="29">
        <f t="shared" si="3"/>
        <v>0.59918688244275387</v>
      </c>
      <c r="E50" s="149"/>
      <c r="F50" s="29">
        <f t="shared" si="4"/>
        <v>0.78262365748382279</v>
      </c>
      <c r="G50" s="29">
        <f t="shared" si="5"/>
        <v>0.59918688244275387</v>
      </c>
      <c r="H50" s="29">
        <f t="shared" si="6"/>
        <v>0.78262365748382279</v>
      </c>
      <c r="I50" s="28" t="str">
        <f t="shared" si="7"/>
        <v>PROTEÇÃO ≥75%</v>
      </c>
    </row>
    <row r="51" spans="1:9" ht="24" customHeight="1" x14ac:dyDescent="0.3">
      <c r="A51" s="145" t="s">
        <v>3072</v>
      </c>
      <c r="B51" s="145" t="s">
        <v>3073</v>
      </c>
      <c r="C51" s="151" cm="1">
        <f t="array" ref="C51">IFERROR(MAX(_xlfn._xlws.FILTER($A$40:$A$50,$G$40:$G$50&gt;=75%)),"")</f>
        <v>2.5</v>
      </c>
      <c r="D51" s="146"/>
      <c r="E51" s="146"/>
      <c r="F51" s="146" t="s">
        <v>3074</v>
      </c>
      <c r="G51" s="151" cm="1">
        <f t="array" ref="G51">IFERROR(MAX(_xlfn._xlws.FILTER($A$40:$A$50,$H$40:$H$50&gt;=75%)),"")</f>
        <v>3</v>
      </c>
      <c r="H51" s="284" t="s">
        <v>3077</v>
      </c>
      <c r="I51" s="284"/>
    </row>
    <row r="52" spans="1:9" ht="18" customHeight="1" x14ac:dyDescent="0.3">
      <c r="E52"/>
    </row>
    <row r="53" spans="1:9" ht="19.8" x14ac:dyDescent="0.4">
      <c r="A53" s="282" t="s">
        <v>4664</v>
      </c>
      <c r="B53" s="282"/>
      <c r="C53" s="282"/>
      <c r="D53" s="282"/>
      <c r="E53" s="282"/>
      <c r="F53" s="282"/>
      <c r="G53" s="282"/>
      <c r="H53" s="282"/>
      <c r="I53" s="282"/>
    </row>
    <row r="54" spans="1:9" x14ac:dyDescent="0.3">
      <c r="A54" s="283" t="s">
        <v>4665</v>
      </c>
      <c r="B54" s="283"/>
      <c r="C54" s="283"/>
      <c r="D54" s="283"/>
      <c r="E54" s="283"/>
      <c r="F54" s="283"/>
      <c r="G54" s="283"/>
      <c r="H54" s="283"/>
      <c r="I54" s="283"/>
    </row>
    <row r="55" spans="1:9" x14ac:dyDescent="0.3">
      <c r="E55"/>
    </row>
    <row r="56" spans="1:9" x14ac:dyDescent="0.3">
      <c r="A56" s="117" t="s">
        <v>3066</v>
      </c>
      <c r="B56" s="117" t="s">
        <v>4666</v>
      </c>
      <c r="C56" s="117" t="s">
        <v>3065</v>
      </c>
      <c r="D56" s="117" t="s">
        <v>4667</v>
      </c>
      <c r="E56"/>
      <c r="F56" s="117" t="s">
        <v>804</v>
      </c>
      <c r="G56" s="117" t="s">
        <v>426</v>
      </c>
      <c r="H56" s="117" t="s">
        <v>4668</v>
      </c>
      <c r="I56" s="147" t="s">
        <v>4669</v>
      </c>
    </row>
    <row r="57" spans="1:9" x14ac:dyDescent="0.3">
      <c r="A57" s="26" t="s">
        <v>3057</v>
      </c>
      <c r="B57" s="26">
        <f>$D$10</f>
        <v>4.2</v>
      </c>
      <c r="C57" s="29" t="str">
        <f>IF(B57&lt;2.5,"Proteção máxima",IF(B57&lt;3.5,"Faixa de avanço","Sem avanço automático"))</f>
        <v>Sem avanço automático</v>
      </c>
      <c r="D57" s="29" t="s">
        <v>4674</v>
      </c>
      <c r="E57"/>
      <c r="F57" s="29" t="s">
        <v>4679</v>
      </c>
      <c r="G57" s="29" t="str">
        <f>C57</f>
        <v>Sem avanço automático</v>
      </c>
      <c r="H57" s="29" t="s">
        <v>4683</v>
      </c>
      <c r="I57" s="178" t="s">
        <v>4686</v>
      </c>
    </row>
    <row r="58" spans="1:9" ht="28.8" x14ac:dyDescent="0.3">
      <c r="A58" s="26" t="s">
        <v>4670</v>
      </c>
      <c r="B58" s="29">
        <f>IF($H$40="","",1-$H$40)</f>
        <v>1.6599647973962628E-2</v>
      </c>
      <c r="C58" s="29" t="str">
        <f>IF(B58&lt;=5%,"Baixo",IF(B58&lt;=10%,"Atenção","Impeditivo"))</f>
        <v>Baixo</v>
      </c>
      <c r="D58" s="29" t="s">
        <v>4675</v>
      </c>
      <c r="E58"/>
      <c r="F58" s="29" t="s">
        <v>4680</v>
      </c>
      <c r="G58" s="29">
        <f>$B$58</f>
        <v>1.6599647973962628E-2</v>
      </c>
      <c r="H58" s="29" t="s">
        <v>4684</v>
      </c>
      <c r="I58" s="178" t="s">
        <v>4687</v>
      </c>
    </row>
    <row r="59" spans="1:9" x14ac:dyDescent="0.3">
      <c r="A59" s="26" t="s">
        <v>4671</v>
      </c>
      <c r="B59" s="26">
        <f>IF(OR($D$10="",$B$58&gt;10%),0,IF(AND($D$10&gt;=2.5,$D$10&lt;3.5),IF($B$58&lt;7.5%,0.5,0.25),0))</f>
        <v>0</v>
      </c>
      <c r="C59" s="29" t="str">
        <f>IF(B58&gt;10%,"Bloqueado",IF(B59=0.5,"Avançar 0,50",IF(B59=0.25,"Avançar 0,25","Sem avanço")))</f>
        <v>Sem avanço</v>
      </c>
      <c r="D59" s="29" t="s">
        <v>4676</v>
      </c>
      <c r="E59"/>
      <c r="F59" s="29" t="s">
        <v>4681</v>
      </c>
      <c r="G59" s="26">
        <f>$B$59</f>
        <v>0</v>
      </c>
      <c r="H59" s="29" t="s">
        <v>4684</v>
      </c>
      <c r="I59" s="178" t="s">
        <v>4688</v>
      </c>
    </row>
    <row r="60" spans="1:9" x14ac:dyDescent="0.3">
      <c r="A60" s="26" t="s">
        <v>848</v>
      </c>
      <c r="B60" s="26">
        <f>$H$13</f>
        <v>2.5</v>
      </c>
      <c r="C60" s="29" t="s">
        <v>4673</v>
      </c>
      <c r="D60" s="29" t="s">
        <v>4677</v>
      </c>
      <c r="E60"/>
      <c r="F60" s="29" t="s">
        <v>4682</v>
      </c>
      <c r="G60" s="29" t="str">
        <f>IF(B61=0,"—","OVER "&amp;FIXED(B61,2,FALSE))</f>
        <v>OVER 2,50</v>
      </c>
      <c r="H60" s="29" t="s">
        <v>4684</v>
      </c>
      <c r="I60" s="178" t="s">
        <v>4689</v>
      </c>
    </row>
    <row r="61" spans="1:9" x14ac:dyDescent="0.3">
      <c r="A61" s="26" t="s">
        <v>4672</v>
      </c>
      <c r="B61" s="26">
        <f>IF(OR($H$13=0,$B$58&gt;10%),0,MIN(3,$H$13+$B$59))</f>
        <v>2.5</v>
      </c>
      <c r="C61" s="29" t="str">
        <f>IF(B61=0,"Sem entrada","OVER "&amp;FIXED(B61,2,FALSE))</f>
        <v>OVER 2,50</v>
      </c>
      <c r="D61" s="29" t="s">
        <v>4678</v>
      </c>
      <c r="E61"/>
      <c r="F61" s="29" t="s">
        <v>807</v>
      </c>
      <c r="G61" s="29" t="str">
        <f>$G$15</f>
        <v>ANALISAR OVER 2,50</v>
      </c>
      <c r="H61" s="29" t="s">
        <v>4685</v>
      </c>
      <c r="I61" s="178" t="s">
        <v>4690</v>
      </c>
    </row>
    <row r="62" spans="1:9" ht="22.05" customHeight="1" x14ac:dyDescent="0.3">
      <c r="E62"/>
    </row>
    <row r="63" spans="1:9" ht="22.05" customHeight="1" x14ac:dyDescent="0.3">
      <c r="E63"/>
    </row>
    <row r="64" spans="1:9" ht="22.05" customHeight="1" x14ac:dyDescent="0.3">
      <c r="E64"/>
    </row>
    <row r="65" spans="5:5" ht="14.4" hidden="1" customHeight="1" x14ac:dyDescent="0.3">
      <c r="E65"/>
    </row>
    <row r="66" spans="5:5" ht="24" customHeight="1" x14ac:dyDescent="0.3">
      <c r="E66"/>
    </row>
    <row r="67" spans="5:5" ht="48" customHeight="1" x14ac:dyDescent="0.3">
      <c r="E67"/>
    </row>
    <row r="68" spans="5:5" ht="42" customHeight="1" x14ac:dyDescent="0.3">
      <c r="E68"/>
    </row>
    <row r="69" spans="5:5" ht="14.4" hidden="1" customHeight="1" x14ac:dyDescent="0.3">
      <c r="E69"/>
    </row>
    <row r="70" spans="5:5" ht="14.4" hidden="1" customHeight="1" x14ac:dyDescent="0.3">
      <c r="E70"/>
    </row>
    <row r="71" spans="5:5" ht="14.4" hidden="1" customHeight="1" x14ac:dyDescent="0.3">
      <c r="E71"/>
    </row>
    <row r="72" spans="5:5" ht="14.4" hidden="1" customHeight="1" x14ac:dyDescent="0.3">
      <c r="E72"/>
    </row>
    <row r="73" spans="5:5" ht="14.4" hidden="1" customHeight="1" x14ac:dyDescent="0.3">
      <c r="E73"/>
    </row>
    <row r="74" spans="5:5" ht="14.4" hidden="1" customHeight="1" x14ac:dyDescent="0.3">
      <c r="E74"/>
    </row>
    <row r="75" spans="5:5" ht="14.4" hidden="1" customHeight="1" x14ac:dyDescent="0.3">
      <c r="E75"/>
    </row>
    <row r="76" spans="5:5" ht="14.4" hidden="1" customHeight="1" x14ac:dyDescent="0.3">
      <c r="E76"/>
    </row>
    <row r="77" spans="5:5" ht="14.4" hidden="1" customHeight="1" x14ac:dyDescent="0.3">
      <c r="E77"/>
    </row>
    <row r="78" spans="5:5" ht="14.4" hidden="1" customHeight="1" x14ac:dyDescent="0.3">
      <c r="E78"/>
    </row>
    <row r="79" spans="5:5" ht="14.4" hidden="1" customHeight="1" x14ac:dyDescent="0.3">
      <c r="E79"/>
    </row>
    <row r="80" spans="5:5" ht="14.4" hidden="1" customHeight="1" x14ac:dyDescent="0.3">
      <c r="E80"/>
    </row>
    <row r="81" spans="5:5" ht="14.4" hidden="1" customHeight="1" x14ac:dyDescent="0.3">
      <c r="E81"/>
    </row>
    <row r="82" spans="5:5" ht="14.4" hidden="1" customHeight="1" x14ac:dyDescent="0.3">
      <c r="E82"/>
    </row>
    <row r="83" spans="5:5" ht="14.4" hidden="1" customHeight="1" x14ac:dyDescent="0.3">
      <c r="E83"/>
    </row>
    <row r="84" spans="5:5" ht="14.4" hidden="1" customHeight="1" x14ac:dyDescent="0.3">
      <c r="E84"/>
    </row>
    <row r="85" spans="5:5" ht="14.4" hidden="1" customHeight="1" x14ac:dyDescent="0.3">
      <c r="E85"/>
    </row>
    <row r="86" spans="5:5" ht="14.4" hidden="1" customHeight="1" x14ac:dyDescent="0.3">
      <c r="E86"/>
    </row>
    <row r="87" spans="5:5" ht="14.4" hidden="1" customHeight="1" x14ac:dyDescent="0.3">
      <c r="E87"/>
    </row>
    <row r="88" spans="5:5" ht="14.4" hidden="1" customHeight="1" x14ac:dyDescent="0.3">
      <c r="E88"/>
    </row>
    <row r="89" spans="5:5" ht="14.4" hidden="1" customHeight="1" x14ac:dyDescent="0.3">
      <c r="E89"/>
    </row>
    <row r="90" spans="5:5" ht="14.4" hidden="1" customHeight="1" x14ac:dyDescent="0.3">
      <c r="E90"/>
    </row>
    <row r="91" spans="5:5" ht="14.4" hidden="1" customHeight="1" x14ac:dyDescent="0.3">
      <c r="E91"/>
    </row>
    <row r="92" spans="5:5" ht="14.4" hidden="1" customHeight="1" x14ac:dyDescent="0.3">
      <c r="E92"/>
    </row>
    <row r="93" spans="5:5" ht="14.4" hidden="1" customHeight="1" x14ac:dyDescent="0.3">
      <c r="E93"/>
    </row>
    <row r="94" spans="5:5" ht="14.4" hidden="1" customHeight="1" x14ac:dyDescent="0.3">
      <c r="E94"/>
    </row>
    <row r="95" spans="5:5" ht="14.4" hidden="1" customHeight="1" x14ac:dyDescent="0.3">
      <c r="E95"/>
    </row>
    <row r="96" spans="5:5" ht="14.4" hidden="1" customHeight="1" x14ac:dyDescent="0.3">
      <c r="E96"/>
    </row>
    <row r="97" spans="5:5" ht="14.4" hidden="1" customHeight="1" x14ac:dyDescent="0.3">
      <c r="E97"/>
    </row>
    <row r="98" spans="5:5" ht="14.4" hidden="1" customHeight="1" x14ac:dyDescent="0.3">
      <c r="E98"/>
    </row>
    <row r="99" spans="5:5" ht="14.4" hidden="1" customHeight="1" x14ac:dyDescent="0.3">
      <c r="E99"/>
    </row>
    <row r="100" spans="5:5" ht="14.4" hidden="1" customHeight="1" x14ac:dyDescent="0.3">
      <c r="E100"/>
    </row>
    <row r="101" spans="5:5" ht="14.4" hidden="1" customHeight="1" x14ac:dyDescent="0.3">
      <c r="E101"/>
    </row>
    <row r="102" spans="5:5" ht="14.4" hidden="1" customHeight="1" x14ac:dyDescent="0.3">
      <c r="E102"/>
    </row>
    <row r="103" spans="5:5" ht="14.4" hidden="1" customHeight="1" x14ac:dyDescent="0.3">
      <c r="E103"/>
    </row>
    <row r="104" spans="5:5" ht="14.4" hidden="1" customHeight="1" x14ac:dyDescent="0.3">
      <c r="E104"/>
    </row>
    <row r="105" spans="5:5" ht="14.4" hidden="1" customHeight="1" x14ac:dyDescent="0.3">
      <c r="E105"/>
    </row>
    <row r="106" spans="5:5" ht="14.4" hidden="1" customHeight="1" x14ac:dyDescent="0.3">
      <c r="E106"/>
    </row>
    <row r="107" spans="5:5" ht="14.4" hidden="1" customHeight="1" x14ac:dyDescent="0.3">
      <c r="E107"/>
    </row>
    <row r="108" spans="5:5" ht="14.4" hidden="1" customHeight="1" x14ac:dyDescent="0.3">
      <c r="E108"/>
    </row>
    <row r="109" spans="5:5" ht="14.4" hidden="1" customHeight="1" x14ac:dyDescent="0.3">
      <c r="E109"/>
    </row>
    <row r="110" spans="5:5" ht="14.4" hidden="1" customHeight="1" x14ac:dyDescent="0.3">
      <c r="E110"/>
    </row>
    <row r="111" spans="5:5" ht="14.4" hidden="1" customHeight="1" x14ac:dyDescent="0.3">
      <c r="E111"/>
    </row>
    <row r="112" spans="5:5" ht="14.4" hidden="1" customHeight="1" x14ac:dyDescent="0.3">
      <c r="E112"/>
    </row>
    <row r="113" spans="5:5" ht="14.4" hidden="1" customHeight="1" x14ac:dyDescent="0.3">
      <c r="E113"/>
    </row>
    <row r="114" spans="5:5" ht="14.4" hidden="1" customHeight="1" x14ac:dyDescent="0.3">
      <c r="E114"/>
    </row>
    <row r="115" spans="5:5" ht="14.4" hidden="1" customHeight="1" x14ac:dyDescent="0.3">
      <c r="E115"/>
    </row>
    <row r="116" spans="5:5" ht="14.4" hidden="1" customHeight="1" x14ac:dyDescent="0.3">
      <c r="E116"/>
    </row>
    <row r="117" spans="5:5" ht="14.4" hidden="1" customHeight="1" x14ac:dyDescent="0.3">
      <c r="E117"/>
    </row>
    <row r="118" spans="5:5" ht="14.4" hidden="1" customHeight="1" x14ac:dyDescent="0.3">
      <c r="E118"/>
    </row>
    <row r="119" spans="5:5" ht="14.4" hidden="1" customHeight="1" x14ac:dyDescent="0.3">
      <c r="E119"/>
    </row>
    <row r="120" spans="5:5" ht="14.4" hidden="1" customHeight="1" x14ac:dyDescent="0.3">
      <c r="E120"/>
    </row>
    <row r="121" spans="5:5" ht="14.4" hidden="1" customHeight="1" x14ac:dyDescent="0.3">
      <c r="E121"/>
    </row>
    <row r="122" spans="5:5" ht="14.4" hidden="1" customHeight="1" x14ac:dyDescent="0.3">
      <c r="E122"/>
    </row>
    <row r="123" spans="5:5" ht="14.4" hidden="1" customHeight="1" x14ac:dyDescent="0.3">
      <c r="E123"/>
    </row>
    <row r="124" spans="5:5" ht="14.4" hidden="1" customHeight="1" x14ac:dyDescent="0.3">
      <c r="E124"/>
    </row>
    <row r="125" spans="5:5" ht="14.4" hidden="1" customHeight="1" x14ac:dyDescent="0.3">
      <c r="E125"/>
    </row>
    <row r="126" spans="5:5" ht="14.4" hidden="1" customHeight="1" x14ac:dyDescent="0.3">
      <c r="E126"/>
    </row>
    <row r="127" spans="5:5" ht="14.4" hidden="1" customHeight="1" x14ac:dyDescent="0.3">
      <c r="E127"/>
    </row>
    <row r="128" spans="5:5" ht="14.4" hidden="1" customHeight="1" x14ac:dyDescent="0.3">
      <c r="E128"/>
    </row>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sheetData>
  <mergeCells count="18">
    <mergeCell ref="A30:D30"/>
    <mergeCell ref="B15:C15"/>
    <mergeCell ref="E5:G5"/>
    <mergeCell ref="F17:H17"/>
    <mergeCell ref="A1:J1"/>
    <mergeCell ref="A2:J2"/>
    <mergeCell ref="A4:J4"/>
    <mergeCell ref="A17:D17"/>
    <mergeCell ref="H5:J5"/>
    <mergeCell ref="E6:G6"/>
    <mergeCell ref="H6:J6"/>
    <mergeCell ref="A8:D8"/>
    <mergeCell ref="F8:H8"/>
    <mergeCell ref="A53:I53"/>
    <mergeCell ref="A54:I54"/>
    <mergeCell ref="A33:I33"/>
    <mergeCell ref="A34:I34"/>
    <mergeCell ref="H51:I51"/>
  </mergeCells>
  <phoneticPr fontId="16" type="noConversion"/>
  <conditionalFormatting sqref="C19:C29">
    <cfRule type="expression" dxfId="453" priority="23">
      <formula>$C19="APROVADA"</formula>
    </cfRule>
    <cfRule type="expression" dxfId="452" priority="24">
      <formula>$C19="PRÓXIMA"</formula>
    </cfRule>
    <cfRule type="expression" dxfId="451" priority="25">
      <formula>$C19="ABAIXO"</formula>
    </cfRule>
  </conditionalFormatting>
  <conditionalFormatting sqref="G40:G50">
    <cfRule type="cellIs" dxfId="450" priority="26" operator="greaterThanOrEqual">
      <formula>0.75</formula>
    </cfRule>
  </conditionalFormatting>
  <conditionalFormatting sqref="G57:G61">
    <cfRule type="cellIs" dxfId="449" priority="1" operator="greaterThanOrEqual">
      <formula>0.75</formula>
    </cfRule>
  </conditionalFormatting>
  <conditionalFormatting sqref="H40:H50">
    <cfRule type="cellIs" dxfId="448" priority="27" operator="greaterThanOrEqual">
      <formula>0.75</formula>
    </cfRule>
  </conditionalFormatting>
  <conditionalFormatting sqref="H57:H61">
    <cfRule type="cellIs" dxfId="447" priority="2" operator="greaterThanOrEqual">
      <formula>0.75</formula>
    </cfRule>
  </conditionalFormatting>
  <dataValidations count="3">
    <dataValidation type="list" errorStyle="warning" allowBlank="1" showInputMessage="1" showErrorMessage="1" errorTitle="Grafia não encontrada" error="O nome não corresponde ao cadastro. Confirme e consulte a sugestão exibida ao lado." promptTitle="Seleção da equipe" prompt="Escolha na lista ou digite o nome. Divergências de grafia serão sinalizadas." sqref="B5:B6" xr:uid="{54AC079E-DBD6-4C10-9374-934E05063780}">
      <formula1>CadastroEquipes</formula1>
    </dataValidation>
    <dataValidation type="whole" operator="greaterThanOrEqual" allowBlank="1" showErrorMessage="1" errorTitle="Placar inválido" error="Informe gols inteiros iguais ou maiores que zero." sqref="G24:H24" xr:uid="{5791F81B-EF18-43F4-978D-03BD6F441321}">
      <formula1>0</formula1>
    </dataValidation>
    <dataValidation type="decimal" allowBlank="1" showErrorMessage="1" errorTitle="Linha inválida" error="Informe uma linha Over entre 0 e 10." sqref="G25" xr:uid="{518B8548-9CCE-4D51-8050-EFE0E63D8C13}">
      <formula1>0</formula1>
      <formula2>10</formula2>
    </dataValidation>
  </dataValidations>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BD6E-B7D1-4750-989C-A52DA70B63B1}">
  <dimension ref="A1:J1000"/>
  <sheetViews>
    <sheetView zoomScale="90" zoomScaleNormal="90" workbookViewId="0">
      <selection activeCell="I7" sqref="I7:I8"/>
    </sheetView>
  </sheetViews>
  <sheetFormatPr defaultRowHeight="14.4" x14ac:dyDescent="0.3"/>
  <cols>
    <col min="1" max="1" width="21.33203125" customWidth="1"/>
    <col min="2" max="2" width="17.5546875" customWidth="1"/>
    <col min="3" max="3" width="20.33203125" customWidth="1"/>
    <col min="4" max="4" width="26.88671875" customWidth="1"/>
    <col min="5" max="5" width="3.6640625" style="43" customWidth="1"/>
    <col min="6" max="6" width="21.33203125" customWidth="1"/>
    <col min="7" max="8" width="19.44140625" customWidth="1"/>
    <col min="9" max="10" width="23.109375" customWidth="1"/>
    <col min="11" max="11" width="9.6640625" customWidth="1"/>
    <col min="12" max="12" width="13.33203125" customWidth="1"/>
    <col min="13" max="13" width="5.88671875" customWidth="1"/>
    <col min="14" max="24" width="8.109375" customWidth="1"/>
    <col min="25" max="50" width="0" hidden="1" customWidth="1"/>
  </cols>
  <sheetData>
    <row r="1" spans="1:10" ht="28.05" customHeight="1" x14ac:dyDescent="0.3">
      <c r="A1" s="291" t="s">
        <v>11436</v>
      </c>
      <c r="B1" s="291"/>
      <c r="C1" s="291"/>
      <c r="D1" s="291"/>
      <c r="E1" s="292"/>
      <c r="F1" s="291"/>
      <c r="G1" s="291"/>
      <c r="H1" s="291"/>
      <c r="I1" s="292"/>
      <c r="J1" s="292"/>
    </row>
    <row r="2" spans="1:10" ht="19.95" customHeight="1" x14ac:dyDescent="0.3">
      <c r="A2" s="293" t="s">
        <v>11437</v>
      </c>
      <c r="B2" s="293"/>
      <c r="C2" s="293"/>
      <c r="D2" s="293"/>
      <c r="E2" s="294"/>
      <c r="F2" s="293"/>
      <c r="G2" s="293"/>
      <c r="H2" s="293"/>
      <c r="I2" s="294"/>
      <c r="J2" s="294"/>
    </row>
    <row r="3" spans="1:10" ht="12" customHeight="1" x14ac:dyDescent="0.3">
      <c r="A3" s="118"/>
      <c r="B3" s="118"/>
      <c r="C3" s="118"/>
      <c r="D3" s="118"/>
      <c r="E3" s="119"/>
      <c r="F3" s="118"/>
      <c r="G3" s="118"/>
      <c r="H3" s="118"/>
      <c r="I3" s="119"/>
      <c r="J3" s="119"/>
    </row>
    <row r="4" spans="1:10" ht="22.05" customHeight="1" x14ac:dyDescent="0.3">
      <c r="A4" s="290" t="s">
        <v>412</v>
      </c>
      <c r="B4" s="290"/>
      <c r="C4" s="290"/>
      <c r="D4" s="290"/>
      <c r="E4" s="295"/>
      <c r="F4" s="290"/>
      <c r="G4" s="290"/>
      <c r="H4" s="290"/>
      <c r="I4" s="295"/>
      <c r="J4" s="295"/>
    </row>
    <row r="5" spans="1:10" ht="19.95" customHeight="1" x14ac:dyDescent="0.3">
      <c r="A5" s="47" t="s">
        <v>45</v>
      </c>
      <c r="B5" s="114" t="s">
        <v>4793</v>
      </c>
      <c r="C5" s="49"/>
      <c r="D5" s="131" t="s">
        <v>344</v>
      </c>
      <c r="E5" s="288" t="str">
        <f>IF($B$5="","",IFERROR(INDEX(Equipes!$B$2:$B$1000,MATCH($B$5,Equipes!$A$2:$A$1000,0)),"Sem histórico"))</f>
        <v>SWE - Allsvenskan</v>
      </c>
      <c r="F5" s="289"/>
      <c r="G5" s="289"/>
      <c r="H5" s="296" t="str">
        <f>IF($B$5="","",IF(COUNTIF(Equipes!$A$2:$A$1000,TRIM($B$5))&gt;0,"✓ Histórico disponível",IF(COUNTIF(CadastroEquipes,TRIM($B$5))&gt;0,"⚠ Cadastrada, sem histórico","⚠ Nome não cadastrado")))</f>
        <v>✓ Histórico disponível</v>
      </c>
      <c r="I5" s="297"/>
      <c r="J5" s="298"/>
    </row>
    <row r="6" spans="1:10" ht="19.95" customHeight="1" x14ac:dyDescent="0.3">
      <c r="A6" s="47" t="s">
        <v>48</v>
      </c>
      <c r="B6" s="114" t="s">
        <v>4754</v>
      </c>
      <c r="C6" s="49"/>
      <c r="D6" s="131" t="s">
        <v>344</v>
      </c>
      <c r="E6" s="288" t="str">
        <f>IF($B$6="","",IFERROR(INDEX(Equipes!$B$2:$B$1000,MATCH($B$6,Equipes!$A$2:$A$1000,0)),"Sem histórico"))</f>
        <v>SWE - Allsvenskan</v>
      </c>
      <c r="F6" s="289"/>
      <c r="G6" s="289"/>
      <c r="H6" s="296" t="str">
        <f>IF($B$6="","",IF(COUNTIF(Equipes!$A$2:$A$1000,TRIM($B$6))&gt;0,"✓ Histórico disponível",IF(COUNTIF(CadastroEquipes,TRIM($B$6))&gt;0,"⚠ Cadastrada, sem histórico","⚠ Nome não cadastrado")))</f>
        <v>✓ Histórico disponível</v>
      </c>
      <c r="I6" s="297"/>
      <c r="J6" s="298"/>
    </row>
    <row r="7" spans="1:10" ht="12" customHeight="1" x14ac:dyDescent="0.3">
      <c r="A7" s="118"/>
      <c r="B7" s="118"/>
      <c r="C7" s="118"/>
      <c r="D7" s="118"/>
      <c r="E7" s="119"/>
      <c r="F7" s="118"/>
      <c r="G7" s="118"/>
      <c r="H7" s="118"/>
      <c r="I7" s="119"/>
      <c r="J7" s="119"/>
    </row>
    <row r="8" spans="1:10" ht="22.05" customHeight="1" x14ac:dyDescent="0.3">
      <c r="A8" s="290" t="s">
        <v>413</v>
      </c>
      <c r="B8" s="290"/>
      <c r="C8" s="290"/>
      <c r="D8" s="290"/>
      <c r="E8" s="120"/>
      <c r="F8" s="299" t="s">
        <v>815</v>
      </c>
      <c r="G8" s="299"/>
      <c r="H8" s="299"/>
      <c r="I8" s="119"/>
      <c r="J8" s="119"/>
    </row>
    <row r="9" spans="1:10" ht="22.05" customHeight="1" x14ac:dyDescent="0.3">
      <c r="A9" s="132" t="s">
        <v>414</v>
      </c>
      <c r="B9" s="132" t="s">
        <v>45</v>
      </c>
      <c r="C9" s="132" t="s">
        <v>48</v>
      </c>
      <c r="D9" s="132" t="s">
        <v>44</v>
      </c>
      <c r="E9" s="133"/>
      <c r="F9" s="132" t="s">
        <v>804</v>
      </c>
      <c r="G9" s="132" t="s">
        <v>801</v>
      </c>
      <c r="H9" s="132" t="s">
        <v>805</v>
      </c>
      <c r="I9" s="133"/>
      <c r="J9" s="133"/>
    </row>
    <row r="10" spans="1:10" ht="19.95" customHeight="1" x14ac:dyDescent="0.3">
      <c r="A10" s="47" t="s">
        <v>415</v>
      </c>
      <c r="B10" s="134">
        <f>IF(OR($B$5="",$B$6=""),"",_xlfn.LET(_xlpm.x,IFERROR(INDEX(Equipes!$AA$2:$AA$1000,MATCH($B$5,Equipes!$A$2:$A$1000,0)),""),_xlpm.y,IFERROR(INDEX(Equipes!$AD$2:$AD$1000,MATCH($B$6,Equipes!$A$2:$A$1000,0)),""),IF(OR(_xlpm.x="",_xlpm.y=""),"",AVERAGE(_xlpm.x,_xlpm.y))))</f>
        <v>2.4</v>
      </c>
      <c r="C10" s="134">
        <f>IF(OR($B$5="",$B$6=""),"",_xlfn.LET(_xlpm.x,IFERROR(INDEX(Equipes!$AC$2:$AC$1000,MATCH($B$6,Equipes!$A$2:$A$1000,0)),""),_xlpm.y,IFERROR(INDEX(Equipes!$AB$2:$AB$1000,MATCH($B$5,Equipes!$A$2:$A$1000,0)),""),IF(OR(_xlpm.x="",_xlpm.y=""),"",AVERAGE(_xlpm.x,_xlpm.y))))</f>
        <v>1.8</v>
      </c>
      <c r="D10" s="134">
        <f>IF(OR(B10="",C10=""),"",B10+C10)</f>
        <v>4.2</v>
      </c>
      <c r="E10" s="119"/>
      <c r="F10" s="47" t="s">
        <v>806</v>
      </c>
      <c r="G10" s="121" t="str">
        <f>IF($H$10=0,"Sem linha aprovada","Até Over "&amp;FIXED($H$10,2,FALSE))</f>
        <v>Até Over 1,75</v>
      </c>
      <c r="H10" s="135" cm="1">
        <f t="array" ref="H10">IF($D$10="",0,_xlfn.LET(_xlpm.ls,{0.5;0.75;1;1.25;1.5;1.75;2;2.25;2.5;2.75;3},_xlpm.th,{0.95;0.94;0.925;0.9125;0.9;0.88;0.86;0.84;0.82;0.8025;0.785},_xlpm.sc,_xlfn.MAP(_xlpm.ls,_xlfn.LAMBDA(_xlpm.l,_xlfn.LET(_xlpm.n,INT(_xlpm.l),_xlpm.f,ROUND(MOD(_xlpm.l,1),2),_xlpm.si,_xlfn.LAMBDA(_xlpm.k,1-_xlfn.POISSON.DIST(_xlpm.k,$D$10,TRUE)+0.5*_xlfn.POISSON.DIST(_xlpm.k,$D$10,FALSE)),_xlpm.sh,_xlfn.LAMBDA(_xlpm.k,1-_xlfn.POISSON.DIST(_xlpm.k,$D$10,TRUE)),IF(_xlpm.f=0.5,_xlpm.sh(_xlpm.n),IF(_xlpm.f=0,_xlpm.si(_xlpm.n),IF(_xlpm.f=0.25,AVERAGE(_xlpm.si(_xlpm.n),_xlpm.sh(_xlpm.n)),AVERAGE(_xlpm.sh(_xlpm.n),_xlpm.si(_xlpm.n+1)))))))),IFERROR(MAX(_xlfn._xlws.FILTER(_xlpm.ls,_xlpm.sc&gt;=_xlpm.th)),0)))</f>
        <v>1.75</v>
      </c>
      <c r="I10" s="119"/>
      <c r="J10" s="119"/>
    </row>
    <row r="11" spans="1:10" ht="19.95" customHeight="1" x14ac:dyDescent="0.3">
      <c r="A11" s="47" t="s">
        <v>416</v>
      </c>
      <c r="B11" s="136">
        <f>IFERROR(INDEX(Equipes!$E$2:$E$1000,MATCH($B$5,Equipes!$A$2:$A$1000,0)),"")</f>
        <v>5</v>
      </c>
      <c r="C11" s="136">
        <f>IFERROR(INDEX(Equipes!$F$2:$F$1000,MATCH($B$6,Equipes!$A$2:$A$1000,0)),"")</f>
        <v>5</v>
      </c>
      <c r="D11" s="136">
        <f>IF(OR(B11="",C11=""),"",MIN(B11,C11))</f>
        <v>5</v>
      </c>
      <c r="E11" s="119"/>
      <c r="F11" s="47" t="s">
        <v>427</v>
      </c>
      <c r="G11" s="121" t="str">
        <f>IF($D$10="","Aguardando histórico",IF($H$11=0,"Baixo potencial","Suporta Over "&amp;FIXED($H$11,2,FALSE)))</f>
        <v>Suporta Over 2,50</v>
      </c>
      <c r="H11" s="135">
        <f>IF($D$10="",0,IF($D$10&lt;1.5,0,IF($D$10&lt;2.5,0.5,IF($D$10&lt;3.5,1.5,IF($D$10&lt;4.5,2.5,3)))))</f>
        <v>2.5</v>
      </c>
      <c r="I11" s="119"/>
      <c r="J11" s="119"/>
    </row>
    <row r="12" spans="1:10" ht="19.95" customHeight="1" x14ac:dyDescent="0.3">
      <c r="A12" s="47" t="s">
        <v>417</v>
      </c>
      <c r="B12" s="137">
        <f>IFERROR(INDEX(Equipes!$C$2:$C$1000,MATCH($B$5,Equipes!$A$2:$A$1000,0)),"")</f>
        <v>2.6</v>
      </c>
      <c r="C12" s="137">
        <f>IFERROR(INDEX(Equipes!$D$2:$D$1000,MATCH($B$6,Equipes!$A$2:$A$1000,0)),"")</f>
        <v>5.8</v>
      </c>
      <c r="D12" s="137">
        <f>IF(OR(B12="",C12=""),"",AVERAGE(B12,C12))</f>
        <v>4.2</v>
      </c>
      <c r="E12" s="119"/>
      <c r="F12" s="47" t="s">
        <v>3078</v>
      </c>
      <c r="G12" s="121" t="str">
        <f>IF($H$12=0,"Sem concentração Over","Top 8 suporta Over "&amp;FIXED($H$12,2,FALSE))</f>
        <v>Top 8 suporta Over 3,00</v>
      </c>
      <c r="H12" s="135" cm="1">
        <f t="array" ref="H12">IF($D$10="",0,_xlfn.LET(_xlpm.t,VALUE(_xlfn.TEXTBEFORE($G$19:$G$26," x "))+VALUE(_xlfn.TEXTAFTER($G$19:$G$26," x ")),MAX(0,MIN(3,FLOOR(MEDIAN(_xlpm.t)-0.5,0.25)))))</f>
        <v>3</v>
      </c>
      <c r="I12" s="119"/>
      <c r="J12" s="119"/>
    </row>
    <row r="13" spans="1:10" ht="19.95" customHeight="1" x14ac:dyDescent="0.3">
      <c r="A13" s="47" t="s">
        <v>418</v>
      </c>
      <c r="B13" s="127" t="str">
        <f>IFERROR(INDEX(Equipes!$R$2:$R$1000,MATCH($B$5,Equipes!$A$2:$A$1000,0)),"")</f>
        <v>Poisson</v>
      </c>
      <c r="C13" s="127" t="str">
        <f>IFERROR(INDEX(Equipes!$R$2:$R$1000,MATCH($B$6,Equipes!$A$2:$A$1000,0)),"")</f>
        <v>Poisson</v>
      </c>
      <c r="D13" s="127" t="str">
        <f>IF(OR(B13="",C13=""),"",IF(OR(B13="Amostra Insuficiente",C13="Amostra Insuficiente"),"Poisson preliminar",IF(B13=C13,B13,"Poisson base / dispersão")))</f>
        <v>Poisson</v>
      </c>
      <c r="E13" s="119"/>
      <c r="F13" s="47" t="s">
        <v>848</v>
      </c>
      <c r="G13" s="122" t="str">
        <f>IF($H$13=0,"SEM CONSENSO","OVER "&amp;FIXED($H$13,2,FALSE))</f>
        <v>OVER 2,50</v>
      </c>
      <c r="H13" s="138">
        <f>MEDIAN($H$10:$H$12)</f>
        <v>2.5</v>
      </c>
      <c r="I13" s="119"/>
      <c r="J13" s="119"/>
    </row>
    <row r="14" spans="1:10" ht="19.95" customHeight="1" x14ac:dyDescent="0.3">
      <c r="A14" s="47" t="s">
        <v>419</v>
      </c>
      <c r="B14" s="127" t="str">
        <f>IF(B11="","",IF(B11&gt;=10,"Robusta",IF(B11&gt;=5,"Em formação","Preliminar")))</f>
        <v>Em formação</v>
      </c>
      <c r="C14" s="127" t="str">
        <f>IF(C11="","",IF(C11&gt;=10,"Robusta",IF(C11&gt;=5,"Em formação","Preliminar")))</f>
        <v>Em formação</v>
      </c>
      <c r="D14" s="127" t="str">
        <f>IF(OR(B11="",C11=""),"",IF(MIN(B11,C11)&gt;=10,"Robusta",IF(MIN(B11,C11)&gt;=5,"Em formação","Preliminar")))</f>
        <v>Em formação</v>
      </c>
      <c r="E14" s="119"/>
      <c r="F14" s="47" t="s">
        <v>849</v>
      </c>
      <c r="G14" s="123" t="str">
        <f>IF($H$14&gt;=15,"FASE 2 — OTIMIZAR LUCRO","FASE 1 — PRESERVAR CAPITAL")</f>
        <v>FASE 1 — PRESERVAR CAPITAL</v>
      </c>
      <c r="H14" s="139">
        <f>_xlfn.LET(_xlpm.l,IF($E$5=$E$6,$E$5,IF(AND(ISNUMBER(SEARCH("Kakkonen",$E$5)),ISNUMBER(SEARCH("Kakkonen",$E$6))),"FIN - Kakkonen",$E$5&amp;" / "&amp;$E$6)),COUNTIF(tblCalibracao[Liga],_xlpm.l))</f>
        <v>1</v>
      </c>
      <c r="I14" s="119"/>
      <c r="J14" s="119"/>
    </row>
    <row r="15" spans="1:10" ht="30" customHeight="1" x14ac:dyDescent="0.3">
      <c r="A15" s="47" t="s">
        <v>420</v>
      </c>
      <c r="B15" s="286">
        <v>0</v>
      </c>
      <c r="C15" s="287"/>
      <c r="D15" s="113" t="s">
        <v>421</v>
      </c>
      <c r="E15" s="119"/>
      <c r="F15" s="47" t="s">
        <v>807</v>
      </c>
      <c r="G15" s="115" t="str">
        <f>IF($H$13=0,"NÃO APOSTAR",IF(1-$H$40&gt;10%,"NÃO APOSTAR — 0x0 "&amp;TEXT(1-$H$40,"0.0%"),"ANALISAR OVER "&amp;FIXED(MIN(3,$H$13+IF(AND($D$10&gt;=2.5,$D$10&lt;3.5),IF(1-$H$40&lt;7.5%,0.5,0.25),0)),2,FALSE)))</f>
        <v>ANALISAR OVER 2,50</v>
      </c>
      <c r="H15" s="140" t="str">
        <f>IF($H$13=0,"—",IF(1-$H$40&gt;10%,"IMPEDITIVO",IF(AND($D$10&gt;=2.5,$D$10&lt;3.5),IF(1-$H$40&lt;7.5%,"Avançar +0,50","Avançar +0,25"),IF($D$10&gt;=3.5,"Sem avanço automático","Máxima proteção"))))</f>
        <v>Sem avanço automático</v>
      </c>
      <c r="I15" s="119"/>
      <c r="J15" s="119"/>
    </row>
    <row r="16" spans="1:10" ht="12" customHeight="1" x14ac:dyDescent="0.3">
      <c r="A16" s="118"/>
      <c r="B16" s="118"/>
      <c r="C16" s="118"/>
      <c r="D16" s="118"/>
      <c r="E16" s="119"/>
      <c r="F16" s="124"/>
      <c r="G16" s="124"/>
      <c r="H16" s="124"/>
      <c r="I16" s="119"/>
      <c r="J16" s="119"/>
    </row>
    <row r="17" spans="1:10" ht="22.05" customHeight="1" x14ac:dyDescent="0.3">
      <c r="A17" s="290" t="s">
        <v>816</v>
      </c>
      <c r="B17" s="290"/>
      <c r="C17" s="290"/>
      <c r="D17" s="290"/>
      <c r="E17" s="120"/>
      <c r="F17" s="290" t="s">
        <v>830</v>
      </c>
      <c r="G17" s="290"/>
      <c r="H17" s="290"/>
      <c r="I17" s="119"/>
      <c r="J17" s="119"/>
    </row>
    <row r="18" spans="1:10" ht="22.05" customHeight="1" x14ac:dyDescent="0.3">
      <c r="A18" s="132" t="s">
        <v>817</v>
      </c>
      <c r="B18" s="132" t="s">
        <v>818</v>
      </c>
      <c r="C18" s="132" t="s">
        <v>423</v>
      </c>
      <c r="D18" s="48" t="s">
        <v>819</v>
      </c>
      <c r="E18" s="133"/>
      <c r="F18" s="132" t="s">
        <v>405</v>
      </c>
      <c r="G18" s="132" t="s">
        <v>742</v>
      </c>
      <c r="H18" s="132" t="s">
        <v>422</v>
      </c>
      <c r="I18" s="133"/>
      <c r="J18" s="133"/>
    </row>
    <row r="19" spans="1:10" ht="22.05" customHeight="1" x14ac:dyDescent="0.3">
      <c r="A19" s="125">
        <v>0.5</v>
      </c>
      <c r="B19" s="126">
        <f t="shared" ref="B19:B29" si="0">IF($D$10="","",_xlfn.LET(_xlpm.l,$A19,_xlpm.n,INT(_xlpm.l),_xlpm.f,ROUND(MOD(_xlpm.l,1),2),_xlpm.si,1-_xlfn.POISSON.DIST(_xlpm.n,$D$10,TRUE)+0.5*_xlfn.POISSON.DIST(_xlpm.n,$D$10,FALSE),_xlpm.sh,1-_xlfn.POISSON.DIST(_xlpm.n,$D$10,TRUE),IF(_xlpm.f=0.5,_xlpm.sh,IF(_xlpm.f=0,_xlpm.si,IF(_xlpm.f=0.25,AVERAGE(_xlpm.si,_xlpm.sh),AVERAGE(_xlpm.sh,1-_xlfn.POISSON.DIST(_xlpm.n+1,$D$10,TRUE)+0.5*_xlfn.POISSON.DIST(_xlpm.n+1,$D$10,FALSE)))))))</f>
        <v>0.9850044231795223</v>
      </c>
      <c r="C19" s="127" t="str" cm="1">
        <f t="array" ref="C19">IF($B19="","",_xlfn.LET(_xlpm.l,$A19,_xlpm.lim,_xlfn.XLOOKUP(_xlpm.l,{0.5,0.75,1,1.25,1.5,1.75,2,2.25,2.5,2.75,3},{0.95,0.94,0.925,0.9125,0.9,0.88,0.86,0.84,0.82,0.8025,0.785}),IF($B19&gt;=_xlpm.lim,"APROVADA",IF($B19&gt;=_xlpm.lim-5%,"PRÓXIMA","ABAIXO"))))</f>
        <v>APROVADA</v>
      </c>
      <c r="D19" s="141" t="s">
        <v>820</v>
      </c>
      <c r="E19" s="119"/>
      <c r="F19" s="154" cm="1">
        <f t="array" ref="F19:H26">IF(OR($B$10="",$C$10=""),"",_xlfn.LET(_xlpm.n,9,_xlpm.i,_xlfn.SEQUENCE(_xlpm.n*_xlpm.n,1,0),_xlpm.h,INT(_xlpm.i/_xlpm.n),_xlpm.a,MOD(_xlpm.i,_xlpm.n),_xlpm.p,_xlfn.POISSON.DIST(_xlpm.h,$B$10,FALSE)*_xlfn.POISSON.DIST(_xlpm.a,$C$10,FALSE)*IF((_xlpm.h=0)*(_xlpm.a=0),1-$B$10*$C$10*$B$15,IF((_xlpm.h=0)*(_xlpm.a=1),1+$B$10*$B$15,IF((_xlpm.h=1)*(_xlpm.a=0),1+$C$10*$B$15,IF((_xlpm.h=1)*(_xlpm.a=1),1-$B$15,1)))),_xlpm.s,_xlfn.SORTBY(_xlfn.HSTACK(_xlpm.h&amp;" x "&amp;_xlpm.a,_xlpm.p),_xlpm.p,-1),_xlfn.HSTACK(_xlfn.SEQUENCE(8),_xlfn.TAKE(_xlpm.s,8))))</f>
        <v>1</v>
      </c>
      <c r="G19" s="140" t="str">
        <v>2 x 1</v>
      </c>
      <c r="H19" s="155">
        <v>7.7737070237356459E-2</v>
      </c>
      <c r="I19" s="119"/>
      <c r="J19" s="119"/>
    </row>
    <row r="20" spans="1:10" ht="22.05" customHeight="1" x14ac:dyDescent="0.3">
      <c r="A20" s="125">
        <v>0.75</v>
      </c>
      <c r="B20" s="126">
        <f t="shared" si="0"/>
        <v>0.96925906751802071</v>
      </c>
      <c r="C20" s="127" t="str" cm="1">
        <f t="array" ref="C20">IF($B20="","",_xlfn.LET(_xlpm.l,$A20,_xlpm.lim,_xlfn.XLOOKUP(_xlpm.l,{0.5,0.75,1,1.25,1.5,1.75,2,2.25,2.5,2.75,3},{0.95,0.94,0.925,0.9125,0.9,0.88,0.86,0.84,0.82,0.8025,0.785}),IF($B20&gt;=_xlpm.lim,"APROVADA",IF($B20&gt;=_xlpm.lim-5%,"PRÓXIMA","ABAIXO"))))</f>
        <v>APROVADA</v>
      </c>
      <c r="D20" s="141" t="s">
        <v>821</v>
      </c>
      <c r="E20" s="119"/>
      <c r="F20" s="154">
        <v>2</v>
      </c>
      <c r="G20" s="140" t="str">
        <v>2 x 2</v>
      </c>
      <c r="H20" s="155">
        <v>6.996336321362083E-2</v>
      </c>
      <c r="I20" s="119"/>
      <c r="J20" s="119"/>
    </row>
    <row r="21" spans="1:10" ht="22.05" customHeight="1" x14ac:dyDescent="0.3">
      <c r="A21" s="125">
        <v>1</v>
      </c>
      <c r="B21" s="126">
        <f t="shared" si="0"/>
        <v>0.95351371185651912</v>
      </c>
      <c r="C21" s="127" t="str" cm="1">
        <f t="array" ref="C21">IF($B21="","",_xlfn.LET(_xlpm.l,$A21,_xlpm.lim,_xlfn.XLOOKUP(_xlpm.l,{0.5,0.75,1,1.25,1.5,1.75,2,2.25,2.5,2.75,3},{0.95,0.94,0.925,0.9125,0.9,0.88,0.86,0.84,0.82,0.8025,0.785}),IF($B21&gt;=_xlpm.lim,"APROVADA",IF($B21&gt;=_xlpm.lim-5%,"PRÓXIMA","ABAIXO"))))</f>
        <v>APROVADA</v>
      </c>
      <c r="D21" s="141" t="s">
        <v>822</v>
      </c>
      <c r="E21" s="119"/>
      <c r="F21" s="136">
        <v>3</v>
      </c>
      <c r="G21" s="153" t="str">
        <v>1 x 1</v>
      </c>
      <c r="H21" s="152">
        <v>6.4780891864463702E-2</v>
      </c>
      <c r="I21" s="119"/>
      <c r="J21" s="119"/>
    </row>
    <row r="22" spans="1:10" ht="22.05" customHeight="1" x14ac:dyDescent="0.3">
      <c r="A22" s="125">
        <v>1.25</v>
      </c>
      <c r="B22" s="126">
        <f t="shared" si="0"/>
        <v>0.93776835619501753</v>
      </c>
      <c r="C22" s="127" t="str" cm="1">
        <f t="array" ref="C22">IF($B22="","",_xlfn.LET(_xlpm.l,$A22,_xlpm.lim,_xlfn.XLOOKUP(_xlpm.l,{0.5,0.75,1,1.25,1.5,1.75,2,2.25,2.5,2.75,3},{0.95,0.94,0.925,0.9125,0.9,0.88,0.86,0.84,0.82,0.8025,0.785}),IF($B22&gt;=_xlpm.lim,"APROVADA",IF($B22&gt;=_xlpm.lim-5%,"PRÓXIMA","ABAIXO"))))</f>
        <v>APROVADA</v>
      </c>
      <c r="D22" s="141" t="s">
        <v>823</v>
      </c>
      <c r="E22" s="119"/>
      <c r="F22" s="136">
        <v>4</v>
      </c>
      <c r="G22" s="153" t="str">
        <v>3 x 1</v>
      </c>
      <c r="H22" s="152">
        <v>6.2189656189885152E-2</v>
      </c>
      <c r="I22" s="119"/>
      <c r="J22" s="119"/>
    </row>
    <row r="23" spans="1:10" ht="22.05" customHeight="1" x14ac:dyDescent="0.3">
      <c r="A23" s="125">
        <v>1.5</v>
      </c>
      <c r="B23" s="126">
        <f t="shared" si="0"/>
        <v>0.92202300053351594</v>
      </c>
      <c r="C23" s="127" t="str" cm="1">
        <f t="array" ref="C23">IF($B23="","",_xlfn.LET(_xlpm.l,$A23,_xlpm.lim,_xlfn.XLOOKUP(_xlpm.l,{0.5,0.75,1,1.25,1.5,1.75,2,2.25,2.5,2.75,3},{0.95,0.94,0.925,0.9125,0.9,0.88,0.86,0.84,0.82,0.8025,0.785}),IF($B23&gt;=_xlpm.lim,"APROVADA",IF($B23&gt;=_xlpm.lim-5%,"PRÓXIMA","ABAIXO"))))</f>
        <v>APROVADA</v>
      </c>
      <c r="D23" s="141" t="s">
        <v>820</v>
      </c>
      <c r="E23" s="119"/>
      <c r="F23" s="136">
        <v>5</v>
      </c>
      <c r="G23" s="153" t="str">
        <v>1 x 2</v>
      </c>
      <c r="H23" s="152">
        <v>5.8302802678017338E-2</v>
      </c>
      <c r="I23" s="119"/>
      <c r="J23" s="119"/>
    </row>
    <row r="24" spans="1:10" ht="22.05" customHeight="1" x14ac:dyDescent="0.3">
      <c r="A24" s="125">
        <v>1.75</v>
      </c>
      <c r="B24" s="126">
        <f t="shared" si="0"/>
        <v>0.88895775364436258</v>
      </c>
      <c r="C24" s="127" t="str" cm="1">
        <f t="array" ref="C24">IF($B24="","",_xlfn.LET(_xlpm.l,$A24,_xlpm.lim,_xlfn.XLOOKUP(_xlpm.l,{0.5,0.75,1,1.25,1.5,1.75,2,2.25,2.5,2.75,3},{0.95,0.94,0.925,0.9125,0.9,0.88,0.86,0.84,0.82,0.8025,0.785}),IF($B24&gt;=_xlpm.lim,"APROVADA",IF($B24&gt;=_xlpm.lim-5%,"PRÓXIMA","ABAIXO"))))</f>
        <v>APROVADA</v>
      </c>
      <c r="D24" s="141" t="s">
        <v>824</v>
      </c>
      <c r="E24" s="119"/>
      <c r="F24" s="136">
        <v>6</v>
      </c>
      <c r="G24" s="136" t="str">
        <v>3 x 2</v>
      </c>
      <c r="H24" s="152">
        <v>5.5970690570896653E-2</v>
      </c>
      <c r="I24" s="119"/>
      <c r="J24" s="119"/>
    </row>
    <row r="25" spans="1:10" ht="22.05" customHeight="1" x14ac:dyDescent="0.3">
      <c r="A25" s="125">
        <v>2</v>
      </c>
      <c r="B25" s="126">
        <f t="shared" si="0"/>
        <v>0.85589250675520923</v>
      </c>
      <c r="C25" s="127" t="str" cm="1">
        <f t="array" ref="C25">IF($B25="","",_xlfn.LET(_xlpm.l,$A25,_xlpm.lim,_xlfn.XLOOKUP(_xlpm.l,{0.5,0.75,1,1.25,1.5,1.75,2,2.25,2.5,2.75,3},{0.95,0.94,0.925,0.9125,0.9,0.88,0.86,0.84,0.82,0.8025,0.785}),IF($B25&gt;=_xlpm.lim,"APROVADA",IF($B25&gt;=_xlpm.lim-5%,"PRÓXIMA","ABAIXO"))))</f>
        <v>PRÓXIMA</v>
      </c>
      <c r="D25" s="141" t="s">
        <v>825</v>
      </c>
      <c r="E25" s="119"/>
      <c r="F25" s="136">
        <v>7</v>
      </c>
      <c r="G25" s="137" t="str">
        <v>2 x 0</v>
      </c>
      <c r="H25" s="152">
        <v>4.3187261242975804E-2</v>
      </c>
      <c r="I25" s="119"/>
      <c r="J25" s="119"/>
    </row>
    <row r="26" spans="1:10" ht="22.05" customHeight="1" x14ac:dyDescent="0.3">
      <c r="A26" s="125">
        <v>2.25</v>
      </c>
      <c r="B26" s="126">
        <f t="shared" si="0"/>
        <v>0.82282725986605587</v>
      </c>
      <c r="C26" s="127" t="str" cm="1">
        <f t="array" ref="C26">IF($B26="","",_xlfn.LET(_xlpm.l,$A26,_xlpm.lim,_xlfn.XLOOKUP(_xlpm.l,{0.5,0.75,1,1.25,1.5,1.75,2,2.25,2.5,2.75,3},{0.95,0.94,0.925,0.9125,0.9,0.88,0.86,0.84,0.82,0.8025,0.785}),IF($B26&gt;=_xlpm.lim,"APROVADA",IF($B26&gt;=_xlpm.lim-5%,"PRÓXIMA","ABAIXO"))))</f>
        <v>PRÓXIMA</v>
      </c>
      <c r="D26" s="141" t="s">
        <v>826</v>
      </c>
      <c r="E26" s="119"/>
      <c r="F26" s="136">
        <v>8</v>
      </c>
      <c r="G26" s="153" t="str">
        <v>2 x 3</v>
      </c>
      <c r="H26" s="152">
        <v>4.197801792817249E-2</v>
      </c>
      <c r="I26" s="119"/>
      <c r="J26" s="119"/>
    </row>
    <row r="27" spans="1:10" ht="22.05" customHeight="1" x14ac:dyDescent="0.3">
      <c r="A27" s="125">
        <v>2.5</v>
      </c>
      <c r="B27" s="126">
        <f t="shared" si="0"/>
        <v>0.78976201297690252</v>
      </c>
      <c r="C27" s="127" t="str" cm="1">
        <f t="array" ref="C27">IF($B27="","",_xlfn.LET(_xlpm.l,$A27,_xlpm.lim,_xlfn.XLOOKUP(_xlpm.l,{0.5,0.75,1,1.25,1.5,1.75,2,2.25,2.5,2.75,3},{0.95,0.94,0.925,0.9125,0.9,0.88,0.86,0.84,0.82,0.8025,0.785}),IF($B27&gt;=_xlpm.lim,"APROVADA",IF($B27&gt;=_xlpm.lim-5%,"PRÓXIMA","ABAIXO"))))</f>
        <v>PRÓXIMA</v>
      </c>
      <c r="D27" s="141" t="s">
        <v>820</v>
      </c>
      <c r="E27" s="120"/>
      <c r="F27" s="128"/>
      <c r="G27" s="128"/>
      <c r="H27" s="128"/>
      <c r="I27" s="119"/>
      <c r="J27" s="119"/>
    </row>
    <row r="28" spans="1:10" ht="22.05" customHeight="1" x14ac:dyDescent="0.3">
      <c r="A28" s="125">
        <v>2.75</v>
      </c>
      <c r="B28" s="126">
        <f t="shared" si="0"/>
        <v>0.74347066733208789</v>
      </c>
      <c r="C28" s="127" t="str" cm="1">
        <f t="array" ref="C28">IF($B28="","",_xlfn.LET(_xlpm.l,$A28,_xlpm.lim,_xlfn.XLOOKUP(_xlpm.l,{0.5,0.75,1,1.25,1.5,1.75,2,2.25,2.5,2.75,3},{0.95,0.94,0.925,0.9125,0.9,0.88,0.86,0.84,0.82,0.8025,0.785}),IF($B28&gt;=_xlpm.lim,"APROVADA",IF($B28&gt;=_xlpm.lim-5%,"PRÓXIMA","ABAIXO"))))</f>
        <v>ABAIXO</v>
      </c>
      <c r="D28" s="141" t="s">
        <v>827</v>
      </c>
      <c r="E28" s="119"/>
      <c r="I28" s="119"/>
      <c r="J28" s="119"/>
    </row>
    <row r="29" spans="1:10" ht="22.05" customHeight="1" x14ac:dyDescent="0.3">
      <c r="A29" s="125">
        <v>3</v>
      </c>
      <c r="B29" s="126">
        <f t="shared" si="0"/>
        <v>0.69717932168727326</v>
      </c>
      <c r="C29" s="127" t="str" cm="1">
        <f t="array" ref="C29">IF($B29="","",_xlfn.LET(_xlpm.l,$A29,_xlpm.lim,_xlfn.XLOOKUP(_xlpm.l,{0.5,0.75,1,1.25,1.5,1.75,2,2.25,2.5,2.75,3},{0.95,0.94,0.925,0.9125,0.9,0.88,0.86,0.84,0.82,0.8025,0.785}),IF($B29&gt;=_xlpm.lim,"APROVADA",IF($B29&gt;=_xlpm.lim-5%,"PRÓXIMA","ABAIXO"))))</f>
        <v>ABAIXO</v>
      </c>
      <c r="D29" s="141" t="s">
        <v>828</v>
      </c>
      <c r="E29" s="119"/>
      <c r="I29" s="119"/>
      <c r="J29" s="119"/>
    </row>
    <row r="30" spans="1:10" ht="36" customHeight="1" x14ac:dyDescent="0.3">
      <c r="A30" s="285" t="s">
        <v>829</v>
      </c>
      <c r="B30" s="285"/>
      <c r="C30" s="285"/>
      <c r="D30" s="285"/>
      <c r="E30" s="119"/>
      <c r="I30" s="119"/>
      <c r="J30" s="119"/>
    </row>
    <row r="31" spans="1:10" ht="12" customHeight="1" x14ac:dyDescent="0.3">
      <c r="A31" s="129"/>
      <c r="B31" s="129"/>
      <c r="C31" s="129"/>
      <c r="D31" s="129"/>
      <c r="E31" s="130"/>
      <c r="F31" s="129"/>
      <c r="G31" s="129"/>
      <c r="H31" s="129"/>
      <c r="I31" s="130"/>
      <c r="J31" s="130"/>
    </row>
    <row r="32" spans="1:10" ht="12" customHeight="1" x14ac:dyDescent="0.3">
      <c r="A32" s="124"/>
      <c r="B32" s="124"/>
      <c r="C32" s="124"/>
      <c r="D32" s="124"/>
      <c r="E32" s="124"/>
      <c r="F32" s="124"/>
      <c r="G32" s="124"/>
      <c r="H32" s="124"/>
      <c r="I32" s="124"/>
      <c r="J32" s="124"/>
    </row>
    <row r="33" spans="1:10" ht="25.95" customHeight="1" x14ac:dyDescent="0.4">
      <c r="A33" s="282" t="s">
        <v>3067</v>
      </c>
      <c r="B33" s="282"/>
      <c r="C33" s="282"/>
      <c r="D33" s="282"/>
      <c r="E33" s="282"/>
      <c r="F33" s="282"/>
      <c r="G33" s="282"/>
      <c r="H33" s="282"/>
      <c r="I33" s="282"/>
    </row>
    <row r="34" spans="1:10" ht="19.95" customHeight="1" x14ac:dyDescent="0.3">
      <c r="A34" s="283" t="s">
        <v>3068</v>
      </c>
      <c r="B34" s="283"/>
      <c r="C34" s="283"/>
      <c r="D34" s="283"/>
      <c r="E34" s="283"/>
      <c r="F34" s="283"/>
      <c r="G34" s="283"/>
      <c r="H34" s="283"/>
      <c r="I34" s="283"/>
    </row>
    <row r="35" spans="1:10" ht="12" customHeight="1" x14ac:dyDescent="0.3">
      <c r="E35"/>
    </row>
    <row r="36" spans="1:10" ht="22.05" customHeight="1" x14ac:dyDescent="0.3">
      <c r="A36" s="143" t="s">
        <v>3057</v>
      </c>
      <c r="B36" s="100">
        <f>$D$10</f>
        <v>4.2</v>
      </c>
      <c r="C36" s="144" t="s">
        <v>3069</v>
      </c>
      <c r="D36" s="100">
        <f>IF(OR(B36="",NOT(ISNUMBER(I36)),NOT(ISNUMBER(J36))),"",MAX(B36*1.05,AVERAGE(I36,J36)))</f>
        <v>4.41</v>
      </c>
      <c r="E36" s="143" t="s">
        <v>3070</v>
      </c>
      <c r="F36" t="s">
        <v>1541</v>
      </c>
      <c r="G36" s="143" t="s">
        <v>3060</v>
      </c>
      <c r="H36" t="str">
        <f>IF(D36="","",IF(D36&gt;B36*1.15,"SUPERDISPERSÃO","PRÓXIMA DO POISSON"))</f>
        <v>PRÓXIMA DO POISSON</v>
      </c>
      <c r="I36" cm="1">
        <f t="array" ref="I36">_xlfn.LET(_xlpm.n,$B$5,_xlpm.c,SUMPRODUCT((TRIM(tblDados[Mandante])=_xlpm.n)*tblDados[Primeira_Ocorrencia])+SUMPRODUCT((TRIM(tblDados[Visitante])=_xlpm.n)*tblDados[Primeira_Ocorrencia]),_xlpm.s,SUMPRODUCT((TRIM(tblDados[Mandante])=_xlpm.n)*tblDados[Primeira_Ocorrencia]*(tblDados[GM_M]+tblDados[GS_M]))+SUMPRODUCT((TRIM(tblDados[Visitante])=_xlpm.n)*tblDados[Primeira_Ocorrencia]*(tblDados[GM_V]+tblDados[GS_V])),_xlpm.q,SUMPRODUCT((TRIM(tblDados[Mandante])=_xlpm.n)*tblDados[Primeira_Ocorrencia]*(tblDados[GM_M]+tblDados[GS_M])^2)+SUMPRODUCT((TRIM(tblDados[Visitante])=_xlpm.n)*tblDados[Primeira_Ocorrencia]*(tblDados[GM_V]+tblDados[GS_V])^2),IF(_xlpm.c&gt;1,(_xlpm.q-_xlpm.s^2/_xlpm.c)/(_xlpm.c-1),$B$36))</f>
        <v>1.5378787878787883</v>
      </c>
      <c r="J36" cm="1">
        <f t="array" ref="J36">_xlfn.LET(_xlpm.n,$B$6,_xlpm.c,SUMPRODUCT((TRIM(tblDados[Mandante])=_xlpm.n)*tblDados[Primeira_Ocorrencia])+SUMPRODUCT((TRIM(tblDados[Visitante])=_xlpm.n)*tblDados[Primeira_Ocorrencia]),_xlpm.s,SUMPRODUCT((TRIM(tblDados[Mandante])=_xlpm.n)*tblDados[Primeira_Ocorrencia]*(tblDados[GM_M]+tblDados[GS_M]))+SUMPRODUCT((TRIM(tblDados[Visitante])=_xlpm.n)*tblDados[Primeira_Ocorrencia]*(tblDados[GM_V]+tblDados[GS_V])),_xlpm.q,SUMPRODUCT((TRIM(tblDados[Mandante])=_xlpm.n)*tblDados[Primeira_Ocorrencia]*(tblDados[GM_M]+tblDados[GS_M])^2)+SUMPRODUCT((TRIM(tblDados[Visitante])=_xlpm.n)*tblDados[Primeira_Ocorrencia]*(tblDados[GM_V]+tblDados[GS_V])^2),IF(_xlpm.c&gt;1,(_xlpm.q-_xlpm.s^2/_xlpm.c)/(_xlpm.c-1),$B$36))</f>
        <v>4.628787878787878</v>
      </c>
    </row>
    <row r="37" spans="1:10" ht="22.05" customHeight="1" x14ac:dyDescent="0.3">
      <c r="A37" s="143" t="s">
        <v>3059</v>
      </c>
      <c r="B37" cm="1">
        <f t="array" ref="B37">SUMPRODUCT((TRIM(tblDados[Mandante])=$B$5)*tblDados[Primeira_Ocorrencia])+SUMPRODUCT((TRIM(tblDados[Visitante])=$B$5)*tblDados[Primeira_Ocorrencia])+SUMPRODUCT((TRIM(tblDados[Mandante])=$B$6)*tblDados[Primeira_Ocorrencia])+SUMPRODUCT((TRIM(tblDados[Visitante])=$B$6)*tblDados[Primeira_Ocorrencia])</f>
        <v>24</v>
      </c>
      <c r="C37" s="143" t="s">
        <v>3058</v>
      </c>
      <c r="D37" s="100">
        <f>IF(OR(D36="",B36="",D36&lt;=B36),"",B36^2/(D36-B36))</f>
        <v>84.000000000000014</v>
      </c>
      <c r="E37" s="143" t="s">
        <v>3071</v>
      </c>
      <c r="F37" s="103">
        <f>IF(OR(D37="",B36=""),"",D37/(D37+B36))</f>
        <v>0.95238095238095233</v>
      </c>
      <c r="G37" s="143" t="s">
        <v>3066</v>
      </c>
      <c r="H37" s="142">
        <v>0.75</v>
      </c>
    </row>
    <row r="38" spans="1:10" x14ac:dyDescent="0.3">
      <c r="E38"/>
    </row>
    <row r="39" spans="1:10" ht="42" customHeight="1" x14ac:dyDescent="0.3">
      <c r="A39" s="117" t="s">
        <v>817</v>
      </c>
      <c r="B39" s="117" t="s">
        <v>3061</v>
      </c>
      <c r="C39" s="117" t="s">
        <v>3062</v>
      </c>
      <c r="D39" s="117" t="s">
        <v>3075</v>
      </c>
      <c r="E39" s="148"/>
      <c r="F39" s="117" t="s">
        <v>3076</v>
      </c>
      <c r="G39" s="117" t="s">
        <v>3063</v>
      </c>
      <c r="H39" s="117" t="s">
        <v>3064</v>
      </c>
      <c r="I39" s="147" t="s">
        <v>3065</v>
      </c>
    </row>
    <row r="40" spans="1:10" ht="19.95" customHeight="1" x14ac:dyDescent="0.3">
      <c r="A40" s="26">
        <v>0.5</v>
      </c>
      <c r="B40" s="29">
        <f t="shared" ref="B40:B50" si="1">IF($B$36="","",1-_xlfn.POISSON.DIST(IF(ROUND(MOD($A40,1),2)=0.75,INT($A40)+1,INT($A40)),$B$36,TRUE))</f>
        <v>0.9850044231795223</v>
      </c>
      <c r="C40" s="29">
        <f t="shared" ref="C40:C50" si="2">IF($B$36="","",1-_xlfn.POISSON.DIST(IF(ROUND(MOD($A40,1),2)=0.5,INT($A40),IF(ROUND(MOD($A40,1),2)=0,INT($A40)-1,IF(ROUND(MOD($A40,1),2)=0.25,INT($A40)-1,INT($A40)))),$B$36,TRUE))</f>
        <v>0.9850044231795223</v>
      </c>
      <c r="D40" s="29">
        <f t="shared" ref="D40:D50" si="3">IF(OR($D$37="",$F$37=""),"",1-_xlfn.NEGBINOM.DIST(IF(ROUND(MOD($A40,1),2)=0.75,INT($A40)+1,INT($A40)),$D$37,$F$37,TRUE))</f>
        <v>0.98340035202603737</v>
      </c>
      <c r="E40" s="149"/>
      <c r="F40" s="29">
        <f t="shared" ref="F40:F50" si="4">IF(OR($D$37="",$F$37=""),"",1-_xlfn.NEGBINOM.DIST(IF(ROUND(MOD($A40,1),2)=0.5,INT($A40),IF(ROUND(MOD($A40,1),2)=0,INT($A40)-1,IF(ROUND(MOD($A40,1),2)=0.25,INT($A40)-1,INT($A40)))),$D$37,$F$37,TRUE))</f>
        <v>0.98340035202603737</v>
      </c>
      <c r="G40" s="29">
        <f t="shared" ref="G40:G50" si="5">IF(OR(B40="",D40=""),"",MIN(B40,D40))</f>
        <v>0.98340035202603737</v>
      </c>
      <c r="H40" s="29">
        <f t="shared" ref="H40:H50" si="6">IF(OR(C40="",F40=""),"",MIN(C40,F40))</f>
        <v>0.98340035202603737</v>
      </c>
      <c r="I40" s="28" t="str">
        <f t="shared" ref="I40:I50" si="7">IF(G40="","",IF(G40&gt;=75%,"GREEN ≥75%",IF(H40&gt;=75%,"PROTEÇÃO ≥75%","ABAIXO")))</f>
        <v>GREEN ≥75%</v>
      </c>
    </row>
    <row r="41" spans="1:10" ht="19.95" customHeight="1" x14ac:dyDescent="0.3">
      <c r="A41" s="26">
        <v>0.75</v>
      </c>
      <c r="B41" s="29">
        <f t="shared" si="1"/>
        <v>0.92202300053351594</v>
      </c>
      <c r="C41" s="29">
        <f t="shared" si="2"/>
        <v>0.9850044231795223</v>
      </c>
      <c r="D41" s="29">
        <f t="shared" si="3"/>
        <v>0.91700176013018697</v>
      </c>
      <c r="E41" s="149"/>
      <c r="F41" s="29">
        <f t="shared" si="4"/>
        <v>0.98340035202603737</v>
      </c>
      <c r="G41" s="29">
        <f t="shared" si="5"/>
        <v>0.91700176013018697</v>
      </c>
      <c r="H41" s="29">
        <f t="shared" si="6"/>
        <v>0.98340035202603737</v>
      </c>
      <c r="I41" s="28" t="str">
        <f t="shared" si="7"/>
        <v>GREEN ≥75%</v>
      </c>
    </row>
    <row r="42" spans="1:10" ht="19.95" customHeight="1" x14ac:dyDescent="0.3">
      <c r="A42" s="26">
        <v>1</v>
      </c>
      <c r="B42" s="29">
        <f t="shared" si="1"/>
        <v>0.92202300053351594</v>
      </c>
      <c r="C42" s="29">
        <f t="shared" si="2"/>
        <v>0.9850044231795223</v>
      </c>
      <c r="D42" s="29">
        <f t="shared" si="3"/>
        <v>0.91700176013018697</v>
      </c>
      <c r="E42" s="149"/>
      <c r="F42" s="29">
        <f t="shared" si="4"/>
        <v>0.98340035202603737</v>
      </c>
      <c r="G42" s="29">
        <f t="shared" si="5"/>
        <v>0.91700176013018697</v>
      </c>
      <c r="H42" s="29">
        <f t="shared" si="6"/>
        <v>0.98340035202603737</v>
      </c>
      <c r="I42" s="28" t="str">
        <f t="shared" si="7"/>
        <v>GREEN ≥75%</v>
      </c>
    </row>
    <row r="43" spans="1:10" ht="19.95" customHeight="1" x14ac:dyDescent="0.3">
      <c r="A43" s="26">
        <v>1.25</v>
      </c>
      <c r="B43" s="29">
        <f t="shared" si="1"/>
        <v>0.92202300053351594</v>
      </c>
      <c r="C43" s="29">
        <f t="shared" si="2"/>
        <v>0.9850044231795223</v>
      </c>
      <c r="D43" s="29">
        <f t="shared" si="3"/>
        <v>0.91700176013018697</v>
      </c>
      <c r="E43" s="149"/>
      <c r="F43" s="29">
        <f t="shared" si="4"/>
        <v>0.98340035202603737</v>
      </c>
      <c r="G43" s="29">
        <f t="shared" si="5"/>
        <v>0.91700176013018697</v>
      </c>
      <c r="H43" s="29">
        <f t="shared" si="6"/>
        <v>0.98340035202603737</v>
      </c>
      <c r="I43" s="28" t="str">
        <f t="shared" si="7"/>
        <v>GREEN ≥75%</v>
      </c>
    </row>
    <row r="44" spans="1:10" ht="19.95" customHeight="1" x14ac:dyDescent="0.3">
      <c r="A44" s="26">
        <v>1.5</v>
      </c>
      <c r="B44" s="29">
        <f t="shared" si="1"/>
        <v>0.92202300053351594</v>
      </c>
      <c r="C44" s="29">
        <f t="shared" si="2"/>
        <v>0.92202300053351594</v>
      </c>
      <c r="D44" s="29">
        <f t="shared" si="3"/>
        <v>0.91700176013018697</v>
      </c>
      <c r="E44" s="149"/>
      <c r="F44" s="29">
        <f t="shared" si="4"/>
        <v>0.91700176013018697</v>
      </c>
      <c r="G44" s="29">
        <f t="shared" si="5"/>
        <v>0.91700176013018697</v>
      </c>
      <c r="H44" s="29">
        <f t="shared" si="6"/>
        <v>0.91700176013018697</v>
      </c>
      <c r="I44" s="28" t="str">
        <f t="shared" si="7"/>
        <v>GREEN ≥75%</v>
      </c>
    </row>
    <row r="45" spans="1:10" ht="19.95" customHeight="1" x14ac:dyDescent="0.3">
      <c r="A45" s="26">
        <v>1.75</v>
      </c>
      <c r="B45" s="29">
        <f t="shared" si="1"/>
        <v>0.78976201297690252</v>
      </c>
      <c r="C45" s="29">
        <f t="shared" si="2"/>
        <v>0.92202300053351594</v>
      </c>
      <c r="D45" s="29">
        <f t="shared" si="3"/>
        <v>0.78262365748382279</v>
      </c>
      <c r="E45" s="149"/>
      <c r="F45" s="29">
        <f t="shared" si="4"/>
        <v>0.91700176013018697</v>
      </c>
      <c r="G45" s="29">
        <f t="shared" si="5"/>
        <v>0.78262365748382279</v>
      </c>
      <c r="H45" s="29">
        <f t="shared" si="6"/>
        <v>0.91700176013018697</v>
      </c>
      <c r="I45" s="28" t="str">
        <f t="shared" si="7"/>
        <v>GREEN ≥75%</v>
      </c>
    </row>
    <row r="46" spans="1:10" ht="19.95" customHeight="1" x14ac:dyDescent="0.3">
      <c r="A46" s="26">
        <v>2</v>
      </c>
      <c r="B46" s="29">
        <f t="shared" si="1"/>
        <v>0.78976201297690252</v>
      </c>
      <c r="C46" s="29">
        <f t="shared" si="2"/>
        <v>0.92202300053351594</v>
      </c>
      <c r="D46" s="29">
        <f t="shared" si="3"/>
        <v>0.78262365748382279</v>
      </c>
      <c r="E46" s="149"/>
      <c r="F46" s="29">
        <f t="shared" si="4"/>
        <v>0.91700176013018697</v>
      </c>
      <c r="G46" s="29">
        <f t="shared" si="5"/>
        <v>0.78262365748382279</v>
      </c>
      <c r="H46" s="29">
        <f t="shared" si="6"/>
        <v>0.91700176013018697</v>
      </c>
      <c r="I46" s="150" t="str">
        <f t="shared" si="7"/>
        <v>GREEN ≥75%</v>
      </c>
      <c r="J46" s="116"/>
    </row>
    <row r="47" spans="1:10" ht="19.95" customHeight="1" x14ac:dyDescent="0.3">
      <c r="A47" s="26">
        <v>2.25</v>
      </c>
      <c r="B47" s="29">
        <f t="shared" si="1"/>
        <v>0.78976201297690252</v>
      </c>
      <c r="C47" s="29">
        <f t="shared" si="2"/>
        <v>0.92202300053351594</v>
      </c>
      <c r="D47" s="29">
        <f t="shared" si="3"/>
        <v>0.78262365748382279</v>
      </c>
      <c r="E47" s="149"/>
      <c r="F47" s="29">
        <f t="shared" si="4"/>
        <v>0.91700176013018697</v>
      </c>
      <c r="G47" s="29">
        <f t="shared" si="5"/>
        <v>0.78262365748382279</v>
      </c>
      <c r="H47" s="29">
        <f t="shared" si="6"/>
        <v>0.91700176013018697</v>
      </c>
      <c r="I47" s="28" t="str">
        <f t="shared" si="7"/>
        <v>GREEN ≥75%</v>
      </c>
    </row>
    <row r="48" spans="1:10" ht="19.95" customHeight="1" x14ac:dyDescent="0.3">
      <c r="A48" s="26">
        <v>2.5</v>
      </c>
      <c r="B48" s="29">
        <f t="shared" si="1"/>
        <v>0.78976201297690252</v>
      </c>
      <c r="C48" s="29">
        <f t="shared" si="2"/>
        <v>0.78976201297690252</v>
      </c>
      <c r="D48" s="29">
        <f t="shared" si="3"/>
        <v>0.78262365748382279</v>
      </c>
      <c r="E48" s="149"/>
      <c r="F48" s="29">
        <f t="shared" si="4"/>
        <v>0.78262365748382279</v>
      </c>
      <c r="G48" s="29">
        <f t="shared" si="5"/>
        <v>0.78262365748382279</v>
      </c>
      <c r="H48" s="29">
        <f t="shared" si="6"/>
        <v>0.78262365748382279</v>
      </c>
      <c r="I48" s="28" t="str">
        <f t="shared" si="7"/>
        <v>GREEN ≥75%</v>
      </c>
    </row>
    <row r="49" spans="1:10" ht="19.95" customHeight="1" x14ac:dyDescent="0.3">
      <c r="A49" s="26">
        <v>2.75</v>
      </c>
      <c r="B49" s="29">
        <f t="shared" si="1"/>
        <v>0.60459663039764389</v>
      </c>
      <c r="C49" s="29">
        <f t="shared" si="2"/>
        <v>0.78976201297690252</v>
      </c>
      <c r="D49" s="29">
        <f t="shared" si="3"/>
        <v>0.59918688244275387</v>
      </c>
      <c r="E49" s="149"/>
      <c r="F49" s="29">
        <f t="shared" si="4"/>
        <v>0.78262365748382279</v>
      </c>
      <c r="G49" s="29">
        <f t="shared" si="5"/>
        <v>0.59918688244275387</v>
      </c>
      <c r="H49" s="29">
        <f t="shared" si="6"/>
        <v>0.78262365748382279</v>
      </c>
      <c r="I49" s="28" t="str">
        <f t="shared" si="7"/>
        <v>PROTEÇÃO ≥75%</v>
      </c>
    </row>
    <row r="50" spans="1:10" ht="19.95" customHeight="1" x14ac:dyDescent="0.3">
      <c r="A50" s="26">
        <v>3</v>
      </c>
      <c r="B50" s="29">
        <f t="shared" si="1"/>
        <v>0.60459663039764389</v>
      </c>
      <c r="C50" s="29">
        <f t="shared" si="2"/>
        <v>0.78976201297690252</v>
      </c>
      <c r="D50" s="29">
        <f t="shared" si="3"/>
        <v>0.59918688244275387</v>
      </c>
      <c r="E50" s="149"/>
      <c r="F50" s="29">
        <f t="shared" si="4"/>
        <v>0.78262365748382279</v>
      </c>
      <c r="G50" s="29">
        <f t="shared" si="5"/>
        <v>0.59918688244275387</v>
      </c>
      <c r="H50" s="29">
        <f t="shared" si="6"/>
        <v>0.78262365748382279</v>
      </c>
      <c r="I50" s="28" t="str">
        <f t="shared" si="7"/>
        <v>PROTEÇÃO ≥75%</v>
      </c>
    </row>
    <row r="51" spans="1:10" ht="24" customHeight="1" x14ac:dyDescent="0.3">
      <c r="A51" s="145" t="s">
        <v>3072</v>
      </c>
      <c r="B51" s="145" t="s">
        <v>3073</v>
      </c>
      <c r="C51" s="151" cm="1">
        <f t="array" ref="C51">IFERROR(MAX(_xlfn._xlws.FILTER($A$40:$A$50,$G$40:$G$50&gt;=75%)),"")</f>
        <v>2.5</v>
      </c>
      <c r="D51" s="146"/>
      <c r="E51" s="146"/>
      <c r="F51" s="146" t="s">
        <v>3074</v>
      </c>
      <c r="G51" s="151" cm="1">
        <f t="array" ref="G51">IFERROR(MAX(_xlfn._xlws.FILTER($A$40:$A$50,$H$40:$H$50&gt;=75%)),"")</f>
        <v>3</v>
      </c>
      <c r="H51" s="284" t="s">
        <v>3077</v>
      </c>
      <c r="I51" s="284"/>
    </row>
    <row r="52" spans="1:10" ht="18" customHeight="1" x14ac:dyDescent="0.3">
      <c r="E52"/>
    </row>
    <row r="53" spans="1:10" ht="15.6" x14ac:dyDescent="0.3">
      <c r="A53" s="323" t="s">
        <v>11399</v>
      </c>
      <c r="B53" s="323"/>
      <c r="C53" s="323"/>
      <c r="D53" s="323"/>
      <c r="E53" s="323"/>
      <c r="F53" s="323"/>
      <c r="G53" s="323"/>
      <c r="H53" s="323"/>
      <c r="I53" s="323"/>
      <c r="J53" s="323"/>
    </row>
    <row r="54" spans="1:10" x14ac:dyDescent="0.3">
      <c r="A54" s="303" t="s">
        <v>11400</v>
      </c>
      <c r="B54" s="303"/>
      <c r="C54" s="303"/>
      <c r="D54" s="303"/>
      <c r="E54" s="303"/>
      <c r="F54" s="303"/>
      <c r="G54" s="303"/>
      <c r="H54" s="303"/>
      <c r="I54" s="303"/>
      <c r="J54" s="303"/>
    </row>
    <row r="55" spans="1:10" x14ac:dyDescent="0.3">
      <c r="E55"/>
    </row>
    <row r="56" spans="1:10" x14ac:dyDescent="0.3">
      <c r="A56" s="165" t="s">
        <v>414</v>
      </c>
      <c r="B56" s="165" t="s">
        <v>4666</v>
      </c>
      <c r="C56" s="165" t="s">
        <v>11401</v>
      </c>
      <c r="D56" s="165" t="s">
        <v>7569</v>
      </c>
      <c r="E56"/>
      <c r="F56" s="165" t="s">
        <v>11413</v>
      </c>
      <c r="G56" s="165" t="s">
        <v>11414</v>
      </c>
      <c r="H56" s="165" t="s">
        <v>11388</v>
      </c>
      <c r="I56" s="165" t="s">
        <v>11415</v>
      </c>
      <c r="J56" s="165" t="s">
        <v>11416</v>
      </c>
    </row>
    <row r="57" spans="1:10" x14ac:dyDescent="0.3">
      <c r="A57" t="s">
        <v>11402</v>
      </c>
      <c r="B57" s="103">
        <f>IFERROR(AVERAGE(INDEX(Equipes!$K$2:$K$1000,MATCH($B$5,Equipes!$A$2:$A$1000,0)),INDEX(Equipes!$K$2:$K$1000,MATCH($B$6,Equipes!$A$2:$A$1000,0))),"")</f>
        <v>1</v>
      </c>
      <c r="C57" t="s">
        <v>11409</v>
      </c>
      <c r="D57" t="str">
        <f>IF(B57="","",IF(B57&gt;=95%,"Muito segura",IF(B57&gt;=90%,"Forte","Moderada")))</f>
        <v>Muito segura</v>
      </c>
      <c r="E57"/>
      <c r="F57" t="s">
        <v>11417</v>
      </c>
      <c r="G57" s="103">
        <v>0.8</v>
      </c>
      <c r="H57" s="103">
        <v>0.9</v>
      </c>
      <c r="I57" t="str">
        <f>$G$15</f>
        <v>ANALISAR OVER 2,50</v>
      </c>
      <c r="J57" t="str">
        <f>IF($J$78="","Aguardando",$J$78)</f>
        <v>MANTER V1 — OVER 2,50</v>
      </c>
    </row>
    <row r="58" spans="1:10" x14ac:dyDescent="0.3">
      <c r="A58" t="s">
        <v>11403</v>
      </c>
      <c r="B58" s="103">
        <f>IFERROR(AVERAGE(INDEX(Equipes!$L$2:$L$1000,MATCH($B$5,Equipes!$A$2:$A$1000,0)),INDEX(Equipes!$L$2:$L$1000,MATCH($B$6,Equipes!$A$2:$A$1000,0))),"")</f>
        <v>0.875</v>
      </c>
      <c r="C58" t="s">
        <v>11409</v>
      </c>
      <c r="D58" t="str">
        <f>IF(B58="","",IF(B58&gt;=90%,"Elite 2+",IF(B58&gt;=80%,"Forte 2+","Moderada")))</f>
        <v>Forte 2+</v>
      </c>
      <c r="E58"/>
      <c r="F58" t="s">
        <v>11418</v>
      </c>
      <c r="G58" s="103">
        <v>0.75</v>
      </c>
      <c r="H58" s="103">
        <v>0.85</v>
      </c>
      <c r="I58" t="s">
        <v>11421</v>
      </c>
      <c r="J58" t="s">
        <v>11422</v>
      </c>
    </row>
    <row r="59" spans="1:10" x14ac:dyDescent="0.3">
      <c r="A59" t="s">
        <v>11404</v>
      </c>
      <c r="B59" s="103">
        <f>IFERROR(AVERAGE(INDEX(Equipes!$M$2:$M$1000,MATCH($B$5,Equipes!$A$2:$A$1000,0)),INDEX(Equipes!$M$2:$M$1000,MATCH($B$6,Equipes!$A$2:$A$1000,0))),"")</f>
        <v>0.58333333333333348</v>
      </c>
      <c r="C59" t="s">
        <v>11409</v>
      </c>
      <c r="D59" t="str">
        <f>IF(B59="","",IF(B59&gt;=80%,"Teto alto",IF(B59&gt;=65%,"Teto médio","Teto limitado")))</f>
        <v>Teto limitado</v>
      </c>
      <c r="E59"/>
      <c r="F59" t="s">
        <v>11419</v>
      </c>
      <c r="G59" s="103">
        <v>0.7</v>
      </c>
      <c r="H59" s="103">
        <v>0.82</v>
      </c>
      <c r="I59" t="s">
        <v>11423</v>
      </c>
      <c r="J59" t="s">
        <v>11442</v>
      </c>
    </row>
    <row r="60" spans="1:10" x14ac:dyDescent="0.3">
      <c r="A60" t="s">
        <v>11405</v>
      </c>
      <c r="B60" s="103">
        <f>IFERROR(AVERAGE(INDEX(Equipes!$N$2:$N$1000,MATCH($B$5,Equipes!$A$2:$A$1000,0)),INDEX(Equipes!$N$2:$N$1000,MATCH($B$6,Equipes!$A$2:$A$1000,0))),"")</f>
        <v>0.41666666666666652</v>
      </c>
      <c r="C60" t="s">
        <v>11409</v>
      </c>
      <c r="D60" t="str">
        <f>IF(B60="","",IF(B60&gt;=65%,"Explosiva",IF(B60&gt;=45%,"Cauda presente","Cauda fraca")))</f>
        <v>Cauda fraca</v>
      </c>
      <c r="E60"/>
      <c r="F60" t="s">
        <v>11420</v>
      </c>
      <c r="G60" s="103">
        <f>IF($B$62&lt;1.04,80%,IF($B$62&lt;1.28,75%,70%))</f>
        <v>0.75</v>
      </c>
      <c r="H60" s="103">
        <f>IF($B$62&lt;1.04,90%,IF($B$62&lt;1.28,85%,82%))</f>
        <v>0.85</v>
      </c>
      <c r="I60" t="s">
        <v>11424</v>
      </c>
      <c r="J60" s="100">
        <f>$H$13</f>
        <v>2.5</v>
      </c>
    </row>
    <row r="61" spans="1:10" x14ac:dyDescent="0.3">
      <c r="A61" t="s">
        <v>11406</v>
      </c>
      <c r="B61" s="100">
        <f>IFERROR(AVERAGE(INDEX(Equipes!$Q$2:$Q$1000,MATCH($B$5,Equipes!$A$2:$A$1000,0)),INDEX(Equipes!$Q$2:$Q$1000,MATCH($B$6,Equipes!$A$2:$A$1000,0))),"")</f>
        <v>1.0777043571637361</v>
      </c>
      <c r="C61" t="s">
        <v>11410</v>
      </c>
      <c r="D61" t="str">
        <f>IF(B61="","",IF(B61&gt;=1.5,"Superdispersão forte",IF(B61&gt;=1.1,"Superdispersão","Próxima do Poisson")))</f>
        <v>Próxima do Poisson</v>
      </c>
      <c r="E61"/>
    </row>
    <row r="62" spans="1:10" x14ac:dyDescent="0.3">
      <c r="A62" t="s">
        <v>11407</v>
      </c>
      <c r="B62" s="100">
        <f>IFERROR(_xlfn.LET(_xlpm.x,_xlfn.XLOOKUP($E$5,Ligas!$A$2:$A$100,Ligas!$E$2:$E$100),IF(ISNUMBER(_xlpm.x),_xlpm.x/2.5,1)),1)</f>
        <v>1.2371134020618557</v>
      </c>
      <c r="C62" t="s">
        <v>11411</v>
      </c>
      <c r="D62" t="str">
        <f>IF(B62="","",IF(B62&gt;=1.25,"Liga aberta",IF(B62&lt;0.95,"Liga fechada","Liga neutra")))</f>
        <v>Liga neutra</v>
      </c>
      <c r="E62"/>
      <c r="F62" s="279" t="s">
        <v>11438</v>
      </c>
      <c r="G62" s="279" t="s">
        <v>45</v>
      </c>
      <c r="H62" s="279" t="s">
        <v>48</v>
      </c>
      <c r="I62" s="279" t="s">
        <v>11439</v>
      </c>
      <c r="J62" s="279" t="s">
        <v>3065</v>
      </c>
    </row>
    <row r="63" spans="1:10" x14ac:dyDescent="0.3">
      <c r="A63" t="s">
        <v>11408</v>
      </c>
      <c r="B63" s="103">
        <f>IF(OR(B59="",B60="",B61=""),"",MIN(65%,MAX(15%,15%+25%*MAX(0,MIN(1,(B61-1)/1.5))+15%*MAX(0,MIN(1,(B62-0.9)/0.5))+10%*B59+10%*B60)))</f>
        <v>0.36408474681251268</v>
      </c>
      <c r="C63" t="s">
        <v>11412</v>
      </c>
      <c r="D63" t="str">
        <f>IF(B63="","",IF(B63&gt;=50%,"Turbo alto",IF(B63&gt;=30%,"Turbo moderado","Turbo baixo")))</f>
        <v>Turbo moderado</v>
      </c>
      <c r="E63"/>
      <c r="F63" s="280" t="s">
        <v>11440</v>
      </c>
      <c r="G63" s="280" t="str">
        <f>IFERROR(_xlfn.XLOOKUP($B$5,'Radar Over'!$A$16:$A$30,'Radar Over'!$K$16:$K$30),"FORA")</f>
        <v>FORA</v>
      </c>
      <c r="H63" s="280" t="str">
        <f>IFERROR(_xlfn.XLOOKUP($B$6,'Radar Over'!$A$16:$A$30,'Radar Over'!$K$16:$K$30),"FORA")</f>
        <v>FORA</v>
      </c>
      <c r="I63" s="281">
        <f>MIN(12%,IF(COUNTIF(G63:H63,"ELITE")&gt;0,8%,IF(COUNTIF(G63:H63,"FORTE")&gt;0,4%,0%))+IF(COUNTIF(G63:H63,"ELITE")=2,4%,IF(AND(COUNTIF(G63:H63,"ELITE")=1,COUNTIF(G63:H63,"FORTE")=1),2%,0%)))</f>
        <v>0</v>
      </c>
      <c r="J63" s="280" t="str">
        <f>IF(I63=0,"Sem confirmação",IF(I63&gt;=8%,"Radar alto teto","Radar parcial"))</f>
        <v>Sem confirmação</v>
      </c>
    </row>
    <row r="64" spans="1:10" x14ac:dyDescent="0.3">
      <c r="A64" s="278" t="s">
        <v>11433</v>
      </c>
      <c r="B64" s="277">
        <f>IFERROR(_xlfn.LET(_xlpm.tresM,INDEX(Equipes!$M$2:$M$1000,MATCH($B$5,Equipes!$A$2:$A$1000,0)),_xlpm.tresV,INDEX(Equipes!$M$2:$M$1000,MATCH($B$6,Equipes!$A$2:$A$1000,0)),_xlpm.quatroM,INDEX(Equipes!$N$2:$N$1000,MATCH($B$5,Equipes!$A$2:$A$1000,0)),_xlpm.quatroV,INDEX(Equipes!$N$2:$N$1000,MATCH($B$6,Equipes!$A$2:$A$1000,0)),_xlpm.dispM,INDEX(Equipes!$Q$2:$Q$1000,MATCH($B$5,Equipes!$A$2:$A$1000,0)),_xlpm.dispV,INDEX(Equipes!$Q$2:$Q$1000,MATCH($B$6,Equipes!$A$2:$A$1000,0)),_xlpm.difTeto,45%*(MAX(_xlpm.tresM,_xlpm.tresV)-AVERAGE(_xlpm.tresM,_xlpm.tresV))+35%*(MAX(_xlpm.quatroM,_xlpm.quatroV)-AVERAGE(_xlpm.quatroM,_xlpm.quatroV)),_xlpm.bonusDisp,MAX(0,MAX(_xlpm.dispM,_xlpm.dispV)-1)*4%,MIN(20%,MAX(0,_xlpm.difTeto+_xlpm.bonusDisp))),"")</f>
        <v>0.15068216844695081</v>
      </c>
      <c r="C64" s="276" t="str">
        <f>IF(B64="","",IF(INDEX(Equipes!$N$2:$N$1000,MATCH($B$5,Equipes!$A$2:$A$1000,0))&gt;=INDEX(Equipes!$N$2:$N$1000,MATCH($B$6,Equipes!$A$2:$A$1000,0)),$B$5,$B$6))</f>
        <v>IFK Göteborg</v>
      </c>
      <c r="D64" s="276" t="str">
        <f>IF(B64="","",IF(B64&gt;=12%,"Dominância forte",IF(B64&gt;=6%,"Dominância moderada","Sem dominância material")))</f>
        <v>Dominância forte</v>
      </c>
      <c r="E64"/>
      <c r="F64" s="280" t="s">
        <v>11441</v>
      </c>
      <c r="G64" s="280" t="str">
        <f>IFERROR(_xlfn.XLOOKUP($B$5,'Radar Over'!$A$34:$A$48,'Radar Over'!$K$34:$K$48),"FORA")</f>
        <v>FORA</v>
      </c>
      <c r="H64" s="280" t="str">
        <f>IFERROR(_xlfn.XLOOKUP($B$6,'Radar Over'!$A$34:$A$48,'Radar Over'!$K$34:$K$48),"FORA")</f>
        <v>FORA</v>
      </c>
      <c r="I64" s="281">
        <f>MIN(10%,IF(COUNTIF(G64:H64,"ELITE")&gt;0,6%,IF(COUNTIF(G64:H64,"FORTE")&gt;0,3%,0%))+IF(COUNTIF(G64:H64,"ELITE")=2,4%,IF(AND(COUNTIF(G64:H64,"ELITE")=1,COUNTIF(G64:H64,"FORTE")=1),2%,0%)))</f>
        <v>0</v>
      </c>
      <c r="J64" s="280" t="str">
        <f>IF(I64=0,"Sem confirmação",IF(I64&gt;=6%,"Radar ofensivo","Radar parcial"))</f>
        <v>Sem confirmação</v>
      </c>
    </row>
    <row r="65" spans="1:10" ht="15.6" x14ac:dyDescent="0.3">
      <c r="A65" s="323" t="s">
        <v>11425</v>
      </c>
      <c r="B65" s="323"/>
      <c r="C65" s="323"/>
      <c r="D65" s="323"/>
      <c r="E65" s="323"/>
      <c r="F65" s="323"/>
      <c r="G65" s="323"/>
      <c r="H65" s="323"/>
      <c r="I65" s="323"/>
      <c r="J65" s="323"/>
    </row>
    <row r="66" spans="1:10" x14ac:dyDescent="0.3">
      <c r="A66" s="165" t="s">
        <v>817</v>
      </c>
      <c r="B66" s="165" t="s">
        <v>11426</v>
      </c>
      <c r="C66" s="165" t="s">
        <v>11427</v>
      </c>
      <c r="D66" s="165" t="s">
        <v>11428</v>
      </c>
      <c r="E66" s="165" t="s">
        <v>11429</v>
      </c>
      <c r="F66" s="165" t="s">
        <v>11430</v>
      </c>
      <c r="G66" s="165" t="s">
        <v>11431</v>
      </c>
      <c r="H66" s="165" t="s">
        <v>11432</v>
      </c>
      <c r="I66" s="165" t="s">
        <v>1343</v>
      </c>
      <c r="J66" s="165" t="s">
        <v>8200</v>
      </c>
    </row>
    <row r="67" spans="1:10" x14ac:dyDescent="0.3">
      <c r="A67" s="100">
        <f t="shared" ref="A67:A77" si="8">A40</f>
        <v>0.5</v>
      </c>
      <c r="B67" s="103">
        <f t="shared" ref="B67:B77" si="9">G40</f>
        <v>0.98340035202603737</v>
      </c>
      <c r="C67" s="103">
        <f t="shared" ref="C67:C77" si="10">IF(A67&lt;=0.5,$B$57,IF(A67&lt;=1.5,$B$58,IF(A67&lt;=2.5,MIN(100%,$B$59+$B$64+$I$64),MIN(100%,$B$60+$B$64+$I$63))))</f>
        <v>1</v>
      </c>
      <c r="D67" s="103">
        <f t="shared" ref="D67:D77" si="11">IF(OR(B67="",C67=""),"",B67*(1-$B$63)+C67*$B$63)</f>
        <v>0.98944403065581443</v>
      </c>
      <c r="E67" s="103">
        <f t="shared" ref="E67:E77" si="12">H40</f>
        <v>0.98340035202603737</v>
      </c>
      <c r="F67" s="103">
        <f t="shared" ref="F67:F77" si="13">IF(A67&lt;1.5,$B$57,IF(A67&lt;2.5,$B$58,MIN(100%,$B$59+$B$64+$I$64)))</f>
        <v>1</v>
      </c>
      <c r="G67" s="103">
        <f t="shared" ref="G67:G77" si="14">IF(OR(E67="",F67=""),"",MAX(D67,E67*(1-$B$63)+F67*$B$63))</f>
        <v>0.98944403065581443</v>
      </c>
      <c r="H67" s="103">
        <f t="shared" ref="H67:H77" si="15">IF(OR(D67="",B67=""),"",D67-B67)</f>
        <v>6.0436786297770606E-3</v>
      </c>
      <c r="I67" t="str">
        <f t="shared" ref="I67:I77" si="16">IF(D67&gt;=$G$60,IF(G67&gt;=$H$60,"APROVADA TURBO","GREEN SEM PROTEÇÃO"),IF(G67&gt;=$H$60,"SÓ PROTEÇÃO","ABAIXO"))</f>
        <v>APROVADA TURBO</v>
      </c>
      <c r="J67" t="str">
        <f t="shared" ref="J67:J77" si="17">IF(AND(I67="APROVADA TURBO",A67&gt;$H$13),A67,"")</f>
        <v/>
      </c>
    </row>
    <row r="68" spans="1:10" x14ac:dyDescent="0.3">
      <c r="A68" s="100">
        <f t="shared" si="8"/>
        <v>0.75</v>
      </c>
      <c r="B68" s="103">
        <f t="shared" si="9"/>
        <v>0.91700176013018697</v>
      </c>
      <c r="C68" s="103">
        <f t="shared" si="10"/>
        <v>0.875</v>
      </c>
      <c r="D68" s="103">
        <f t="shared" si="11"/>
        <v>0.90170955992750801</v>
      </c>
      <c r="E68" s="103">
        <f t="shared" si="12"/>
        <v>0.98340035202603737</v>
      </c>
      <c r="F68" s="103">
        <f t="shared" si="13"/>
        <v>1</v>
      </c>
      <c r="G68" s="103">
        <f t="shared" si="14"/>
        <v>0.98944403065581443</v>
      </c>
      <c r="H68" s="103">
        <f t="shared" si="15"/>
        <v>-1.5292200202678963E-2</v>
      </c>
      <c r="I68" t="str">
        <f t="shared" si="16"/>
        <v>APROVADA TURBO</v>
      </c>
      <c r="J68" t="str">
        <f t="shared" si="17"/>
        <v/>
      </c>
    </row>
    <row r="69" spans="1:10" x14ac:dyDescent="0.3">
      <c r="A69" s="100">
        <f t="shared" si="8"/>
        <v>1</v>
      </c>
      <c r="B69" s="103">
        <f t="shared" si="9"/>
        <v>0.91700176013018697</v>
      </c>
      <c r="C69" s="103">
        <f t="shared" si="10"/>
        <v>0.875</v>
      </c>
      <c r="D69" s="103">
        <f t="shared" si="11"/>
        <v>0.90170955992750801</v>
      </c>
      <c r="E69" s="103">
        <f t="shared" si="12"/>
        <v>0.98340035202603737</v>
      </c>
      <c r="F69" s="103">
        <f t="shared" si="13"/>
        <v>1</v>
      </c>
      <c r="G69" s="103">
        <f t="shared" si="14"/>
        <v>0.98944403065581443</v>
      </c>
      <c r="H69" s="103">
        <f t="shared" si="15"/>
        <v>-1.5292200202678963E-2</v>
      </c>
      <c r="I69" t="str">
        <f t="shared" si="16"/>
        <v>APROVADA TURBO</v>
      </c>
      <c r="J69" t="str">
        <f t="shared" si="17"/>
        <v/>
      </c>
    </row>
    <row r="70" spans="1:10" x14ac:dyDescent="0.3">
      <c r="A70" s="100">
        <f t="shared" si="8"/>
        <v>1.25</v>
      </c>
      <c r="B70" s="103">
        <f t="shared" si="9"/>
        <v>0.91700176013018697</v>
      </c>
      <c r="C70" s="103">
        <f t="shared" si="10"/>
        <v>0.875</v>
      </c>
      <c r="D70" s="103">
        <f t="shared" si="11"/>
        <v>0.90170955992750801</v>
      </c>
      <c r="E70" s="103">
        <f t="shared" si="12"/>
        <v>0.98340035202603737</v>
      </c>
      <c r="F70" s="103">
        <f t="shared" si="13"/>
        <v>1</v>
      </c>
      <c r="G70" s="103">
        <f t="shared" si="14"/>
        <v>0.98944403065581443</v>
      </c>
      <c r="H70" s="103">
        <f t="shared" si="15"/>
        <v>-1.5292200202678963E-2</v>
      </c>
      <c r="I70" t="str">
        <f t="shared" si="16"/>
        <v>APROVADA TURBO</v>
      </c>
      <c r="J70" t="str">
        <f t="shared" si="17"/>
        <v/>
      </c>
    </row>
    <row r="71" spans="1:10" x14ac:dyDescent="0.3">
      <c r="A71" s="100">
        <f t="shared" si="8"/>
        <v>1.5</v>
      </c>
      <c r="B71" s="103">
        <f t="shared" si="9"/>
        <v>0.91700176013018697</v>
      </c>
      <c r="C71" s="103">
        <f t="shared" si="10"/>
        <v>0.875</v>
      </c>
      <c r="D71" s="103">
        <f t="shared" si="11"/>
        <v>0.90170955992750801</v>
      </c>
      <c r="E71" s="103">
        <f t="shared" si="12"/>
        <v>0.91700176013018697</v>
      </c>
      <c r="F71" s="103">
        <f t="shared" si="13"/>
        <v>0.875</v>
      </c>
      <c r="G71" s="103">
        <f t="shared" si="14"/>
        <v>0.90170955992750801</v>
      </c>
      <c r="H71" s="103">
        <f t="shared" si="15"/>
        <v>-1.5292200202678963E-2</v>
      </c>
      <c r="I71" t="str">
        <f t="shared" si="16"/>
        <v>APROVADA TURBO</v>
      </c>
      <c r="J71" t="str">
        <f t="shared" si="17"/>
        <v/>
      </c>
    </row>
    <row r="72" spans="1:10" x14ac:dyDescent="0.3">
      <c r="A72" s="100">
        <f t="shared" si="8"/>
        <v>1.75</v>
      </c>
      <c r="B72" s="103">
        <f t="shared" si="9"/>
        <v>0.78262365748382279</v>
      </c>
      <c r="C72" s="103">
        <f t="shared" si="10"/>
        <v>0.7340155017802843</v>
      </c>
      <c r="D72" s="103">
        <f t="shared" si="11"/>
        <v>0.76492616942147684</v>
      </c>
      <c r="E72" s="103">
        <f t="shared" si="12"/>
        <v>0.91700176013018697</v>
      </c>
      <c r="F72" s="103">
        <f t="shared" si="13"/>
        <v>0.875</v>
      </c>
      <c r="G72" s="103">
        <f t="shared" si="14"/>
        <v>0.90170955992750801</v>
      </c>
      <c r="H72" s="103">
        <f t="shared" si="15"/>
        <v>-1.7697488062345945E-2</v>
      </c>
      <c r="I72" t="str">
        <f t="shared" si="16"/>
        <v>APROVADA TURBO</v>
      </c>
      <c r="J72" t="str">
        <f t="shared" si="17"/>
        <v/>
      </c>
    </row>
    <row r="73" spans="1:10" x14ac:dyDescent="0.3">
      <c r="A73" s="100">
        <f t="shared" si="8"/>
        <v>2</v>
      </c>
      <c r="B73" s="103">
        <f t="shared" si="9"/>
        <v>0.78262365748382279</v>
      </c>
      <c r="C73" s="103">
        <f t="shared" si="10"/>
        <v>0.7340155017802843</v>
      </c>
      <c r="D73" s="103">
        <f t="shared" si="11"/>
        <v>0.76492616942147684</v>
      </c>
      <c r="E73" s="103">
        <f t="shared" si="12"/>
        <v>0.91700176013018697</v>
      </c>
      <c r="F73" s="103">
        <f t="shared" si="13"/>
        <v>0.875</v>
      </c>
      <c r="G73" s="103">
        <f t="shared" si="14"/>
        <v>0.90170955992750801</v>
      </c>
      <c r="H73" s="103">
        <f t="shared" si="15"/>
        <v>-1.7697488062345945E-2</v>
      </c>
      <c r="I73" t="str">
        <f t="shared" si="16"/>
        <v>APROVADA TURBO</v>
      </c>
      <c r="J73" t="str">
        <f t="shared" si="17"/>
        <v/>
      </c>
    </row>
    <row r="74" spans="1:10" x14ac:dyDescent="0.3">
      <c r="A74" s="100">
        <f t="shared" si="8"/>
        <v>2.25</v>
      </c>
      <c r="B74" s="103">
        <f t="shared" si="9"/>
        <v>0.78262365748382279</v>
      </c>
      <c r="C74" s="103">
        <f t="shared" si="10"/>
        <v>0.7340155017802843</v>
      </c>
      <c r="D74" s="103">
        <f t="shared" si="11"/>
        <v>0.76492616942147684</v>
      </c>
      <c r="E74" s="103">
        <f t="shared" si="12"/>
        <v>0.91700176013018697</v>
      </c>
      <c r="F74" s="103">
        <f t="shared" si="13"/>
        <v>0.875</v>
      </c>
      <c r="G74" s="103">
        <f t="shared" si="14"/>
        <v>0.90170955992750801</v>
      </c>
      <c r="H74" s="103">
        <f t="shared" si="15"/>
        <v>-1.7697488062345945E-2</v>
      </c>
      <c r="I74" t="str">
        <f t="shared" si="16"/>
        <v>APROVADA TURBO</v>
      </c>
      <c r="J74" t="str">
        <f t="shared" si="17"/>
        <v/>
      </c>
    </row>
    <row r="75" spans="1:10" x14ac:dyDescent="0.3">
      <c r="A75" s="100">
        <f t="shared" si="8"/>
        <v>2.5</v>
      </c>
      <c r="B75" s="103">
        <f t="shared" si="9"/>
        <v>0.78262365748382279</v>
      </c>
      <c r="C75" s="103">
        <f t="shared" si="10"/>
        <v>0.7340155017802843</v>
      </c>
      <c r="D75" s="103">
        <f t="shared" si="11"/>
        <v>0.76492616942147684</v>
      </c>
      <c r="E75" s="103">
        <f t="shared" si="12"/>
        <v>0.78262365748382279</v>
      </c>
      <c r="F75" s="103">
        <f t="shared" si="13"/>
        <v>0.7340155017802843</v>
      </c>
      <c r="G75" s="103">
        <f t="shared" si="14"/>
        <v>0.76492616942147684</v>
      </c>
      <c r="H75" s="103">
        <f t="shared" si="15"/>
        <v>-1.7697488062345945E-2</v>
      </c>
      <c r="I75" t="str">
        <f t="shared" si="16"/>
        <v>GREEN SEM PROTEÇÃO</v>
      </c>
      <c r="J75" t="str">
        <f t="shared" si="17"/>
        <v/>
      </c>
    </row>
    <row r="76" spans="1:10" x14ac:dyDescent="0.3">
      <c r="A76" s="100">
        <f t="shared" si="8"/>
        <v>2.75</v>
      </c>
      <c r="B76" s="103">
        <f t="shared" si="9"/>
        <v>0.59918688244275387</v>
      </c>
      <c r="C76" s="103">
        <f t="shared" si="10"/>
        <v>0.56734883511361733</v>
      </c>
      <c r="D76" s="103">
        <f t="shared" si="11"/>
        <v>0.5875951350419204</v>
      </c>
      <c r="E76" s="103">
        <f t="shared" si="12"/>
        <v>0.78262365748382279</v>
      </c>
      <c r="F76" s="103">
        <f t="shared" si="13"/>
        <v>0.7340155017802843</v>
      </c>
      <c r="G76" s="103">
        <f t="shared" si="14"/>
        <v>0.76492616942147684</v>
      </c>
      <c r="H76" s="103">
        <f t="shared" si="15"/>
        <v>-1.1591747400833463E-2</v>
      </c>
      <c r="I76" t="str">
        <f t="shared" si="16"/>
        <v>ABAIXO</v>
      </c>
      <c r="J76" t="str">
        <f t="shared" si="17"/>
        <v/>
      </c>
    </row>
    <row r="77" spans="1:10" x14ac:dyDescent="0.3">
      <c r="A77" s="100">
        <f t="shared" si="8"/>
        <v>3</v>
      </c>
      <c r="B77" s="103">
        <f t="shared" si="9"/>
        <v>0.59918688244275387</v>
      </c>
      <c r="C77" s="103">
        <f t="shared" si="10"/>
        <v>0.56734883511361733</v>
      </c>
      <c r="D77" s="103">
        <f t="shared" si="11"/>
        <v>0.5875951350419204</v>
      </c>
      <c r="E77" s="103">
        <f t="shared" si="12"/>
        <v>0.78262365748382279</v>
      </c>
      <c r="F77" s="103">
        <f t="shared" si="13"/>
        <v>0.7340155017802843</v>
      </c>
      <c r="G77" s="103">
        <f t="shared" si="14"/>
        <v>0.76492616942147684</v>
      </c>
      <c r="H77" s="103">
        <f t="shared" si="15"/>
        <v>-1.1591747400833463E-2</v>
      </c>
      <c r="I77" t="str">
        <f t="shared" si="16"/>
        <v>ABAIXO</v>
      </c>
      <c r="J77" t="str">
        <f t="shared" si="17"/>
        <v/>
      </c>
    </row>
    <row r="78" spans="1:10" x14ac:dyDescent="0.3">
      <c r="A78" s="324" t="s">
        <v>11443</v>
      </c>
      <c r="B78" s="324"/>
      <c r="C78" s="324"/>
      <c r="D78" s="324"/>
      <c r="E78" s="324"/>
      <c r="F78" s="324"/>
      <c r="G78" s="324"/>
      <c r="H78" s="324"/>
      <c r="I78" s="324"/>
      <c r="J78" s="275" t="str" cm="1">
        <f t="array" ref="J78">_xlfn.LET(_xlpm.x,IFERROR(MAX(_xlfn._xlws.FILTER($J$67:$J$77,$J$67:$J$77&lt;&gt;"")),0),IF(_xlpm.x=0,"MANTER V1 — OVER "&amp;FIXED($H$13,2,FALSE),"TURBO — ANALISAR OVER "&amp;FIXED(_xlpm.x,2,FALSE)))</f>
        <v>MANTER V1 — OVER 2,50</v>
      </c>
    </row>
    <row r="79" spans="1:10" ht="14.4" hidden="1" customHeight="1" x14ac:dyDescent="0.3">
      <c r="E79"/>
    </row>
    <row r="80" spans="1:10" ht="14.4" hidden="1" customHeight="1" x14ac:dyDescent="0.3">
      <c r="E80"/>
    </row>
    <row r="81" spans="5:5" ht="14.4" hidden="1" customHeight="1" x14ac:dyDescent="0.3">
      <c r="E81"/>
    </row>
    <row r="82" spans="5:5" ht="14.4" hidden="1" customHeight="1" x14ac:dyDescent="0.3">
      <c r="E82"/>
    </row>
    <row r="83" spans="5:5" ht="14.4" hidden="1" customHeight="1" x14ac:dyDescent="0.3">
      <c r="E83"/>
    </row>
    <row r="84" spans="5:5" ht="14.4" hidden="1" customHeight="1" x14ac:dyDescent="0.3">
      <c r="E84"/>
    </row>
    <row r="85" spans="5:5" ht="14.4" hidden="1" customHeight="1" x14ac:dyDescent="0.3">
      <c r="E85"/>
    </row>
    <row r="86" spans="5:5" ht="14.4" hidden="1" customHeight="1" x14ac:dyDescent="0.3">
      <c r="E86"/>
    </row>
    <row r="87" spans="5:5" ht="14.4" hidden="1" customHeight="1" x14ac:dyDescent="0.3">
      <c r="E87"/>
    </row>
    <row r="88" spans="5:5" ht="14.4" hidden="1" customHeight="1" x14ac:dyDescent="0.3">
      <c r="E88"/>
    </row>
    <row r="89" spans="5:5" ht="14.4" hidden="1" customHeight="1" x14ac:dyDescent="0.3">
      <c r="E89"/>
    </row>
    <row r="90" spans="5:5" ht="14.4" hidden="1" customHeight="1" x14ac:dyDescent="0.3">
      <c r="E90"/>
    </row>
    <row r="91" spans="5:5" ht="14.4" hidden="1" customHeight="1" x14ac:dyDescent="0.3">
      <c r="E91"/>
    </row>
    <row r="92" spans="5:5" ht="14.4" hidden="1" customHeight="1" x14ac:dyDescent="0.3">
      <c r="E92"/>
    </row>
    <row r="93" spans="5:5" ht="14.4" hidden="1" customHeight="1" x14ac:dyDescent="0.3">
      <c r="E93"/>
    </row>
    <row r="94" spans="5:5" ht="14.4" hidden="1" customHeight="1" x14ac:dyDescent="0.3">
      <c r="E94"/>
    </row>
    <row r="95" spans="5:5" ht="14.4" hidden="1" customHeight="1" x14ac:dyDescent="0.3">
      <c r="E95"/>
    </row>
    <row r="96" spans="5:5" ht="14.4" hidden="1" customHeight="1" x14ac:dyDescent="0.3">
      <c r="E96"/>
    </row>
    <row r="97" spans="5:5" ht="14.4" hidden="1" customHeight="1" x14ac:dyDescent="0.3">
      <c r="E97"/>
    </row>
    <row r="98" spans="5:5" ht="14.4" hidden="1" customHeight="1" x14ac:dyDescent="0.3">
      <c r="E98"/>
    </row>
    <row r="99" spans="5:5" ht="14.4" hidden="1" customHeight="1" x14ac:dyDescent="0.3">
      <c r="E99"/>
    </row>
    <row r="100" spans="5:5" ht="14.4" hidden="1" customHeight="1" x14ac:dyDescent="0.3">
      <c r="E100"/>
    </row>
    <row r="101" spans="5:5" ht="14.4" hidden="1" customHeight="1" x14ac:dyDescent="0.3">
      <c r="E101"/>
    </row>
    <row r="102" spans="5:5" ht="14.4" hidden="1" customHeight="1" x14ac:dyDescent="0.3">
      <c r="E102"/>
    </row>
    <row r="103" spans="5:5" ht="14.4" hidden="1" customHeight="1" x14ac:dyDescent="0.3">
      <c r="E103"/>
    </row>
    <row r="104" spans="5:5" ht="14.4" hidden="1" customHeight="1" x14ac:dyDescent="0.3">
      <c r="E104"/>
    </row>
    <row r="105" spans="5:5" ht="14.4" hidden="1" customHeight="1" x14ac:dyDescent="0.3">
      <c r="E105"/>
    </row>
    <row r="106" spans="5:5" ht="14.4" hidden="1" customHeight="1" x14ac:dyDescent="0.3">
      <c r="E106"/>
    </row>
    <row r="107" spans="5:5" ht="14.4" hidden="1" customHeight="1" x14ac:dyDescent="0.3">
      <c r="E107"/>
    </row>
    <row r="108" spans="5:5" ht="14.4" hidden="1" customHeight="1" x14ac:dyDescent="0.3">
      <c r="E108"/>
    </row>
    <row r="109" spans="5:5" ht="14.4" hidden="1" customHeight="1" x14ac:dyDescent="0.3">
      <c r="E109"/>
    </row>
    <row r="110" spans="5:5" ht="14.4" hidden="1" customHeight="1" x14ac:dyDescent="0.3">
      <c r="E110"/>
    </row>
    <row r="111" spans="5:5" ht="14.4" hidden="1" customHeight="1" x14ac:dyDescent="0.3">
      <c r="E111"/>
    </row>
    <row r="112" spans="5:5" ht="14.4" hidden="1" customHeight="1" x14ac:dyDescent="0.3">
      <c r="E112"/>
    </row>
    <row r="113" spans="5:5" ht="14.4" hidden="1" customHeight="1" x14ac:dyDescent="0.3">
      <c r="E113"/>
    </row>
    <row r="114" spans="5:5" ht="14.4" hidden="1" customHeight="1" x14ac:dyDescent="0.3">
      <c r="E114"/>
    </row>
    <row r="115" spans="5:5" ht="14.4" hidden="1" customHeight="1" x14ac:dyDescent="0.3">
      <c r="E115"/>
    </row>
    <row r="116" spans="5:5" ht="14.4" hidden="1" customHeight="1" x14ac:dyDescent="0.3">
      <c r="E116"/>
    </row>
    <row r="117" spans="5:5" ht="14.4" hidden="1" customHeight="1" x14ac:dyDescent="0.3">
      <c r="E117"/>
    </row>
    <row r="118" spans="5:5" ht="14.4" hidden="1" customHeight="1" x14ac:dyDescent="0.3">
      <c r="E118"/>
    </row>
    <row r="119" spans="5:5" ht="14.4" hidden="1" customHeight="1" x14ac:dyDescent="0.3">
      <c r="E119"/>
    </row>
    <row r="120" spans="5:5" ht="14.4" hidden="1" customHeight="1" x14ac:dyDescent="0.3">
      <c r="E120"/>
    </row>
    <row r="121" spans="5:5" ht="14.4" hidden="1" customHeight="1" x14ac:dyDescent="0.3">
      <c r="E121"/>
    </row>
    <row r="122" spans="5:5" ht="14.4" hidden="1" customHeight="1" x14ac:dyDescent="0.3">
      <c r="E122"/>
    </row>
    <row r="123" spans="5:5" ht="14.4" hidden="1" customHeight="1" x14ac:dyDescent="0.3">
      <c r="E123"/>
    </row>
    <row r="124" spans="5:5" ht="14.4" hidden="1" customHeight="1" x14ac:dyDescent="0.3">
      <c r="E124"/>
    </row>
    <row r="125" spans="5:5" ht="14.4" hidden="1" customHeight="1" x14ac:dyDescent="0.3">
      <c r="E125"/>
    </row>
    <row r="126" spans="5:5" ht="14.4" hidden="1" customHeight="1" x14ac:dyDescent="0.3">
      <c r="E126"/>
    </row>
    <row r="127" spans="5:5" ht="14.4" hidden="1" customHeight="1" x14ac:dyDescent="0.3">
      <c r="E127"/>
    </row>
    <row r="128" spans="5:5" ht="14.4" hidden="1" customHeight="1" x14ac:dyDescent="0.3">
      <c r="E128"/>
    </row>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sheetData>
  <mergeCells count="20">
    <mergeCell ref="A30:D30"/>
    <mergeCell ref="A1:J1"/>
    <mergeCell ref="A2:J2"/>
    <mergeCell ref="A4:J4"/>
    <mergeCell ref="E5:G5"/>
    <mergeCell ref="H5:J5"/>
    <mergeCell ref="E6:G6"/>
    <mergeCell ref="H6:J6"/>
    <mergeCell ref="A8:D8"/>
    <mergeCell ref="F8:H8"/>
    <mergeCell ref="B15:C15"/>
    <mergeCell ref="A17:D17"/>
    <mergeCell ref="F17:H17"/>
    <mergeCell ref="A65:J65"/>
    <mergeCell ref="A78:I78"/>
    <mergeCell ref="A33:I33"/>
    <mergeCell ref="A34:I34"/>
    <mergeCell ref="H51:I51"/>
    <mergeCell ref="A53:J53"/>
    <mergeCell ref="A54:J54"/>
  </mergeCells>
  <conditionalFormatting sqref="C19:C29">
    <cfRule type="expression" dxfId="446" priority="3">
      <formula>$C19="APROVADA"</formula>
    </cfRule>
    <cfRule type="expression" dxfId="445" priority="4">
      <formula>$C19="PRÓXIMA"</formula>
    </cfRule>
    <cfRule type="expression" dxfId="444" priority="5">
      <formula>$C19="ABAIXO"</formula>
    </cfRule>
  </conditionalFormatting>
  <conditionalFormatting sqref="G40:G50">
    <cfRule type="cellIs" dxfId="443" priority="6" operator="greaterThanOrEqual">
      <formula>0.75</formula>
    </cfRule>
  </conditionalFormatting>
  <conditionalFormatting sqref="H40:H50">
    <cfRule type="cellIs" dxfId="442" priority="7" operator="greaterThanOrEqual">
      <formula>0.75</formula>
    </cfRule>
  </conditionalFormatting>
  <dataValidations count="3">
    <dataValidation type="decimal" allowBlank="1" showErrorMessage="1" errorTitle="Linha inválida" error="Informe uma linha Over entre 0 e 10." sqref="G25" xr:uid="{93AD8136-FCA6-43A3-AD82-1ABDAE8551C5}">
      <formula1>0</formula1>
      <formula2>10</formula2>
    </dataValidation>
    <dataValidation type="whole" operator="greaterThanOrEqual" allowBlank="1" showErrorMessage="1" errorTitle="Placar inválido" error="Informe gols inteiros iguais ou maiores que zero." sqref="G24:H24" xr:uid="{FAF792E8-D659-439A-9EB2-2DD7D6F4094B}">
      <formula1>0</formula1>
    </dataValidation>
    <dataValidation type="list" errorStyle="warning" allowBlank="1" showInputMessage="1" showErrorMessage="1" errorTitle="Grafia não encontrada" error="O nome não corresponde ao cadastro. Confirme e consulte a sugestão exibida ao lado." promptTitle="Seleção da equipe" prompt="Escolha na lista ou digite o nome. Divergências de grafia serão sinalizadas." sqref="B5:B6" xr:uid="{8FE5D043-ED28-4AE8-A95D-034C0041E18A}">
      <formula1>CadastroEquipes</formula1>
    </dataValidation>
  </dataValidations>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F7E29-C31D-460E-89C1-5577BAFD9FCE}">
  <dimension ref="A1:H38"/>
  <sheetViews>
    <sheetView topLeftCell="A8" workbookViewId="0">
      <selection activeCell="F22" sqref="F22"/>
    </sheetView>
  </sheetViews>
  <sheetFormatPr defaultRowHeight="14.4" x14ac:dyDescent="0.3"/>
  <cols>
    <col min="1" max="1" width="27.77734375" customWidth="1"/>
    <col min="2" max="4" width="19.44140625" customWidth="1"/>
    <col min="5" max="5" width="17.88671875" bestFit="1" customWidth="1"/>
    <col min="6" max="6" width="25" customWidth="1"/>
    <col min="7" max="7" width="19.44140625" customWidth="1"/>
    <col min="8" max="8" width="23.109375" customWidth="1"/>
  </cols>
  <sheetData>
    <row r="1" spans="1:8" ht="31.95" customHeight="1" x14ac:dyDescent="0.45">
      <c r="A1" s="320" t="s">
        <v>7552</v>
      </c>
      <c r="B1" s="320"/>
      <c r="C1" s="320"/>
      <c r="D1" s="320"/>
      <c r="E1" s="320"/>
      <c r="F1" s="320"/>
      <c r="G1" s="320"/>
      <c r="H1" s="320"/>
    </row>
    <row r="2" spans="1:8" x14ac:dyDescent="0.3">
      <c r="A2" s="303" t="s">
        <v>7553</v>
      </c>
      <c r="B2" s="303"/>
      <c r="C2" s="303"/>
      <c r="D2" s="303"/>
      <c r="E2" s="303"/>
      <c r="F2" s="303"/>
      <c r="G2" s="303"/>
      <c r="H2" s="303"/>
    </row>
    <row r="4" spans="1:8" x14ac:dyDescent="0.3">
      <c r="A4" s="304" t="s">
        <v>7554</v>
      </c>
      <c r="B4" s="304"/>
      <c r="C4" s="304"/>
      <c r="D4" s="304"/>
      <c r="E4" s="304"/>
      <c r="F4" s="304"/>
      <c r="G4" s="304"/>
      <c r="H4" s="304"/>
    </row>
    <row r="5" spans="1:8" x14ac:dyDescent="0.3">
      <c r="A5" t="s">
        <v>45</v>
      </c>
      <c r="B5" s="326" t="str">
        <f>'Modelo 01'!B5</f>
        <v>Degerfors IF</v>
      </c>
      <c r="C5" s="326"/>
      <c r="D5" s="180" t="s">
        <v>7555</v>
      </c>
      <c r="E5" s="326" t="str">
        <f>'Modelo 01'!E5</f>
        <v>SWE - Allsvenskan</v>
      </c>
      <c r="F5" s="326"/>
      <c r="G5" s="180" t="s">
        <v>7556</v>
      </c>
      <c r="H5" s="180" t="str">
        <f>'Modelo 01'!H5</f>
        <v>✓ Histórico disponível</v>
      </c>
    </row>
    <row r="6" spans="1:8" x14ac:dyDescent="0.3">
      <c r="A6" t="s">
        <v>48</v>
      </c>
      <c r="B6" s="326" t="str">
        <f>'Modelo 01'!B6</f>
        <v>IFK Göteborg</v>
      </c>
      <c r="C6" s="326"/>
      <c r="D6" s="180" t="s">
        <v>7555</v>
      </c>
      <c r="E6" s="326" t="str">
        <f>'Modelo 01'!E6</f>
        <v>SWE - Allsvenskan</v>
      </c>
      <c r="F6" s="326"/>
      <c r="G6" s="180" t="s">
        <v>7556</v>
      </c>
      <c r="H6" s="180" t="str">
        <f>'Modelo 01'!H6</f>
        <v>✓ Histórico disponível</v>
      </c>
    </row>
    <row r="8" spans="1:8" x14ac:dyDescent="0.3">
      <c r="A8" s="304" t="s">
        <v>7557</v>
      </c>
      <c r="B8" s="304"/>
      <c r="C8" s="304"/>
      <c r="D8" s="304"/>
      <c r="F8" s="304" t="s">
        <v>7583</v>
      </c>
      <c r="G8" s="304"/>
      <c r="H8" s="304"/>
    </row>
    <row r="9" spans="1:8" x14ac:dyDescent="0.3">
      <c r="A9" s="179" t="s">
        <v>414</v>
      </c>
      <c r="B9" s="179" t="s">
        <v>7558</v>
      </c>
      <c r="C9" s="179" t="s">
        <v>7559</v>
      </c>
      <c r="D9" s="179" t="s">
        <v>7560</v>
      </c>
      <c r="F9" s="179" t="s">
        <v>7567</v>
      </c>
      <c r="G9" s="179" t="s">
        <v>7568</v>
      </c>
      <c r="H9" s="179" t="s">
        <v>7569</v>
      </c>
    </row>
    <row r="10" spans="1:8" x14ac:dyDescent="0.3">
      <c r="A10" t="s">
        <v>416</v>
      </c>
      <c r="B10" s="181">
        <f>COUNTIFS(tblDados[Mandante],$B$5,tblDados[Janela_12_Mandante],1)</f>
        <v>5</v>
      </c>
      <c r="C10" s="181">
        <f>COUNTIFS(tblDados[Visitante],$B$6,tblDados[Janela_12_Visitante],1)</f>
        <v>5</v>
      </c>
      <c r="D10" s="181">
        <f>MIN(B10,C10)</f>
        <v>5</v>
      </c>
      <c r="F10" t="s">
        <v>7570</v>
      </c>
      <c r="G10" s="103">
        <f>IFERROR(EXP(-'Modelo 01'!D10),0)</f>
        <v>1.4995576820477703E-2</v>
      </c>
      <c r="H10" s="81" t="str">
        <f>IF(G10&gt;10%,"Alto",IF(G10&gt;7.5%,"Moderado","Baixo"))</f>
        <v>Baixo</v>
      </c>
    </row>
    <row r="11" spans="1:8" x14ac:dyDescent="0.3">
      <c r="A11" t="s">
        <v>7561</v>
      </c>
      <c r="B11" s="100">
        <f>IFERROR(SUMIFS(tblDados[GM_M],tblDados[Mandante],$B$5,tblDados[Janela_12_Mandante],1)/B10,0)</f>
        <v>0.8</v>
      </c>
      <c r="C11" s="100">
        <f>IFERROR(SUMIFS(tblDados[GM_V],tblDados[Visitante],$B$6,tblDados[Janela_12_Visitante],1)/C10,0)</f>
        <v>1.8</v>
      </c>
      <c r="D11" s="100">
        <f t="shared" ref="D11:D18" si="0">AVERAGE(B11,C11)</f>
        <v>1.3</v>
      </c>
      <c r="F11" t="s">
        <v>7571</v>
      </c>
      <c r="G11" s="103">
        <f>IFERROR(1-'Modelo 01'!H40,0)</f>
        <v>1.6599647973962628E-2</v>
      </c>
      <c r="H11" s="81" t="str">
        <f>IF(G11&gt;10%,"Alto",IF(G11&gt;7.5%,"Moderado","Baixo"))</f>
        <v>Baixo</v>
      </c>
    </row>
    <row r="12" spans="1:8" x14ac:dyDescent="0.3">
      <c r="A12" t="s">
        <v>7562</v>
      </c>
      <c r="B12" s="100">
        <f>IFERROR(SUMIFS(tblDados[GS_M],tblDados[Mandante],$B$5,tblDados[Janela_12_Mandante],1)/B10,0)</f>
        <v>1.8</v>
      </c>
      <c r="C12" s="100">
        <f>IFERROR(SUMIFS(tblDados[GS_V],tblDados[Visitante],$B$6,tblDados[Janela_12_Visitante],1)/C10,0)</f>
        <v>4</v>
      </c>
      <c r="D12" s="100">
        <f t="shared" si="0"/>
        <v>2.9</v>
      </c>
      <c r="F12" t="s">
        <v>7572</v>
      </c>
      <c r="G12" s="103">
        <f>B14</f>
        <v>0</v>
      </c>
      <c r="H12" s="81" t="str">
        <f>B10&amp;" jogos na condição"</f>
        <v>5 jogos na condição</v>
      </c>
    </row>
    <row r="13" spans="1:8" x14ac:dyDescent="0.3">
      <c r="A13" t="s">
        <v>7563</v>
      </c>
      <c r="B13" s="100">
        <f>IFERROR((SUMIFS(tblDados[GM_M],tblDados[Mandante],$B$5,tblDados[Janela_12_Mandante],1)+SUMIFS(tblDados[GS_M],tblDados[Mandante],$B$5,tblDados[Janela_12_Mandante],1))/B10,0)</f>
        <v>2.6</v>
      </c>
      <c r="C13" s="100">
        <f>IFERROR((SUMIFS(tblDados[GM_V],tblDados[Visitante],$B$6,tblDados[Janela_12_Visitante],1)+SUMIFS(tblDados[GS_V],tblDados[Visitante],$B$6,tblDados[Janela_12_Visitante],1))/C10,0)</f>
        <v>5.8</v>
      </c>
      <c r="D13" s="100">
        <f t="shared" si="0"/>
        <v>4.2</v>
      </c>
      <c r="F13" t="s">
        <v>7573</v>
      </c>
      <c r="G13" s="103">
        <f>C14</f>
        <v>0</v>
      </c>
      <c r="H13" s="81" t="str">
        <f>C10&amp;" jogos na condição"</f>
        <v>5 jogos na condição</v>
      </c>
    </row>
    <row r="14" spans="1:8" x14ac:dyDescent="0.3">
      <c r="A14" t="s">
        <v>860</v>
      </c>
      <c r="B14" s="103">
        <f>IFERROR(COUNTIFS(tblDados[Mandante],$B$5,tblDados[GM_M],0,tblDados[GS_M],0,tblDados[Janela_12_Mandante],1)/B10,0)</f>
        <v>0</v>
      </c>
      <c r="C14" s="103">
        <f>IFERROR(COUNTIFS(tblDados[Visitante],$B$6,tblDados[GM_V],0,tblDados[GS_V],0,tblDados[Janela_12_Visitante],1)/C10,0)</f>
        <v>0</v>
      </c>
      <c r="D14" s="103">
        <f t="shared" si="0"/>
        <v>0</v>
      </c>
      <c r="F14" t="s">
        <v>7574</v>
      </c>
      <c r="G14" s="103">
        <f>IFERROR(COUNTIFS(tblDados[País],LEFT($E$5,3),tblDados[Liga],TRIM(MID($E$5,7,99)),tblDados[GM_M],0,tblDados[GS_M],0,tblDados[Janela_12_Liga],1)/COUNTIFS(tblDados[País],LEFT($E$5,3),tblDados[Liga],TRIM(MID($E$5,7,99)),tblDados[Janela_12_Liga],1),0)</f>
        <v>4.1237113402061855E-2</v>
      </c>
      <c r="H14" s="81" t="str">
        <f>"Base: "&amp;COUNTIFS(tblDados[País],LEFT($E$5,3),tblDados[Liga],TRIM(MID($E$5,7,99)),tblDados[Janela_12_Liga],1)&amp;" jogos"</f>
        <v>Base: 97 jogos</v>
      </c>
    </row>
    <row r="15" spans="1:8" x14ac:dyDescent="0.3">
      <c r="A15" t="s">
        <v>7564</v>
      </c>
      <c r="B15" s="103" cm="1">
        <f t="array" ref="B15">IFERROR(SUMPRODUCT((tblDados[Mandante]=$B$5)*(tblDados[Janela_12_Mandante]=1)*((tblDados[GM_M]+tblDados[GS_M])=1))/B10,0)</f>
        <v>0.4</v>
      </c>
      <c r="C15" s="103" cm="1">
        <f t="array" ref="C15">IFERROR(SUMPRODUCT((tblDados[Visitante]=$B$6)*(tblDados[Janela_12_Visitante]=1)*((tblDados[GM_V]+tblDados[GS_V])=1))/C10,0)</f>
        <v>0</v>
      </c>
      <c r="D15" s="103">
        <f t="shared" si="0"/>
        <v>0.2</v>
      </c>
      <c r="F15" t="s">
        <v>7575</v>
      </c>
      <c r="G15" s="103">
        <f>AVERAGE((B10*B14+5*G14)/(B10+5),(C10*C14+5*G14)/(C10+5))</f>
        <v>2.0618556701030927E-2</v>
      </c>
      <c r="H15" s="81" t="str">
        <f>IF(G15&gt;10%,"Confirma risco elevado","Não confirma veto")</f>
        <v>Não confirma veto</v>
      </c>
    </row>
    <row r="16" spans="1:8" ht="28.8" x14ac:dyDescent="0.3">
      <c r="A16" t="s">
        <v>7565</v>
      </c>
      <c r="B16" s="103" cm="1">
        <f t="array" ref="B16">IFERROR(SUMPRODUCT((tblDados[Mandante]=$B$5)*(tblDados[Janela_12_Mandante]=1)*((tblDados[GM_M]+tblDados[GS_M])&gt;=2))/B10,0)</f>
        <v>0.6</v>
      </c>
      <c r="C16" s="103" cm="1">
        <f t="array" ref="C16">IFERROR(SUMPRODUCT((tblDados[Visitante]=$B$6)*(tblDados[Janela_12_Visitante]=1)*((tblDados[GM_V]+tblDados[GS_V])&gt;=2))/C10,0)</f>
        <v>1</v>
      </c>
      <c r="D16" s="103">
        <f t="shared" si="0"/>
        <v>0.8</v>
      </c>
      <c r="F16" t="s">
        <v>7576</v>
      </c>
      <c r="G16" s="181">
        <f>--AND(G11&gt;10%,G15&gt;10%)</f>
        <v>0</v>
      </c>
      <c r="H16" s="81" t="str">
        <f>IF(G16=1,"VETO CONFIRMADO","SEM CONFIRMAÇÃO DUPLA")</f>
        <v>SEM CONFIRMAÇÃO DUPLA</v>
      </c>
    </row>
    <row r="17" spans="1:8" x14ac:dyDescent="0.3">
      <c r="A17" t="s">
        <v>409</v>
      </c>
      <c r="B17" s="103">
        <f>IFERROR(COUNTIFS(tblDados[Mandante],$B$5,tblDados[GM_M],"&gt;0",tblDados[GS_M],"&gt;0",tblDados[Janela_12_Mandante],1)/B10,0)</f>
        <v>0.6</v>
      </c>
      <c r="C17" s="103">
        <f>IFERROR(COUNTIFS(tblDados[Visitante],$B$6,tblDados[GM_V],"&gt;0",tblDados[GS_V],"&gt;0",tblDados[Janela_12_Visitante],1)/C10,0)</f>
        <v>0.6</v>
      </c>
      <c r="D17" s="103">
        <f t="shared" si="0"/>
        <v>0.6</v>
      </c>
    </row>
    <row r="18" spans="1:8" x14ac:dyDescent="0.3">
      <c r="A18" t="s">
        <v>7566</v>
      </c>
      <c r="B18" s="100" cm="1">
        <f t="array" ref="B18">IFERROR(AVERAGE(_xlfn.TAKE(_xlfn.SORTBY(_xlfn._xlws.FILTER(tblDados[GM_M]+tblDados[GS_M],(tblDados[Mandante]=$B$5)*(tblDados[Janela_12_Mandante]=1)),_xlfn._xlws.FILTER(tblDados[Data],(tblDados[Mandante]=$B$5)*(tblDados[Janela_12_Mandante]=1)),-1),5)),0)</f>
        <v>2.6</v>
      </c>
      <c r="C18" s="100" cm="1">
        <f t="array" ref="C18">IFERROR(AVERAGE(_xlfn.TAKE(_xlfn.SORTBY(_xlfn._xlws.FILTER(tblDados[GM_V]+tblDados[GS_V],(tblDados[Visitante]=$B$6)*(tblDados[Janela_12_Visitante]=1)),_xlfn._xlws.FILTER(tblDados[Data],(tblDados[Visitante]=$B$6)*(tblDados[Janela_12_Visitante]=1)),-1),5)),0)</f>
        <v>5.8</v>
      </c>
      <c r="D18" s="100">
        <f t="shared" si="0"/>
        <v>4.2</v>
      </c>
    </row>
    <row r="20" spans="1:8" x14ac:dyDescent="0.3">
      <c r="A20" s="304" t="s">
        <v>7577</v>
      </c>
      <c r="B20" s="304"/>
      <c r="C20" s="304"/>
      <c r="D20" s="304"/>
      <c r="E20" s="304"/>
      <c r="F20" s="304"/>
      <c r="G20" s="304"/>
      <c r="H20" s="304"/>
    </row>
    <row r="21" spans="1:8" x14ac:dyDescent="0.3">
      <c r="A21" s="179" t="s">
        <v>817</v>
      </c>
      <c r="B21" s="179" t="s">
        <v>3061</v>
      </c>
      <c r="C21" s="179" t="s">
        <v>3062</v>
      </c>
      <c r="D21" s="179" t="s">
        <v>7578</v>
      </c>
      <c r="E21" s="179" t="s">
        <v>7579</v>
      </c>
      <c r="F21" s="179" t="s">
        <v>3063</v>
      </c>
      <c r="G21" s="179" t="s">
        <v>3064</v>
      </c>
      <c r="H21" s="179" t="s">
        <v>3065</v>
      </c>
    </row>
    <row r="22" spans="1:8" x14ac:dyDescent="0.3">
      <c r="A22" s="100">
        <v>0.5</v>
      </c>
      <c r="B22" s="103">
        <f>'Modelo 01'!B40</f>
        <v>0.9850044231795223</v>
      </c>
      <c r="C22" s="103">
        <f>'Modelo 01'!C40</f>
        <v>0.9850044231795223</v>
      </c>
      <c r="D22" s="103">
        <f>'Modelo 01'!D40</f>
        <v>0.98340035202603737</v>
      </c>
      <c r="E22" s="103">
        <f>'Modelo 01'!F40</f>
        <v>0.98340035202603737</v>
      </c>
      <c r="F22" s="103">
        <f>'Modelo 01'!G40</f>
        <v>0.98340035202603737</v>
      </c>
      <c r="G22" s="103">
        <f>'Modelo 01'!H40</f>
        <v>0.98340035202603737</v>
      </c>
      <c r="H22" s="81" t="str">
        <f>'Modelo 01'!I40</f>
        <v>GREEN ≥75%</v>
      </c>
    </row>
    <row r="23" spans="1:8" x14ac:dyDescent="0.3">
      <c r="A23" s="100">
        <v>0.75</v>
      </c>
      <c r="B23" s="103">
        <f>'Modelo 01'!B41</f>
        <v>0.92202300053351594</v>
      </c>
      <c r="C23" s="103">
        <f>'Modelo 01'!C41</f>
        <v>0.9850044231795223</v>
      </c>
      <c r="D23" s="103">
        <f>'Modelo 01'!D41</f>
        <v>0.91700176013018697</v>
      </c>
      <c r="E23" s="103">
        <f>'Modelo 01'!F41</f>
        <v>0.98340035202603737</v>
      </c>
      <c r="F23" s="103">
        <f>'Modelo 01'!G41</f>
        <v>0.91700176013018697</v>
      </c>
      <c r="G23" s="103">
        <f>'Modelo 01'!H41</f>
        <v>0.98340035202603737</v>
      </c>
      <c r="H23" s="81" t="str">
        <f>'Modelo 01'!I41</f>
        <v>GREEN ≥75%</v>
      </c>
    </row>
    <row r="24" spans="1:8" x14ac:dyDescent="0.3">
      <c r="A24" s="100">
        <v>1</v>
      </c>
      <c r="B24" s="103">
        <f>'Modelo 01'!B42</f>
        <v>0.92202300053351594</v>
      </c>
      <c r="C24" s="103">
        <f>'Modelo 01'!C42</f>
        <v>0.9850044231795223</v>
      </c>
      <c r="D24" s="103">
        <f>'Modelo 01'!D42</f>
        <v>0.91700176013018697</v>
      </c>
      <c r="E24" s="103">
        <f>'Modelo 01'!F42</f>
        <v>0.98340035202603737</v>
      </c>
      <c r="F24" s="103">
        <f>'Modelo 01'!G42</f>
        <v>0.91700176013018697</v>
      </c>
      <c r="G24" s="103">
        <f>'Modelo 01'!H42</f>
        <v>0.98340035202603737</v>
      </c>
      <c r="H24" s="81" t="str">
        <f>'Modelo 01'!I42</f>
        <v>GREEN ≥75%</v>
      </c>
    </row>
    <row r="25" spans="1:8" x14ac:dyDescent="0.3">
      <c r="A25" s="100">
        <v>1.25</v>
      </c>
      <c r="B25" s="103">
        <f>'Modelo 01'!B43</f>
        <v>0.92202300053351594</v>
      </c>
      <c r="C25" s="103">
        <f>'Modelo 01'!C43</f>
        <v>0.9850044231795223</v>
      </c>
      <c r="D25" s="103">
        <f>'Modelo 01'!D43</f>
        <v>0.91700176013018697</v>
      </c>
      <c r="E25" s="103">
        <f>'Modelo 01'!F43</f>
        <v>0.98340035202603737</v>
      </c>
      <c r="F25" s="103">
        <f>'Modelo 01'!G43</f>
        <v>0.91700176013018697</v>
      </c>
      <c r="G25" s="103">
        <f>'Modelo 01'!H43</f>
        <v>0.98340035202603737</v>
      </c>
      <c r="H25" s="81" t="str">
        <f>'Modelo 01'!I43</f>
        <v>GREEN ≥75%</v>
      </c>
    </row>
    <row r="26" spans="1:8" x14ac:dyDescent="0.3">
      <c r="A26" s="100">
        <v>1.5</v>
      </c>
      <c r="B26" s="103">
        <f>'Modelo 01'!B44</f>
        <v>0.92202300053351594</v>
      </c>
      <c r="C26" s="103">
        <f>'Modelo 01'!C44</f>
        <v>0.92202300053351594</v>
      </c>
      <c r="D26" s="103">
        <f>'Modelo 01'!D44</f>
        <v>0.91700176013018697</v>
      </c>
      <c r="E26" s="103">
        <f>'Modelo 01'!F44</f>
        <v>0.91700176013018697</v>
      </c>
      <c r="F26" s="103">
        <f>'Modelo 01'!G44</f>
        <v>0.91700176013018697</v>
      </c>
      <c r="G26" s="103">
        <f>'Modelo 01'!H44</f>
        <v>0.91700176013018697</v>
      </c>
      <c r="H26" s="81" t="str">
        <f>'Modelo 01'!I44</f>
        <v>GREEN ≥75%</v>
      </c>
    </row>
    <row r="27" spans="1:8" x14ac:dyDescent="0.3">
      <c r="A27" s="100">
        <v>1.75</v>
      </c>
      <c r="B27" s="103">
        <f>'Modelo 01'!B45</f>
        <v>0.78976201297690252</v>
      </c>
      <c r="C27" s="103">
        <f>'Modelo 01'!C45</f>
        <v>0.92202300053351594</v>
      </c>
      <c r="D27" s="103">
        <f>'Modelo 01'!D45</f>
        <v>0.78262365748382279</v>
      </c>
      <c r="E27" s="103">
        <f>'Modelo 01'!F45</f>
        <v>0.91700176013018697</v>
      </c>
      <c r="F27" s="103">
        <f>'Modelo 01'!G45</f>
        <v>0.78262365748382279</v>
      </c>
      <c r="G27" s="103">
        <f>'Modelo 01'!H45</f>
        <v>0.91700176013018697</v>
      </c>
      <c r="H27" s="81" t="str">
        <f>'Modelo 01'!I45</f>
        <v>GREEN ≥75%</v>
      </c>
    </row>
    <row r="28" spans="1:8" x14ac:dyDescent="0.3">
      <c r="A28" s="100">
        <v>2</v>
      </c>
      <c r="B28" s="103">
        <f>'Modelo 01'!B46</f>
        <v>0.78976201297690252</v>
      </c>
      <c r="C28" s="103">
        <f>'Modelo 01'!C46</f>
        <v>0.92202300053351594</v>
      </c>
      <c r="D28" s="103">
        <f>'Modelo 01'!D46</f>
        <v>0.78262365748382279</v>
      </c>
      <c r="E28" s="103">
        <f>'Modelo 01'!F46</f>
        <v>0.91700176013018697</v>
      </c>
      <c r="F28" s="103">
        <f>'Modelo 01'!G46</f>
        <v>0.78262365748382279</v>
      </c>
      <c r="G28" s="103">
        <f>'Modelo 01'!H46</f>
        <v>0.91700176013018697</v>
      </c>
      <c r="H28" s="81" t="str">
        <f>'Modelo 01'!I46</f>
        <v>GREEN ≥75%</v>
      </c>
    </row>
    <row r="29" spans="1:8" x14ac:dyDescent="0.3">
      <c r="A29" s="100">
        <v>2.25</v>
      </c>
      <c r="B29" s="103">
        <f>'Modelo 01'!B47</f>
        <v>0.78976201297690252</v>
      </c>
      <c r="C29" s="103">
        <f>'Modelo 01'!C47</f>
        <v>0.92202300053351594</v>
      </c>
      <c r="D29" s="103">
        <f>'Modelo 01'!D47</f>
        <v>0.78262365748382279</v>
      </c>
      <c r="E29" s="103">
        <f>'Modelo 01'!F47</f>
        <v>0.91700176013018697</v>
      </c>
      <c r="F29" s="103">
        <f>'Modelo 01'!G47</f>
        <v>0.78262365748382279</v>
      </c>
      <c r="G29" s="103">
        <f>'Modelo 01'!H47</f>
        <v>0.91700176013018697</v>
      </c>
      <c r="H29" s="81" t="str">
        <f>'Modelo 01'!I47</f>
        <v>GREEN ≥75%</v>
      </c>
    </row>
    <row r="30" spans="1:8" x14ac:dyDescent="0.3">
      <c r="A30" s="100">
        <v>2.5</v>
      </c>
      <c r="B30" s="103">
        <f>'Modelo 01'!B48</f>
        <v>0.78976201297690252</v>
      </c>
      <c r="C30" s="103">
        <f>'Modelo 01'!C48</f>
        <v>0.78976201297690252</v>
      </c>
      <c r="D30" s="103">
        <f>'Modelo 01'!D48</f>
        <v>0.78262365748382279</v>
      </c>
      <c r="E30" s="103">
        <f>'Modelo 01'!F48</f>
        <v>0.78262365748382279</v>
      </c>
      <c r="F30" s="103">
        <f>'Modelo 01'!G48</f>
        <v>0.78262365748382279</v>
      </c>
      <c r="G30" s="103">
        <f>'Modelo 01'!H48</f>
        <v>0.78262365748382279</v>
      </c>
      <c r="H30" s="81" t="str">
        <f>'Modelo 01'!I48</f>
        <v>GREEN ≥75%</v>
      </c>
    </row>
    <row r="31" spans="1:8" x14ac:dyDescent="0.3">
      <c r="A31" s="100">
        <v>2.75</v>
      </c>
      <c r="B31" s="103">
        <f>'Modelo 01'!B49</f>
        <v>0.60459663039764389</v>
      </c>
      <c r="C31" s="103">
        <f>'Modelo 01'!C49</f>
        <v>0.78976201297690252</v>
      </c>
      <c r="D31" s="103">
        <f>'Modelo 01'!D49</f>
        <v>0.59918688244275387</v>
      </c>
      <c r="E31" s="103">
        <f>'Modelo 01'!F49</f>
        <v>0.78262365748382279</v>
      </c>
      <c r="F31" s="103">
        <f>'Modelo 01'!G49</f>
        <v>0.59918688244275387</v>
      </c>
      <c r="G31" s="103">
        <f>'Modelo 01'!H49</f>
        <v>0.78262365748382279</v>
      </c>
      <c r="H31" s="81" t="str">
        <f>'Modelo 01'!I49</f>
        <v>PROTEÇÃO ≥75%</v>
      </c>
    </row>
    <row r="32" spans="1:8" x14ac:dyDescent="0.3">
      <c r="A32" s="100">
        <v>3</v>
      </c>
      <c r="B32" s="103">
        <f>'Modelo 01'!B50</f>
        <v>0.60459663039764389</v>
      </c>
      <c r="C32" s="103">
        <f>'Modelo 01'!C50</f>
        <v>0.78976201297690252</v>
      </c>
      <c r="D32" s="103">
        <f>'Modelo 01'!D50</f>
        <v>0.59918688244275387</v>
      </c>
      <c r="E32" s="103">
        <f>'Modelo 01'!F50</f>
        <v>0.78262365748382279</v>
      </c>
      <c r="F32" s="103">
        <f>'Modelo 01'!G50</f>
        <v>0.59918688244275387</v>
      </c>
      <c r="G32" s="103">
        <f>'Modelo 01'!H50</f>
        <v>0.78262365748382279</v>
      </c>
      <c r="H32" s="81" t="str">
        <f>'Modelo 01'!I50</f>
        <v>PROTEÇÃO ≥75%</v>
      </c>
    </row>
    <row r="34" spans="1:8" x14ac:dyDescent="0.3">
      <c r="A34" s="304" t="s">
        <v>7580</v>
      </c>
      <c r="B34" s="304"/>
      <c r="C34" s="304"/>
      <c r="D34" s="304"/>
      <c r="E34" s="304"/>
      <c r="F34" s="304"/>
      <c r="G34" s="304"/>
      <c r="H34" s="304"/>
    </row>
    <row r="35" spans="1:8" ht="25.95" customHeight="1" x14ac:dyDescent="0.3">
      <c r="A35" s="327" t="str">
        <f>IF($G$16=1,"VETO CONFIRMADO: distribuições e histórico casa/fora apontam risco de 0 x 0 acima de 10%.",IF($G$11&gt;10%,"DIVERGÊNCIA: o pior modelo supera 10%, mas o histórico casa/fora não confirma o veto. Priorizar a menor linha realmente disponível e máxima proteção.","SEM VETO POR 0 x 0: modelos e histórico não confirmam risco impeditivo. Avaliar somente as linhas realmente disponíveis, priorizando a maior probabilidade de acerto."))</f>
        <v>SEM VETO POR 0 x 0: modelos e histórico não confirmam risco impeditivo. Avaliar somente as linhas realmente disponíveis, priorizando a maior probabilidade de acerto.</v>
      </c>
      <c r="B35" s="327"/>
      <c r="C35" s="327"/>
      <c r="D35" s="327"/>
      <c r="E35" s="327"/>
      <c r="F35" s="327"/>
      <c r="G35" s="327"/>
      <c r="H35" s="327"/>
    </row>
    <row r="36" spans="1:8" ht="25.95" customHeight="1" x14ac:dyDescent="0.3">
      <c r="A36" s="327"/>
      <c r="B36" s="327"/>
      <c r="C36" s="327"/>
      <c r="D36" s="327"/>
      <c r="E36" s="327"/>
      <c r="F36" s="327"/>
      <c r="G36" s="327"/>
      <c r="H36" s="327"/>
    </row>
    <row r="37" spans="1:8" ht="25.95" customHeight="1" x14ac:dyDescent="0.3">
      <c r="A37" s="327"/>
      <c r="B37" s="327"/>
      <c r="C37" s="327"/>
      <c r="D37" s="327"/>
      <c r="E37" s="327"/>
      <c r="F37" s="327"/>
      <c r="G37" s="327"/>
      <c r="H37" s="327"/>
    </row>
    <row r="38" spans="1:8" ht="30" customHeight="1" x14ac:dyDescent="0.3">
      <c r="A38" t="s">
        <v>7581</v>
      </c>
      <c r="B38" s="325" t="s">
        <v>7582</v>
      </c>
      <c r="C38" s="325"/>
      <c r="D38" s="325"/>
      <c r="E38" s="325"/>
      <c r="F38" s="325"/>
      <c r="G38" s="325"/>
      <c r="H38" s="325"/>
    </row>
  </sheetData>
  <mergeCells count="13">
    <mergeCell ref="B38:H38"/>
    <mergeCell ref="A1:H1"/>
    <mergeCell ref="A2:H2"/>
    <mergeCell ref="A4:H4"/>
    <mergeCell ref="B5:C5"/>
    <mergeCell ref="E5:F5"/>
    <mergeCell ref="B6:C6"/>
    <mergeCell ref="E6:F6"/>
    <mergeCell ref="A8:D8"/>
    <mergeCell ref="F8:H8"/>
    <mergeCell ref="A20:H20"/>
    <mergeCell ref="A34:H34"/>
    <mergeCell ref="A35:H37"/>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42E2B-E09E-4EE2-908F-BA9AB0152F85}">
  <dimension ref="A1:H856"/>
  <sheetViews>
    <sheetView topLeftCell="A826" zoomScaleNormal="100" workbookViewId="0">
      <selection activeCell="C850" sqref="C850:D850"/>
    </sheetView>
  </sheetViews>
  <sheetFormatPr defaultRowHeight="14.4" x14ac:dyDescent="0.3"/>
  <cols>
    <col min="1" max="1" width="14.44140625" customWidth="1"/>
    <col min="2" max="2" width="19.44140625" customWidth="1"/>
    <col min="3" max="4" width="13.33203125" customWidth="1"/>
    <col min="5" max="5" width="24.109375" customWidth="1"/>
    <col min="6" max="7" width="14.44140625" customWidth="1"/>
    <col min="8" max="8" width="24.109375" customWidth="1"/>
    <col min="9" max="9" width="8.109375" bestFit="1" customWidth="1"/>
    <col min="10" max="10" width="9.33203125" bestFit="1" customWidth="1"/>
    <col min="11" max="11" width="8.109375" bestFit="1" customWidth="1"/>
    <col min="12" max="12" width="8.6640625" bestFit="1" customWidth="1"/>
    <col min="13" max="13" width="37" customWidth="1"/>
    <col min="14" max="15" width="40.77734375" customWidth="1"/>
    <col min="16" max="16" width="25" customWidth="1"/>
    <col min="17" max="17" width="40.77734375" customWidth="1"/>
  </cols>
  <sheetData>
    <row r="1" spans="1:8" ht="24" customHeight="1" x14ac:dyDescent="0.45">
      <c r="A1" s="302" t="s">
        <v>1354</v>
      </c>
      <c r="B1" s="302"/>
      <c r="C1" s="302"/>
      <c r="D1" s="302"/>
      <c r="E1" s="302"/>
      <c r="F1" s="302"/>
      <c r="G1" s="302"/>
      <c r="H1" s="302"/>
    </row>
    <row r="2" spans="1:8" ht="24" customHeight="1" x14ac:dyDescent="0.3">
      <c r="A2" s="283" t="s">
        <v>1355</v>
      </c>
      <c r="B2" s="283"/>
      <c r="C2" s="283"/>
      <c r="D2" s="283"/>
      <c r="E2" s="283"/>
      <c r="F2" s="283"/>
      <c r="G2" s="283"/>
      <c r="H2" s="283"/>
    </row>
    <row r="3" spans="1:8" ht="24" customHeight="1" x14ac:dyDescent="0.3">
      <c r="A3" s="342" t="s">
        <v>1445</v>
      </c>
      <c r="B3" s="342"/>
      <c r="C3" s="342"/>
      <c r="D3" s="342"/>
      <c r="E3" s="342"/>
      <c r="F3" s="342"/>
      <c r="G3" s="342"/>
      <c r="H3" s="342"/>
    </row>
    <row r="4" spans="1:8" ht="17.399999999999999" x14ac:dyDescent="0.35">
      <c r="A4" s="328">
        <v>46242</v>
      </c>
      <c r="B4" s="340"/>
      <c r="C4" s="329" t="s">
        <v>1356</v>
      </c>
      <c r="D4" s="329"/>
      <c r="E4" s="329"/>
      <c r="F4" s="329"/>
      <c r="G4" s="329"/>
      <c r="H4" s="329"/>
    </row>
    <row r="5" spans="1:8" x14ac:dyDescent="0.3">
      <c r="A5" s="330" t="s">
        <v>851</v>
      </c>
      <c r="B5" s="330"/>
      <c r="C5" s="330"/>
      <c r="D5" s="330"/>
      <c r="E5" s="330" t="s">
        <v>1370</v>
      </c>
      <c r="F5" s="330"/>
      <c r="G5" s="330" t="s">
        <v>1371</v>
      </c>
      <c r="H5" s="330"/>
    </row>
    <row r="6" spans="1:8" x14ac:dyDescent="0.3">
      <c r="A6" s="25" t="s">
        <v>1357</v>
      </c>
      <c r="B6" s="305" t="s">
        <v>1350</v>
      </c>
      <c r="C6" s="305"/>
      <c r="D6" s="305"/>
      <c r="E6" s="81" t="s">
        <v>1358</v>
      </c>
      <c r="F6" s="81" t="s">
        <v>1344</v>
      </c>
      <c r="G6" s="81" t="s">
        <v>801</v>
      </c>
      <c r="H6" s="81" t="s">
        <v>1345</v>
      </c>
    </row>
    <row r="7" spans="1:8" x14ac:dyDescent="0.3">
      <c r="A7" s="25" t="s">
        <v>1359</v>
      </c>
      <c r="B7" s="305" t="s">
        <v>1351</v>
      </c>
      <c r="C7" s="305"/>
      <c r="D7" s="305"/>
      <c r="E7" s="305"/>
      <c r="F7" s="305"/>
      <c r="G7" s="305"/>
      <c r="H7" s="305"/>
    </row>
    <row r="8" spans="1:8" x14ac:dyDescent="0.3">
      <c r="A8" s="25" t="s">
        <v>1360</v>
      </c>
      <c r="B8" s="305" t="s">
        <v>1352</v>
      </c>
      <c r="C8" s="305"/>
      <c r="D8" s="81" t="s">
        <v>800</v>
      </c>
      <c r="E8" s="305" t="s">
        <v>1353</v>
      </c>
      <c r="F8" s="305"/>
      <c r="G8" s="305"/>
      <c r="H8" s="305"/>
    </row>
    <row r="9" spans="1:8" x14ac:dyDescent="0.3">
      <c r="A9" s="25" t="s">
        <v>1361</v>
      </c>
      <c r="B9" t="s">
        <v>1346</v>
      </c>
      <c r="C9" t="s">
        <v>53</v>
      </c>
      <c r="D9" s="80">
        <v>1.1299999999999999</v>
      </c>
      <c r="E9" t="s">
        <v>54</v>
      </c>
      <c r="F9" s="83">
        <v>0.5</v>
      </c>
      <c r="G9" t="s">
        <v>1343</v>
      </c>
      <c r="H9" t="str">
        <f>IF(C10="","Pendente","Finalizado")</f>
        <v>Finalizado</v>
      </c>
    </row>
    <row r="10" spans="1:8" x14ac:dyDescent="0.3">
      <c r="A10" s="84" t="s">
        <v>1372</v>
      </c>
      <c r="B10" s="92" t="s">
        <v>45</v>
      </c>
      <c r="C10" s="90">
        <v>2</v>
      </c>
      <c r="D10" s="93" t="s">
        <v>48</v>
      </c>
      <c r="E10" s="91">
        <v>1</v>
      </c>
      <c r="F10" s="85" t="s">
        <v>1373</v>
      </c>
      <c r="G10" s="86">
        <f>IF(OR(C10="",E10=""),"",C10+E10)</f>
        <v>3</v>
      </c>
      <c r="H10" s="82"/>
    </row>
    <row r="11" spans="1:8" x14ac:dyDescent="0.3">
      <c r="A11" s="25" t="s">
        <v>1374</v>
      </c>
      <c r="B11" t="s">
        <v>426</v>
      </c>
      <c r="C11" s="111" t="str">
        <f>IF(G10="","",IF(G10&gt;2,"Green",IF(G10=2,"Devolvida","Red")))</f>
        <v>Green</v>
      </c>
      <c r="D11" t="s">
        <v>1342</v>
      </c>
      <c r="E11" s="83">
        <f>IF(C11="","",IF(C11="Green",F9*(D9-1),IF(C11="Red",-F9,IF(C11="Meio Green",F9*(D9-1)/2,IF(C11="Meio Red",-F9/2,IF(C11="Devolvida",0,""))))))</f>
        <v>6.4999999999999947E-2</v>
      </c>
      <c r="F11" s="341" t="s">
        <v>1347</v>
      </c>
      <c r="G11" s="341"/>
      <c r="H11" s="341"/>
    </row>
    <row r="13" spans="1:8" ht="17.399999999999999" x14ac:dyDescent="0.35">
      <c r="A13" s="328">
        <v>46242</v>
      </c>
      <c r="B13" s="340"/>
      <c r="C13" s="329" t="s">
        <v>1362</v>
      </c>
      <c r="D13" s="329"/>
      <c r="E13" s="329"/>
      <c r="F13" s="329"/>
      <c r="G13" s="329"/>
      <c r="H13" s="329"/>
    </row>
    <row r="14" spans="1:8" x14ac:dyDescent="0.3">
      <c r="A14" s="330" t="s">
        <v>851</v>
      </c>
      <c r="B14" s="330"/>
      <c r="C14" s="330"/>
      <c r="D14" s="330"/>
      <c r="E14" s="330" t="s">
        <v>1370</v>
      </c>
      <c r="F14" s="330"/>
      <c r="G14" s="330" t="s">
        <v>1371</v>
      </c>
      <c r="H14" s="330"/>
    </row>
    <row r="15" spans="1:8" x14ac:dyDescent="0.3">
      <c r="A15" s="25" t="s">
        <v>1357</v>
      </c>
      <c r="B15" s="305" t="s">
        <v>1427</v>
      </c>
      <c r="C15" s="305"/>
      <c r="D15" s="305"/>
      <c r="E15" s="81" t="s">
        <v>1358</v>
      </c>
      <c r="F15" s="81" t="s">
        <v>1348</v>
      </c>
      <c r="G15" s="81" t="s">
        <v>801</v>
      </c>
      <c r="H15" s="81" t="s">
        <v>1349</v>
      </c>
    </row>
    <row r="16" spans="1:8" x14ac:dyDescent="0.3">
      <c r="A16" s="25" t="s">
        <v>1359</v>
      </c>
      <c r="B16" s="305" t="s">
        <v>1428</v>
      </c>
      <c r="C16" s="305"/>
      <c r="D16" s="305"/>
      <c r="E16" s="305"/>
      <c r="F16" s="305"/>
      <c r="G16" s="305"/>
      <c r="H16" s="305"/>
    </row>
    <row r="17" spans="1:8" x14ac:dyDescent="0.3">
      <c r="A17" s="25" t="s">
        <v>1360</v>
      </c>
      <c r="B17" s="305" t="s">
        <v>1429</v>
      </c>
      <c r="C17" s="305"/>
      <c r="D17" s="81" t="s">
        <v>800</v>
      </c>
      <c r="E17" s="305" t="s">
        <v>1430</v>
      </c>
      <c r="F17" s="305"/>
      <c r="G17" s="305"/>
      <c r="H17" s="305"/>
    </row>
    <row r="18" spans="1:8" x14ac:dyDescent="0.3">
      <c r="A18" s="25" t="s">
        <v>1361</v>
      </c>
      <c r="B18" t="s">
        <v>1346</v>
      </c>
      <c r="C18" t="s">
        <v>53</v>
      </c>
      <c r="D18" s="80">
        <v>1.125</v>
      </c>
      <c r="E18" t="s">
        <v>54</v>
      </c>
      <c r="F18" s="83">
        <v>0.5</v>
      </c>
      <c r="G18" t="s">
        <v>1343</v>
      </c>
      <c r="H18" t="str">
        <f>IF(C19="","Pendente","Finalizado")</f>
        <v>Finalizado</v>
      </c>
    </row>
    <row r="19" spans="1:8" x14ac:dyDescent="0.3">
      <c r="A19" s="84" t="s">
        <v>1372</v>
      </c>
      <c r="B19" s="92" t="s">
        <v>45</v>
      </c>
      <c r="C19" s="90">
        <v>1</v>
      </c>
      <c r="D19" s="93" t="s">
        <v>48</v>
      </c>
      <c r="E19" s="91">
        <v>2</v>
      </c>
      <c r="F19" s="85" t="s">
        <v>1373</v>
      </c>
      <c r="G19" s="86">
        <f>IF(OR(C19="",E19=""),"",C19+E19)</f>
        <v>3</v>
      </c>
      <c r="H19" s="82"/>
    </row>
    <row r="20" spans="1:8" x14ac:dyDescent="0.3">
      <c r="A20" s="25" t="s">
        <v>1374</v>
      </c>
      <c r="B20" t="s">
        <v>426</v>
      </c>
      <c r="C20" s="111" t="str">
        <f>IF(G19="","",IF(G19&gt;2,"Green",IF(G19=2,"Devolvida","Red")))</f>
        <v>Green</v>
      </c>
      <c r="D20" t="s">
        <v>1342</v>
      </c>
      <c r="E20" s="83">
        <f>IF(C20="","",IF(C20="Green",F18*(D18-1),IF(C20="Red",-F18,IF(C20="Meio Green",F18*(D18-1)/2,IF(C20="Meio Red",-F18/2,IF(C20="Devolvida",0,""))))))</f>
        <v>6.25E-2</v>
      </c>
      <c r="F20" s="341"/>
      <c r="G20" s="341"/>
      <c r="H20" s="341"/>
    </row>
    <row r="22" spans="1:8" ht="17.399999999999999" x14ac:dyDescent="0.35">
      <c r="A22" s="328">
        <v>46242</v>
      </c>
      <c r="B22" s="340"/>
      <c r="C22" s="329" t="s">
        <v>1363</v>
      </c>
      <c r="D22" s="329"/>
      <c r="E22" s="329"/>
      <c r="F22" s="329"/>
      <c r="G22" s="329"/>
      <c r="H22" s="329"/>
    </row>
    <row r="23" spans="1:8" x14ac:dyDescent="0.3">
      <c r="A23" s="330" t="s">
        <v>851</v>
      </c>
      <c r="B23" s="330"/>
      <c r="C23" s="330"/>
      <c r="D23" s="330"/>
      <c r="E23" s="330" t="s">
        <v>1370</v>
      </c>
      <c r="F23" s="330"/>
      <c r="G23" s="330" t="s">
        <v>1371</v>
      </c>
      <c r="H23" s="330"/>
    </row>
    <row r="24" spans="1:8" x14ac:dyDescent="0.3">
      <c r="A24" s="25" t="s">
        <v>1357</v>
      </c>
      <c r="B24" s="305" t="s">
        <v>1431</v>
      </c>
      <c r="C24" s="305"/>
      <c r="D24" s="305"/>
      <c r="E24" s="81" t="s">
        <v>1358</v>
      </c>
      <c r="F24" s="81" t="s">
        <v>1344</v>
      </c>
      <c r="G24" s="81" t="s">
        <v>801</v>
      </c>
      <c r="H24" s="81" t="s">
        <v>1345</v>
      </c>
    </row>
    <row r="25" spans="1:8" x14ac:dyDescent="0.3">
      <c r="A25" s="25" t="s">
        <v>1359</v>
      </c>
      <c r="B25" s="305" t="s">
        <v>1432</v>
      </c>
      <c r="C25" s="305"/>
      <c r="D25" s="305"/>
      <c r="E25" s="305"/>
      <c r="F25" s="305"/>
      <c r="G25" s="305"/>
      <c r="H25" s="305"/>
    </row>
    <row r="26" spans="1:8" x14ac:dyDescent="0.3">
      <c r="A26" s="25" t="s">
        <v>1360</v>
      </c>
      <c r="B26" s="305" t="s">
        <v>1425</v>
      </c>
      <c r="C26" s="305"/>
      <c r="D26" s="81" t="s">
        <v>800</v>
      </c>
      <c r="E26" s="305" t="s">
        <v>1433</v>
      </c>
      <c r="F26" s="305"/>
      <c r="G26" s="305"/>
      <c r="H26" s="305"/>
    </row>
    <row r="27" spans="1:8" x14ac:dyDescent="0.3">
      <c r="A27" s="25" t="s">
        <v>1361</v>
      </c>
      <c r="B27" t="s">
        <v>1346</v>
      </c>
      <c r="C27" t="s">
        <v>53</v>
      </c>
      <c r="D27" s="80">
        <v>1.1499999999999999</v>
      </c>
      <c r="E27" t="s">
        <v>54</v>
      </c>
      <c r="F27" s="83">
        <v>0.5</v>
      </c>
      <c r="G27" t="s">
        <v>1343</v>
      </c>
      <c r="H27" t="str">
        <f>IF(C28="","Pendente","Finalizado")</f>
        <v>Finalizado</v>
      </c>
    </row>
    <row r="28" spans="1:8" x14ac:dyDescent="0.3">
      <c r="A28" s="84" t="s">
        <v>1372</v>
      </c>
      <c r="B28" s="92" t="s">
        <v>45</v>
      </c>
      <c r="C28" s="90">
        <v>2</v>
      </c>
      <c r="D28" s="93" t="s">
        <v>48</v>
      </c>
      <c r="E28" s="91">
        <v>0</v>
      </c>
      <c r="F28" s="85" t="s">
        <v>1373</v>
      </c>
      <c r="G28" s="86">
        <f>IF(OR(C28="",E28=""),"",C28+E28)</f>
        <v>2</v>
      </c>
      <c r="H28" s="82"/>
    </row>
    <row r="29" spans="1:8" x14ac:dyDescent="0.3">
      <c r="A29" s="25" t="s">
        <v>1374</v>
      </c>
      <c r="B29" t="s">
        <v>426</v>
      </c>
      <c r="C29" s="111" t="str">
        <f>IF(G28="","",IF(G28&gt;2,"Green",IF(G28=2,"Devolvida","Red")))</f>
        <v>Devolvida</v>
      </c>
      <c r="D29" t="s">
        <v>1342</v>
      </c>
      <c r="E29" s="83">
        <f>IF(C29="","",IF(C29="Green",F27*(D27-1),IF(C29="Red",-F27,IF(C29="Meio Green",F27*(D27-1)/2,IF(C29="Meio Red",-F27/2,IF(C29="Devolvida",0,""))))))</f>
        <v>0</v>
      </c>
      <c r="F29" s="341"/>
      <c r="G29" s="341"/>
      <c r="H29" s="341"/>
    </row>
    <row r="31" spans="1:8" ht="17.399999999999999" x14ac:dyDescent="0.35">
      <c r="A31" s="328">
        <v>46242</v>
      </c>
      <c r="B31" s="340"/>
      <c r="C31" s="329" t="s">
        <v>1364</v>
      </c>
      <c r="D31" s="329"/>
      <c r="E31" s="329"/>
      <c r="F31" s="329"/>
      <c r="G31" s="329"/>
      <c r="H31" s="329"/>
    </row>
    <row r="32" spans="1:8" x14ac:dyDescent="0.3">
      <c r="A32" s="330" t="s">
        <v>851</v>
      </c>
      <c r="B32" s="330"/>
      <c r="C32" s="330"/>
      <c r="D32" s="330"/>
      <c r="E32" s="330" t="s">
        <v>1370</v>
      </c>
      <c r="F32" s="330"/>
      <c r="G32" s="330" t="s">
        <v>1371</v>
      </c>
      <c r="H32" s="330"/>
    </row>
    <row r="33" spans="1:8" x14ac:dyDescent="0.3">
      <c r="A33" s="25" t="s">
        <v>1357</v>
      </c>
      <c r="B33" s="305" t="s">
        <v>1437</v>
      </c>
      <c r="C33" s="305"/>
      <c r="D33" s="305"/>
      <c r="E33" s="81" t="s">
        <v>1358</v>
      </c>
      <c r="F33" s="81" t="s">
        <v>1344</v>
      </c>
      <c r="G33" s="81" t="s">
        <v>801</v>
      </c>
      <c r="H33" s="81" t="s">
        <v>1345</v>
      </c>
    </row>
    <row r="34" spans="1:8" x14ac:dyDescent="0.3">
      <c r="A34" s="25" t="s">
        <v>1359</v>
      </c>
      <c r="B34" s="305" t="s">
        <v>1438</v>
      </c>
      <c r="C34" s="305"/>
      <c r="D34" s="305"/>
      <c r="E34" s="305"/>
      <c r="F34" s="305"/>
      <c r="G34" s="305"/>
      <c r="H34" s="305"/>
    </row>
    <row r="35" spans="1:8" x14ac:dyDescent="0.3">
      <c r="A35" s="25" t="s">
        <v>1360</v>
      </c>
      <c r="B35" s="305" t="s">
        <v>1439</v>
      </c>
      <c r="C35" s="305"/>
      <c r="D35" s="81" t="s">
        <v>800</v>
      </c>
      <c r="E35" s="305" t="s">
        <v>1440</v>
      </c>
      <c r="F35" s="305"/>
      <c r="G35" s="305"/>
      <c r="H35" s="305"/>
    </row>
    <row r="36" spans="1:8" x14ac:dyDescent="0.3">
      <c r="A36" s="25" t="s">
        <v>1361</v>
      </c>
      <c r="B36" t="s">
        <v>1436</v>
      </c>
      <c r="C36" t="s">
        <v>53</v>
      </c>
      <c r="D36" s="80">
        <v>1.3</v>
      </c>
      <c r="E36" t="s">
        <v>54</v>
      </c>
      <c r="F36" s="83">
        <v>0.5</v>
      </c>
      <c r="G36" t="s">
        <v>1343</v>
      </c>
      <c r="H36" t="str">
        <f>IF(C37="","Pendente","Finalizado")</f>
        <v>Finalizado</v>
      </c>
    </row>
    <row r="37" spans="1:8" x14ac:dyDescent="0.3">
      <c r="A37" s="84" t="s">
        <v>1372</v>
      </c>
      <c r="B37" s="92" t="s">
        <v>45</v>
      </c>
      <c r="C37" s="90">
        <v>0</v>
      </c>
      <c r="D37" s="93" t="s">
        <v>48</v>
      </c>
      <c r="E37" s="91">
        <v>0</v>
      </c>
      <c r="F37" s="85" t="s">
        <v>1373</v>
      </c>
      <c r="G37" s="86">
        <f>IF(OR(C37="",E37=""),"",C37+E37)</f>
        <v>0</v>
      </c>
      <c r="H37" s="82"/>
    </row>
    <row r="38" spans="1:8" x14ac:dyDescent="0.3">
      <c r="A38" s="25" t="s">
        <v>1374</v>
      </c>
      <c r="B38" t="s">
        <v>426</v>
      </c>
      <c r="C38" s="111" t="str">
        <f>IF(G37="","",IF(G37&gt;=3,"Green",IF(G37=2,"Meio Red","Red")))</f>
        <v>Red</v>
      </c>
      <c r="D38" t="s">
        <v>1342</v>
      </c>
      <c r="E38" s="83">
        <f>IF(C38="","",IF(C38="Green",F36*(D36-1),IF(C38="Red",-F36,IF(C38="Meio Green",F36*(D36-1)/2,IF(C38="Meio Red",-F36/2,IF(C38="Devolvida",0,""))))))</f>
        <v>-0.5</v>
      </c>
      <c r="F38" s="341"/>
      <c r="G38" s="341"/>
      <c r="H38" s="341"/>
    </row>
    <row r="40" spans="1:8" ht="17.399999999999999" x14ac:dyDescent="0.35">
      <c r="A40" s="328">
        <v>46242</v>
      </c>
      <c r="B40" s="340"/>
      <c r="C40" s="329" t="s">
        <v>1365</v>
      </c>
      <c r="D40" s="329"/>
      <c r="E40" s="329"/>
      <c r="F40" s="329"/>
      <c r="G40" s="329"/>
      <c r="H40" s="329"/>
    </row>
    <row r="41" spans="1:8" x14ac:dyDescent="0.3">
      <c r="A41" s="330" t="s">
        <v>851</v>
      </c>
      <c r="B41" s="330"/>
      <c r="C41" s="330"/>
      <c r="D41" s="330"/>
      <c r="E41" s="330" t="s">
        <v>1370</v>
      </c>
      <c r="F41" s="330"/>
      <c r="G41" s="330" t="s">
        <v>1371</v>
      </c>
      <c r="H41" s="330"/>
    </row>
    <row r="42" spans="1:8" x14ac:dyDescent="0.3">
      <c r="A42" s="25" t="s">
        <v>1357</v>
      </c>
      <c r="B42" s="305" t="s">
        <v>1441</v>
      </c>
      <c r="C42" s="305"/>
      <c r="D42" s="305"/>
      <c r="E42" s="81" t="s">
        <v>1358</v>
      </c>
      <c r="F42" s="81" t="s">
        <v>1348</v>
      </c>
      <c r="G42" s="81" t="s">
        <v>801</v>
      </c>
      <c r="H42" s="81" t="s">
        <v>1349</v>
      </c>
    </row>
    <row r="43" spans="1:8" x14ac:dyDescent="0.3">
      <c r="A43" s="25" t="s">
        <v>1359</v>
      </c>
      <c r="B43" s="305" t="s">
        <v>1443</v>
      </c>
      <c r="C43" s="305"/>
      <c r="D43" s="305"/>
      <c r="E43" s="305"/>
      <c r="F43" s="305"/>
      <c r="G43" s="305"/>
      <c r="H43" s="305"/>
    </row>
    <row r="44" spans="1:8" x14ac:dyDescent="0.3">
      <c r="A44" s="25" t="s">
        <v>1360</v>
      </c>
      <c r="B44" s="305" t="s">
        <v>1444</v>
      </c>
      <c r="C44" s="305"/>
      <c r="D44" s="81" t="s">
        <v>800</v>
      </c>
      <c r="E44" s="305" t="s">
        <v>1442</v>
      </c>
      <c r="F44" s="305"/>
      <c r="G44" s="305"/>
      <c r="H44" s="305"/>
    </row>
    <row r="45" spans="1:8" x14ac:dyDescent="0.3">
      <c r="A45" s="25" t="s">
        <v>1361</v>
      </c>
      <c r="B45" t="s">
        <v>1346</v>
      </c>
      <c r="C45" t="s">
        <v>53</v>
      </c>
      <c r="D45" s="80">
        <v>1.22</v>
      </c>
      <c r="E45" t="s">
        <v>54</v>
      </c>
      <c r="F45" s="83">
        <v>0.5</v>
      </c>
      <c r="G45" t="s">
        <v>1343</v>
      </c>
      <c r="H45" t="str">
        <f>IF(C46="","Pendente","Finalizado")</f>
        <v>Finalizado</v>
      </c>
    </row>
    <row r="46" spans="1:8" x14ac:dyDescent="0.3">
      <c r="A46" s="84" t="s">
        <v>1372</v>
      </c>
      <c r="B46" s="92" t="s">
        <v>45</v>
      </c>
      <c r="C46" s="90">
        <v>2</v>
      </c>
      <c r="D46" s="93" t="s">
        <v>48</v>
      </c>
      <c r="E46" s="91">
        <v>2</v>
      </c>
      <c r="F46" s="85" t="s">
        <v>1373</v>
      </c>
      <c r="G46" s="86">
        <f>IF(OR(C46="",E46=""),"",C46+E46)</f>
        <v>4</v>
      </c>
      <c r="H46" s="82"/>
    </row>
    <row r="47" spans="1:8" x14ac:dyDescent="0.3">
      <c r="A47" s="25" t="s">
        <v>1374</v>
      </c>
      <c r="B47" t="s">
        <v>426</v>
      </c>
      <c r="C47" s="111" t="str">
        <f>IF(G46="","",IF(G46&gt;2,"Green",IF(G46=2,"Devolvida","Red")))</f>
        <v>Green</v>
      </c>
      <c r="D47" t="s">
        <v>1342</v>
      </c>
      <c r="E47" s="83">
        <f>IF(C47="","",IF(C47="Green",F45*(D45-1),IF(C47="Red",-F45,IF(C47="Meio Green",F45*(D45-1)/2,IF(C47="Meio Red",-F45/2,IF(C47="Devolvida",0,""))))))</f>
        <v>0.10999999999999999</v>
      </c>
      <c r="F47" s="341"/>
      <c r="G47" s="341"/>
      <c r="H47" s="341"/>
    </row>
    <row r="49" spans="1:8" ht="17.399999999999999" x14ac:dyDescent="0.35">
      <c r="A49" s="328">
        <v>46242</v>
      </c>
      <c r="B49" s="340"/>
      <c r="C49" s="329" t="s">
        <v>1366</v>
      </c>
      <c r="D49" s="329"/>
      <c r="E49" s="329"/>
      <c r="F49" s="329"/>
      <c r="G49" s="329"/>
      <c r="H49" s="329"/>
    </row>
    <row r="50" spans="1:8" x14ac:dyDescent="0.3">
      <c r="A50" s="330" t="s">
        <v>973</v>
      </c>
      <c r="B50" s="330"/>
      <c r="C50" s="330"/>
      <c r="D50" s="330"/>
      <c r="E50" s="330" t="s">
        <v>1370</v>
      </c>
      <c r="F50" s="330"/>
      <c r="G50" s="330" t="s">
        <v>1371</v>
      </c>
      <c r="H50" s="330"/>
    </row>
    <row r="51" spans="1:8" x14ac:dyDescent="0.3">
      <c r="A51" s="25" t="s">
        <v>1357</v>
      </c>
      <c r="B51" s="305" t="s">
        <v>1375</v>
      </c>
      <c r="C51" s="305"/>
      <c r="D51" s="305"/>
      <c r="E51" s="81" t="s">
        <v>1358</v>
      </c>
      <c r="F51" s="81" t="s">
        <v>1344</v>
      </c>
      <c r="G51" s="81" t="s">
        <v>801</v>
      </c>
      <c r="H51" s="81" t="s">
        <v>1345</v>
      </c>
    </row>
    <row r="52" spans="1:8" x14ac:dyDescent="0.3">
      <c r="A52" s="25" t="s">
        <v>1359</v>
      </c>
      <c r="B52" s="305" t="s">
        <v>1376</v>
      </c>
      <c r="C52" s="305"/>
      <c r="D52" s="305"/>
      <c r="E52" s="305"/>
      <c r="F52" s="305"/>
      <c r="G52" s="305"/>
      <c r="H52" s="305"/>
    </row>
    <row r="53" spans="1:8" x14ac:dyDescent="0.3">
      <c r="A53" s="25" t="s">
        <v>1360</v>
      </c>
      <c r="B53" s="305" t="s">
        <v>1434</v>
      </c>
      <c r="C53" s="305"/>
      <c r="D53" s="81" t="s">
        <v>800</v>
      </c>
      <c r="E53" s="305" t="s">
        <v>1435</v>
      </c>
      <c r="F53" s="305"/>
      <c r="G53" s="305"/>
      <c r="H53" s="305"/>
    </row>
    <row r="54" spans="1:8" x14ac:dyDescent="0.3">
      <c r="A54" s="25" t="s">
        <v>1361</v>
      </c>
      <c r="B54" t="s">
        <v>1436</v>
      </c>
      <c r="C54" t="s">
        <v>53</v>
      </c>
      <c r="D54" s="80">
        <v>1.26</v>
      </c>
      <c r="E54" t="s">
        <v>54</v>
      </c>
      <c r="F54" s="83">
        <v>0.5</v>
      </c>
      <c r="G54" t="s">
        <v>1343</v>
      </c>
      <c r="H54" t="str">
        <f>IF(C55="","Pendente","Finalizado")</f>
        <v>Finalizado</v>
      </c>
    </row>
    <row r="55" spans="1:8" x14ac:dyDescent="0.3">
      <c r="A55" s="84" t="s">
        <v>1372</v>
      </c>
      <c r="B55" s="92" t="s">
        <v>45</v>
      </c>
      <c r="C55" s="90">
        <v>1</v>
      </c>
      <c r="D55" s="93" t="s">
        <v>48</v>
      </c>
      <c r="E55" s="91">
        <v>1</v>
      </c>
      <c r="F55" s="85" t="s">
        <v>1373</v>
      </c>
      <c r="G55" s="86">
        <f>IF(OR(C55="",E55=""),"",C55+E55)</f>
        <v>2</v>
      </c>
      <c r="H55" s="82"/>
    </row>
    <row r="56" spans="1:8" x14ac:dyDescent="0.3">
      <c r="A56" s="25" t="s">
        <v>1374</v>
      </c>
      <c r="B56" t="s">
        <v>426</v>
      </c>
      <c r="C56" s="111" t="str">
        <f>IF(G55="","",IF(G55&gt;=3,"Green",IF(G55=2,"Meio Red","Red")))</f>
        <v>Meio Red</v>
      </c>
      <c r="D56" t="s">
        <v>1342</v>
      </c>
      <c r="E56" s="83">
        <f>IF(C56="","",IF(C56="Green",F54*(D54-1),IF(C56="Red",-F54,IF(C56="Meio Green",F54*(D54-1)/2,IF(C56="Meio Red",-F54/2,IF(C56="Devolvida",0,""))))))</f>
        <v>-0.25</v>
      </c>
      <c r="F56" s="341"/>
      <c r="G56" s="341"/>
      <c r="H56" s="341"/>
    </row>
    <row r="58" spans="1:8" ht="17.399999999999999" x14ac:dyDescent="0.35">
      <c r="A58" s="328">
        <v>46242</v>
      </c>
      <c r="B58" s="340"/>
      <c r="C58" s="329" t="s">
        <v>1422</v>
      </c>
      <c r="D58" s="329"/>
      <c r="E58" s="329"/>
      <c r="F58" s="329"/>
      <c r="G58" s="329"/>
      <c r="H58" s="329"/>
    </row>
    <row r="59" spans="1:8" x14ac:dyDescent="0.3">
      <c r="A59" s="330" t="s">
        <v>1405</v>
      </c>
      <c r="B59" s="330"/>
      <c r="C59" s="330"/>
      <c r="D59" s="330"/>
      <c r="E59" s="330" t="s">
        <v>1370</v>
      </c>
      <c r="F59" s="330"/>
      <c r="G59" s="343">
        <v>0.125</v>
      </c>
      <c r="H59" s="330"/>
    </row>
    <row r="60" spans="1:8" x14ac:dyDescent="0.3">
      <c r="A60" s="25" t="s">
        <v>1357</v>
      </c>
      <c r="B60" s="305" t="s">
        <v>1423</v>
      </c>
      <c r="C60" s="305"/>
      <c r="D60" s="305"/>
      <c r="E60" s="81" t="s">
        <v>1358</v>
      </c>
      <c r="F60" s="81" t="s">
        <v>1348</v>
      </c>
      <c r="G60" s="81" t="s">
        <v>801</v>
      </c>
      <c r="H60" s="81" t="s">
        <v>1349</v>
      </c>
    </row>
    <row r="61" spans="1:8" x14ac:dyDescent="0.3">
      <c r="A61" s="25" t="s">
        <v>1359</v>
      </c>
      <c r="B61" s="305" t="s">
        <v>1424</v>
      </c>
      <c r="C61" s="305"/>
      <c r="D61" s="305"/>
      <c r="E61" s="305"/>
      <c r="F61" s="305"/>
      <c r="G61" s="305"/>
      <c r="H61" s="305"/>
    </row>
    <row r="62" spans="1:8" x14ac:dyDescent="0.3">
      <c r="A62" s="25" t="s">
        <v>1360</v>
      </c>
      <c r="B62" s="305" t="s">
        <v>1425</v>
      </c>
      <c r="C62" s="305"/>
      <c r="D62" s="81" t="s">
        <v>800</v>
      </c>
      <c r="E62" s="305" t="s">
        <v>1426</v>
      </c>
      <c r="F62" s="305"/>
      <c r="G62" s="305"/>
      <c r="H62" s="305"/>
    </row>
    <row r="63" spans="1:8" x14ac:dyDescent="0.3">
      <c r="A63" s="25" t="s">
        <v>1361</v>
      </c>
      <c r="B63" t="s">
        <v>1346</v>
      </c>
      <c r="C63" t="s">
        <v>53</v>
      </c>
      <c r="D63" s="80">
        <v>1.1499999999999999</v>
      </c>
      <c r="E63" t="s">
        <v>54</v>
      </c>
      <c r="F63" s="83">
        <v>0.5</v>
      </c>
      <c r="G63" t="s">
        <v>1343</v>
      </c>
      <c r="H63" t="str">
        <f>IF(C64="","Pendente","Finalizado")</f>
        <v>Finalizado</v>
      </c>
    </row>
    <row r="64" spans="1:8" x14ac:dyDescent="0.3">
      <c r="A64" s="25" t="s">
        <v>1372</v>
      </c>
      <c r="B64" s="92" t="s">
        <v>45</v>
      </c>
      <c r="C64" s="90">
        <v>7</v>
      </c>
      <c r="D64" s="93" t="s">
        <v>48</v>
      </c>
      <c r="E64" s="91">
        <v>1</v>
      </c>
      <c r="F64" s="88" t="s">
        <v>1373</v>
      </c>
      <c r="G64" s="89">
        <f>IF(OR(C64="",E64=""),"",C64+E64)</f>
        <v>8</v>
      </c>
    </row>
    <row r="65" spans="1:8" x14ac:dyDescent="0.3">
      <c r="A65" s="25" t="s">
        <v>1374</v>
      </c>
      <c r="B65" t="s">
        <v>426</v>
      </c>
      <c r="C65" s="111" t="str">
        <f>IF(G64="","",IF(G64&gt;2,"Green",IF(G64=2,"Devolvida","Red")))</f>
        <v>Green</v>
      </c>
      <c r="D65" t="s">
        <v>1342</v>
      </c>
      <c r="E65" s="83">
        <f>IF(C65="","",IF(C65="Green",F63*(D63-1),IF(C65="Red",-F63,IF(C65="Meio Green",F63*(D63-1)/2,IF(C65="Meio Red",-F63/2,IF(C65="Devolvida",0,""))))))</f>
        <v>7.4999999999999956E-2</v>
      </c>
      <c r="F65" s="315"/>
      <c r="G65" s="315"/>
      <c r="H65" s="315"/>
    </row>
    <row r="67" spans="1:8" ht="17.399999999999999" x14ac:dyDescent="0.35">
      <c r="A67" s="328">
        <v>46242</v>
      </c>
      <c r="B67" s="340"/>
      <c r="C67" s="329" t="s">
        <v>1468</v>
      </c>
      <c r="D67" s="329"/>
      <c r="E67" s="329"/>
      <c r="F67" s="329"/>
      <c r="G67" s="329"/>
      <c r="H67" s="329"/>
    </row>
    <row r="68" spans="1:8" x14ac:dyDescent="0.3">
      <c r="A68" s="330" t="s">
        <v>882</v>
      </c>
      <c r="B68" s="330"/>
      <c r="C68" s="330"/>
      <c r="D68" s="330"/>
      <c r="E68" s="330" t="s">
        <v>1370</v>
      </c>
      <c r="F68" s="330"/>
      <c r="G68" s="330" t="s">
        <v>1371</v>
      </c>
      <c r="H68" s="330"/>
    </row>
    <row r="69" spans="1:8" x14ac:dyDescent="0.3">
      <c r="A69" s="25" t="s">
        <v>1357</v>
      </c>
      <c r="B69" s="305" t="s">
        <v>1469</v>
      </c>
      <c r="C69" s="305"/>
      <c r="D69" s="305"/>
      <c r="E69" s="81" t="s">
        <v>1358</v>
      </c>
      <c r="F69" s="81" t="s">
        <v>1348</v>
      </c>
      <c r="G69" s="81" t="s">
        <v>801</v>
      </c>
      <c r="H69" s="81" t="s">
        <v>1349</v>
      </c>
    </row>
    <row r="70" spans="1:8" x14ac:dyDescent="0.3">
      <c r="A70" s="25" t="s">
        <v>1359</v>
      </c>
      <c r="B70" s="305" t="s">
        <v>1470</v>
      </c>
      <c r="C70" s="305"/>
      <c r="D70" s="305"/>
      <c r="E70" s="305"/>
      <c r="F70" s="305"/>
      <c r="G70" s="305"/>
      <c r="H70" s="305"/>
    </row>
    <row r="71" spans="1:8" x14ac:dyDescent="0.3">
      <c r="A71" s="25" t="s">
        <v>1360</v>
      </c>
      <c r="B71" s="305" t="s">
        <v>1471</v>
      </c>
      <c r="C71" s="305"/>
      <c r="D71" s="81" t="s">
        <v>800</v>
      </c>
      <c r="E71" s="305" t="s">
        <v>1472</v>
      </c>
      <c r="F71" s="305"/>
      <c r="G71" s="305"/>
      <c r="H71" s="305"/>
    </row>
    <row r="72" spans="1:8" x14ac:dyDescent="0.3">
      <c r="A72" s="25" t="s">
        <v>1361</v>
      </c>
      <c r="B72" t="s">
        <v>1346</v>
      </c>
      <c r="C72" t="s">
        <v>53</v>
      </c>
      <c r="D72" s="80">
        <v>1.1100000000000001</v>
      </c>
      <c r="E72" t="s">
        <v>54</v>
      </c>
      <c r="F72" s="83">
        <v>0.5</v>
      </c>
      <c r="G72" t="s">
        <v>1343</v>
      </c>
      <c r="H72" t="str">
        <f>IF(C73="","Pendente","Finalizado")</f>
        <v>Finalizado</v>
      </c>
    </row>
    <row r="73" spans="1:8" x14ac:dyDescent="0.3">
      <c r="A73" s="25" t="s">
        <v>1372</v>
      </c>
      <c r="B73" s="41" t="s">
        <v>45</v>
      </c>
      <c r="C73" s="87">
        <v>1</v>
      </c>
      <c r="D73" s="41" t="s">
        <v>48</v>
      </c>
      <c r="E73" s="87">
        <v>2</v>
      </c>
      <c r="F73" t="s">
        <v>1373</v>
      </c>
      <c r="G73">
        <f>IF(OR(C73="",E73=""),"",C73+E73)</f>
        <v>3</v>
      </c>
    </row>
    <row r="74" spans="1:8" x14ac:dyDescent="0.3">
      <c r="A74" s="25" t="s">
        <v>1374</v>
      </c>
      <c r="B74" t="s">
        <v>426</v>
      </c>
      <c r="C74" s="111" t="str">
        <f>IF(G73="","",IF(G73&gt;2,"Green",IF(G73=2,"Devolvida","Red")))</f>
        <v>Green</v>
      </c>
      <c r="D74" t="s">
        <v>1342</v>
      </c>
      <c r="E74" s="83">
        <f>IF(C74="","",IF(C74="Green",F72*(D72-1),IF(C74="Red",-F72,IF(C74="Meio Green",F72*(D72-1)/2,IF(C74="Meio Red",-F72/2,IF(C74="Devolvida",0,""))))))</f>
        <v>5.5000000000000049E-2</v>
      </c>
      <c r="F74" s="315"/>
      <c r="G74" s="315"/>
      <c r="H74" s="315"/>
    </row>
    <row r="76" spans="1:8" ht="17.399999999999999" x14ac:dyDescent="0.35">
      <c r="A76" s="328">
        <v>46242</v>
      </c>
      <c r="B76" s="340"/>
      <c r="C76" s="329" t="s">
        <v>1486</v>
      </c>
      <c r="D76" s="329"/>
      <c r="E76" s="329"/>
      <c r="F76" s="329"/>
      <c r="G76" s="329"/>
      <c r="H76" s="329"/>
    </row>
    <row r="77" spans="1:8" x14ac:dyDescent="0.3">
      <c r="A77" s="330" t="s">
        <v>1336</v>
      </c>
      <c r="B77" s="330"/>
      <c r="C77" s="330"/>
      <c r="D77" s="330"/>
      <c r="E77" s="330" t="s">
        <v>1370</v>
      </c>
      <c r="F77" s="330"/>
      <c r="G77" s="330" t="s">
        <v>1371</v>
      </c>
      <c r="H77" s="330"/>
    </row>
    <row r="78" spans="1:8" x14ac:dyDescent="0.3">
      <c r="A78" s="25" t="s">
        <v>1357</v>
      </c>
      <c r="B78" s="305" t="s">
        <v>1487</v>
      </c>
      <c r="C78" s="305"/>
      <c r="D78" s="305"/>
      <c r="E78" s="81" t="s">
        <v>1358</v>
      </c>
      <c r="F78" s="81" t="s">
        <v>1344</v>
      </c>
      <c r="G78" s="81" t="s">
        <v>801</v>
      </c>
      <c r="H78" s="81" t="s">
        <v>1345</v>
      </c>
    </row>
    <row r="79" spans="1:8" x14ac:dyDescent="0.3">
      <c r="A79" s="25" t="s">
        <v>1359</v>
      </c>
      <c r="B79" s="305" t="s">
        <v>1488</v>
      </c>
      <c r="C79" s="305"/>
      <c r="D79" s="305"/>
      <c r="E79" s="305"/>
      <c r="F79" s="305"/>
      <c r="G79" s="305"/>
      <c r="H79" s="305"/>
    </row>
    <row r="80" spans="1:8" x14ac:dyDescent="0.3">
      <c r="A80" s="25" t="s">
        <v>1360</v>
      </c>
      <c r="B80" s="305" t="s">
        <v>1489</v>
      </c>
      <c r="C80" s="305"/>
      <c r="D80" s="81" t="s">
        <v>800</v>
      </c>
      <c r="E80" s="305" t="s">
        <v>1490</v>
      </c>
      <c r="F80" s="305"/>
      <c r="G80" s="305"/>
      <c r="H80" s="305"/>
    </row>
    <row r="81" spans="1:8" x14ac:dyDescent="0.3">
      <c r="A81" s="25" t="s">
        <v>1361</v>
      </c>
      <c r="B81" t="s">
        <v>1436</v>
      </c>
      <c r="C81" t="s">
        <v>53</v>
      </c>
      <c r="D81" s="80">
        <v>1.19</v>
      </c>
      <c r="E81" t="s">
        <v>54</v>
      </c>
      <c r="F81" s="83">
        <v>0.5</v>
      </c>
      <c r="G81" t="s">
        <v>1343</v>
      </c>
      <c r="H81" t="str">
        <f>IF(C82="","Pendente","Finalizado")</f>
        <v>Finalizado</v>
      </c>
    </row>
    <row r="82" spans="1:8" x14ac:dyDescent="0.3">
      <c r="A82" s="25" t="s">
        <v>1372</v>
      </c>
      <c r="B82" s="41" t="s">
        <v>45</v>
      </c>
      <c r="C82" s="87">
        <v>2</v>
      </c>
      <c r="D82" s="41" t="s">
        <v>48</v>
      </c>
      <c r="E82" s="87">
        <v>2</v>
      </c>
      <c r="F82" t="s">
        <v>1373</v>
      </c>
      <c r="G82">
        <f>IF(OR(C82="",E82=""),"",C82+E82)</f>
        <v>4</v>
      </c>
    </row>
    <row r="83" spans="1:8" x14ac:dyDescent="0.3">
      <c r="A83" s="25" t="s">
        <v>1374</v>
      </c>
      <c r="B83" t="s">
        <v>426</v>
      </c>
      <c r="C83" s="111" t="str">
        <f>IF(G82="","",IF(G82&gt;=3,"Green",IF(G82=2,"Meio Red","Red")))</f>
        <v>Green</v>
      </c>
      <c r="D83" t="s">
        <v>1342</v>
      </c>
      <c r="E83" s="83">
        <f>IF(C83="","",IF(C83="Green",F81*(D81-1),IF(C83="Red",-F81,IF(C83="Meio Green",F81*(D81-1)/2,IF(C83="Meio Red",-F81/2,IF(C83="Devolvida",0,""))))))</f>
        <v>9.4999999999999973E-2</v>
      </c>
      <c r="F83" s="315"/>
      <c r="G83" s="315"/>
      <c r="H83" s="315"/>
    </row>
    <row r="85" spans="1:8" ht="17.399999999999999" x14ac:dyDescent="0.35">
      <c r="A85" s="328">
        <v>46242</v>
      </c>
      <c r="B85" s="340"/>
      <c r="C85" s="329" t="s">
        <v>1507</v>
      </c>
      <c r="D85" s="329"/>
      <c r="E85" s="329"/>
      <c r="F85" s="329"/>
      <c r="G85" s="329"/>
      <c r="H85" s="329"/>
    </row>
    <row r="86" spans="1:8" x14ac:dyDescent="0.3">
      <c r="A86" s="330" t="s">
        <v>882</v>
      </c>
      <c r="B86" s="330"/>
      <c r="C86" s="330"/>
      <c r="D86" s="330"/>
      <c r="E86" s="330" t="s">
        <v>1370</v>
      </c>
      <c r="F86" s="330"/>
      <c r="G86" s="330" t="s">
        <v>1371</v>
      </c>
      <c r="H86" s="330"/>
    </row>
    <row r="87" spans="1:8" x14ac:dyDescent="0.3">
      <c r="A87" s="25" t="s">
        <v>1357</v>
      </c>
      <c r="B87" s="305" t="s">
        <v>1508</v>
      </c>
      <c r="C87" s="305"/>
      <c r="D87" s="305"/>
      <c r="E87" s="81" t="s">
        <v>1358</v>
      </c>
      <c r="F87" s="81" t="s">
        <v>1348</v>
      </c>
      <c r="G87" s="81" t="s">
        <v>801</v>
      </c>
      <c r="H87" s="81" t="s">
        <v>1349</v>
      </c>
    </row>
    <row r="88" spans="1:8" x14ac:dyDescent="0.3">
      <c r="A88" s="25" t="s">
        <v>1359</v>
      </c>
      <c r="B88" s="305" t="s">
        <v>1509</v>
      </c>
      <c r="C88" s="305"/>
      <c r="D88" s="305"/>
      <c r="E88" s="305"/>
      <c r="F88" s="305"/>
      <c r="G88" s="305"/>
      <c r="H88" s="305"/>
    </row>
    <row r="89" spans="1:8" x14ac:dyDescent="0.3">
      <c r="A89" s="25" t="s">
        <v>1360</v>
      </c>
      <c r="B89" s="305" t="s">
        <v>1425</v>
      </c>
      <c r="C89" s="305"/>
      <c r="D89" s="81" t="s">
        <v>800</v>
      </c>
      <c r="E89" s="305" t="s">
        <v>1510</v>
      </c>
      <c r="F89" s="305"/>
      <c r="G89" s="305"/>
      <c r="H89" s="305"/>
    </row>
    <row r="90" spans="1:8" x14ac:dyDescent="0.3">
      <c r="A90" s="25" t="s">
        <v>1361</v>
      </c>
      <c r="B90" t="s">
        <v>1346</v>
      </c>
      <c r="C90" t="s">
        <v>53</v>
      </c>
      <c r="D90" s="80">
        <v>1.1499999999999999</v>
      </c>
      <c r="E90" t="s">
        <v>54</v>
      </c>
      <c r="F90" s="83">
        <v>0.5</v>
      </c>
      <c r="G90" t="s">
        <v>1343</v>
      </c>
      <c r="H90" t="str">
        <f>IF(C91="","Pendente","Finalizado")</f>
        <v>Finalizado</v>
      </c>
    </row>
    <row r="91" spans="1:8" x14ac:dyDescent="0.3">
      <c r="A91" s="25" t="s">
        <v>1372</v>
      </c>
      <c r="B91" s="41" t="s">
        <v>45</v>
      </c>
      <c r="C91" s="87">
        <v>2</v>
      </c>
      <c r="D91" s="41" t="s">
        <v>48</v>
      </c>
      <c r="E91" s="87">
        <v>0</v>
      </c>
      <c r="F91" t="s">
        <v>1373</v>
      </c>
      <c r="G91">
        <f>IF(OR(C91="",E91=""),"",C91+E91)</f>
        <v>2</v>
      </c>
    </row>
    <row r="92" spans="1:8" x14ac:dyDescent="0.3">
      <c r="A92" s="25" t="s">
        <v>1374</v>
      </c>
      <c r="B92" t="s">
        <v>426</v>
      </c>
      <c r="C92" s="111" t="str">
        <f>IF(G91="","",IF(G91&gt;2,"Green",IF(G91=2,"Devolvida","Red")))</f>
        <v>Devolvida</v>
      </c>
      <c r="D92" t="s">
        <v>1342</v>
      </c>
      <c r="E92" s="83">
        <f>IF(C92="","",IF(C92="Green",F90*(D90-1),IF(C92="Red",-F90,IF(C92="Meio Green",F90*(D90-1)/2,IF(C92="Meio Red",-F90/2,IF(C92="Devolvida",0,""))))))</f>
        <v>0</v>
      </c>
      <c r="F92" s="315"/>
      <c r="G92" s="315"/>
      <c r="H92" s="315"/>
    </row>
    <row r="94" spans="1:8" ht="17.399999999999999" x14ac:dyDescent="0.35">
      <c r="A94" s="328">
        <v>46242</v>
      </c>
      <c r="B94" s="340"/>
      <c r="C94" s="329" t="s">
        <v>1511</v>
      </c>
      <c r="D94" s="329"/>
      <c r="E94" s="329"/>
      <c r="F94" s="329"/>
      <c r="G94" s="329"/>
      <c r="H94" s="329"/>
    </row>
    <row r="95" spans="1:8" x14ac:dyDescent="0.3">
      <c r="A95" s="330" t="s">
        <v>845</v>
      </c>
      <c r="B95" s="330"/>
      <c r="C95" s="330"/>
      <c r="D95" s="330"/>
      <c r="E95" s="330" t="s">
        <v>1370</v>
      </c>
      <c r="F95" s="330"/>
      <c r="G95" s="330" t="s">
        <v>1371</v>
      </c>
      <c r="H95" s="330"/>
    </row>
    <row r="96" spans="1:8" x14ac:dyDescent="0.3">
      <c r="A96" s="25" t="s">
        <v>1357</v>
      </c>
      <c r="B96" s="305" t="s">
        <v>1512</v>
      </c>
      <c r="C96" s="305"/>
      <c r="D96" s="305"/>
      <c r="E96" s="81" t="s">
        <v>1358</v>
      </c>
      <c r="F96" s="81" t="s">
        <v>1344</v>
      </c>
      <c r="G96" s="81" t="s">
        <v>801</v>
      </c>
      <c r="H96" s="81" t="s">
        <v>1345</v>
      </c>
    </row>
    <row r="97" spans="1:8" x14ac:dyDescent="0.3">
      <c r="A97" s="25" t="s">
        <v>1359</v>
      </c>
      <c r="B97" s="305" t="s">
        <v>1513</v>
      </c>
      <c r="C97" s="305"/>
      <c r="D97" s="305"/>
      <c r="E97" s="305"/>
      <c r="F97" s="305"/>
      <c r="G97" s="305"/>
      <c r="H97" s="305"/>
    </row>
    <row r="98" spans="1:8" x14ac:dyDescent="0.3">
      <c r="A98" s="25" t="s">
        <v>1360</v>
      </c>
      <c r="B98" s="305" t="s">
        <v>1515</v>
      </c>
      <c r="C98" s="305"/>
      <c r="D98" s="81" t="s">
        <v>800</v>
      </c>
      <c r="E98" s="305" t="s">
        <v>1516</v>
      </c>
      <c r="F98" s="305"/>
      <c r="G98" s="305"/>
      <c r="H98" s="305"/>
    </row>
    <row r="99" spans="1:8" x14ac:dyDescent="0.3">
      <c r="A99" s="25" t="s">
        <v>1361</v>
      </c>
      <c r="B99" t="s">
        <v>1436</v>
      </c>
      <c r="C99" t="s">
        <v>53</v>
      </c>
      <c r="D99" s="80">
        <v>1.18</v>
      </c>
      <c r="E99" t="s">
        <v>54</v>
      </c>
      <c r="F99" s="83">
        <v>0.5</v>
      </c>
      <c r="G99" t="s">
        <v>1343</v>
      </c>
      <c r="H99" t="str">
        <f>IF(C100="","Pendente","Finalizado")</f>
        <v>Finalizado</v>
      </c>
    </row>
    <row r="100" spans="1:8" x14ac:dyDescent="0.3">
      <c r="A100" s="25" t="s">
        <v>1372</v>
      </c>
      <c r="B100" s="41" t="s">
        <v>45</v>
      </c>
      <c r="C100" s="87">
        <v>0</v>
      </c>
      <c r="D100" s="41" t="s">
        <v>48</v>
      </c>
      <c r="E100" s="87">
        <v>3</v>
      </c>
      <c r="F100" t="s">
        <v>1373</v>
      </c>
      <c r="G100">
        <f>IF(OR(C100="",E100=""),"",C100+E100)</f>
        <v>3</v>
      </c>
    </row>
    <row r="101" spans="1:8" x14ac:dyDescent="0.3">
      <c r="A101" s="25" t="s">
        <v>1374</v>
      </c>
      <c r="B101" t="s">
        <v>426</v>
      </c>
      <c r="C101" s="111" t="str">
        <f>IF(G100="","",IF(G100&gt;=3,"Green",IF(G100=2,"Meio Red","Red")))</f>
        <v>Green</v>
      </c>
      <c r="D101" t="s">
        <v>1342</v>
      </c>
      <c r="E101" s="83">
        <f>IF(C101="","",IF(C101="Green",F99*(D99-1),IF(C101="Red",-F99,IF(C101="Meio Green",F99*(D99-1)/2,IF(C101="Meio Red",-F99/2,IF(C101="Devolvida",0,""))))))</f>
        <v>8.9999999999999969E-2</v>
      </c>
      <c r="F101" s="315"/>
      <c r="G101" s="315"/>
      <c r="H101" s="315"/>
    </row>
    <row r="103" spans="1:8" ht="17.399999999999999" x14ac:dyDescent="0.35">
      <c r="A103" s="328">
        <v>46242</v>
      </c>
      <c r="B103" s="340"/>
      <c r="C103" s="329" t="s">
        <v>1525</v>
      </c>
      <c r="D103" s="329"/>
      <c r="E103" s="329"/>
      <c r="F103" s="329"/>
      <c r="G103" s="329"/>
      <c r="H103" s="329"/>
    </row>
    <row r="104" spans="1:8" x14ac:dyDescent="0.3">
      <c r="A104" s="330" t="s">
        <v>845</v>
      </c>
      <c r="B104" s="330"/>
      <c r="C104" s="330"/>
      <c r="D104" s="330"/>
      <c r="E104" s="330" t="s">
        <v>1370</v>
      </c>
      <c r="F104" s="330"/>
      <c r="G104" s="330" t="s">
        <v>1371</v>
      </c>
      <c r="H104" s="330"/>
    </row>
    <row r="105" spans="1:8" x14ac:dyDescent="0.3">
      <c r="A105" s="25" t="s">
        <v>1357</v>
      </c>
      <c r="B105" s="305" t="s">
        <v>1526</v>
      </c>
      <c r="C105" s="305"/>
      <c r="D105" s="305"/>
      <c r="E105" s="81" t="s">
        <v>1358</v>
      </c>
      <c r="F105" s="81" t="s">
        <v>1527</v>
      </c>
      <c r="G105" s="81" t="s">
        <v>801</v>
      </c>
      <c r="H105" s="81" t="s">
        <v>1528</v>
      </c>
    </row>
    <row r="106" spans="1:8" x14ac:dyDescent="0.3">
      <c r="A106" s="25" t="s">
        <v>1359</v>
      </c>
      <c r="B106" s="305" t="s">
        <v>1513</v>
      </c>
      <c r="C106" s="305"/>
      <c r="D106" s="305"/>
      <c r="E106" s="305"/>
      <c r="F106" s="305"/>
      <c r="G106" s="305"/>
      <c r="H106" s="305"/>
    </row>
    <row r="107" spans="1:8" x14ac:dyDescent="0.3">
      <c r="A107" s="25" t="s">
        <v>1360</v>
      </c>
      <c r="B107" s="305" t="s">
        <v>1514</v>
      </c>
      <c r="C107" s="305"/>
      <c r="D107" s="81" t="s">
        <v>800</v>
      </c>
      <c r="E107" s="305" t="s">
        <v>1529</v>
      </c>
      <c r="F107" s="305"/>
      <c r="G107" s="305"/>
      <c r="H107" s="305"/>
    </row>
    <row r="108" spans="1:8" x14ac:dyDescent="0.3">
      <c r="A108" s="25" t="s">
        <v>1361</v>
      </c>
      <c r="B108" t="s">
        <v>1344</v>
      </c>
      <c r="C108" t="s">
        <v>53</v>
      </c>
      <c r="D108" s="80">
        <v>1.2749999999999999</v>
      </c>
      <c r="E108" t="s">
        <v>54</v>
      </c>
      <c r="F108" s="83">
        <v>0.5</v>
      </c>
      <c r="G108" t="s">
        <v>1343</v>
      </c>
      <c r="H108" t="str">
        <f>IF(C109="","Pendente","Finalizado")</f>
        <v>Finalizado</v>
      </c>
    </row>
    <row r="109" spans="1:8" x14ac:dyDescent="0.3">
      <c r="A109" s="25" t="s">
        <v>1372</v>
      </c>
      <c r="B109" s="41" t="s">
        <v>45</v>
      </c>
      <c r="C109" s="87">
        <v>2</v>
      </c>
      <c r="D109" s="41" t="s">
        <v>48</v>
      </c>
      <c r="E109" s="87">
        <v>1</v>
      </c>
      <c r="F109" t="s">
        <v>1373</v>
      </c>
      <c r="G109">
        <f>IF(OR(C109="",E109=""),"",C109+E109)</f>
        <v>3</v>
      </c>
    </row>
    <row r="110" spans="1:8" x14ac:dyDescent="0.3">
      <c r="A110" s="25" t="s">
        <v>1374</v>
      </c>
      <c r="B110" t="s">
        <v>426</v>
      </c>
      <c r="C110" s="111" t="str">
        <f>IF(G109="","",IF(G109&gt;2.5,"Green","Red"))</f>
        <v>Green</v>
      </c>
      <c r="D110" t="s">
        <v>1342</v>
      </c>
      <c r="E110" s="83">
        <f>IF(C110="","",IF(C110="Green",F108*(D108-1),IF(C110="Red",-F108,IF(C110="Meio Green",F108*(D108-1)/2,IF(C110="Meio Red",-F108/2,IF(C110="Devolvida",0,""))))))</f>
        <v>0.13749999999999996</v>
      </c>
      <c r="F110" s="315"/>
      <c r="G110" s="315"/>
      <c r="H110" s="315"/>
    </row>
    <row r="112" spans="1:8" ht="17.399999999999999" x14ac:dyDescent="0.35">
      <c r="A112" s="328">
        <v>46242</v>
      </c>
      <c r="B112" s="340"/>
      <c r="C112" s="329" t="s">
        <v>1609</v>
      </c>
      <c r="D112" s="329"/>
      <c r="E112" s="329"/>
      <c r="F112" s="329"/>
      <c r="G112" s="329"/>
      <c r="H112" s="329"/>
    </row>
    <row r="113" spans="1:8" x14ac:dyDescent="0.3">
      <c r="A113" s="330" t="s">
        <v>1332</v>
      </c>
      <c r="B113" s="330"/>
      <c r="C113" s="330"/>
      <c r="D113" s="330"/>
      <c r="E113" s="330" t="s">
        <v>1370</v>
      </c>
      <c r="F113" s="330"/>
      <c r="G113" s="330" t="s">
        <v>1610</v>
      </c>
      <c r="H113" s="330"/>
    </row>
    <row r="114" spans="1:8" x14ac:dyDescent="0.3">
      <c r="A114" s="25" t="s">
        <v>1357</v>
      </c>
      <c r="B114" s="305" t="s">
        <v>1615</v>
      </c>
      <c r="C114" s="305"/>
      <c r="D114" s="305"/>
      <c r="E114" s="81" t="s">
        <v>1358</v>
      </c>
      <c r="F114" s="81" t="s">
        <v>1348</v>
      </c>
      <c r="G114" s="81" t="s">
        <v>801</v>
      </c>
      <c r="H114" s="81" t="s">
        <v>1349</v>
      </c>
    </row>
    <row r="115" spans="1:8" x14ac:dyDescent="0.3">
      <c r="A115" s="25" t="s">
        <v>1359</v>
      </c>
      <c r="B115" s="305" t="s">
        <v>1616</v>
      </c>
      <c r="C115" s="305"/>
      <c r="D115" s="305"/>
      <c r="E115" s="305"/>
      <c r="F115" s="305"/>
      <c r="G115" s="305"/>
      <c r="H115" s="305"/>
    </row>
    <row r="116" spans="1:8" x14ac:dyDescent="0.3">
      <c r="A116" s="25" t="s">
        <v>1360</v>
      </c>
      <c r="B116" s="305" t="s">
        <v>1617</v>
      </c>
      <c r="C116" s="305"/>
      <c r="D116" s="81" t="s">
        <v>800</v>
      </c>
      <c r="E116" s="305" t="s">
        <v>1618</v>
      </c>
      <c r="F116" s="305"/>
      <c r="G116" s="305"/>
      <c r="H116" s="305"/>
    </row>
    <row r="117" spans="1:8" x14ac:dyDescent="0.3">
      <c r="A117" s="25" t="s">
        <v>1361</v>
      </c>
      <c r="B117" t="s">
        <v>1348</v>
      </c>
      <c r="C117" t="s">
        <v>53</v>
      </c>
      <c r="D117" s="80">
        <v>1.175</v>
      </c>
      <c r="E117" t="s">
        <v>54</v>
      </c>
      <c r="F117" s="83">
        <v>0.5</v>
      </c>
      <c r="G117" t="s">
        <v>1343</v>
      </c>
      <c r="H117" t="str">
        <f>IF(C118="","Pendente","Finalizado")</f>
        <v>Finalizado</v>
      </c>
    </row>
    <row r="118" spans="1:8" x14ac:dyDescent="0.3">
      <c r="A118" s="25" t="s">
        <v>1372</v>
      </c>
      <c r="B118" s="41" t="s">
        <v>45</v>
      </c>
      <c r="C118" s="87">
        <v>2</v>
      </c>
      <c r="D118" s="41" t="s">
        <v>48</v>
      </c>
      <c r="E118" s="87">
        <v>1</v>
      </c>
      <c r="F118" t="s">
        <v>1373</v>
      </c>
      <c r="G118">
        <f>IF(OR(C118="",E118=""),"",C118+E118)</f>
        <v>3</v>
      </c>
    </row>
    <row r="119" spans="1:8" x14ac:dyDescent="0.3">
      <c r="A119" s="25" t="s">
        <v>1374</v>
      </c>
      <c r="B119" t="s">
        <v>426</v>
      </c>
      <c r="C119" s="111" t="str">
        <f>IF(G118="","",IF(G118&gt;1.5,"Green","Red"))</f>
        <v>Green</v>
      </c>
      <c r="D119" t="s">
        <v>1342</v>
      </c>
      <c r="E119" s="83">
        <f>IF(C119="","",IF(C119="Green",F117*(D117-1),IF(C119="Red",-F117,IF(C119="Meio Green",F117*(D117-1)/2,IF(C119="Meio Red",-F117/2,IF(C119="Devolvida",0,""))))))</f>
        <v>8.7500000000000022E-2</v>
      </c>
      <c r="F119" s="315"/>
      <c r="G119" s="315"/>
      <c r="H119" s="315"/>
    </row>
    <row r="121" spans="1:8" ht="17.399999999999999" x14ac:dyDescent="0.35">
      <c r="A121" s="328">
        <v>46242</v>
      </c>
      <c r="B121" s="340"/>
      <c r="C121" s="329" t="s">
        <v>1611</v>
      </c>
      <c r="D121" s="329"/>
      <c r="E121" s="329"/>
      <c r="F121" s="329"/>
      <c r="G121" s="329"/>
      <c r="H121" s="329"/>
    </row>
    <row r="122" spans="1:8" x14ac:dyDescent="0.3">
      <c r="A122" s="330" t="s">
        <v>1332</v>
      </c>
      <c r="B122" s="330"/>
      <c r="C122" s="330"/>
      <c r="D122" s="330"/>
      <c r="E122" s="330" t="s">
        <v>1370</v>
      </c>
      <c r="F122" s="330"/>
      <c r="G122" s="330" t="s">
        <v>1612</v>
      </c>
      <c r="H122" s="330"/>
    </row>
    <row r="123" spans="1:8" x14ac:dyDescent="0.3">
      <c r="A123" s="25" t="s">
        <v>1357</v>
      </c>
      <c r="B123" s="305" t="s">
        <v>1619</v>
      </c>
      <c r="C123" s="305"/>
      <c r="D123" s="305"/>
      <c r="E123" s="81" t="s">
        <v>1358</v>
      </c>
      <c r="F123" s="81" t="s">
        <v>1348</v>
      </c>
      <c r="G123" s="81" t="s">
        <v>801</v>
      </c>
      <c r="H123" s="81" t="s">
        <v>1349</v>
      </c>
    </row>
    <row r="124" spans="1:8" x14ac:dyDescent="0.3">
      <c r="A124" s="25" t="s">
        <v>1359</v>
      </c>
      <c r="B124" s="305" t="s">
        <v>1620</v>
      </c>
      <c r="C124" s="305"/>
      <c r="D124" s="305"/>
      <c r="E124" s="305"/>
      <c r="F124" s="305"/>
      <c r="G124" s="305"/>
      <c r="H124" s="305"/>
    </row>
    <row r="125" spans="1:8" x14ac:dyDescent="0.3">
      <c r="A125" s="25" t="s">
        <v>1360</v>
      </c>
      <c r="B125" s="305" t="s">
        <v>1621</v>
      </c>
      <c r="C125" s="305"/>
      <c r="D125" s="81" t="s">
        <v>800</v>
      </c>
      <c r="E125" s="305" t="s">
        <v>1618</v>
      </c>
      <c r="F125" s="305"/>
      <c r="G125" s="305"/>
      <c r="H125" s="305"/>
    </row>
    <row r="126" spans="1:8" x14ac:dyDescent="0.3">
      <c r="A126" s="25" t="s">
        <v>1361</v>
      </c>
      <c r="B126" t="s">
        <v>1348</v>
      </c>
      <c r="C126" t="s">
        <v>53</v>
      </c>
      <c r="D126" s="80">
        <v>1.1000000000000001</v>
      </c>
      <c r="E126" t="s">
        <v>54</v>
      </c>
      <c r="F126" s="83">
        <v>0.5</v>
      </c>
      <c r="G126" t="s">
        <v>1343</v>
      </c>
      <c r="H126" t="str">
        <f>IF(C127="","Pendente","Finalizado")</f>
        <v>Finalizado</v>
      </c>
    </row>
    <row r="127" spans="1:8" x14ac:dyDescent="0.3">
      <c r="A127" s="25" t="s">
        <v>1372</v>
      </c>
      <c r="B127" s="41" t="s">
        <v>45</v>
      </c>
      <c r="C127" s="87">
        <v>1</v>
      </c>
      <c r="D127" s="41" t="s">
        <v>48</v>
      </c>
      <c r="E127" s="87">
        <v>2</v>
      </c>
      <c r="F127" t="s">
        <v>1373</v>
      </c>
      <c r="G127">
        <f>IF(OR(C127="",E127=""),"",C127+E127)</f>
        <v>3</v>
      </c>
    </row>
    <row r="128" spans="1:8" x14ac:dyDescent="0.3">
      <c r="A128" s="25" t="s">
        <v>1374</v>
      </c>
      <c r="B128" t="s">
        <v>426</v>
      </c>
      <c r="C128" s="111" t="str">
        <f>IF(G127="","",IF(G127&gt;1.5,"Green","Red"))</f>
        <v>Green</v>
      </c>
      <c r="D128" t="s">
        <v>1342</v>
      </c>
      <c r="E128" s="83">
        <f>IF(C128="","",IF(C128="Green",F126*(D126-1),IF(C128="Red",-F126,IF(C128="Meio Green",F126*(D126-1)/2,IF(C128="Meio Red",-F126/2,IF(C128="Devolvida",0,""))))))</f>
        <v>5.0000000000000044E-2</v>
      </c>
      <c r="F128" s="315"/>
      <c r="G128" s="315"/>
      <c r="H128" s="315"/>
    </row>
    <row r="130" spans="1:8" ht="17.399999999999999" x14ac:dyDescent="0.35">
      <c r="A130" s="328">
        <v>46242</v>
      </c>
      <c r="B130" s="340"/>
      <c r="C130" s="329" t="s">
        <v>1613</v>
      </c>
      <c r="D130" s="329"/>
      <c r="E130" s="329"/>
      <c r="F130" s="329"/>
      <c r="G130" s="329"/>
      <c r="H130" s="329"/>
    </row>
    <row r="131" spans="1:8" x14ac:dyDescent="0.3">
      <c r="A131" s="330" t="s">
        <v>1332</v>
      </c>
      <c r="B131" s="330"/>
      <c r="C131" s="330"/>
      <c r="D131" s="330"/>
      <c r="E131" s="330" t="s">
        <v>1370</v>
      </c>
      <c r="F131" s="330"/>
      <c r="G131" s="330" t="s">
        <v>1614</v>
      </c>
      <c r="H131" s="330"/>
    </row>
    <row r="132" spans="1:8" x14ac:dyDescent="0.3">
      <c r="A132" s="25" t="s">
        <v>1357</v>
      </c>
      <c r="B132" s="305" t="s">
        <v>1622</v>
      </c>
      <c r="C132" s="305"/>
      <c r="D132" s="305"/>
      <c r="E132" s="81" t="s">
        <v>1358</v>
      </c>
      <c r="F132" s="81" t="s">
        <v>1348</v>
      </c>
      <c r="G132" s="81" t="s">
        <v>801</v>
      </c>
      <c r="H132" s="81" t="s">
        <v>1349</v>
      </c>
    </row>
    <row r="133" spans="1:8" x14ac:dyDescent="0.3">
      <c r="A133" s="25" t="s">
        <v>1359</v>
      </c>
      <c r="B133" s="305" t="s">
        <v>1623</v>
      </c>
      <c r="C133" s="305"/>
      <c r="D133" s="305"/>
      <c r="E133" s="305"/>
      <c r="F133" s="305"/>
      <c r="G133" s="305"/>
      <c r="H133" s="305"/>
    </row>
    <row r="134" spans="1:8" x14ac:dyDescent="0.3">
      <c r="A134" s="25" t="s">
        <v>1360</v>
      </c>
      <c r="B134" s="305" t="s">
        <v>1624</v>
      </c>
      <c r="C134" s="305"/>
      <c r="D134" s="81" t="s">
        <v>800</v>
      </c>
      <c r="E134" s="305" t="s">
        <v>1618</v>
      </c>
      <c r="F134" s="305"/>
      <c r="G134" s="305"/>
      <c r="H134" s="305"/>
    </row>
    <row r="135" spans="1:8" x14ac:dyDescent="0.3">
      <c r="A135" s="25" t="s">
        <v>1361</v>
      </c>
      <c r="B135" t="s">
        <v>1348</v>
      </c>
      <c r="C135" t="s">
        <v>53</v>
      </c>
      <c r="D135" s="80">
        <v>1.18</v>
      </c>
      <c r="E135" t="s">
        <v>54</v>
      </c>
      <c r="F135" s="83">
        <v>0.5</v>
      </c>
      <c r="G135" t="s">
        <v>1343</v>
      </c>
      <c r="H135" t="str">
        <f>IF(C136="","Pendente","Finalizado")</f>
        <v>Finalizado</v>
      </c>
    </row>
    <row r="136" spans="1:8" x14ac:dyDescent="0.3">
      <c r="A136" s="25" t="s">
        <v>1372</v>
      </c>
      <c r="B136" s="41" t="s">
        <v>45</v>
      </c>
      <c r="C136" s="87">
        <v>2</v>
      </c>
      <c r="D136" s="41" t="s">
        <v>48</v>
      </c>
      <c r="E136" s="87">
        <v>4</v>
      </c>
      <c r="F136" t="s">
        <v>1373</v>
      </c>
      <c r="G136">
        <f>IF(OR(C136="",E136=""),"",C136+E136)</f>
        <v>6</v>
      </c>
    </row>
    <row r="137" spans="1:8" x14ac:dyDescent="0.3">
      <c r="A137" s="25" t="s">
        <v>1374</v>
      </c>
      <c r="B137" t="s">
        <v>426</v>
      </c>
      <c r="C137" s="111" t="str">
        <f>IF(G136="","",IF(G136&gt;1.5,"Green","Red"))</f>
        <v>Green</v>
      </c>
      <c r="D137" t="s">
        <v>1342</v>
      </c>
      <c r="E137" s="83">
        <f>IF(C137="","",IF(C137="Green",F135*(D135-1),IF(C137="Red",-F135,IF(C137="Meio Green",F135*(D135-1)/2,IF(C137="Meio Red",-F135/2,IF(C137="Devolvida",0,""))))))</f>
        <v>8.9999999999999969E-2</v>
      </c>
      <c r="F137" s="315"/>
      <c r="G137" s="315"/>
      <c r="H137" s="315"/>
    </row>
    <row r="139" spans="1:8" ht="17.399999999999999" x14ac:dyDescent="0.35">
      <c r="A139" s="328">
        <v>46242</v>
      </c>
      <c r="B139" s="340"/>
      <c r="C139" s="329" t="s">
        <v>1820</v>
      </c>
      <c r="D139" s="329"/>
      <c r="E139" s="329"/>
      <c r="F139" s="329"/>
      <c r="G139" s="329"/>
      <c r="H139" s="329"/>
    </row>
    <row r="140" spans="1:8" x14ac:dyDescent="0.3">
      <c r="A140" s="330" t="s">
        <v>1333</v>
      </c>
      <c r="B140" s="330"/>
      <c r="C140" s="330"/>
      <c r="D140" s="330"/>
      <c r="E140" s="330" t="s">
        <v>1370</v>
      </c>
      <c r="F140" s="330"/>
      <c r="G140" s="330" t="s">
        <v>1610</v>
      </c>
      <c r="H140" s="330"/>
    </row>
    <row r="141" spans="1:8" x14ac:dyDescent="0.3">
      <c r="A141" s="25" t="s">
        <v>1357</v>
      </c>
      <c r="B141" s="305" t="s">
        <v>1821</v>
      </c>
      <c r="C141" s="305"/>
      <c r="D141" s="305"/>
      <c r="E141" s="81" t="s">
        <v>1358</v>
      </c>
      <c r="F141" s="81" t="s">
        <v>1822</v>
      </c>
      <c r="G141" s="81" t="s">
        <v>801</v>
      </c>
      <c r="H141" s="81" t="s">
        <v>1823</v>
      </c>
    </row>
    <row r="142" spans="1:8" x14ac:dyDescent="0.3">
      <c r="A142" s="25" t="s">
        <v>1359</v>
      </c>
      <c r="B142" s="305" t="s">
        <v>1824</v>
      </c>
      <c r="C142" s="305"/>
      <c r="D142" s="305"/>
      <c r="E142" s="305"/>
      <c r="F142" s="305"/>
      <c r="G142" s="305"/>
      <c r="H142" s="305"/>
    </row>
    <row r="143" spans="1:8" x14ac:dyDescent="0.3">
      <c r="A143" s="25" t="s">
        <v>1360</v>
      </c>
      <c r="B143" s="305" t="s">
        <v>1825</v>
      </c>
      <c r="C143" s="305"/>
      <c r="D143" s="81" t="s">
        <v>800</v>
      </c>
      <c r="E143" s="305" t="s">
        <v>1826</v>
      </c>
      <c r="F143" s="305"/>
      <c r="G143" s="305"/>
      <c r="H143" s="305"/>
    </row>
    <row r="144" spans="1:8" x14ac:dyDescent="0.3">
      <c r="A144" s="25" t="s">
        <v>1361</v>
      </c>
      <c r="B144" t="s">
        <v>1827</v>
      </c>
      <c r="C144" t="s">
        <v>53</v>
      </c>
      <c r="D144" s="80">
        <v>1.1299999999999999</v>
      </c>
      <c r="E144" t="s">
        <v>54</v>
      </c>
      <c r="F144" s="83">
        <v>0.5</v>
      </c>
      <c r="G144" t="s">
        <v>1343</v>
      </c>
      <c r="H144" t="str">
        <f>IF(C145="","Pendente","Finalizado")</f>
        <v>Finalizado</v>
      </c>
    </row>
    <row r="145" spans="1:8" x14ac:dyDescent="0.3">
      <c r="A145" s="25" t="s">
        <v>1372</v>
      </c>
      <c r="B145" s="41" t="s">
        <v>45</v>
      </c>
      <c r="C145" s="87">
        <v>2</v>
      </c>
      <c r="D145" s="41" t="s">
        <v>48</v>
      </c>
      <c r="E145" s="87">
        <v>1</v>
      </c>
      <c r="F145" t="s">
        <v>1373</v>
      </c>
      <c r="G145">
        <f>IF(OR(C145="",E145=""),"",C145+E145)</f>
        <v>3</v>
      </c>
    </row>
    <row r="146" spans="1:8" x14ac:dyDescent="0.3">
      <c r="A146" s="25" t="s">
        <v>1374</v>
      </c>
      <c r="B146" t="s">
        <v>426</v>
      </c>
      <c r="C146" s="111" t="str">
        <f>IF(G145="","",IF(G145&gt;1,"Green",IF(G145=1,"Devolvida","Red")))</f>
        <v>Green</v>
      </c>
      <c r="D146" t="s">
        <v>1342</v>
      </c>
      <c r="E146" s="83">
        <f>IF(OR(C146="",D144=""),"",IF(C146="Green",F144*(D144-1),IF(C146="Red",-F144,IF(C146="Meio Green",F144*(D144-1)/2,IF(C146="Meio Red",-F144/2,IF(C146="Devolvida",0,""))))))</f>
        <v>6.4999999999999947E-2</v>
      </c>
      <c r="F146" s="315"/>
      <c r="G146" s="315"/>
      <c r="H146" s="315"/>
    </row>
    <row r="148" spans="1:8" ht="17.399999999999999" x14ac:dyDescent="0.35">
      <c r="A148" s="328">
        <v>46242</v>
      </c>
      <c r="B148" s="340"/>
      <c r="C148" s="329" t="s">
        <v>1828</v>
      </c>
      <c r="D148" s="329"/>
      <c r="E148" s="329"/>
      <c r="F148" s="329"/>
      <c r="G148" s="329"/>
      <c r="H148" s="329"/>
    </row>
    <row r="149" spans="1:8" x14ac:dyDescent="0.3">
      <c r="A149" s="330" t="s">
        <v>1333</v>
      </c>
      <c r="B149" s="330"/>
      <c r="C149" s="330"/>
      <c r="D149" s="330"/>
      <c r="E149" s="330" t="s">
        <v>1370</v>
      </c>
      <c r="F149" s="330"/>
      <c r="G149" s="330" t="s">
        <v>1829</v>
      </c>
      <c r="H149" s="330"/>
    </row>
    <row r="150" spans="1:8" x14ac:dyDescent="0.3">
      <c r="A150" s="25" t="s">
        <v>1357</v>
      </c>
      <c r="B150" s="305" t="s">
        <v>1830</v>
      </c>
      <c r="C150" s="305"/>
      <c r="D150" s="305"/>
      <c r="E150" s="81" t="s">
        <v>1358</v>
      </c>
      <c r="F150" s="81" t="s">
        <v>1822</v>
      </c>
      <c r="G150" s="81" t="s">
        <v>801</v>
      </c>
      <c r="H150" s="81" t="s">
        <v>1823</v>
      </c>
    </row>
    <row r="151" spans="1:8" x14ac:dyDescent="0.3">
      <c r="A151" s="25" t="s">
        <v>1359</v>
      </c>
      <c r="B151" s="305" t="s">
        <v>1831</v>
      </c>
      <c r="C151" s="305"/>
      <c r="D151" s="305"/>
      <c r="E151" s="305"/>
      <c r="F151" s="305"/>
      <c r="G151" s="305"/>
      <c r="H151" s="305"/>
    </row>
    <row r="152" spans="1:8" x14ac:dyDescent="0.3">
      <c r="A152" s="25" t="s">
        <v>1360</v>
      </c>
      <c r="B152" s="305" t="s">
        <v>1832</v>
      </c>
      <c r="C152" s="305"/>
      <c r="D152" s="81" t="s">
        <v>800</v>
      </c>
      <c r="E152" s="305" t="s">
        <v>1826</v>
      </c>
      <c r="F152" s="305"/>
      <c r="G152" s="305"/>
      <c r="H152" s="305"/>
    </row>
    <row r="153" spans="1:8" x14ac:dyDescent="0.3">
      <c r="A153" s="25" t="s">
        <v>1361</v>
      </c>
      <c r="B153" t="s">
        <v>1827</v>
      </c>
      <c r="C153" t="s">
        <v>53</v>
      </c>
      <c r="D153" s="80">
        <v>1.1100000000000001</v>
      </c>
      <c r="E153" t="s">
        <v>54</v>
      </c>
      <c r="F153" s="83">
        <v>0.5</v>
      </c>
      <c r="G153" t="s">
        <v>1343</v>
      </c>
      <c r="H153" t="str">
        <f>IF(C154="","Pendente","Finalizado")</f>
        <v>Finalizado</v>
      </c>
    </row>
    <row r="154" spans="1:8" x14ac:dyDescent="0.3">
      <c r="A154" s="25" t="s">
        <v>1372</v>
      </c>
      <c r="B154" s="41" t="s">
        <v>45</v>
      </c>
      <c r="C154" s="87">
        <v>2</v>
      </c>
      <c r="D154" s="41" t="s">
        <v>48</v>
      </c>
      <c r="E154" s="87">
        <v>2</v>
      </c>
      <c r="F154" t="s">
        <v>1373</v>
      </c>
      <c r="G154">
        <f>IF(OR(C154="",E154=""),"",C154+E154)</f>
        <v>4</v>
      </c>
    </row>
    <row r="155" spans="1:8" x14ac:dyDescent="0.3">
      <c r="A155" s="25" t="s">
        <v>1374</v>
      </c>
      <c r="B155" t="s">
        <v>426</v>
      </c>
      <c r="C155" s="111" t="str">
        <f>IF(G154="","",IF(G154&gt;1,"Green",IF(G154=1,"Devolvida","Red")))</f>
        <v>Green</v>
      </c>
      <c r="D155" t="s">
        <v>1342</v>
      </c>
      <c r="E155" s="83">
        <f>IF(OR(C155="",D153=""),"",IF(C155="Green",F153*(D153-1),IF(C155="Red",-F153,IF(C155="Meio Green",F153*(D153-1)/2,IF(C155="Meio Red",-F153/2,IF(C155="Devolvida",0,""))))))</f>
        <v>5.5000000000000049E-2</v>
      </c>
      <c r="F155" s="315"/>
      <c r="G155" s="315"/>
      <c r="H155" s="315"/>
    </row>
    <row r="157" spans="1:8" ht="17.399999999999999" x14ac:dyDescent="0.35">
      <c r="A157" s="328">
        <v>46242</v>
      </c>
      <c r="B157" s="340"/>
      <c r="C157" s="329" t="s">
        <v>1833</v>
      </c>
      <c r="D157" s="329"/>
      <c r="E157" s="329"/>
      <c r="F157" s="329"/>
      <c r="G157" s="329"/>
      <c r="H157" s="329"/>
    </row>
    <row r="158" spans="1:8" x14ac:dyDescent="0.3">
      <c r="A158" s="330" t="s">
        <v>1333</v>
      </c>
      <c r="B158" s="330"/>
      <c r="C158" s="330"/>
      <c r="D158" s="330"/>
      <c r="E158" s="330" t="s">
        <v>1370</v>
      </c>
      <c r="F158" s="330"/>
      <c r="G158" s="330" t="s">
        <v>1614</v>
      </c>
      <c r="H158" s="330"/>
    </row>
    <row r="159" spans="1:8" x14ac:dyDescent="0.3">
      <c r="A159" s="25" t="s">
        <v>1357</v>
      </c>
      <c r="B159" s="305" t="s">
        <v>1834</v>
      </c>
      <c r="C159" s="305"/>
      <c r="D159" s="305"/>
      <c r="E159" s="81" t="s">
        <v>1358</v>
      </c>
      <c r="F159" s="81" t="s">
        <v>1348</v>
      </c>
      <c r="G159" s="81" t="s">
        <v>801</v>
      </c>
      <c r="H159" s="81" t="s">
        <v>1349</v>
      </c>
    </row>
    <row r="160" spans="1:8" x14ac:dyDescent="0.3">
      <c r="A160" s="25" t="s">
        <v>1359</v>
      </c>
      <c r="B160" s="305" t="s">
        <v>1835</v>
      </c>
      <c r="C160" s="305"/>
      <c r="D160" s="305"/>
      <c r="E160" s="305"/>
      <c r="F160" s="305"/>
      <c r="G160" s="305"/>
      <c r="H160" s="305"/>
    </row>
    <row r="161" spans="1:8" x14ac:dyDescent="0.3">
      <c r="A161" s="25" t="s">
        <v>1360</v>
      </c>
      <c r="B161" s="305" t="s">
        <v>1836</v>
      </c>
      <c r="C161" s="305"/>
      <c r="D161" s="81" t="s">
        <v>800</v>
      </c>
      <c r="E161" s="305" t="s">
        <v>1837</v>
      </c>
      <c r="F161" s="305"/>
      <c r="G161" s="305"/>
      <c r="H161" s="305"/>
    </row>
    <row r="162" spans="1:8" x14ac:dyDescent="0.3">
      <c r="A162" s="25" t="s">
        <v>1361</v>
      </c>
      <c r="B162" t="s">
        <v>1838</v>
      </c>
      <c r="C162" t="s">
        <v>53</v>
      </c>
      <c r="D162" s="80">
        <v>1.2</v>
      </c>
      <c r="E162" t="s">
        <v>54</v>
      </c>
      <c r="F162" s="83">
        <v>0.5</v>
      </c>
      <c r="G162" t="s">
        <v>1343</v>
      </c>
      <c r="H162" t="str">
        <f>IF(C163="","Pendente","Finalizado")</f>
        <v>Finalizado</v>
      </c>
    </row>
    <row r="163" spans="1:8" x14ac:dyDescent="0.3">
      <c r="A163" s="25" t="s">
        <v>1372</v>
      </c>
      <c r="B163" s="41" t="s">
        <v>45</v>
      </c>
      <c r="C163" s="87">
        <v>2</v>
      </c>
      <c r="D163" s="41" t="s">
        <v>48</v>
      </c>
      <c r="E163" s="87">
        <v>1</v>
      </c>
      <c r="F163" t="s">
        <v>1373</v>
      </c>
      <c r="G163">
        <f>IF(OR(C163="",E163=""),"",C163+E163)</f>
        <v>3</v>
      </c>
    </row>
    <row r="164" spans="1:8" x14ac:dyDescent="0.3">
      <c r="A164" s="25" t="s">
        <v>1374</v>
      </c>
      <c r="B164" t="s">
        <v>426</v>
      </c>
      <c r="C164" s="111" t="str">
        <f>IF(G163="","",IF(G163&gt;=2,"Green",IF(G163=1,"Meio Red","Red")))</f>
        <v>Green</v>
      </c>
      <c r="D164" t="s">
        <v>1342</v>
      </c>
      <c r="E164" s="83">
        <f>IF(OR(C164="",D162=""),"",IF(C164="Green",F162*(D162-1),IF(C164="Red",-F162,IF(C164="Meio Green",F162*(D162-1)/2,IF(C164="Meio Red",-F162/2,IF(C164="Devolvida",0,""))))))</f>
        <v>9.9999999999999978E-2</v>
      </c>
      <c r="F164" s="315"/>
      <c r="G164" s="315"/>
      <c r="H164" s="315"/>
    </row>
    <row r="166" spans="1:8" ht="17.399999999999999" x14ac:dyDescent="0.35">
      <c r="A166" s="328">
        <v>46242</v>
      </c>
      <c r="B166" s="340"/>
      <c r="C166" s="329" t="s">
        <v>1886</v>
      </c>
      <c r="D166" s="329"/>
      <c r="E166" s="329"/>
      <c r="F166" s="329"/>
      <c r="G166" s="329"/>
      <c r="H166" s="329"/>
    </row>
    <row r="167" spans="1:8" x14ac:dyDescent="0.3">
      <c r="A167" s="330" t="s">
        <v>1334</v>
      </c>
      <c r="B167" s="330"/>
      <c r="C167" s="330"/>
      <c r="D167" s="330"/>
      <c r="E167" s="330" t="s">
        <v>1370</v>
      </c>
      <c r="F167" s="330"/>
      <c r="G167" s="330" t="s">
        <v>1610</v>
      </c>
      <c r="H167" s="330"/>
    </row>
    <row r="168" spans="1:8" x14ac:dyDescent="0.3">
      <c r="A168" s="25" t="s">
        <v>1357</v>
      </c>
      <c r="B168" s="305" t="s">
        <v>1887</v>
      </c>
      <c r="C168" s="305"/>
      <c r="D168" s="305"/>
      <c r="E168" s="81" t="s">
        <v>1358</v>
      </c>
      <c r="F168" s="81" t="s">
        <v>1822</v>
      </c>
      <c r="G168" s="81" t="s">
        <v>801</v>
      </c>
      <c r="H168" s="81" t="s">
        <v>1823</v>
      </c>
    </row>
    <row r="169" spans="1:8" x14ac:dyDescent="0.3">
      <c r="A169" s="25" t="s">
        <v>1359</v>
      </c>
      <c r="B169" s="305" t="s">
        <v>1888</v>
      </c>
      <c r="C169" s="305"/>
      <c r="D169" s="305"/>
      <c r="E169" s="305"/>
      <c r="F169" s="305"/>
      <c r="G169" s="305"/>
      <c r="H169" s="305"/>
    </row>
    <row r="170" spans="1:8" x14ac:dyDescent="0.3">
      <c r="A170" s="25" t="s">
        <v>1360</v>
      </c>
      <c r="B170" s="305" t="s">
        <v>1889</v>
      </c>
      <c r="C170" s="305"/>
      <c r="D170" s="81" t="s">
        <v>800</v>
      </c>
      <c r="E170" s="305" t="s">
        <v>1826</v>
      </c>
      <c r="F170" s="305"/>
      <c r="G170" s="305"/>
      <c r="H170" s="305"/>
    </row>
    <row r="171" spans="1:8" x14ac:dyDescent="0.3">
      <c r="A171" s="25" t="s">
        <v>1361</v>
      </c>
      <c r="B171" t="s">
        <v>1827</v>
      </c>
      <c r="C171" t="s">
        <v>53</v>
      </c>
      <c r="D171" s="80">
        <v>1.105</v>
      </c>
      <c r="E171" t="s">
        <v>54</v>
      </c>
      <c r="F171" s="83">
        <v>0.5</v>
      </c>
      <c r="G171" t="s">
        <v>1343</v>
      </c>
      <c r="H171" t="str">
        <f>IF(C172="","Pendente","Finalizado")</f>
        <v>Finalizado</v>
      </c>
    </row>
    <row r="172" spans="1:8" x14ac:dyDescent="0.3">
      <c r="A172" s="25" t="s">
        <v>1372</v>
      </c>
      <c r="B172" s="41" t="s">
        <v>45</v>
      </c>
      <c r="C172" s="87">
        <v>1</v>
      </c>
      <c r="D172" s="41" t="s">
        <v>48</v>
      </c>
      <c r="E172" s="87">
        <v>0</v>
      </c>
      <c r="F172" t="s">
        <v>1373</v>
      </c>
      <c r="G172">
        <f>IF(OR(C172="",E172=""),"",C172+E172)</f>
        <v>1</v>
      </c>
    </row>
    <row r="173" spans="1:8" x14ac:dyDescent="0.3">
      <c r="A173" s="25" t="s">
        <v>1374</v>
      </c>
      <c r="B173" t="s">
        <v>426</v>
      </c>
      <c r="C173" s="112" t="s">
        <v>62</v>
      </c>
      <c r="D173" t="s">
        <v>1342</v>
      </c>
      <c r="E173" s="83">
        <f>0.55-F171</f>
        <v>5.0000000000000044E-2</v>
      </c>
      <c r="F173" s="315" t="s">
        <v>3054</v>
      </c>
      <c r="G173" s="315"/>
      <c r="H173" s="315"/>
    </row>
    <row r="176" spans="1:8" ht="17.399999999999999" x14ac:dyDescent="0.35">
      <c r="A176" s="328">
        <v>46243</v>
      </c>
      <c r="B176" s="340"/>
      <c r="C176" s="329" t="s">
        <v>3034</v>
      </c>
      <c r="D176" s="329"/>
      <c r="E176" s="329"/>
      <c r="F176" s="329"/>
      <c r="G176" s="329"/>
      <c r="H176" s="329"/>
    </row>
    <row r="177" spans="1:8" x14ac:dyDescent="0.3">
      <c r="A177" s="330" t="s">
        <v>844</v>
      </c>
      <c r="B177" s="330"/>
      <c r="C177" s="330"/>
      <c r="D177" s="330"/>
      <c r="E177" s="330" t="s">
        <v>1370</v>
      </c>
      <c r="F177" s="330"/>
      <c r="G177" s="330" t="s">
        <v>3043</v>
      </c>
      <c r="H177" s="330"/>
    </row>
    <row r="178" spans="1:8" x14ac:dyDescent="0.3">
      <c r="A178" s="25" t="s">
        <v>1357</v>
      </c>
      <c r="B178" s="305" t="s">
        <v>3037</v>
      </c>
      <c r="C178" s="305"/>
      <c r="D178" s="305"/>
      <c r="E178" s="81" t="s">
        <v>1358</v>
      </c>
      <c r="F178" s="81" t="s">
        <v>1346</v>
      </c>
      <c r="G178" s="81" t="s">
        <v>801</v>
      </c>
      <c r="H178" s="81" t="s">
        <v>3038</v>
      </c>
    </row>
    <row r="179" spans="1:8" x14ac:dyDescent="0.3">
      <c r="A179" s="25" t="s">
        <v>1359</v>
      </c>
      <c r="B179" s="305" t="s">
        <v>3044</v>
      </c>
      <c r="C179" s="305"/>
      <c r="D179" s="305"/>
      <c r="E179" s="305"/>
      <c r="F179" s="305"/>
      <c r="G179" s="305"/>
      <c r="H179" s="305"/>
    </row>
    <row r="180" spans="1:8" x14ac:dyDescent="0.3">
      <c r="A180" s="25" t="s">
        <v>1360</v>
      </c>
      <c r="B180" s="305" t="s">
        <v>1346</v>
      </c>
      <c r="C180" s="305"/>
      <c r="D180" s="81" t="s">
        <v>800</v>
      </c>
      <c r="E180" s="305" t="s">
        <v>3039</v>
      </c>
      <c r="F180" s="305"/>
      <c r="G180" s="305"/>
      <c r="H180" s="305"/>
    </row>
    <row r="181" spans="1:8" x14ac:dyDescent="0.3">
      <c r="A181" s="25" t="s">
        <v>1361</v>
      </c>
      <c r="B181" t="s">
        <v>1346</v>
      </c>
      <c r="C181" t="s">
        <v>53</v>
      </c>
      <c r="D181" s="80">
        <v>1.125</v>
      </c>
      <c r="E181" t="s">
        <v>54</v>
      </c>
      <c r="F181" s="83">
        <v>0.5</v>
      </c>
      <c r="G181" t="s">
        <v>1343</v>
      </c>
      <c r="H181" t="str">
        <f>IF(C182="","Pendente","Finalizado")</f>
        <v>Finalizado</v>
      </c>
    </row>
    <row r="182" spans="1:8" x14ac:dyDescent="0.3">
      <c r="A182" s="25" t="s">
        <v>1372</v>
      </c>
      <c r="B182" s="41" t="s">
        <v>45</v>
      </c>
      <c r="C182" s="87">
        <v>2</v>
      </c>
      <c r="D182" s="41" t="s">
        <v>48</v>
      </c>
      <c r="E182" s="87">
        <v>1</v>
      </c>
      <c r="F182" t="s">
        <v>1373</v>
      </c>
      <c r="G182">
        <f>IF(OR(C182="",E182=""),"",C182+E182)</f>
        <v>3</v>
      </c>
    </row>
    <row r="183" spans="1:8" x14ac:dyDescent="0.3">
      <c r="A183" s="25" t="s">
        <v>1374</v>
      </c>
      <c r="B183" t="s">
        <v>426</v>
      </c>
      <c r="C183" s="111" t="str">
        <f>IF(G182="","",IF(G182&gt;2,"Green",IF(G182=2,"Devolvida","Red")))</f>
        <v>Green</v>
      </c>
      <c r="D183" t="s">
        <v>1342</v>
      </c>
      <c r="E183" s="83">
        <f>IF(OR(C183="",D181=""),"",IF(C183="Green",F181*(D181-1),IF(C183="Red",-F181,IF(C183="Meio Green",F181*(D181-1)/2,IF(C183="Meio Red",-F181/2,IF(C183="Devolvida",0,""))))))</f>
        <v>6.25E-2</v>
      </c>
      <c r="F183" s="315"/>
      <c r="G183" s="315"/>
      <c r="H183" s="315"/>
    </row>
    <row r="186" spans="1:8" ht="17.399999999999999" x14ac:dyDescent="0.35">
      <c r="A186" s="328">
        <v>46243</v>
      </c>
      <c r="B186" s="340"/>
      <c r="C186" s="329" t="s">
        <v>3035</v>
      </c>
      <c r="D186" s="329"/>
      <c r="E186" s="329"/>
      <c r="F186" s="329"/>
      <c r="G186" s="329"/>
      <c r="H186" s="329"/>
    </row>
    <row r="187" spans="1:8" x14ac:dyDescent="0.3">
      <c r="A187" s="330" t="s">
        <v>845</v>
      </c>
      <c r="B187" s="330"/>
      <c r="C187" s="330"/>
      <c r="D187" s="330"/>
      <c r="E187" s="330" t="s">
        <v>1370</v>
      </c>
      <c r="F187" s="330"/>
      <c r="G187" s="330" t="s">
        <v>3036</v>
      </c>
      <c r="H187" s="330"/>
    </row>
    <row r="188" spans="1:8" x14ac:dyDescent="0.3">
      <c r="A188" s="25" t="s">
        <v>1357</v>
      </c>
      <c r="B188" s="305" t="s">
        <v>3040</v>
      </c>
      <c r="C188" s="305"/>
      <c r="D188" s="305"/>
      <c r="E188" s="81" t="s">
        <v>1358</v>
      </c>
      <c r="F188" s="81" t="s">
        <v>3041</v>
      </c>
      <c r="G188" s="81" t="s">
        <v>801</v>
      </c>
      <c r="H188" s="81" t="s">
        <v>3042</v>
      </c>
    </row>
    <row r="189" spans="1:8" x14ac:dyDescent="0.3">
      <c r="A189" s="25" t="s">
        <v>1359</v>
      </c>
      <c r="B189" s="305" t="s">
        <v>3045</v>
      </c>
      <c r="C189" s="305"/>
      <c r="D189" s="305"/>
      <c r="E189" s="305"/>
      <c r="F189" s="305"/>
      <c r="G189" s="305"/>
      <c r="H189" s="305"/>
    </row>
    <row r="190" spans="1:8" x14ac:dyDescent="0.3">
      <c r="A190" s="25" t="s">
        <v>1360</v>
      </c>
      <c r="B190" s="305" t="s">
        <v>3046</v>
      </c>
      <c r="C190" s="305"/>
      <c r="D190" s="81" t="s">
        <v>800</v>
      </c>
      <c r="E190" s="305" t="s">
        <v>3047</v>
      </c>
      <c r="F190" s="305"/>
      <c r="G190" s="305"/>
      <c r="H190" s="305"/>
    </row>
    <row r="191" spans="1:8" x14ac:dyDescent="0.3">
      <c r="A191" s="25" t="s">
        <v>1361</v>
      </c>
      <c r="B191" t="s">
        <v>1436</v>
      </c>
      <c r="C191" t="s">
        <v>53</v>
      </c>
      <c r="D191" s="80">
        <v>1.125</v>
      </c>
      <c r="E191" t="s">
        <v>54</v>
      </c>
      <c r="F191" s="83">
        <v>0.5</v>
      </c>
      <c r="G191" t="s">
        <v>1343</v>
      </c>
      <c r="H191" t="str">
        <f>IF(C192="","Pendente","Finalizado")</f>
        <v>Finalizado</v>
      </c>
    </row>
    <row r="192" spans="1:8" x14ac:dyDescent="0.3">
      <c r="A192" s="25" t="s">
        <v>1372</v>
      </c>
      <c r="B192" s="41" t="s">
        <v>45</v>
      </c>
      <c r="C192" s="87">
        <v>2</v>
      </c>
      <c r="D192" s="41" t="s">
        <v>48</v>
      </c>
      <c r="E192" s="87">
        <v>2</v>
      </c>
      <c r="F192" t="s">
        <v>1373</v>
      </c>
      <c r="G192">
        <f>IF(OR(C192="",E192=""),"",C192+E192)</f>
        <v>4</v>
      </c>
    </row>
    <row r="193" spans="1:8" x14ac:dyDescent="0.3">
      <c r="A193" s="25" t="s">
        <v>1374</v>
      </c>
      <c r="B193" t="s">
        <v>426</v>
      </c>
      <c r="C193" s="111" t="str">
        <f>IF(G192="","",IF(G192&gt;=3,"Green",IF(G192=2,"Meio Red","Red")))</f>
        <v>Green</v>
      </c>
      <c r="D193" t="s">
        <v>1342</v>
      </c>
      <c r="E193" s="83">
        <f>IF(OR(C193="",D191=""),"",IF(C193="Green",F191*(D191-1),IF(C193="Red",-F191,IF(C193="Meio Green",F191*(D191-1)/2,IF(C193="Meio Red",-F191/2,IF(C193="Devolvida",0,""))))))</f>
        <v>6.25E-2</v>
      </c>
      <c r="F193" s="315"/>
      <c r="G193" s="315"/>
      <c r="H193" s="315"/>
    </row>
    <row r="196" spans="1:8" ht="17.399999999999999" x14ac:dyDescent="0.35">
      <c r="A196" s="328">
        <v>46243</v>
      </c>
      <c r="B196" s="340"/>
      <c r="C196" s="329" t="s">
        <v>3048</v>
      </c>
      <c r="D196" s="329"/>
      <c r="E196" s="329"/>
      <c r="F196" s="329"/>
      <c r="G196" s="329"/>
      <c r="H196" s="329"/>
    </row>
    <row r="197" spans="1:8" x14ac:dyDescent="0.3">
      <c r="A197" s="330" t="s">
        <v>844</v>
      </c>
      <c r="B197" s="330"/>
      <c r="C197" s="330"/>
      <c r="D197" s="330"/>
      <c r="E197" s="330" t="s">
        <v>1370</v>
      </c>
      <c r="F197" s="330"/>
      <c r="G197" s="330" t="s">
        <v>3049</v>
      </c>
      <c r="H197" s="330"/>
    </row>
    <row r="198" spans="1:8" x14ac:dyDescent="0.3">
      <c r="A198" s="25" t="s">
        <v>1357</v>
      </c>
      <c r="B198" s="305" t="s">
        <v>3050</v>
      </c>
      <c r="C198" s="305"/>
      <c r="D198" s="305"/>
      <c r="E198" s="81" t="s">
        <v>1358</v>
      </c>
      <c r="F198" s="81" t="s">
        <v>1346</v>
      </c>
      <c r="G198" s="81" t="s">
        <v>801</v>
      </c>
      <c r="H198" s="81" t="s">
        <v>3038</v>
      </c>
    </row>
    <row r="199" spans="1:8" x14ac:dyDescent="0.3">
      <c r="A199" s="25" t="s">
        <v>1359</v>
      </c>
      <c r="B199" s="305" t="s">
        <v>3053</v>
      </c>
      <c r="C199" s="305"/>
      <c r="D199" s="305"/>
      <c r="E199" s="305"/>
      <c r="F199" s="305"/>
      <c r="G199" s="305"/>
      <c r="H199" s="305"/>
    </row>
    <row r="200" spans="1:8" x14ac:dyDescent="0.3">
      <c r="A200" s="25" t="s">
        <v>1360</v>
      </c>
      <c r="B200" s="305" t="s">
        <v>3051</v>
      </c>
      <c r="C200" s="305"/>
      <c r="D200" s="81" t="s">
        <v>800</v>
      </c>
      <c r="E200" s="305" t="s">
        <v>3052</v>
      </c>
      <c r="F200" s="305"/>
      <c r="G200" s="305"/>
      <c r="H200" s="305"/>
    </row>
    <row r="201" spans="1:8" x14ac:dyDescent="0.3">
      <c r="A201" s="25" t="s">
        <v>1361</v>
      </c>
      <c r="B201" t="s">
        <v>1346</v>
      </c>
      <c r="C201" t="s">
        <v>53</v>
      </c>
      <c r="D201" s="80">
        <v>1.1299999999999999</v>
      </c>
      <c r="E201" t="s">
        <v>54</v>
      </c>
      <c r="F201" s="83">
        <v>0.5</v>
      </c>
      <c r="G201" t="s">
        <v>1343</v>
      </c>
      <c r="H201" t="str">
        <f>IF(C202="","Pendente","Finalizado")</f>
        <v>Finalizado</v>
      </c>
    </row>
    <row r="202" spans="1:8" x14ac:dyDescent="0.3">
      <c r="A202" s="25" t="s">
        <v>1372</v>
      </c>
      <c r="B202" s="41" t="s">
        <v>45</v>
      </c>
      <c r="C202" s="87">
        <v>1</v>
      </c>
      <c r="D202" s="41" t="s">
        <v>48</v>
      </c>
      <c r="E202" s="87">
        <v>1</v>
      </c>
      <c r="F202" t="s">
        <v>1373</v>
      </c>
      <c r="G202">
        <f>IF(OR(C202="",E202=""),"",C202+E202)</f>
        <v>2</v>
      </c>
    </row>
    <row r="203" spans="1:8" x14ac:dyDescent="0.3">
      <c r="A203" s="25" t="s">
        <v>1374</v>
      </c>
      <c r="B203" t="s">
        <v>426</v>
      </c>
      <c r="C203" s="111" t="str">
        <f>IF(G202="","",IF(G202&gt;2,"Green",IF(G202=2,"Devolvida","Red")))</f>
        <v>Devolvida</v>
      </c>
      <c r="D203" t="s">
        <v>1342</v>
      </c>
      <c r="E203" s="83">
        <f>IF(OR(C203="",D201=""),"",IF(C203="Green",F201*(D201-1),IF(C203="Red",-F201,IF(C203="Meio Green",F201*(D201-1)/2,IF(C203="Meio Red",-F201/2,IF(C203="Devolvida",0,""))))))</f>
        <v>0</v>
      </c>
      <c r="F203" s="315"/>
      <c r="G203" s="315"/>
      <c r="H203" s="315"/>
    </row>
    <row r="206" spans="1:8" ht="17.399999999999999" x14ac:dyDescent="0.35">
      <c r="A206" s="328">
        <v>46243</v>
      </c>
      <c r="B206" s="340"/>
      <c r="C206" s="329" t="s">
        <v>3291</v>
      </c>
      <c r="D206" s="329"/>
      <c r="E206" s="329"/>
      <c r="F206" s="329"/>
      <c r="G206" s="329"/>
      <c r="H206" s="329"/>
    </row>
    <row r="207" spans="1:8" x14ac:dyDescent="0.3">
      <c r="A207" s="330" t="s">
        <v>1333</v>
      </c>
      <c r="B207" s="330"/>
      <c r="C207" s="330"/>
      <c r="D207" s="330"/>
      <c r="E207" s="330" t="s">
        <v>1370</v>
      </c>
      <c r="F207" s="330"/>
      <c r="G207" s="330" t="s">
        <v>3292</v>
      </c>
      <c r="H207" s="330"/>
    </row>
    <row r="208" spans="1:8" x14ac:dyDescent="0.3">
      <c r="A208" s="25" t="s">
        <v>1357</v>
      </c>
      <c r="B208" s="305" t="s">
        <v>3293</v>
      </c>
      <c r="C208" s="305"/>
      <c r="D208" s="305"/>
      <c r="E208" s="81" t="s">
        <v>1358</v>
      </c>
      <c r="F208" s="81" t="s">
        <v>1838</v>
      </c>
      <c r="G208" s="81" t="s">
        <v>801</v>
      </c>
      <c r="H208" s="81" t="s">
        <v>3294</v>
      </c>
    </row>
    <row r="209" spans="1:8" x14ac:dyDescent="0.3">
      <c r="A209" s="25" t="s">
        <v>1359</v>
      </c>
      <c r="B209" s="305" t="s">
        <v>3295</v>
      </c>
      <c r="C209" s="305"/>
      <c r="D209" s="305"/>
      <c r="E209" s="305"/>
      <c r="F209" s="305"/>
      <c r="G209" s="305"/>
      <c r="H209" s="305"/>
    </row>
    <row r="210" spans="1:8" x14ac:dyDescent="0.3">
      <c r="A210" s="25" t="s">
        <v>1360</v>
      </c>
      <c r="B210" s="305" t="s">
        <v>3296</v>
      </c>
      <c r="C210" s="305"/>
      <c r="D210" s="81" t="s">
        <v>800</v>
      </c>
      <c r="E210" s="305" t="s">
        <v>3297</v>
      </c>
      <c r="F210" s="305"/>
      <c r="G210" s="305"/>
      <c r="H210" s="305"/>
    </row>
    <row r="211" spans="1:8" x14ac:dyDescent="0.3">
      <c r="A211" s="25" t="s">
        <v>1361</v>
      </c>
      <c r="B211" t="s">
        <v>1838</v>
      </c>
      <c r="C211" t="s">
        <v>53</v>
      </c>
      <c r="D211" s="80">
        <v>1.125</v>
      </c>
      <c r="E211" t="s">
        <v>54</v>
      </c>
      <c r="F211" s="83">
        <v>0.5</v>
      </c>
      <c r="G211" t="s">
        <v>1343</v>
      </c>
      <c r="H211" t="str">
        <f>IF(C212="","Pendente","Finalizado")</f>
        <v>Finalizado</v>
      </c>
    </row>
    <row r="212" spans="1:8" x14ac:dyDescent="0.3">
      <c r="A212" s="25" t="s">
        <v>1372</v>
      </c>
      <c r="B212" s="41" t="s">
        <v>45</v>
      </c>
      <c r="C212" s="87">
        <v>0</v>
      </c>
      <c r="D212" s="41" t="s">
        <v>48</v>
      </c>
      <c r="E212" s="87">
        <v>0</v>
      </c>
      <c r="F212" t="s">
        <v>1373</v>
      </c>
      <c r="G212">
        <f>IF(OR(C212="",E212=""),"",C212+E212)</f>
        <v>0</v>
      </c>
    </row>
    <row r="213" spans="1:8" x14ac:dyDescent="0.3">
      <c r="A213" s="25" t="s">
        <v>1374</v>
      </c>
      <c r="B213" t="s">
        <v>426</v>
      </c>
      <c r="C213" s="111" t="str">
        <f>IF(G212="","",IF(G212&gt;=2,"Green",IF(G212=1,"Meio Red","Red")))</f>
        <v>Red</v>
      </c>
      <c r="D213" t="s">
        <v>1342</v>
      </c>
      <c r="E213" s="83">
        <f>IF(OR(C213="",D211=""),"",IF(C213="Green",F211*(D211-1),IF(C213="Meio Red",-F211/2,IF(C213="Red",-F211,""))))</f>
        <v>-0.5</v>
      </c>
      <c r="F213" s="315"/>
      <c r="G213" s="315"/>
      <c r="H213" s="315"/>
    </row>
    <row r="216" spans="1:8" ht="17.399999999999999" x14ac:dyDescent="0.35">
      <c r="A216" s="328">
        <v>46243</v>
      </c>
      <c r="B216" s="340"/>
      <c r="C216" s="329" t="s">
        <v>3298</v>
      </c>
      <c r="D216" s="329"/>
      <c r="E216" s="329"/>
      <c r="F216" s="329"/>
      <c r="G216" s="329"/>
      <c r="H216" s="329"/>
    </row>
    <row r="217" spans="1:8" x14ac:dyDescent="0.3">
      <c r="A217" s="330" t="s">
        <v>1333</v>
      </c>
      <c r="B217" s="330"/>
      <c r="C217" s="330"/>
      <c r="D217" s="330"/>
      <c r="E217" s="330" t="s">
        <v>1370</v>
      </c>
      <c r="F217" s="330"/>
      <c r="G217" s="330" t="s">
        <v>3292</v>
      </c>
      <c r="H217" s="330"/>
    </row>
    <row r="218" spans="1:8" x14ac:dyDescent="0.3">
      <c r="A218" s="25" t="s">
        <v>1357</v>
      </c>
      <c r="B218" s="305" t="s">
        <v>3299</v>
      </c>
      <c r="C218" s="305"/>
      <c r="D218" s="305"/>
      <c r="E218" s="81" t="s">
        <v>1358</v>
      </c>
      <c r="F218" s="81" t="s">
        <v>1838</v>
      </c>
      <c r="G218" s="81" t="s">
        <v>801</v>
      </c>
      <c r="H218" s="81" t="s">
        <v>3294</v>
      </c>
    </row>
    <row r="219" spans="1:8" x14ac:dyDescent="0.3">
      <c r="A219" s="25" t="s">
        <v>1359</v>
      </c>
      <c r="B219" s="305" t="s">
        <v>3300</v>
      </c>
      <c r="C219" s="305"/>
      <c r="D219" s="305"/>
      <c r="E219" s="305"/>
      <c r="F219" s="305"/>
      <c r="G219" s="305"/>
      <c r="H219" s="305"/>
    </row>
    <row r="220" spans="1:8" x14ac:dyDescent="0.3">
      <c r="A220" s="25" t="s">
        <v>1360</v>
      </c>
      <c r="B220" s="305" t="s">
        <v>3301</v>
      </c>
      <c r="C220" s="305"/>
      <c r="D220" s="81" t="s">
        <v>800</v>
      </c>
      <c r="E220" s="305" t="s">
        <v>3302</v>
      </c>
      <c r="F220" s="305"/>
      <c r="G220" s="305"/>
      <c r="H220" s="305"/>
    </row>
    <row r="221" spans="1:8" x14ac:dyDescent="0.3">
      <c r="A221" s="25" t="s">
        <v>1361</v>
      </c>
      <c r="B221" t="s">
        <v>1348</v>
      </c>
      <c r="C221" t="s">
        <v>53</v>
      </c>
      <c r="D221" s="80">
        <v>1.23</v>
      </c>
      <c r="E221" t="s">
        <v>54</v>
      </c>
      <c r="F221" s="83">
        <v>0.5</v>
      </c>
      <c r="G221" t="s">
        <v>1343</v>
      </c>
      <c r="H221" t="str">
        <f>IF(C222="","Pendente","Finalizado")</f>
        <v>Finalizado</v>
      </c>
    </row>
    <row r="222" spans="1:8" x14ac:dyDescent="0.3">
      <c r="A222" s="25" t="s">
        <v>1372</v>
      </c>
      <c r="B222" s="41" t="s">
        <v>45</v>
      </c>
      <c r="C222" s="87">
        <v>0</v>
      </c>
      <c r="D222" s="41" t="s">
        <v>48</v>
      </c>
      <c r="E222" s="87">
        <v>0</v>
      </c>
      <c r="F222" t="s">
        <v>1373</v>
      </c>
      <c r="G222">
        <f>IF(OR(C222="",E222=""),"",C222+E222)</f>
        <v>0</v>
      </c>
    </row>
    <row r="223" spans="1:8" x14ac:dyDescent="0.3">
      <c r="A223" s="25" t="s">
        <v>1374</v>
      </c>
      <c r="B223" t="s">
        <v>426</v>
      </c>
      <c r="C223" s="111" t="str">
        <f>IF(G222="","",IF(G222&gt;=2,"Green","Red"))</f>
        <v>Red</v>
      </c>
      <c r="D223" t="s">
        <v>1342</v>
      </c>
      <c r="E223" s="83">
        <f>IF(OR(C223="",D221=""),"",IF(C223="Green",F221*(D221-1),IF(C223="Red",-F221,"")))</f>
        <v>-0.5</v>
      </c>
      <c r="F223" s="315"/>
      <c r="G223" s="315"/>
      <c r="H223" s="315"/>
    </row>
    <row r="226" spans="1:8" ht="17.399999999999999" x14ac:dyDescent="0.35">
      <c r="A226" s="328">
        <v>46243</v>
      </c>
      <c r="B226" s="340"/>
      <c r="C226" s="329" t="s">
        <v>3303</v>
      </c>
      <c r="D226" s="329"/>
      <c r="E226" s="329"/>
      <c r="F226" s="329"/>
      <c r="G226" s="329"/>
      <c r="H226" s="329"/>
    </row>
    <row r="227" spans="1:8" x14ac:dyDescent="0.3">
      <c r="A227" s="330" t="s">
        <v>1334</v>
      </c>
      <c r="B227" s="330"/>
      <c r="C227" s="330"/>
      <c r="D227" s="330"/>
      <c r="E227" s="330" t="s">
        <v>1370</v>
      </c>
      <c r="F227" s="330"/>
      <c r="G227" s="330" t="s">
        <v>3292</v>
      </c>
      <c r="H227" s="330"/>
    </row>
    <row r="228" spans="1:8" x14ac:dyDescent="0.3">
      <c r="A228" s="25" t="s">
        <v>1357</v>
      </c>
      <c r="B228" s="305" t="s">
        <v>3304</v>
      </c>
      <c r="C228" s="305"/>
      <c r="D228" s="305"/>
      <c r="E228" s="81" t="s">
        <v>1358</v>
      </c>
      <c r="F228" s="81" t="s">
        <v>1822</v>
      </c>
      <c r="G228" s="81" t="s">
        <v>801</v>
      </c>
      <c r="H228" s="81" t="s">
        <v>1823</v>
      </c>
    </row>
    <row r="229" spans="1:8" x14ac:dyDescent="0.3">
      <c r="A229" s="25" t="s">
        <v>1359</v>
      </c>
      <c r="B229" s="305" t="s">
        <v>3305</v>
      </c>
      <c r="C229" s="305"/>
      <c r="D229" s="305"/>
      <c r="E229" s="305"/>
      <c r="F229" s="305"/>
      <c r="G229" s="305"/>
      <c r="H229" s="305"/>
    </row>
    <row r="230" spans="1:8" x14ac:dyDescent="0.3">
      <c r="A230" s="25" t="s">
        <v>1360</v>
      </c>
      <c r="B230" s="305" t="s">
        <v>3306</v>
      </c>
      <c r="C230" s="305"/>
      <c r="D230" s="81" t="s">
        <v>800</v>
      </c>
      <c r="E230" s="305" t="s">
        <v>3307</v>
      </c>
      <c r="F230" s="305"/>
      <c r="G230" s="305"/>
      <c r="H230" s="305"/>
    </row>
    <row r="231" spans="1:8" x14ac:dyDescent="0.3">
      <c r="A231" s="25" t="s">
        <v>1361</v>
      </c>
      <c r="B231" t="s">
        <v>1822</v>
      </c>
      <c r="C231" t="s">
        <v>53</v>
      </c>
      <c r="D231" s="80">
        <v>1.1000000000000001</v>
      </c>
      <c r="E231" t="s">
        <v>54</v>
      </c>
      <c r="F231" s="83">
        <v>0.5</v>
      </c>
      <c r="G231" t="s">
        <v>1343</v>
      </c>
      <c r="H231" t="str">
        <f>IF(C232="","Pendente","Finalizado")</f>
        <v>Finalizado</v>
      </c>
    </row>
    <row r="232" spans="1:8" x14ac:dyDescent="0.3">
      <c r="A232" s="25" t="s">
        <v>1372</v>
      </c>
      <c r="B232" s="41" t="s">
        <v>45</v>
      </c>
      <c r="C232" s="87">
        <v>1</v>
      </c>
      <c r="D232" s="41" t="s">
        <v>48</v>
      </c>
      <c r="E232" s="87">
        <v>1</v>
      </c>
      <c r="F232" t="s">
        <v>1373</v>
      </c>
      <c r="G232">
        <f>IF(OR(C232="",E232=""),"",C232+E232)</f>
        <v>2</v>
      </c>
    </row>
    <row r="233" spans="1:8" x14ac:dyDescent="0.3">
      <c r="A233" s="25" t="s">
        <v>1374</v>
      </c>
      <c r="B233" t="s">
        <v>426</v>
      </c>
      <c r="C233" s="111" t="str">
        <f>IF(G232="","",IF(G232&gt;=1,"Green","Red"))</f>
        <v>Green</v>
      </c>
      <c r="D233" t="s">
        <v>1342</v>
      </c>
      <c r="E233" s="83">
        <f>IF(OR(C233="",D231=""),"",IF(C233="Green",F231*(D231-1),IF(C233="Red",-F231,"")))</f>
        <v>5.0000000000000044E-2</v>
      </c>
      <c r="F233" s="315"/>
      <c r="G233" s="315"/>
      <c r="H233" s="315"/>
    </row>
    <row r="236" spans="1:8" ht="17.399999999999999" x14ac:dyDescent="0.35">
      <c r="A236" s="328">
        <v>46243</v>
      </c>
      <c r="B236" s="340"/>
      <c r="C236" s="329" t="s">
        <v>3308</v>
      </c>
      <c r="D236" s="329"/>
      <c r="E236" s="329"/>
      <c r="F236" s="329"/>
      <c r="G236" s="329"/>
      <c r="H236" s="329"/>
    </row>
    <row r="237" spans="1:8" x14ac:dyDescent="0.3">
      <c r="A237" s="330" t="s">
        <v>1334</v>
      </c>
      <c r="B237" s="330"/>
      <c r="C237" s="330"/>
      <c r="D237" s="330"/>
      <c r="E237" s="330" t="s">
        <v>1370</v>
      </c>
      <c r="F237" s="330"/>
      <c r="G237" s="330" t="s">
        <v>3292</v>
      </c>
      <c r="H237" s="330"/>
    </row>
    <row r="238" spans="1:8" x14ac:dyDescent="0.3">
      <c r="A238" s="25" t="s">
        <v>1357</v>
      </c>
      <c r="B238" s="305" t="s">
        <v>3309</v>
      </c>
      <c r="C238" s="305"/>
      <c r="D238" s="305"/>
      <c r="E238" s="81" t="s">
        <v>1358</v>
      </c>
      <c r="F238" s="81" t="s">
        <v>1822</v>
      </c>
      <c r="G238" s="81" t="s">
        <v>801</v>
      </c>
      <c r="H238" s="81" t="s">
        <v>1823</v>
      </c>
    </row>
    <row r="239" spans="1:8" x14ac:dyDescent="0.3">
      <c r="A239" s="25" t="s">
        <v>1359</v>
      </c>
      <c r="B239" s="305" t="s">
        <v>3310</v>
      </c>
      <c r="C239" s="305"/>
      <c r="D239" s="305"/>
      <c r="E239" s="305"/>
      <c r="F239" s="305"/>
      <c r="G239" s="305"/>
      <c r="H239" s="305"/>
    </row>
    <row r="240" spans="1:8" x14ac:dyDescent="0.3">
      <c r="A240" s="25" t="s">
        <v>1360</v>
      </c>
      <c r="B240" s="305" t="s">
        <v>3312</v>
      </c>
      <c r="C240" s="305"/>
      <c r="D240" s="81" t="s">
        <v>800</v>
      </c>
      <c r="E240" s="305" t="s">
        <v>3313</v>
      </c>
      <c r="F240" s="305"/>
      <c r="G240" s="305"/>
      <c r="H240" s="305"/>
    </row>
    <row r="241" spans="1:8" x14ac:dyDescent="0.3">
      <c r="A241" s="25" t="s">
        <v>1361</v>
      </c>
      <c r="B241" t="s">
        <v>1827</v>
      </c>
      <c r="C241" t="s">
        <v>53</v>
      </c>
      <c r="D241" s="80">
        <v>1.1599999999999999</v>
      </c>
      <c r="E241" t="s">
        <v>54</v>
      </c>
      <c r="F241" s="83">
        <v>0.5</v>
      </c>
      <c r="G241" t="s">
        <v>1343</v>
      </c>
      <c r="H241" t="s">
        <v>4265</v>
      </c>
    </row>
    <row r="242" spans="1:8" x14ac:dyDescent="0.3">
      <c r="A242" s="25" t="s">
        <v>1372</v>
      </c>
      <c r="B242" s="41" t="s">
        <v>45</v>
      </c>
      <c r="C242" s="87">
        <v>1</v>
      </c>
      <c r="D242" s="41" t="s">
        <v>48</v>
      </c>
      <c r="E242" s="87">
        <v>0</v>
      </c>
      <c r="F242" t="s">
        <v>1373</v>
      </c>
      <c r="G242">
        <f>IF(OR(C242="",E242=""),"",C242+E242)</f>
        <v>1</v>
      </c>
    </row>
    <row r="243" spans="1:8" x14ac:dyDescent="0.3">
      <c r="A243" s="25" t="s">
        <v>1374</v>
      </c>
      <c r="B243" t="s">
        <v>426</v>
      </c>
      <c r="C243" s="111" t="s">
        <v>62</v>
      </c>
      <c r="D243" t="s">
        <v>1342</v>
      </c>
      <c r="E243" s="83">
        <v>0.06</v>
      </c>
      <c r="F243" s="305" t="s">
        <v>4264</v>
      </c>
      <c r="G243" s="305"/>
      <c r="H243" s="305"/>
    </row>
    <row r="246" spans="1:8" ht="17.399999999999999" x14ac:dyDescent="0.35">
      <c r="A246" s="328">
        <v>46243</v>
      </c>
      <c r="B246" s="328"/>
      <c r="C246" s="329" t="s">
        <v>3316</v>
      </c>
      <c r="D246" s="329"/>
      <c r="E246" s="329"/>
      <c r="F246" s="329"/>
      <c r="G246" s="329"/>
      <c r="H246" s="329"/>
    </row>
    <row r="247" spans="1:8" x14ac:dyDescent="0.3">
      <c r="A247" s="330" t="s">
        <v>1334</v>
      </c>
      <c r="B247" s="330"/>
      <c r="C247" s="330"/>
      <c r="D247" s="330"/>
      <c r="E247" s="315"/>
      <c r="F247" s="315"/>
      <c r="G247" s="330" t="s">
        <v>3317</v>
      </c>
      <c r="H247" s="330"/>
    </row>
    <row r="248" spans="1:8" x14ac:dyDescent="0.3">
      <c r="A248" s="25" t="s">
        <v>1357</v>
      </c>
      <c r="B248" s="305" t="s">
        <v>3318</v>
      </c>
      <c r="C248" s="305"/>
      <c r="D248" s="305"/>
      <c r="E248" s="81" t="s">
        <v>1358</v>
      </c>
      <c r="F248" s="81" t="s">
        <v>1822</v>
      </c>
      <c r="G248" s="81" t="s">
        <v>801</v>
      </c>
      <c r="H248" s="81" t="s">
        <v>1823</v>
      </c>
    </row>
    <row r="249" spans="1:8" x14ac:dyDescent="0.3">
      <c r="A249" s="25" t="s">
        <v>1359</v>
      </c>
      <c r="B249" s="305" t="s">
        <v>3319</v>
      </c>
      <c r="C249" s="305"/>
      <c r="D249" s="305"/>
      <c r="E249" s="305"/>
      <c r="F249" s="305"/>
      <c r="G249" s="305"/>
      <c r="H249" s="305"/>
    </row>
    <row r="250" spans="1:8" x14ac:dyDescent="0.3">
      <c r="A250" s="25" t="s">
        <v>1360</v>
      </c>
      <c r="B250" s="305" t="s">
        <v>3320</v>
      </c>
      <c r="C250" s="305"/>
      <c r="D250" s="81" t="s">
        <v>800</v>
      </c>
      <c r="E250" s="305" t="s">
        <v>3321</v>
      </c>
      <c r="F250" s="305"/>
      <c r="G250" s="305"/>
      <c r="H250" s="305"/>
    </row>
    <row r="251" spans="1:8" x14ac:dyDescent="0.3">
      <c r="A251" s="25" t="s">
        <v>1361</v>
      </c>
      <c r="B251" t="s">
        <v>1822</v>
      </c>
      <c r="C251" t="s">
        <v>53</v>
      </c>
      <c r="D251" s="80">
        <v>1.1399999999999999</v>
      </c>
      <c r="E251" t="s">
        <v>54</v>
      </c>
      <c r="F251" s="174">
        <v>0.5</v>
      </c>
      <c r="G251" t="s">
        <v>1343</v>
      </c>
      <c r="H251" t="str">
        <f>IF(C252="","Pendente","Finalizado")</f>
        <v>Finalizado</v>
      </c>
    </row>
    <row r="252" spans="1:8" x14ac:dyDescent="0.3">
      <c r="A252" s="25" t="s">
        <v>1372</v>
      </c>
      <c r="B252" s="41" t="s">
        <v>45</v>
      </c>
      <c r="C252" s="87">
        <v>1</v>
      </c>
      <c r="D252" s="41" t="s">
        <v>48</v>
      </c>
      <c r="E252" s="87">
        <v>1</v>
      </c>
      <c r="F252" t="s">
        <v>1373</v>
      </c>
      <c r="G252">
        <f>IF(OR(C252="",E252=""),"",C252+E252)</f>
        <v>2</v>
      </c>
    </row>
    <row r="253" spans="1:8" x14ac:dyDescent="0.3">
      <c r="A253" s="25" t="s">
        <v>1374</v>
      </c>
      <c r="B253" t="s">
        <v>426</v>
      </c>
      <c r="C253" s="111" t="str">
        <f>IF(G252="","",IF(G252&gt;=1,"Green","Red"))</f>
        <v>Green</v>
      </c>
      <c r="D253" t="s">
        <v>1342</v>
      </c>
      <c r="E253" s="175">
        <f>IF(OR(C253="",D251=""),"",IF(C253="Green",F251*(D251-1),IF(C253="Red",-F251,"")))</f>
        <v>6.9999999999999951E-2</v>
      </c>
      <c r="F253" s="315"/>
      <c r="G253" s="315"/>
      <c r="H253" s="315"/>
    </row>
    <row r="256" spans="1:8" ht="17.399999999999999" x14ac:dyDescent="0.35">
      <c r="A256" s="328">
        <v>46243</v>
      </c>
      <c r="B256" s="328"/>
      <c r="C256" s="329" t="s">
        <v>3322</v>
      </c>
      <c r="D256" s="329"/>
      <c r="E256" s="329"/>
      <c r="F256" s="329"/>
      <c r="G256" s="329"/>
      <c r="H256" s="329"/>
    </row>
    <row r="257" spans="1:8" x14ac:dyDescent="0.3">
      <c r="A257" s="330" t="s">
        <v>1332</v>
      </c>
      <c r="B257" s="330"/>
      <c r="C257" s="330"/>
      <c r="D257" s="330"/>
      <c r="E257" s="315" t="s">
        <v>1370</v>
      </c>
      <c r="F257" s="315"/>
      <c r="G257" s="330" t="s">
        <v>3317</v>
      </c>
      <c r="H257" s="330"/>
    </row>
    <row r="258" spans="1:8" x14ac:dyDescent="0.3">
      <c r="A258" s="25" t="s">
        <v>1357</v>
      </c>
      <c r="B258" s="305" t="s">
        <v>3323</v>
      </c>
      <c r="C258" s="305"/>
      <c r="D258" s="305"/>
      <c r="E258" s="81" t="s">
        <v>1358</v>
      </c>
      <c r="F258" s="81" t="s">
        <v>1348</v>
      </c>
      <c r="G258" s="81" t="s">
        <v>801</v>
      </c>
      <c r="H258" s="81" t="s">
        <v>1349</v>
      </c>
    </row>
    <row r="259" spans="1:8" x14ac:dyDescent="0.3">
      <c r="A259" s="25" t="s">
        <v>1359</v>
      </c>
      <c r="B259" s="305" t="s">
        <v>3324</v>
      </c>
      <c r="C259" s="305"/>
      <c r="D259" s="305"/>
      <c r="E259" s="305"/>
      <c r="F259" s="305"/>
      <c r="G259" s="305"/>
      <c r="H259" s="305"/>
    </row>
    <row r="260" spans="1:8" x14ac:dyDescent="0.3">
      <c r="A260" s="25" t="s">
        <v>1360</v>
      </c>
      <c r="B260" s="305" t="s">
        <v>3325</v>
      </c>
      <c r="C260" s="305"/>
      <c r="D260" s="81" t="s">
        <v>800</v>
      </c>
      <c r="E260" s="305" t="s">
        <v>3326</v>
      </c>
      <c r="F260" s="305"/>
      <c r="G260" s="305"/>
      <c r="H260" s="305"/>
    </row>
    <row r="261" spans="1:8" x14ac:dyDescent="0.3">
      <c r="A261" s="25" t="s">
        <v>1361</v>
      </c>
      <c r="B261" t="s">
        <v>1348</v>
      </c>
      <c r="C261" t="s">
        <v>53</v>
      </c>
      <c r="D261" s="80">
        <v>1.2250000000000001</v>
      </c>
      <c r="E261" t="s">
        <v>54</v>
      </c>
      <c r="F261" s="174">
        <v>0.5</v>
      </c>
      <c r="G261" t="s">
        <v>1343</v>
      </c>
      <c r="H261" t="str">
        <f>IF(C262="","Pendente","Finalizado")</f>
        <v>Finalizado</v>
      </c>
    </row>
    <row r="262" spans="1:8" x14ac:dyDescent="0.3">
      <c r="A262" s="25" t="s">
        <v>1372</v>
      </c>
      <c r="B262" s="41" t="s">
        <v>45</v>
      </c>
      <c r="C262" s="87">
        <v>2</v>
      </c>
      <c r="D262" s="41" t="s">
        <v>48</v>
      </c>
      <c r="E262" s="87">
        <v>0</v>
      </c>
      <c r="F262" t="s">
        <v>1373</v>
      </c>
      <c r="G262">
        <f>IF(OR(C262="",E262=""),"",C262+E262)</f>
        <v>2</v>
      </c>
    </row>
    <row r="263" spans="1:8" x14ac:dyDescent="0.3">
      <c r="A263" s="25" t="s">
        <v>1374</v>
      </c>
      <c r="B263" t="s">
        <v>426</v>
      </c>
      <c r="C263" s="111" t="str">
        <f>IF(G262="","",IF(G262&gt;=2,"Green","Red"))</f>
        <v>Green</v>
      </c>
      <c r="D263" t="s">
        <v>1342</v>
      </c>
      <c r="E263" s="175">
        <f>IF(OR(C263="",D261=""),"",IF(C263="Green",F261*(D261-1),IF(C263="Red",-F261,"")))</f>
        <v>0.11250000000000004</v>
      </c>
      <c r="F263" s="315"/>
      <c r="G263" s="315"/>
      <c r="H263" s="315"/>
    </row>
    <row r="266" spans="1:8" ht="17.399999999999999" x14ac:dyDescent="0.35">
      <c r="A266" s="328">
        <v>46243</v>
      </c>
      <c r="B266" s="328"/>
      <c r="C266" s="329" t="s">
        <v>3327</v>
      </c>
      <c r="D266" s="329"/>
      <c r="E266" s="329"/>
      <c r="F266" s="329"/>
      <c r="G266" s="329"/>
      <c r="H266" s="329"/>
    </row>
    <row r="267" spans="1:8" x14ac:dyDescent="0.3">
      <c r="A267" s="330" t="s">
        <v>1333</v>
      </c>
      <c r="B267" s="330"/>
      <c r="C267" s="330"/>
      <c r="D267" s="330"/>
      <c r="E267" s="315" t="s">
        <v>1370</v>
      </c>
      <c r="F267" s="315"/>
      <c r="G267" s="330" t="s">
        <v>3328</v>
      </c>
      <c r="H267" s="330"/>
    </row>
    <row r="268" spans="1:8" x14ac:dyDescent="0.3">
      <c r="A268" s="25" t="s">
        <v>1357</v>
      </c>
      <c r="B268" s="305" t="s">
        <v>3329</v>
      </c>
      <c r="C268" s="305"/>
      <c r="D268" s="305"/>
      <c r="E268" s="81" t="s">
        <v>1358</v>
      </c>
      <c r="F268" s="81" t="s">
        <v>1348</v>
      </c>
      <c r="G268" s="81" t="s">
        <v>801</v>
      </c>
      <c r="H268" s="81" t="s">
        <v>1349</v>
      </c>
    </row>
    <row r="269" spans="1:8" x14ac:dyDescent="0.3">
      <c r="A269" s="25" t="s">
        <v>1359</v>
      </c>
      <c r="B269" s="305" t="s">
        <v>3330</v>
      </c>
      <c r="C269" s="305"/>
      <c r="D269" s="305"/>
      <c r="E269" s="305"/>
      <c r="F269" s="305"/>
      <c r="G269" s="305"/>
      <c r="H269" s="305"/>
    </row>
    <row r="270" spans="1:8" x14ac:dyDescent="0.3">
      <c r="A270" s="25" t="s">
        <v>1360</v>
      </c>
      <c r="B270" s="305" t="s">
        <v>3311</v>
      </c>
      <c r="C270" s="305"/>
      <c r="D270" s="81" t="s">
        <v>800</v>
      </c>
      <c r="E270" s="305" t="s">
        <v>3331</v>
      </c>
      <c r="F270" s="305"/>
      <c r="G270" s="305"/>
      <c r="H270" s="305"/>
    </row>
    <row r="271" spans="1:8" x14ac:dyDescent="0.3">
      <c r="A271" s="25" t="s">
        <v>1361</v>
      </c>
      <c r="B271" t="s">
        <v>1822</v>
      </c>
      <c r="C271" t="s">
        <v>53</v>
      </c>
      <c r="D271" s="80">
        <v>1.1100000000000001</v>
      </c>
      <c r="E271" t="s">
        <v>54</v>
      </c>
      <c r="F271" s="174">
        <v>0.5</v>
      </c>
      <c r="G271" t="s">
        <v>1343</v>
      </c>
      <c r="H271" t="str">
        <f>IF(C272="","Pendente","Finalizado")</f>
        <v>Finalizado</v>
      </c>
    </row>
    <row r="272" spans="1:8" x14ac:dyDescent="0.3">
      <c r="A272" s="25" t="s">
        <v>1372</v>
      </c>
      <c r="B272" s="41" t="s">
        <v>45</v>
      </c>
      <c r="C272" s="87">
        <v>0</v>
      </c>
      <c r="D272" s="41" t="s">
        <v>48</v>
      </c>
      <c r="E272" s="87">
        <v>2</v>
      </c>
      <c r="F272" t="s">
        <v>1373</v>
      </c>
      <c r="G272">
        <f>IF(OR(C272="",E272=""),"",C272+E272)</f>
        <v>2</v>
      </c>
    </row>
    <row r="273" spans="1:8" x14ac:dyDescent="0.3">
      <c r="A273" s="25" t="s">
        <v>1374</v>
      </c>
      <c r="B273" t="s">
        <v>426</v>
      </c>
      <c r="C273" s="111" t="str">
        <f>IF(G272="","",IF(G272&gt;=1,"Green","Red"))</f>
        <v>Green</v>
      </c>
      <c r="D273" t="s">
        <v>1342</v>
      </c>
      <c r="E273" s="175">
        <f>IF(OR(C273="",D271=""),"",IF(C273="Green",F271*(D271-1),IF(C273="Red",-F271,"")))</f>
        <v>5.5000000000000049E-2</v>
      </c>
      <c r="F273" s="315"/>
      <c r="G273" s="315"/>
      <c r="H273" s="315"/>
    </row>
    <row r="276" spans="1:8" ht="17.399999999999999" x14ac:dyDescent="0.35">
      <c r="A276" s="328">
        <v>46243</v>
      </c>
      <c r="B276" s="328"/>
      <c r="C276" s="329" t="s">
        <v>3332</v>
      </c>
      <c r="D276" s="329"/>
      <c r="E276" s="329"/>
      <c r="F276" s="329"/>
      <c r="G276" s="329"/>
      <c r="H276" s="329"/>
    </row>
    <row r="277" spans="1:8" x14ac:dyDescent="0.3">
      <c r="A277" s="330" t="s">
        <v>1333</v>
      </c>
      <c r="B277" s="330"/>
      <c r="C277" s="330"/>
      <c r="D277" s="330"/>
      <c r="E277" s="315" t="s">
        <v>1370</v>
      </c>
      <c r="F277" s="315"/>
      <c r="G277" s="330" t="s">
        <v>3328</v>
      </c>
      <c r="H277" s="330"/>
    </row>
    <row r="278" spans="1:8" x14ac:dyDescent="0.3">
      <c r="A278" s="25" t="s">
        <v>1357</v>
      </c>
      <c r="B278" s="305" t="s">
        <v>3333</v>
      </c>
      <c r="C278" s="305"/>
      <c r="D278" s="305"/>
      <c r="E278" s="81" t="s">
        <v>1358</v>
      </c>
      <c r="F278" s="81" t="s">
        <v>1822</v>
      </c>
      <c r="G278" s="81" t="s">
        <v>801</v>
      </c>
      <c r="H278" s="81" t="s">
        <v>1823</v>
      </c>
    </row>
    <row r="279" spans="1:8" x14ac:dyDescent="0.3">
      <c r="A279" s="25" t="s">
        <v>1359</v>
      </c>
      <c r="B279" s="305" t="s">
        <v>1888</v>
      </c>
      <c r="C279" s="305"/>
      <c r="D279" s="305"/>
      <c r="E279" s="305"/>
      <c r="F279" s="305"/>
      <c r="G279" s="305"/>
      <c r="H279" s="305"/>
    </row>
    <row r="280" spans="1:8" x14ac:dyDescent="0.3">
      <c r="A280" s="25" t="s">
        <v>1360</v>
      </c>
      <c r="B280" s="305" t="s">
        <v>1889</v>
      </c>
      <c r="C280" s="305"/>
      <c r="D280" s="81" t="s">
        <v>800</v>
      </c>
      <c r="E280" s="305" t="s">
        <v>3334</v>
      </c>
      <c r="F280" s="305"/>
      <c r="G280" s="305"/>
      <c r="H280" s="305"/>
    </row>
    <row r="281" spans="1:8" x14ac:dyDescent="0.3">
      <c r="A281" s="25" t="s">
        <v>1361</v>
      </c>
      <c r="B281" t="s">
        <v>1827</v>
      </c>
      <c r="C281" t="s">
        <v>53</v>
      </c>
      <c r="D281" s="80">
        <v>1.105</v>
      </c>
      <c r="E281" t="s">
        <v>54</v>
      </c>
      <c r="F281" s="174">
        <v>0.5</v>
      </c>
      <c r="G281" t="s">
        <v>1343</v>
      </c>
      <c r="H281" t="str">
        <f>IF(C282="","Pendente","Finalizado")</f>
        <v>Finalizado</v>
      </c>
    </row>
    <row r="282" spans="1:8" x14ac:dyDescent="0.3">
      <c r="A282" s="25" t="s">
        <v>1372</v>
      </c>
      <c r="B282" s="41" t="s">
        <v>45</v>
      </c>
      <c r="C282" s="87">
        <v>0</v>
      </c>
      <c r="D282" s="41" t="s">
        <v>48</v>
      </c>
      <c r="E282" s="87">
        <v>2</v>
      </c>
      <c r="F282" t="s">
        <v>1373</v>
      </c>
      <c r="G282">
        <f>IF(OR(C282="",E282=""),"",C282+E282)</f>
        <v>2</v>
      </c>
    </row>
    <row r="283" spans="1:8" x14ac:dyDescent="0.3">
      <c r="A283" s="25" t="s">
        <v>1374</v>
      </c>
      <c r="B283" t="s">
        <v>426</v>
      </c>
      <c r="C283" s="111" t="str">
        <f>IF(G282="","",IF(G282&gt;=2,"Green",IF(G282=1,"Devolvida","Red")))</f>
        <v>Green</v>
      </c>
      <c r="D283" t="s">
        <v>1342</v>
      </c>
      <c r="E283" s="175">
        <f>IF(OR(C283="",D281=""),"",IF(C283="Green",F281*(D281-1),IF(C283="Devolvida",0,IF(C283="Red",-F281,""))))</f>
        <v>5.2499999999999991E-2</v>
      </c>
      <c r="F283" s="315"/>
      <c r="G283" s="315"/>
      <c r="H283" s="315"/>
    </row>
    <row r="286" spans="1:8" ht="17.399999999999999" x14ac:dyDescent="0.35">
      <c r="A286" s="328">
        <v>46243</v>
      </c>
      <c r="B286" s="328"/>
      <c r="C286" s="329" t="s">
        <v>3337</v>
      </c>
      <c r="D286" s="329"/>
      <c r="E286" s="329"/>
      <c r="F286" s="329"/>
      <c r="G286" s="329"/>
      <c r="H286" s="329"/>
    </row>
    <row r="287" spans="1:8" x14ac:dyDescent="0.3">
      <c r="A287" s="330" t="s">
        <v>1333</v>
      </c>
      <c r="B287" s="330"/>
      <c r="C287" s="330"/>
      <c r="D287" s="330"/>
      <c r="E287" s="315" t="s">
        <v>1370</v>
      </c>
      <c r="F287" s="315"/>
      <c r="G287" s="330" t="s">
        <v>3328</v>
      </c>
      <c r="H287" s="330"/>
    </row>
    <row r="288" spans="1:8" x14ac:dyDescent="0.3">
      <c r="A288" s="25" t="s">
        <v>1357</v>
      </c>
      <c r="B288" s="305" t="s">
        <v>3338</v>
      </c>
      <c r="C288" s="305"/>
      <c r="D288" s="305"/>
      <c r="E288" s="81" t="s">
        <v>1358</v>
      </c>
      <c r="F288" s="81" t="s">
        <v>1348</v>
      </c>
      <c r="G288" s="81" t="s">
        <v>801</v>
      </c>
      <c r="H288" s="81" t="s">
        <v>1349</v>
      </c>
    </row>
    <row r="289" spans="1:8" x14ac:dyDescent="0.3">
      <c r="A289" s="25" t="s">
        <v>1359</v>
      </c>
      <c r="B289" s="305" t="s">
        <v>3339</v>
      </c>
      <c r="C289" s="305"/>
      <c r="D289" s="305"/>
      <c r="E289" s="305"/>
      <c r="F289" s="305"/>
      <c r="G289" s="305"/>
      <c r="H289" s="305"/>
    </row>
    <row r="290" spans="1:8" x14ac:dyDescent="0.3">
      <c r="A290" s="25" t="s">
        <v>1360</v>
      </c>
      <c r="B290" s="305" t="s">
        <v>1624</v>
      </c>
      <c r="C290" s="305"/>
      <c r="D290" s="81" t="s">
        <v>800</v>
      </c>
      <c r="E290" s="305" t="s">
        <v>3340</v>
      </c>
      <c r="F290" s="305"/>
      <c r="G290" s="305"/>
      <c r="H290" s="305"/>
    </row>
    <row r="291" spans="1:8" x14ac:dyDescent="0.3">
      <c r="A291" s="25" t="s">
        <v>1361</v>
      </c>
      <c r="B291" t="s">
        <v>1348</v>
      </c>
      <c r="C291" t="s">
        <v>53</v>
      </c>
      <c r="D291" s="80">
        <v>1.18</v>
      </c>
      <c r="E291" t="s">
        <v>54</v>
      </c>
      <c r="F291" s="174">
        <v>0.5</v>
      </c>
      <c r="G291" t="s">
        <v>1343</v>
      </c>
      <c r="H291" t="str">
        <f>IF(C292="","Pendente","Finalizado")</f>
        <v>Finalizado</v>
      </c>
    </row>
    <row r="292" spans="1:8" x14ac:dyDescent="0.3">
      <c r="A292" s="25" t="s">
        <v>1372</v>
      </c>
      <c r="B292" s="41" t="s">
        <v>45</v>
      </c>
      <c r="C292" s="87">
        <v>2</v>
      </c>
      <c r="D292" s="41" t="s">
        <v>48</v>
      </c>
      <c r="E292" s="87">
        <v>0</v>
      </c>
      <c r="F292" t="s">
        <v>1373</v>
      </c>
      <c r="G292">
        <f>IF(OR(C292="",E292=""),"",C292+E292)</f>
        <v>2</v>
      </c>
    </row>
    <row r="293" spans="1:8" x14ac:dyDescent="0.3">
      <c r="A293" s="25" t="s">
        <v>1374</v>
      </c>
      <c r="B293" t="s">
        <v>426</v>
      </c>
      <c r="C293" s="111" t="str">
        <f>IF(G292="","",IF(G292&gt;=2,"Green","Red"))</f>
        <v>Green</v>
      </c>
      <c r="D293" t="s">
        <v>1342</v>
      </c>
      <c r="E293" s="175">
        <f>IF(OR(C293="",D291=""),"",IF(C293="Green",F291*(D291-1),IF(C293="Red",-F291,"")))</f>
        <v>8.9999999999999969E-2</v>
      </c>
      <c r="F293" s="315"/>
      <c r="G293" s="315"/>
      <c r="H293" s="315"/>
    </row>
    <row r="296" spans="1:8" ht="17.399999999999999" x14ac:dyDescent="0.35">
      <c r="A296" s="328">
        <v>46243</v>
      </c>
      <c r="B296" s="328"/>
      <c r="C296" s="329" t="s">
        <v>3341</v>
      </c>
      <c r="D296" s="329"/>
      <c r="E296" s="329"/>
      <c r="F296" s="329"/>
      <c r="G296" s="329"/>
      <c r="H296" s="329"/>
    </row>
    <row r="297" spans="1:8" x14ac:dyDescent="0.3">
      <c r="A297" s="330" t="s">
        <v>1332</v>
      </c>
      <c r="B297" s="330"/>
      <c r="C297" s="330"/>
      <c r="D297" s="330"/>
      <c r="E297" s="315" t="s">
        <v>1370</v>
      </c>
      <c r="F297" s="315"/>
      <c r="G297" s="330" t="s">
        <v>3049</v>
      </c>
      <c r="H297" s="330"/>
    </row>
    <row r="298" spans="1:8" x14ac:dyDescent="0.3">
      <c r="A298" s="25" t="s">
        <v>1357</v>
      </c>
      <c r="B298" s="305" t="s">
        <v>3342</v>
      </c>
      <c r="C298" s="305"/>
      <c r="D298" s="305"/>
      <c r="E298" s="81" t="s">
        <v>1358</v>
      </c>
      <c r="F298" s="81" t="s">
        <v>1348</v>
      </c>
      <c r="G298" s="81" t="s">
        <v>801</v>
      </c>
      <c r="H298" s="81" t="s">
        <v>1349</v>
      </c>
    </row>
    <row r="299" spans="1:8" x14ac:dyDescent="0.3">
      <c r="A299" s="25" t="s">
        <v>1359</v>
      </c>
      <c r="B299" s="305" t="s">
        <v>3343</v>
      </c>
      <c r="C299" s="305"/>
      <c r="D299" s="305"/>
      <c r="E299" s="305"/>
      <c r="F299" s="305"/>
      <c r="G299" s="305"/>
      <c r="H299" s="305"/>
    </row>
    <row r="300" spans="1:8" x14ac:dyDescent="0.3">
      <c r="A300" s="25" t="s">
        <v>1360</v>
      </c>
      <c r="B300" s="305" t="s">
        <v>3344</v>
      </c>
      <c r="C300" s="305"/>
      <c r="D300" s="81" t="s">
        <v>800</v>
      </c>
      <c r="E300" s="305" t="s">
        <v>3345</v>
      </c>
      <c r="F300" s="305"/>
      <c r="G300" s="305"/>
      <c r="H300" s="305"/>
    </row>
    <row r="301" spans="1:8" x14ac:dyDescent="0.3">
      <c r="A301" s="25" t="s">
        <v>1361</v>
      </c>
      <c r="B301" t="s">
        <v>1346</v>
      </c>
      <c r="C301" t="s">
        <v>53</v>
      </c>
      <c r="D301" s="80">
        <v>1.24</v>
      </c>
      <c r="E301" t="s">
        <v>54</v>
      </c>
      <c r="F301" s="174">
        <v>0.5</v>
      </c>
      <c r="G301" t="s">
        <v>1343</v>
      </c>
      <c r="H301" t="str">
        <f>IF(C302="","Pendente","Finalizado")</f>
        <v>Finalizado</v>
      </c>
    </row>
    <row r="302" spans="1:8" x14ac:dyDescent="0.3">
      <c r="A302" s="25" t="s">
        <v>1372</v>
      </c>
      <c r="B302" s="41" t="s">
        <v>45</v>
      </c>
      <c r="C302" s="87">
        <v>5</v>
      </c>
      <c r="D302" s="41" t="s">
        <v>48</v>
      </c>
      <c r="E302" s="87">
        <v>0</v>
      </c>
      <c r="F302" t="s">
        <v>1373</v>
      </c>
      <c r="G302">
        <f>IF(OR(C302="",E302=""),"",C302+E302)</f>
        <v>5</v>
      </c>
    </row>
    <row r="303" spans="1:8" x14ac:dyDescent="0.3">
      <c r="A303" s="25" t="s">
        <v>1374</v>
      </c>
      <c r="B303" t="s">
        <v>426</v>
      </c>
      <c r="C303" s="111" t="str">
        <f>IF(G302="","",IF(G302&gt;2,"Green",IF(G302=2,"Devolvida","Red")))</f>
        <v>Green</v>
      </c>
      <c r="D303" t="s">
        <v>1342</v>
      </c>
      <c r="E303" s="175">
        <f>IF(OR(C303="",D301=""),"",IF(C303="Green",F301*(D301-1),IF(C303="Devolvida",0,IF(C303="Red",-F301,""))))</f>
        <v>0.12</v>
      </c>
      <c r="F303" s="315"/>
      <c r="G303" s="315"/>
      <c r="H303" s="315"/>
    </row>
    <row r="306" spans="1:8" ht="17.399999999999999" x14ac:dyDescent="0.35">
      <c r="A306" s="328">
        <v>46243</v>
      </c>
      <c r="B306" s="328"/>
      <c r="C306" s="329" t="s">
        <v>4266</v>
      </c>
      <c r="D306" s="329"/>
      <c r="E306" s="329"/>
      <c r="F306" s="329"/>
      <c r="G306" s="329"/>
      <c r="H306" s="329"/>
    </row>
    <row r="307" spans="1:8" x14ac:dyDescent="0.3">
      <c r="A307" s="330" t="s">
        <v>1332</v>
      </c>
      <c r="B307" s="330"/>
      <c r="C307" s="330"/>
      <c r="D307" s="330"/>
      <c r="E307" s="315" t="s">
        <v>1370</v>
      </c>
      <c r="F307" s="315"/>
      <c r="G307" s="330" t="s">
        <v>3292</v>
      </c>
      <c r="H307" s="330"/>
    </row>
    <row r="308" spans="1:8" x14ac:dyDescent="0.3">
      <c r="A308" s="25" t="s">
        <v>1357</v>
      </c>
      <c r="B308" s="305" t="s">
        <v>4267</v>
      </c>
      <c r="C308" s="305"/>
      <c r="D308" s="305"/>
      <c r="E308" s="81" t="s">
        <v>1358</v>
      </c>
      <c r="F308" s="81" t="s">
        <v>1348</v>
      </c>
      <c r="G308" s="305" t="s">
        <v>801</v>
      </c>
      <c r="H308" s="305"/>
    </row>
    <row r="309" spans="1:8" x14ac:dyDescent="0.3">
      <c r="A309" s="25" t="s">
        <v>1359</v>
      </c>
      <c r="B309" s="305" t="s">
        <v>4268</v>
      </c>
      <c r="C309" s="305"/>
      <c r="D309" s="305"/>
      <c r="E309" s="305"/>
      <c r="F309" s="305"/>
      <c r="G309" s="305"/>
      <c r="H309" s="305"/>
    </row>
    <row r="310" spans="1:8" x14ac:dyDescent="0.3">
      <c r="A310" s="25" t="s">
        <v>1360</v>
      </c>
      <c r="B310" s="305" t="s">
        <v>4269</v>
      </c>
      <c r="C310" s="305"/>
      <c r="D310" s="81" t="s">
        <v>800</v>
      </c>
      <c r="E310" s="305" t="s">
        <v>4270</v>
      </c>
      <c r="F310" s="305"/>
      <c r="G310" s="305"/>
      <c r="H310" s="305"/>
    </row>
    <row r="311" spans="1:8" x14ac:dyDescent="0.3">
      <c r="A311" s="25" t="s">
        <v>1361</v>
      </c>
      <c r="B311" t="s">
        <v>1348</v>
      </c>
      <c r="C311" t="s">
        <v>53</v>
      </c>
      <c r="D311" s="80">
        <v>1.17</v>
      </c>
      <c r="E311" t="s">
        <v>54</v>
      </c>
      <c r="F311" s="83">
        <v>0.5</v>
      </c>
      <c r="G311" t="s">
        <v>1343</v>
      </c>
      <c r="H311" t="s">
        <v>4265</v>
      </c>
    </row>
    <row r="312" spans="1:8" x14ac:dyDescent="0.3">
      <c r="A312" s="25" t="s">
        <v>1372</v>
      </c>
      <c r="B312" s="41" t="s">
        <v>45</v>
      </c>
      <c r="C312" s="87">
        <v>2</v>
      </c>
      <c r="D312" s="41" t="s">
        <v>48</v>
      </c>
      <c r="E312" s="87">
        <v>3</v>
      </c>
      <c r="F312" t="s">
        <v>1373</v>
      </c>
      <c r="G312">
        <f>IF(OR(C312="",E312=""),"",C312+E312)</f>
        <v>5</v>
      </c>
    </row>
    <row r="313" spans="1:8" x14ac:dyDescent="0.3">
      <c r="A313" s="25" t="s">
        <v>1374</v>
      </c>
      <c r="B313" t="s">
        <v>426</v>
      </c>
      <c r="C313" s="111" t="s">
        <v>61</v>
      </c>
      <c r="D313" t="s">
        <v>1342</v>
      </c>
      <c r="E313" s="83">
        <v>8.5000000000000006E-2</v>
      </c>
      <c r="F313" s="305" t="s">
        <v>4271</v>
      </c>
      <c r="G313" s="305"/>
      <c r="H313" s="305"/>
    </row>
    <row r="316" spans="1:8" ht="17.399999999999999" x14ac:dyDescent="0.35">
      <c r="A316" s="328">
        <v>46244</v>
      </c>
      <c r="B316" s="328"/>
      <c r="C316" s="329" t="s">
        <v>4541</v>
      </c>
      <c r="D316" s="329"/>
      <c r="E316" s="329"/>
      <c r="F316" s="329"/>
      <c r="G316" s="329"/>
      <c r="H316" s="329"/>
    </row>
    <row r="317" spans="1:8" x14ac:dyDescent="0.3">
      <c r="A317" s="330" t="s">
        <v>4290</v>
      </c>
      <c r="B317" s="330"/>
      <c r="C317" s="330"/>
      <c r="D317" s="330"/>
      <c r="E317" s="315" t="s">
        <v>1370</v>
      </c>
      <c r="F317" s="315"/>
      <c r="G317" s="330" t="s">
        <v>4542</v>
      </c>
      <c r="H317" s="330"/>
    </row>
    <row r="318" spans="1:8" x14ac:dyDescent="0.3">
      <c r="A318" s="25" t="s">
        <v>1357</v>
      </c>
      <c r="B318" s="305" t="s">
        <v>4543</v>
      </c>
      <c r="C318" s="305"/>
      <c r="D318" s="305"/>
      <c r="E318" s="81" t="s">
        <v>1358</v>
      </c>
      <c r="F318" s="81" t="s">
        <v>1527</v>
      </c>
      <c r="G318" s="81" t="s">
        <v>801</v>
      </c>
      <c r="H318" s="81" t="s">
        <v>1528</v>
      </c>
    </row>
    <row r="319" spans="1:8" x14ac:dyDescent="0.3">
      <c r="A319" s="25" t="s">
        <v>1359</v>
      </c>
      <c r="B319" s="305" t="s">
        <v>4546</v>
      </c>
      <c r="C319" s="305"/>
      <c r="D319" s="305"/>
      <c r="E319" s="305"/>
      <c r="F319" s="305"/>
      <c r="G319" s="305"/>
      <c r="H319" s="305"/>
    </row>
    <row r="320" spans="1:8" x14ac:dyDescent="0.3">
      <c r="A320" s="25" t="s">
        <v>1360</v>
      </c>
      <c r="B320" s="305" t="s">
        <v>4547</v>
      </c>
      <c r="C320" s="305"/>
      <c r="D320" s="81" t="s">
        <v>800</v>
      </c>
      <c r="E320" s="305" t="s">
        <v>4544</v>
      </c>
      <c r="F320" s="305"/>
      <c r="G320" s="305"/>
      <c r="H320" s="305"/>
    </row>
    <row r="321" spans="1:8" x14ac:dyDescent="0.3">
      <c r="A321" s="25" t="s">
        <v>1361</v>
      </c>
      <c r="B321" t="s">
        <v>1344</v>
      </c>
      <c r="C321" t="s">
        <v>53</v>
      </c>
      <c r="D321" s="80">
        <v>1.1499999999999999</v>
      </c>
      <c r="E321" t="s">
        <v>54</v>
      </c>
      <c r="F321" s="83">
        <v>0.5</v>
      </c>
      <c r="G321" t="s">
        <v>1343</v>
      </c>
      <c r="H321" t="str">
        <f>IF(C322="","Pendente","Finalizado")</f>
        <v>Finalizado</v>
      </c>
    </row>
    <row r="322" spans="1:8" x14ac:dyDescent="0.3">
      <c r="A322" s="25" t="s">
        <v>1372</v>
      </c>
      <c r="B322" s="41" t="s">
        <v>45</v>
      </c>
      <c r="C322" s="177">
        <v>2</v>
      </c>
      <c r="D322" s="41" t="s">
        <v>48</v>
      </c>
      <c r="E322" s="177">
        <v>5</v>
      </c>
      <c r="F322" t="s">
        <v>1373</v>
      </c>
      <c r="G322">
        <f>IF(OR(C322="",E322=""),"",C322+E322)</f>
        <v>7</v>
      </c>
    </row>
    <row r="323" spans="1:8" x14ac:dyDescent="0.3">
      <c r="A323" s="25" t="s">
        <v>1374</v>
      </c>
      <c r="B323" t="s">
        <v>426</v>
      </c>
      <c r="C323" s="111" t="str">
        <f>IF(G322="","",IF(G322&gt;=3,"Green","Red"))</f>
        <v>Green</v>
      </c>
      <c r="D323" t="s">
        <v>1342</v>
      </c>
      <c r="E323" s="176">
        <f>IF(OR(C323="",D321=""),"",IF(C323="Green",F321*(D321-1),IF(C323="Red",-F321,"")))</f>
        <v>7.4999999999999956E-2</v>
      </c>
      <c r="F323" s="305" t="s">
        <v>4545</v>
      </c>
      <c r="G323" s="305"/>
      <c r="H323" s="305"/>
    </row>
    <row r="326" spans="1:8" ht="17.399999999999999" x14ac:dyDescent="0.35">
      <c r="A326" s="328">
        <v>46244</v>
      </c>
      <c r="B326" s="328"/>
      <c r="C326" s="329" t="s">
        <v>4548</v>
      </c>
      <c r="D326" s="329"/>
      <c r="E326" s="329"/>
      <c r="F326" s="329"/>
      <c r="G326" s="329"/>
      <c r="H326" s="329"/>
    </row>
    <row r="327" spans="1:8" x14ac:dyDescent="0.3">
      <c r="A327" s="330" t="s">
        <v>1334</v>
      </c>
      <c r="B327" s="330"/>
      <c r="C327" s="330"/>
      <c r="D327" s="330"/>
      <c r="E327" s="315" t="s">
        <v>1370</v>
      </c>
      <c r="F327" s="315"/>
      <c r="G327" s="330" t="s">
        <v>4549</v>
      </c>
      <c r="H327" s="330"/>
    </row>
    <row r="328" spans="1:8" x14ac:dyDescent="0.3">
      <c r="A328" s="25" t="s">
        <v>1357</v>
      </c>
      <c r="B328" s="305" t="s">
        <v>4550</v>
      </c>
      <c r="C328" s="305"/>
      <c r="D328" s="305"/>
      <c r="E328" s="81" t="s">
        <v>1358</v>
      </c>
      <c r="F328" s="81" t="s">
        <v>1348</v>
      </c>
      <c r="G328" s="81" t="s">
        <v>801</v>
      </c>
      <c r="H328" s="81" t="s">
        <v>1349</v>
      </c>
    </row>
    <row r="329" spans="1:8" x14ac:dyDescent="0.3">
      <c r="A329" s="25" t="s">
        <v>1359</v>
      </c>
      <c r="B329" s="305" t="s">
        <v>4551</v>
      </c>
      <c r="C329" s="305"/>
      <c r="D329" s="305"/>
      <c r="E329" s="305"/>
      <c r="F329" s="305"/>
      <c r="G329" s="305"/>
      <c r="H329" s="305"/>
    </row>
    <row r="330" spans="1:8" x14ac:dyDescent="0.3">
      <c r="A330" s="25" t="s">
        <v>1360</v>
      </c>
      <c r="B330" s="305" t="s">
        <v>4552</v>
      </c>
      <c r="C330" s="305"/>
      <c r="D330" s="81" t="s">
        <v>800</v>
      </c>
      <c r="E330" s="305" t="s">
        <v>4553</v>
      </c>
      <c r="F330" s="305"/>
      <c r="G330" s="305"/>
      <c r="H330" s="305"/>
    </row>
    <row r="331" spans="1:8" x14ac:dyDescent="0.3">
      <c r="A331" s="25" t="s">
        <v>1361</v>
      </c>
      <c r="B331" t="s">
        <v>1827</v>
      </c>
      <c r="C331" t="s">
        <v>53</v>
      </c>
      <c r="D331" s="80">
        <v>1.1200000000000001</v>
      </c>
      <c r="E331" t="s">
        <v>54</v>
      </c>
      <c r="F331" s="83">
        <v>0.5</v>
      </c>
      <c r="G331" t="s">
        <v>1343</v>
      </c>
      <c r="H331" t="str">
        <f>IF(C332="","Pendente","Finalizado")</f>
        <v>Finalizado</v>
      </c>
    </row>
    <row r="332" spans="1:8" x14ac:dyDescent="0.3">
      <c r="A332" s="25" t="s">
        <v>1372</v>
      </c>
      <c r="B332" s="41" t="s">
        <v>45</v>
      </c>
      <c r="C332" s="177">
        <v>1</v>
      </c>
      <c r="D332" s="41" t="s">
        <v>48</v>
      </c>
      <c r="E332" s="177">
        <v>0</v>
      </c>
      <c r="F332" t="s">
        <v>1373</v>
      </c>
      <c r="G332">
        <f>IF(OR(C332="",E332=""),"",C332+E332)</f>
        <v>1</v>
      </c>
    </row>
    <row r="333" spans="1:8" x14ac:dyDescent="0.3">
      <c r="A333" s="25" t="s">
        <v>1374</v>
      </c>
      <c r="B333" t="s">
        <v>426</v>
      </c>
      <c r="C333" s="111" t="s">
        <v>62</v>
      </c>
      <c r="D333" t="s">
        <v>1342</v>
      </c>
      <c r="E333" s="174">
        <v>0.06</v>
      </c>
      <c r="F333" s="305" t="s">
        <v>7551</v>
      </c>
      <c r="G333" s="305"/>
      <c r="H333" s="305"/>
    </row>
    <row r="336" spans="1:8" ht="17.399999999999999" x14ac:dyDescent="0.35">
      <c r="A336" s="328">
        <v>46244</v>
      </c>
      <c r="B336" s="328"/>
      <c r="C336" s="329" t="s">
        <v>4658</v>
      </c>
      <c r="D336" s="329"/>
      <c r="E336" s="329"/>
      <c r="F336" s="329"/>
      <c r="G336" s="329"/>
      <c r="H336" s="329"/>
    </row>
    <row r="337" spans="1:8" x14ac:dyDescent="0.3">
      <c r="A337" s="330" t="s">
        <v>4657</v>
      </c>
      <c r="B337" s="330"/>
      <c r="C337" s="330"/>
      <c r="D337" s="330"/>
      <c r="E337" s="315" t="s">
        <v>1370</v>
      </c>
      <c r="F337" s="315"/>
      <c r="G337" s="330" t="s">
        <v>4659</v>
      </c>
      <c r="H337" s="330"/>
    </row>
    <row r="338" spans="1:8" x14ac:dyDescent="0.3">
      <c r="A338" s="25" t="s">
        <v>1357</v>
      </c>
      <c r="B338" s="305" t="s">
        <v>4660</v>
      </c>
      <c r="C338" s="305"/>
      <c r="D338" s="305"/>
      <c r="E338" s="81" t="s">
        <v>1358</v>
      </c>
      <c r="F338" s="81" t="s">
        <v>1838</v>
      </c>
      <c r="G338" s="81" t="s">
        <v>801</v>
      </c>
      <c r="H338" s="81" t="s">
        <v>3294</v>
      </c>
    </row>
    <row r="339" spans="1:8" x14ac:dyDescent="0.3">
      <c r="A339" s="25" t="s">
        <v>1359</v>
      </c>
      <c r="B339" s="305" t="s">
        <v>4661</v>
      </c>
      <c r="C339" s="305"/>
      <c r="D339" s="305"/>
      <c r="E339" s="305"/>
      <c r="F339" s="305"/>
      <c r="G339" s="305"/>
      <c r="H339" s="305"/>
    </row>
    <row r="340" spans="1:8" x14ac:dyDescent="0.3">
      <c r="A340" s="25" t="s">
        <v>1360</v>
      </c>
      <c r="B340" s="305" t="s">
        <v>4662</v>
      </c>
      <c r="C340" s="305"/>
      <c r="D340" s="81" t="s">
        <v>800</v>
      </c>
      <c r="E340" s="305" t="s">
        <v>4663</v>
      </c>
      <c r="F340" s="305"/>
      <c r="G340" s="305"/>
      <c r="H340" s="305"/>
    </row>
    <row r="341" spans="1:8" x14ac:dyDescent="0.3">
      <c r="A341" s="25" t="s">
        <v>1361</v>
      </c>
      <c r="B341" t="s">
        <v>1838</v>
      </c>
      <c r="C341" t="s">
        <v>53</v>
      </c>
      <c r="D341" s="80">
        <v>1.17</v>
      </c>
      <c r="E341" t="s">
        <v>54</v>
      </c>
      <c r="F341" s="83">
        <v>0.5</v>
      </c>
      <c r="G341" t="s">
        <v>1343</v>
      </c>
      <c r="H341" t="str">
        <f>IF(C342="","Pendente","Finalizado")</f>
        <v>Finalizado</v>
      </c>
    </row>
    <row r="342" spans="1:8" x14ac:dyDescent="0.3">
      <c r="A342" s="25" t="s">
        <v>1372</v>
      </c>
      <c r="B342" s="41" t="s">
        <v>45</v>
      </c>
      <c r="C342" s="177">
        <v>2</v>
      </c>
      <c r="D342" s="41" t="s">
        <v>48</v>
      </c>
      <c r="E342" s="177">
        <v>1</v>
      </c>
      <c r="F342" t="s">
        <v>1373</v>
      </c>
      <c r="G342">
        <f>IF(OR(C342="",E342=""),"",C342+E342)</f>
        <v>3</v>
      </c>
    </row>
    <row r="343" spans="1:8" x14ac:dyDescent="0.3">
      <c r="A343" s="25" t="s">
        <v>1374</v>
      </c>
      <c r="B343" t="s">
        <v>426</v>
      </c>
      <c r="C343" s="111" t="str">
        <f>IF(G342="","",IF(G342&gt;=2,"Green",IF(G342=1,"Meio Red","Red")))</f>
        <v>Green</v>
      </c>
      <c r="D343" t="s">
        <v>1342</v>
      </c>
      <c r="E343" s="176">
        <f>IF(OR(C343="",D341=""),"",IF(C343="Green",F341*(D341-1),IF(C343="Meio Red",-F341/2,IF(C343="Red",-F341,""))))</f>
        <v>8.4999999999999964E-2</v>
      </c>
      <c r="F343" s="305" t="s">
        <v>4554</v>
      </c>
      <c r="G343" s="305"/>
      <c r="H343" s="305"/>
    </row>
    <row r="346" spans="1:8" ht="17.55" customHeight="1" x14ac:dyDescent="0.35">
      <c r="A346" s="328" t="s">
        <v>8205</v>
      </c>
      <c r="B346" s="328"/>
      <c r="C346" s="329" t="s">
        <v>8206</v>
      </c>
      <c r="D346" s="329"/>
      <c r="E346" s="329"/>
      <c r="F346" s="329"/>
      <c r="G346" s="329"/>
      <c r="H346" s="329"/>
    </row>
    <row r="347" spans="1:8" ht="14.55" customHeight="1" x14ac:dyDescent="0.3">
      <c r="A347" s="330" t="s">
        <v>847</v>
      </c>
      <c r="B347" s="330"/>
      <c r="C347" s="330"/>
      <c r="D347" s="330"/>
      <c r="E347" s="315" t="s">
        <v>1370</v>
      </c>
      <c r="F347" s="315"/>
      <c r="G347" s="330" t="s">
        <v>8207</v>
      </c>
      <c r="H347" s="330"/>
    </row>
    <row r="348" spans="1:8" ht="14.55" customHeight="1" x14ac:dyDescent="0.3">
      <c r="A348" s="25" t="s">
        <v>1357</v>
      </c>
      <c r="B348" s="305" t="s">
        <v>8208</v>
      </c>
      <c r="C348" s="305"/>
      <c r="D348" s="305"/>
      <c r="E348" s="81" t="s">
        <v>1358</v>
      </c>
      <c r="F348" s="81" t="s">
        <v>1346</v>
      </c>
      <c r="G348" s="81" t="s">
        <v>801</v>
      </c>
      <c r="H348" s="81" t="s">
        <v>8209</v>
      </c>
    </row>
    <row r="349" spans="1:8" ht="14.55" customHeight="1" x14ac:dyDescent="0.3">
      <c r="A349" s="25" t="s">
        <v>1359</v>
      </c>
      <c r="B349" s="305" t="s">
        <v>8210</v>
      </c>
      <c r="C349" s="305"/>
      <c r="D349" s="305"/>
      <c r="E349" s="305"/>
      <c r="F349" s="305"/>
      <c r="G349" s="305"/>
      <c r="H349" s="305"/>
    </row>
    <row r="350" spans="1:8" ht="14.55" customHeight="1" x14ac:dyDescent="0.3">
      <c r="A350" s="25" t="s">
        <v>1360</v>
      </c>
      <c r="B350" s="305" t="s">
        <v>8229</v>
      </c>
      <c r="C350" s="305"/>
      <c r="D350" s="81" t="s">
        <v>800</v>
      </c>
      <c r="E350" s="305" t="s">
        <v>8211</v>
      </c>
      <c r="F350" s="305"/>
      <c r="G350" s="305"/>
      <c r="H350" s="305"/>
    </row>
    <row r="351" spans="1:8" ht="14.55" customHeight="1" x14ac:dyDescent="0.3">
      <c r="A351" s="25" t="s">
        <v>1361</v>
      </c>
      <c r="B351" t="s">
        <v>1346</v>
      </c>
      <c r="C351" t="s">
        <v>53</v>
      </c>
      <c r="D351" s="80"/>
      <c r="E351" t="s">
        <v>54</v>
      </c>
      <c r="F351" s="83">
        <v>0.5</v>
      </c>
      <c r="G351" t="s">
        <v>1343</v>
      </c>
      <c r="H351" t="s">
        <v>8212</v>
      </c>
    </row>
    <row r="352" spans="1:8" ht="14.55" customHeight="1" x14ac:dyDescent="0.3">
      <c r="A352" s="25" t="s">
        <v>1372</v>
      </c>
      <c r="B352" s="41" t="s">
        <v>45</v>
      </c>
      <c r="C352" s="177">
        <v>3</v>
      </c>
      <c r="D352" s="41" t="s">
        <v>48</v>
      </c>
      <c r="E352" s="177">
        <v>1</v>
      </c>
      <c r="F352" t="s">
        <v>1373</v>
      </c>
      <c r="G352">
        <f>IF(OR(C352="",E352=""),"",C352+E352)</f>
        <v>4</v>
      </c>
    </row>
    <row r="353" spans="1:8" ht="14.55" customHeight="1" x14ac:dyDescent="0.3">
      <c r="A353" s="25" t="s">
        <v>1374</v>
      </c>
      <c r="B353" t="s">
        <v>426</v>
      </c>
      <c r="C353" s="111" t="str">
        <f>IF(G352="","",IF(G352&gt;2,"Green",IF(G352=2,"Devolvida","Red")))</f>
        <v>Green</v>
      </c>
      <c r="D353" t="s">
        <v>1342</v>
      </c>
      <c r="E353" s="176" t="str">
        <f>IF(OR(G352="",D351=""),"",IF(G352&gt;2,F351*(D351-1),IF(G352=2,0,-F351)))</f>
        <v/>
      </c>
      <c r="F353" s="305" t="s">
        <v>8213</v>
      </c>
      <c r="G353" s="305"/>
      <c r="H353" s="305"/>
    </row>
    <row r="354" spans="1:8" ht="14.55" customHeight="1" x14ac:dyDescent="0.3"/>
    <row r="355" spans="1:8" ht="14.55" customHeight="1" x14ac:dyDescent="0.3"/>
    <row r="356" spans="1:8" ht="17.55" customHeight="1" x14ac:dyDescent="0.35">
      <c r="A356" s="328" t="s">
        <v>8205</v>
      </c>
      <c r="B356" s="328"/>
      <c r="C356" s="329" t="s">
        <v>8214</v>
      </c>
      <c r="D356" s="329"/>
      <c r="E356" s="329"/>
      <c r="F356" s="329"/>
      <c r="G356" s="329"/>
      <c r="H356" s="329"/>
    </row>
    <row r="357" spans="1:8" ht="14.55" customHeight="1" x14ac:dyDescent="0.3">
      <c r="A357" s="330" t="s">
        <v>851</v>
      </c>
      <c r="B357" s="330"/>
      <c r="C357" s="330"/>
      <c r="D357" s="330"/>
      <c r="E357" s="315" t="s">
        <v>1370</v>
      </c>
      <c r="F357" s="315"/>
      <c r="G357" s="330" t="s">
        <v>8207</v>
      </c>
      <c r="H357" s="330"/>
    </row>
    <row r="358" spans="1:8" ht="14.55" customHeight="1" x14ac:dyDescent="0.3">
      <c r="A358" s="25" t="s">
        <v>1357</v>
      </c>
      <c r="B358" s="305" t="s">
        <v>8215</v>
      </c>
      <c r="C358" s="305"/>
      <c r="D358" s="305"/>
      <c r="E358" s="81" t="s">
        <v>1358</v>
      </c>
      <c r="F358" s="81" t="s">
        <v>1346</v>
      </c>
      <c r="G358" s="81" t="s">
        <v>801</v>
      </c>
      <c r="H358" s="81" t="s">
        <v>8209</v>
      </c>
    </row>
    <row r="359" spans="1:8" ht="14.55" customHeight="1" x14ac:dyDescent="0.3">
      <c r="A359" s="25" t="s">
        <v>1359</v>
      </c>
      <c r="B359" s="305" t="s">
        <v>8210</v>
      </c>
      <c r="C359" s="305"/>
      <c r="D359" s="305"/>
      <c r="E359" s="305"/>
      <c r="F359" s="305"/>
      <c r="G359" s="305"/>
      <c r="H359" s="305"/>
    </row>
    <row r="360" spans="1:8" ht="14.55" customHeight="1" x14ac:dyDescent="0.3">
      <c r="A360" s="25" t="s">
        <v>1360</v>
      </c>
      <c r="B360" s="305" t="s">
        <v>8228</v>
      </c>
      <c r="C360" s="305"/>
      <c r="D360" s="81" t="s">
        <v>800</v>
      </c>
      <c r="E360" s="305" t="s">
        <v>8211</v>
      </c>
      <c r="F360" s="305"/>
      <c r="G360" s="305"/>
      <c r="H360" s="305"/>
    </row>
    <row r="361" spans="1:8" ht="14.55" customHeight="1" x14ac:dyDescent="0.3">
      <c r="A361" s="25" t="s">
        <v>1361</v>
      </c>
      <c r="B361" t="s">
        <v>1346</v>
      </c>
      <c r="C361" t="s">
        <v>53</v>
      </c>
      <c r="D361" s="80"/>
      <c r="E361" t="s">
        <v>54</v>
      </c>
      <c r="F361" s="83">
        <v>0.5</v>
      </c>
      <c r="G361" t="s">
        <v>1343</v>
      </c>
      <c r="H361" t="s">
        <v>8212</v>
      </c>
    </row>
    <row r="362" spans="1:8" ht="14.55" customHeight="1" x14ac:dyDescent="0.3">
      <c r="A362" s="25" t="s">
        <v>1372</v>
      </c>
      <c r="B362" s="41" t="s">
        <v>45</v>
      </c>
      <c r="C362" s="177">
        <v>2</v>
      </c>
      <c r="D362" s="41" t="s">
        <v>48</v>
      </c>
      <c r="E362" s="177">
        <v>2</v>
      </c>
      <c r="F362" t="s">
        <v>1373</v>
      </c>
      <c r="G362">
        <f>IF(OR(C362="",E362=""),"",C362+E362)</f>
        <v>4</v>
      </c>
    </row>
    <row r="363" spans="1:8" ht="14.55" customHeight="1" x14ac:dyDescent="0.3">
      <c r="A363" s="25" t="s">
        <v>1374</v>
      </c>
      <c r="B363" t="s">
        <v>426</v>
      </c>
      <c r="C363" s="111" t="str">
        <f>IF(G362="","",IF(G362&gt;2,"Green",IF(G362=2,"Devolvida","Red")))</f>
        <v>Green</v>
      </c>
      <c r="D363" t="s">
        <v>1342</v>
      </c>
      <c r="E363" s="176" t="str">
        <f>IF(OR(G362="",D361=""),"",IF(G362&gt;2,F361*(D361-1),IF(G362=2,0,-F361)))</f>
        <v/>
      </c>
      <c r="F363" s="305" t="s">
        <v>8213</v>
      </c>
      <c r="G363" s="305"/>
      <c r="H363" s="305"/>
    </row>
    <row r="364" spans="1:8" ht="14.55" customHeight="1" x14ac:dyDescent="0.3"/>
    <row r="365" spans="1:8" ht="14.55" customHeight="1" x14ac:dyDescent="0.3"/>
    <row r="366" spans="1:8" ht="17.55" customHeight="1" x14ac:dyDescent="0.35">
      <c r="A366" s="328" t="s">
        <v>8205</v>
      </c>
      <c r="B366" s="328"/>
      <c r="C366" s="329" t="s">
        <v>8216</v>
      </c>
      <c r="D366" s="329"/>
      <c r="E366" s="329"/>
      <c r="F366" s="329"/>
      <c r="G366" s="329"/>
      <c r="H366" s="329"/>
    </row>
    <row r="367" spans="1:8" ht="14.55" customHeight="1" x14ac:dyDescent="0.3">
      <c r="A367" s="330" t="s">
        <v>851</v>
      </c>
      <c r="B367" s="330"/>
      <c r="C367" s="330"/>
      <c r="D367" s="330"/>
      <c r="E367" s="315" t="s">
        <v>1370</v>
      </c>
      <c r="F367" s="315"/>
      <c r="G367" s="330" t="s">
        <v>8207</v>
      </c>
      <c r="H367" s="330"/>
    </row>
    <row r="368" spans="1:8" ht="14.55" customHeight="1" x14ac:dyDescent="0.3">
      <c r="A368" s="25" t="s">
        <v>1357</v>
      </c>
      <c r="B368" s="305" t="s">
        <v>8217</v>
      </c>
      <c r="C368" s="305"/>
      <c r="D368" s="305"/>
      <c r="E368" s="81" t="s">
        <v>1358</v>
      </c>
      <c r="F368" s="81" t="s">
        <v>1346</v>
      </c>
      <c r="G368" s="81" t="s">
        <v>801</v>
      </c>
      <c r="H368" s="81" t="s">
        <v>8218</v>
      </c>
    </row>
    <row r="369" spans="1:8" ht="14.55" customHeight="1" x14ac:dyDescent="0.3">
      <c r="A369" s="25" t="s">
        <v>1359</v>
      </c>
      <c r="B369" s="305" t="s">
        <v>8210</v>
      </c>
      <c r="C369" s="305"/>
      <c r="D369" s="305"/>
      <c r="E369" s="305"/>
      <c r="F369" s="305"/>
      <c r="G369" s="305"/>
      <c r="H369" s="305"/>
    </row>
    <row r="370" spans="1:8" ht="14.55" customHeight="1" x14ac:dyDescent="0.3">
      <c r="A370" s="25" t="s">
        <v>1360</v>
      </c>
      <c r="B370" s="305" t="s">
        <v>8230</v>
      </c>
      <c r="C370" s="305"/>
      <c r="D370" s="81" t="s">
        <v>800</v>
      </c>
      <c r="E370" s="305" t="s">
        <v>8211</v>
      </c>
      <c r="F370" s="305"/>
      <c r="G370" s="305"/>
      <c r="H370" s="305"/>
    </row>
    <row r="371" spans="1:8" ht="14.55" customHeight="1" x14ac:dyDescent="0.3">
      <c r="A371" s="25" t="s">
        <v>1361</v>
      </c>
      <c r="B371" t="s">
        <v>1346</v>
      </c>
      <c r="C371" t="s">
        <v>53</v>
      </c>
      <c r="D371" s="80"/>
      <c r="E371" t="s">
        <v>54</v>
      </c>
      <c r="F371" s="83">
        <v>0.5</v>
      </c>
      <c r="G371" t="s">
        <v>1343</v>
      </c>
      <c r="H371" t="s">
        <v>8212</v>
      </c>
    </row>
    <row r="372" spans="1:8" ht="14.55" customHeight="1" x14ac:dyDescent="0.3">
      <c r="A372" s="25" t="s">
        <v>1372</v>
      </c>
      <c r="B372" s="41" t="s">
        <v>45</v>
      </c>
      <c r="C372" s="177">
        <v>1</v>
      </c>
      <c r="D372" s="41" t="s">
        <v>48</v>
      </c>
      <c r="E372" s="177">
        <v>2</v>
      </c>
      <c r="F372" t="s">
        <v>1373</v>
      </c>
      <c r="G372">
        <f>IF(OR(C372="",E372=""),"",C372+E372)</f>
        <v>3</v>
      </c>
    </row>
    <row r="373" spans="1:8" ht="14.55" customHeight="1" x14ac:dyDescent="0.3">
      <c r="A373" s="25" t="s">
        <v>1374</v>
      </c>
      <c r="B373" t="s">
        <v>426</v>
      </c>
      <c r="C373" s="111" t="str">
        <f>IF(G372="","",IF(G372&gt;2,"Green",IF(G372=2,"Devolvida","Red")))</f>
        <v>Green</v>
      </c>
      <c r="D373" t="s">
        <v>1342</v>
      </c>
      <c r="E373" s="176" t="str">
        <f>IF(OR(G372="",D371=""),"",IF(G372&gt;2,F371*(D371-1),IF(G372=2,0,-F371)))</f>
        <v/>
      </c>
      <c r="F373" s="305" t="s">
        <v>8213</v>
      </c>
      <c r="G373" s="305"/>
      <c r="H373" s="305"/>
    </row>
    <row r="374" spans="1:8" ht="14.55" customHeight="1" x14ac:dyDescent="0.3"/>
    <row r="375" spans="1:8" ht="14.55" customHeight="1" x14ac:dyDescent="0.3"/>
    <row r="376" spans="1:8" ht="17.55" customHeight="1" x14ac:dyDescent="0.35">
      <c r="A376" s="328" t="s">
        <v>8205</v>
      </c>
      <c r="B376" s="328"/>
      <c r="C376" s="329" t="s">
        <v>8219</v>
      </c>
      <c r="D376" s="329"/>
      <c r="E376" s="329"/>
      <c r="F376" s="329"/>
      <c r="G376" s="329"/>
      <c r="H376" s="329"/>
    </row>
    <row r="377" spans="1:8" ht="14.55" customHeight="1" x14ac:dyDescent="0.3">
      <c r="A377" s="330" t="s">
        <v>851</v>
      </c>
      <c r="B377" s="330"/>
      <c r="C377" s="330"/>
      <c r="D377" s="330"/>
      <c r="E377" s="315" t="s">
        <v>1370</v>
      </c>
      <c r="F377" s="315"/>
      <c r="G377" s="330" t="s">
        <v>8207</v>
      </c>
      <c r="H377" s="330"/>
    </row>
    <row r="378" spans="1:8" ht="14.55" customHeight="1" x14ac:dyDescent="0.3">
      <c r="A378" s="25" t="s">
        <v>1357</v>
      </c>
      <c r="B378" s="305" t="s">
        <v>8220</v>
      </c>
      <c r="C378" s="305"/>
      <c r="D378" s="305"/>
      <c r="E378" s="81" t="s">
        <v>1358</v>
      </c>
      <c r="F378" s="81" t="s">
        <v>1346</v>
      </c>
      <c r="G378" s="81" t="s">
        <v>801</v>
      </c>
      <c r="H378" s="81" t="s">
        <v>8218</v>
      </c>
    </row>
    <row r="379" spans="1:8" ht="14.55" customHeight="1" x14ac:dyDescent="0.3">
      <c r="A379" s="25" t="s">
        <v>1359</v>
      </c>
      <c r="B379" s="305" t="s">
        <v>8210</v>
      </c>
      <c r="C379" s="305"/>
      <c r="D379" s="305"/>
      <c r="E379" s="305"/>
      <c r="F379" s="305"/>
      <c r="G379" s="305"/>
      <c r="H379" s="305"/>
    </row>
    <row r="380" spans="1:8" ht="14.55" customHeight="1" x14ac:dyDescent="0.3">
      <c r="A380" s="25" t="s">
        <v>1360</v>
      </c>
      <c r="B380" s="305" t="s">
        <v>1471</v>
      </c>
      <c r="C380" s="305"/>
      <c r="D380" s="81" t="s">
        <v>800</v>
      </c>
      <c r="E380" s="305" t="s">
        <v>8211</v>
      </c>
      <c r="F380" s="305"/>
      <c r="G380" s="305"/>
      <c r="H380" s="305"/>
    </row>
    <row r="381" spans="1:8" ht="14.55" customHeight="1" x14ac:dyDescent="0.3">
      <c r="A381" s="25" t="s">
        <v>1361</v>
      </c>
      <c r="B381" t="s">
        <v>1346</v>
      </c>
      <c r="C381" t="s">
        <v>53</v>
      </c>
      <c r="D381" s="80"/>
      <c r="E381" t="s">
        <v>54</v>
      </c>
      <c r="F381" s="83">
        <v>0.5</v>
      </c>
      <c r="G381" t="s">
        <v>1343</v>
      </c>
      <c r="H381" t="s">
        <v>8212</v>
      </c>
    </row>
    <row r="382" spans="1:8" ht="14.55" customHeight="1" x14ac:dyDescent="0.3">
      <c r="A382" s="25" t="s">
        <v>1372</v>
      </c>
      <c r="B382" s="41" t="s">
        <v>45</v>
      </c>
      <c r="C382" s="177">
        <v>0</v>
      </c>
      <c r="D382" s="41" t="s">
        <v>48</v>
      </c>
      <c r="E382" s="177">
        <v>3</v>
      </c>
      <c r="F382" t="s">
        <v>1373</v>
      </c>
      <c r="G382">
        <f>IF(OR(C382="",E382=""),"",C382+E382)</f>
        <v>3</v>
      </c>
    </row>
    <row r="383" spans="1:8" ht="14.55" customHeight="1" x14ac:dyDescent="0.3">
      <c r="A383" s="25" t="s">
        <v>1374</v>
      </c>
      <c r="B383" t="s">
        <v>426</v>
      </c>
      <c r="C383" s="111" t="str">
        <f>IF(G382="","",IF(G382&gt;2,"Green",IF(G382=2,"Devolvida","Red")))</f>
        <v>Green</v>
      </c>
      <c r="D383" t="s">
        <v>1342</v>
      </c>
      <c r="E383" s="176" t="str">
        <f>IF(OR(G382="",D381=""),"",IF(G382&gt;2,F381*(D381-1),IF(G382=2,0,-F381)))</f>
        <v/>
      </c>
      <c r="F383" s="305" t="s">
        <v>8213</v>
      </c>
      <c r="G383" s="305"/>
      <c r="H383" s="305"/>
    </row>
    <row r="384" spans="1:8" ht="14.55" customHeight="1" x14ac:dyDescent="0.3"/>
    <row r="385" spans="1:8" ht="14.55" customHeight="1" x14ac:dyDescent="0.3"/>
    <row r="386" spans="1:8" ht="17.55" customHeight="1" x14ac:dyDescent="0.35">
      <c r="A386" s="328" t="s">
        <v>8205</v>
      </c>
      <c r="B386" s="328"/>
      <c r="C386" s="329" t="s">
        <v>8222</v>
      </c>
      <c r="D386" s="329"/>
      <c r="E386" s="329"/>
      <c r="F386" s="329"/>
      <c r="G386" s="329"/>
      <c r="H386" s="329"/>
    </row>
    <row r="387" spans="1:8" ht="14.55" customHeight="1" x14ac:dyDescent="0.3">
      <c r="A387" s="330" t="s">
        <v>851</v>
      </c>
      <c r="B387" s="330"/>
      <c r="C387" s="330"/>
      <c r="D387" s="330"/>
      <c r="E387" s="315" t="s">
        <v>1370</v>
      </c>
      <c r="F387" s="315"/>
      <c r="G387" s="330" t="s">
        <v>8207</v>
      </c>
      <c r="H387" s="330"/>
    </row>
    <row r="388" spans="1:8" ht="14.55" customHeight="1" x14ac:dyDescent="0.3">
      <c r="A388" s="25" t="s">
        <v>1357</v>
      </c>
      <c r="B388" s="305" t="s">
        <v>8223</v>
      </c>
      <c r="C388" s="305"/>
      <c r="D388" s="305"/>
      <c r="E388" s="81" t="s">
        <v>1358</v>
      </c>
      <c r="F388" s="81" t="s">
        <v>1348</v>
      </c>
      <c r="G388" s="81" t="s">
        <v>801</v>
      </c>
      <c r="H388" s="81" t="s">
        <v>8218</v>
      </c>
    </row>
    <row r="389" spans="1:8" ht="14.55" customHeight="1" x14ac:dyDescent="0.3">
      <c r="A389" s="25" t="s">
        <v>1359</v>
      </c>
      <c r="B389" s="305" t="s">
        <v>8224</v>
      </c>
      <c r="C389" s="305"/>
      <c r="D389" s="305"/>
      <c r="E389" s="305"/>
      <c r="F389" s="305"/>
      <c r="G389" s="305"/>
      <c r="H389" s="305"/>
    </row>
    <row r="390" spans="1:8" ht="14.55" customHeight="1" x14ac:dyDescent="0.3">
      <c r="A390" s="25" t="s">
        <v>1360</v>
      </c>
      <c r="B390" s="305" t="s">
        <v>8224</v>
      </c>
      <c r="C390" s="305"/>
      <c r="D390" s="81" t="s">
        <v>800</v>
      </c>
      <c r="E390" s="305" t="s">
        <v>8225</v>
      </c>
      <c r="F390" s="305"/>
      <c r="G390" s="305"/>
      <c r="H390" s="305"/>
    </row>
    <row r="391" spans="1:8" ht="14.55" customHeight="1" x14ac:dyDescent="0.3">
      <c r="A391" s="25" t="s">
        <v>1361</v>
      </c>
      <c r="B391" t="s">
        <v>1348</v>
      </c>
      <c r="C391" t="s">
        <v>53</v>
      </c>
      <c r="D391" s="80">
        <v>1.1200000000000001</v>
      </c>
      <c r="E391" t="s">
        <v>54</v>
      </c>
      <c r="F391" s="83">
        <v>0.5</v>
      </c>
      <c r="G391" t="s">
        <v>1343</v>
      </c>
      <c r="H391" t="s">
        <v>8226</v>
      </c>
    </row>
    <row r="392" spans="1:8" ht="14.55" customHeight="1" x14ac:dyDescent="0.3">
      <c r="A392" s="25" t="s">
        <v>1372</v>
      </c>
      <c r="B392" s="41" t="s">
        <v>45</v>
      </c>
      <c r="C392" s="177">
        <v>1</v>
      </c>
      <c r="D392" s="41" t="s">
        <v>48</v>
      </c>
      <c r="E392" s="177">
        <v>2</v>
      </c>
      <c r="F392" t="s">
        <v>1373</v>
      </c>
      <c r="G392">
        <f>IF(OR(C392="",E392=""),"",C392+E392)</f>
        <v>3</v>
      </c>
    </row>
    <row r="393" spans="1:8" ht="14.55" customHeight="1" x14ac:dyDescent="0.3">
      <c r="A393" s="25" t="s">
        <v>1374</v>
      </c>
      <c r="B393" t="s">
        <v>426</v>
      </c>
      <c r="C393" s="111" t="str">
        <f>IF(G392="","",IF(G392&gt;=2,"Green","Red"))</f>
        <v>Green</v>
      </c>
      <c r="D393" t="s">
        <v>1342</v>
      </c>
      <c r="E393" s="176">
        <f>IF(G392="","",IF(G392&gt;=2,F391*(D391-1),-F391))</f>
        <v>6.0000000000000053E-2</v>
      </c>
      <c r="F393" s="305" t="s">
        <v>8227</v>
      </c>
      <c r="G393" s="305"/>
      <c r="H393" s="305"/>
    </row>
    <row r="394" spans="1:8" ht="14.55" customHeight="1" x14ac:dyDescent="0.3"/>
    <row r="395" spans="1:8" ht="14.55" customHeight="1" x14ac:dyDescent="0.3"/>
    <row r="396" spans="1:8" ht="17.55" customHeight="1" x14ac:dyDescent="0.35">
      <c r="A396" s="328" t="s">
        <v>8205</v>
      </c>
      <c r="B396" s="328"/>
      <c r="C396" s="329" t="s">
        <v>8262</v>
      </c>
      <c r="D396" s="329"/>
      <c r="E396" s="329"/>
      <c r="F396" s="329"/>
      <c r="G396" s="329"/>
      <c r="H396" s="329"/>
    </row>
    <row r="397" spans="1:8" ht="14.55" customHeight="1" x14ac:dyDescent="0.3">
      <c r="A397" s="330" t="s">
        <v>851</v>
      </c>
      <c r="B397" s="330"/>
      <c r="C397" s="330"/>
      <c r="D397" s="330"/>
      <c r="E397" s="315" t="s">
        <v>1370</v>
      </c>
      <c r="F397" s="315"/>
      <c r="G397" s="330" t="s">
        <v>8207</v>
      </c>
      <c r="H397" s="330"/>
    </row>
    <row r="398" spans="1:8" ht="14.55" customHeight="1" x14ac:dyDescent="0.3">
      <c r="A398" s="25" t="s">
        <v>1357</v>
      </c>
      <c r="B398" s="305" t="s">
        <v>8263</v>
      </c>
      <c r="C398" s="305"/>
      <c r="D398" s="305"/>
      <c r="E398" s="81" t="s">
        <v>1358</v>
      </c>
      <c r="F398" s="81" t="s">
        <v>1346</v>
      </c>
      <c r="G398" s="81" t="s">
        <v>801</v>
      </c>
      <c r="H398" s="81" t="s">
        <v>8209</v>
      </c>
    </row>
    <row r="399" spans="1:8" ht="14.55" customHeight="1" x14ac:dyDescent="0.3">
      <c r="A399" s="25" t="s">
        <v>1359</v>
      </c>
      <c r="B399" s="305" t="s">
        <v>8264</v>
      </c>
      <c r="C399" s="305"/>
      <c r="D399" s="305"/>
      <c r="E399" s="305"/>
      <c r="F399" s="305"/>
      <c r="G399" s="305"/>
      <c r="H399" s="305"/>
    </row>
    <row r="400" spans="1:8" ht="14.55" customHeight="1" x14ac:dyDescent="0.3">
      <c r="A400" s="25" t="s">
        <v>1360</v>
      </c>
      <c r="B400" s="305" t="s">
        <v>1425</v>
      </c>
      <c r="C400" s="305"/>
      <c r="D400" s="81" t="s">
        <v>800</v>
      </c>
      <c r="E400" s="305" t="s">
        <v>8265</v>
      </c>
      <c r="F400" s="305"/>
      <c r="G400" s="305"/>
      <c r="H400" s="305"/>
    </row>
    <row r="401" spans="1:8" ht="14.55" customHeight="1" x14ac:dyDescent="0.3">
      <c r="A401" s="25" t="s">
        <v>1361</v>
      </c>
      <c r="B401" t="s">
        <v>1346</v>
      </c>
      <c r="C401" t="s">
        <v>53</v>
      </c>
      <c r="D401" s="80">
        <v>1.1499999999999999</v>
      </c>
      <c r="E401" t="s">
        <v>54</v>
      </c>
      <c r="F401" s="83">
        <v>0.5</v>
      </c>
      <c r="G401" t="s">
        <v>1343</v>
      </c>
      <c r="H401" t="s">
        <v>8226</v>
      </c>
    </row>
    <row r="402" spans="1:8" ht="14.55" customHeight="1" x14ac:dyDescent="0.3">
      <c r="A402" s="25" t="s">
        <v>1372</v>
      </c>
      <c r="B402" s="41" t="s">
        <v>45</v>
      </c>
      <c r="C402" s="177">
        <v>0</v>
      </c>
      <c r="D402" s="41" t="s">
        <v>48</v>
      </c>
      <c r="E402" s="177">
        <v>2</v>
      </c>
      <c r="F402" t="s">
        <v>1373</v>
      </c>
      <c r="G402">
        <f>IF(OR(C402="",E402=""),"",C402+E402)</f>
        <v>2</v>
      </c>
    </row>
    <row r="403" spans="1:8" ht="14.55" customHeight="1" x14ac:dyDescent="0.3">
      <c r="A403" s="25" t="s">
        <v>1374</v>
      </c>
      <c r="B403" t="s">
        <v>426</v>
      </c>
      <c r="C403" s="111" t="str">
        <f>IF(G402="","",IF(G402&gt;2,"Green",IF(G402=2,"Devolvida","Red")))</f>
        <v>Devolvida</v>
      </c>
      <c r="D403" t="s">
        <v>1342</v>
      </c>
      <c r="E403" s="176">
        <f>IF(G402="","",IF(G402&gt;2,F401*(D401-1),IF(G402=2,0,-F401)))</f>
        <v>0</v>
      </c>
      <c r="F403" s="305" t="s">
        <v>8266</v>
      </c>
      <c r="G403" s="305"/>
      <c r="H403" s="305"/>
    </row>
    <row r="404" spans="1:8" ht="14.55" customHeight="1" x14ac:dyDescent="0.3"/>
    <row r="405" spans="1:8" ht="14.55" customHeight="1" x14ac:dyDescent="0.3"/>
    <row r="406" spans="1:8" ht="17.55" customHeight="1" x14ac:dyDescent="0.35">
      <c r="A406" s="328">
        <f>DATE(2026,8,14)</f>
        <v>46248</v>
      </c>
      <c r="B406" s="328"/>
      <c r="C406" s="329" t="s">
        <v>8271</v>
      </c>
      <c r="D406" s="329"/>
      <c r="E406" s="329"/>
      <c r="F406" s="329"/>
      <c r="G406" s="329"/>
      <c r="H406" s="329"/>
    </row>
    <row r="407" spans="1:8" ht="14.55" customHeight="1" x14ac:dyDescent="0.3">
      <c r="A407" s="330" t="s">
        <v>1339</v>
      </c>
      <c r="B407" s="330"/>
      <c r="C407" s="330"/>
      <c r="D407" s="330"/>
      <c r="E407" s="315" t="s">
        <v>1370</v>
      </c>
      <c r="F407" s="315"/>
      <c r="G407" s="330" t="s">
        <v>8207</v>
      </c>
      <c r="H407" s="330"/>
    </row>
    <row r="408" spans="1:8" ht="14.55" customHeight="1" x14ac:dyDescent="0.3">
      <c r="A408" s="25" t="s">
        <v>1357</v>
      </c>
      <c r="B408" s="305" t="s">
        <v>8272</v>
      </c>
      <c r="C408" s="305"/>
      <c r="D408" s="305"/>
      <c r="E408" s="81" t="s">
        <v>1358</v>
      </c>
      <c r="F408" s="81" t="s">
        <v>1346</v>
      </c>
      <c r="G408" s="81" t="s">
        <v>801</v>
      </c>
      <c r="H408" s="81" t="s">
        <v>8209</v>
      </c>
    </row>
    <row r="409" spans="1:8" ht="14.55" customHeight="1" x14ac:dyDescent="0.3">
      <c r="A409" s="25" t="s">
        <v>1359</v>
      </c>
      <c r="B409" s="305" t="s">
        <v>8273</v>
      </c>
      <c r="C409" s="305"/>
      <c r="D409" s="305"/>
      <c r="E409" s="305"/>
      <c r="F409" s="305"/>
      <c r="G409" s="305"/>
      <c r="H409" s="305"/>
    </row>
    <row r="410" spans="1:8" ht="14.55" customHeight="1" x14ac:dyDescent="0.3">
      <c r="A410" s="25" t="s">
        <v>1360</v>
      </c>
      <c r="B410" s="305" t="s">
        <v>8273</v>
      </c>
      <c r="C410" s="305"/>
      <c r="D410" s="81" t="s">
        <v>800</v>
      </c>
      <c r="E410" s="305" t="s">
        <v>8274</v>
      </c>
      <c r="F410" s="305"/>
      <c r="G410" s="305"/>
      <c r="H410" s="305"/>
    </row>
    <row r="411" spans="1:8" ht="14.55" customHeight="1" x14ac:dyDescent="0.3">
      <c r="A411" s="25" t="s">
        <v>1361</v>
      </c>
      <c r="B411" t="s">
        <v>1346</v>
      </c>
      <c r="C411" t="s">
        <v>53</v>
      </c>
      <c r="D411" s="80">
        <v>1.32</v>
      </c>
      <c r="E411" t="s">
        <v>54</v>
      </c>
      <c r="F411" s="83">
        <v>0.5</v>
      </c>
      <c r="G411" t="s">
        <v>1343</v>
      </c>
      <c r="H411" t="str">
        <f>IF(G412="","Em aberto","Finalizado")</f>
        <v>Finalizado</v>
      </c>
    </row>
    <row r="412" spans="1:8" ht="14.55" customHeight="1" x14ac:dyDescent="0.3">
      <c r="A412" s="25" t="s">
        <v>1372</v>
      </c>
      <c r="B412" s="41" t="s">
        <v>45</v>
      </c>
      <c r="C412" s="177">
        <v>0</v>
      </c>
      <c r="D412" s="41" t="s">
        <v>48</v>
      </c>
      <c r="E412" s="177">
        <v>3</v>
      </c>
      <c r="F412" t="s">
        <v>1373</v>
      </c>
      <c r="G412">
        <f>IF(OR(C412="",E412=""),"",C412+E412)</f>
        <v>3</v>
      </c>
    </row>
    <row r="413" spans="1:8" ht="14.55" customHeight="1" x14ac:dyDescent="0.3">
      <c r="A413" s="25" t="s">
        <v>1374</v>
      </c>
      <c r="B413" t="s">
        <v>426</v>
      </c>
      <c r="C413" s="111" t="str">
        <f>IF(G412="","",IF(G412&gt;2,"Green",IF(G412=2,"Devolvida","Red")))</f>
        <v>Green</v>
      </c>
      <c r="D413" t="s">
        <v>1342</v>
      </c>
      <c r="E413" s="83">
        <f>IF(G412="","",IF(G412&gt;2,F411*(D411-1),IF(G412=2,0,-F411)))</f>
        <v>0.16000000000000003</v>
      </c>
      <c r="F413" s="305" t="s">
        <v>8266</v>
      </c>
      <c r="G413" s="305"/>
      <c r="H413" s="305"/>
    </row>
    <row r="414" spans="1:8" ht="14.55" customHeight="1" x14ac:dyDescent="0.3"/>
    <row r="415" spans="1:8" ht="14.55" customHeight="1" x14ac:dyDescent="0.3"/>
    <row r="416" spans="1:8" ht="17.55" customHeight="1" x14ac:dyDescent="0.35">
      <c r="A416" s="328">
        <f>DATE(2026,8,14)</f>
        <v>46248</v>
      </c>
      <c r="B416" s="328"/>
      <c r="C416" s="329" t="s">
        <v>8275</v>
      </c>
      <c r="D416" s="329"/>
      <c r="E416" s="329"/>
      <c r="F416" s="329"/>
      <c r="G416" s="329"/>
      <c r="H416" s="329"/>
    </row>
    <row r="417" spans="1:8" ht="14.55" customHeight="1" x14ac:dyDescent="0.3">
      <c r="A417" s="330" t="s">
        <v>960</v>
      </c>
      <c r="B417" s="330"/>
      <c r="C417" s="330"/>
      <c r="D417" s="330"/>
      <c r="E417" s="315" t="s">
        <v>1370</v>
      </c>
      <c r="F417" s="315"/>
      <c r="G417" s="330" t="s">
        <v>8207</v>
      </c>
      <c r="H417" s="330"/>
    </row>
    <row r="418" spans="1:8" ht="14.55" customHeight="1" x14ac:dyDescent="0.3">
      <c r="A418" s="25" t="s">
        <v>1357</v>
      </c>
      <c r="B418" s="305" t="s">
        <v>8276</v>
      </c>
      <c r="C418" s="305"/>
      <c r="D418" s="305"/>
      <c r="E418" s="81" t="s">
        <v>1358</v>
      </c>
      <c r="F418" s="81" t="s">
        <v>1436</v>
      </c>
      <c r="G418" s="81" t="s">
        <v>801</v>
      </c>
      <c r="H418" s="81" t="s">
        <v>8218</v>
      </c>
    </row>
    <row r="419" spans="1:8" ht="14.55" customHeight="1" x14ac:dyDescent="0.3">
      <c r="A419" s="25" t="s">
        <v>1359</v>
      </c>
      <c r="B419" s="305" t="s">
        <v>8277</v>
      </c>
      <c r="C419" s="305"/>
      <c r="D419" s="305"/>
      <c r="E419" s="305"/>
      <c r="F419" s="305"/>
      <c r="G419" s="305"/>
      <c r="H419" s="305"/>
    </row>
    <row r="420" spans="1:8" ht="14.55" customHeight="1" x14ac:dyDescent="0.3">
      <c r="A420" s="25" t="s">
        <v>1360</v>
      </c>
      <c r="B420" s="305" t="s">
        <v>8277</v>
      </c>
      <c r="C420" s="305"/>
      <c r="D420" s="81" t="s">
        <v>800</v>
      </c>
      <c r="E420" s="305" t="s">
        <v>8278</v>
      </c>
      <c r="F420" s="305"/>
      <c r="G420" s="305"/>
      <c r="H420" s="305"/>
    </row>
    <row r="421" spans="1:8" ht="14.55" customHeight="1" x14ac:dyDescent="0.3">
      <c r="A421" s="25" t="s">
        <v>1361</v>
      </c>
      <c r="B421" t="s">
        <v>1436</v>
      </c>
      <c r="C421" t="s">
        <v>53</v>
      </c>
      <c r="D421" s="80">
        <v>1.2</v>
      </c>
      <c r="E421" t="s">
        <v>54</v>
      </c>
      <c r="F421" s="83">
        <v>0.5</v>
      </c>
      <c r="G421" t="s">
        <v>1343</v>
      </c>
      <c r="H421" t="str">
        <f>IF(G422="","Em aberto","Finalizado")</f>
        <v>Finalizado</v>
      </c>
    </row>
    <row r="422" spans="1:8" ht="14.55" customHeight="1" x14ac:dyDescent="0.3">
      <c r="A422" s="25" t="s">
        <v>1372</v>
      </c>
      <c r="B422" s="41" t="s">
        <v>45</v>
      </c>
      <c r="C422" s="177">
        <v>2</v>
      </c>
      <c r="D422" s="41" t="s">
        <v>48</v>
      </c>
      <c r="E422" s="177">
        <v>1</v>
      </c>
      <c r="F422" t="s">
        <v>1373</v>
      </c>
      <c r="G422">
        <f>IF(OR(C422="",E422=""),"",C422+E422)</f>
        <v>3</v>
      </c>
    </row>
    <row r="423" spans="1:8" ht="14.55" customHeight="1" x14ac:dyDescent="0.3">
      <c r="A423" s="25" t="s">
        <v>1374</v>
      </c>
      <c r="B423" t="s">
        <v>426</v>
      </c>
      <c r="C423" s="111" t="str">
        <f>IF(G422="","",IF(G422&gt;2,"Green",IF(G422=2,"Meio Red","Red")))</f>
        <v>Green</v>
      </c>
      <c r="D423" t="s">
        <v>1342</v>
      </c>
      <c r="E423" s="83">
        <f>IF(G422="","",IF(G422&gt;2,F421*(D421-1),IF(G422=2,-F421/2,-F421)))</f>
        <v>9.9999999999999978E-2</v>
      </c>
      <c r="F423" s="305" t="s">
        <v>8279</v>
      </c>
      <c r="G423" s="305"/>
      <c r="H423" s="305"/>
    </row>
    <row r="424" spans="1:8" ht="14.55" customHeight="1" x14ac:dyDescent="0.3"/>
    <row r="425" spans="1:8" ht="14.55" customHeight="1" x14ac:dyDescent="0.3"/>
    <row r="426" spans="1:8" ht="17.55" customHeight="1" x14ac:dyDescent="0.35">
      <c r="A426" s="328">
        <f>DATE(2026,8,14)</f>
        <v>46248</v>
      </c>
      <c r="B426" s="328"/>
      <c r="C426" s="329" t="s">
        <v>8280</v>
      </c>
      <c r="D426" s="329"/>
      <c r="E426" s="329"/>
      <c r="F426" s="329"/>
      <c r="G426" s="329"/>
      <c r="H426" s="329"/>
    </row>
    <row r="427" spans="1:8" ht="14.55" customHeight="1" x14ac:dyDescent="0.3">
      <c r="A427" s="330" t="s">
        <v>6105</v>
      </c>
      <c r="B427" s="330"/>
      <c r="C427" s="330"/>
      <c r="D427" s="330"/>
      <c r="E427" s="315" t="s">
        <v>1370</v>
      </c>
      <c r="F427" s="315"/>
      <c r="G427" s="330" t="s">
        <v>8207</v>
      </c>
      <c r="H427" s="330"/>
    </row>
    <row r="428" spans="1:8" ht="14.55" customHeight="1" x14ac:dyDescent="0.3">
      <c r="A428" s="25" t="s">
        <v>1357</v>
      </c>
      <c r="B428" s="305" t="s">
        <v>8281</v>
      </c>
      <c r="C428" s="305"/>
      <c r="D428" s="305"/>
      <c r="E428" s="81" t="s">
        <v>1358</v>
      </c>
      <c r="F428" s="81" t="s">
        <v>1348</v>
      </c>
      <c r="G428" s="81" t="s">
        <v>801</v>
      </c>
      <c r="H428" s="81" t="s">
        <v>8209</v>
      </c>
    </row>
    <row r="429" spans="1:8" ht="14.55" customHeight="1" x14ac:dyDescent="0.3">
      <c r="A429" s="25" t="s">
        <v>1359</v>
      </c>
      <c r="B429" s="305" t="s">
        <v>4269</v>
      </c>
      <c r="C429" s="305"/>
      <c r="D429" s="305"/>
      <c r="E429" s="305"/>
      <c r="F429" s="305"/>
      <c r="G429" s="305"/>
      <c r="H429" s="305"/>
    </row>
    <row r="430" spans="1:8" ht="14.55" customHeight="1" x14ac:dyDescent="0.3">
      <c r="A430" s="25" t="s">
        <v>1360</v>
      </c>
      <c r="B430" s="305" t="s">
        <v>4269</v>
      </c>
      <c r="C430" s="305"/>
      <c r="D430" s="81" t="s">
        <v>800</v>
      </c>
      <c r="E430" s="305" t="s">
        <v>8282</v>
      </c>
      <c r="F430" s="305"/>
      <c r="G430" s="305"/>
      <c r="H430" s="305"/>
    </row>
    <row r="431" spans="1:8" ht="14.55" customHeight="1" x14ac:dyDescent="0.3">
      <c r="A431" s="25" t="s">
        <v>1361</v>
      </c>
      <c r="B431" t="s">
        <v>1348</v>
      </c>
      <c r="C431" t="s">
        <v>53</v>
      </c>
      <c r="D431" s="80">
        <v>1.17</v>
      </c>
      <c r="E431" t="s">
        <v>54</v>
      </c>
      <c r="F431" s="83">
        <v>0.5</v>
      </c>
      <c r="G431" t="s">
        <v>1343</v>
      </c>
      <c r="H431" t="str">
        <f>IF(G432="","Em aberto","Finalizado")</f>
        <v>Finalizado</v>
      </c>
    </row>
    <row r="432" spans="1:8" ht="14.55" customHeight="1" x14ac:dyDescent="0.3">
      <c r="A432" s="25" t="s">
        <v>1372</v>
      </c>
      <c r="B432" s="41" t="s">
        <v>45</v>
      </c>
      <c r="C432" s="177">
        <v>3</v>
      </c>
      <c r="D432" s="41" t="s">
        <v>48</v>
      </c>
      <c r="E432" s="177">
        <v>1</v>
      </c>
      <c r="F432" t="s">
        <v>1373</v>
      </c>
      <c r="G432">
        <f>IF(OR(C432="",E432=""),"",C432+E432)</f>
        <v>4</v>
      </c>
    </row>
    <row r="433" spans="1:8" ht="14.55" customHeight="1" x14ac:dyDescent="0.3">
      <c r="A433" s="25" t="s">
        <v>1374</v>
      </c>
      <c r="B433" t="s">
        <v>426</v>
      </c>
      <c r="C433" s="111" t="str">
        <f>IF(G432="","",IF(G432&gt;=2,"Green","Red"))</f>
        <v>Green</v>
      </c>
      <c r="D433" t="s">
        <v>1342</v>
      </c>
      <c r="E433" s="83">
        <f>IF(G432="","",IF(G432&gt;=2,F431*(D431-1),-F431))</f>
        <v>8.4999999999999964E-2</v>
      </c>
      <c r="F433" s="305" t="s">
        <v>8283</v>
      </c>
      <c r="G433" s="305"/>
      <c r="H433" s="305"/>
    </row>
    <row r="434" spans="1:8" ht="14.55" customHeight="1" x14ac:dyDescent="0.3"/>
    <row r="435" spans="1:8" ht="14.55" customHeight="1" x14ac:dyDescent="0.3"/>
    <row r="436" spans="1:8" ht="17.55" customHeight="1" x14ac:dyDescent="0.35">
      <c r="A436" s="328">
        <f>DATE(2026,8,14)</f>
        <v>46248</v>
      </c>
      <c r="B436" s="328"/>
      <c r="C436" s="329" t="s">
        <v>8284</v>
      </c>
      <c r="D436" s="329"/>
      <c r="E436" s="329"/>
      <c r="F436" s="329"/>
      <c r="G436" s="329"/>
      <c r="H436" s="329"/>
    </row>
    <row r="437" spans="1:8" ht="14.55" customHeight="1" x14ac:dyDescent="0.3">
      <c r="A437" s="330" t="s">
        <v>8285</v>
      </c>
      <c r="B437" s="330"/>
      <c r="C437" s="330"/>
      <c r="D437" s="330"/>
      <c r="E437" s="315" t="s">
        <v>1370</v>
      </c>
      <c r="F437" s="315"/>
      <c r="G437" s="330" t="s">
        <v>8207</v>
      </c>
      <c r="H437" s="330"/>
    </row>
    <row r="438" spans="1:8" ht="14.55" customHeight="1" x14ac:dyDescent="0.3">
      <c r="A438" s="25" t="s">
        <v>1357</v>
      </c>
      <c r="B438" s="305" t="s">
        <v>8286</v>
      </c>
      <c r="C438" s="305"/>
      <c r="D438" s="305"/>
      <c r="E438" s="81" t="s">
        <v>1358</v>
      </c>
      <c r="F438" s="81" t="s">
        <v>1348</v>
      </c>
      <c r="G438" s="81" t="s">
        <v>801</v>
      </c>
      <c r="H438" s="81" t="s">
        <v>8287</v>
      </c>
    </row>
    <row r="439" spans="1:8" ht="14.55" customHeight="1" x14ac:dyDescent="0.3">
      <c r="A439" s="25" t="s">
        <v>1359</v>
      </c>
      <c r="B439" s="305" t="s">
        <v>8288</v>
      </c>
      <c r="C439" s="305"/>
      <c r="D439" s="305"/>
      <c r="E439" s="305"/>
      <c r="F439" s="305"/>
      <c r="G439" s="305"/>
      <c r="H439" s="305"/>
    </row>
    <row r="440" spans="1:8" ht="14.55" customHeight="1" x14ac:dyDescent="0.3">
      <c r="A440" s="25" t="s">
        <v>1360</v>
      </c>
      <c r="B440" s="305" t="s">
        <v>8288</v>
      </c>
      <c r="C440" s="305"/>
      <c r="D440" s="81" t="s">
        <v>800</v>
      </c>
      <c r="E440" s="305" t="s">
        <v>8289</v>
      </c>
      <c r="F440" s="305"/>
      <c r="G440" s="305"/>
      <c r="H440" s="305"/>
    </row>
    <row r="441" spans="1:8" ht="14.55" customHeight="1" x14ac:dyDescent="0.3">
      <c r="A441" s="25" t="s">
        <v>1361</v>
      </c>
      <c r="B441" t="s">
        <v>1348</v>
      </c>
      <c r="C441" t="s">
        <v>53</v>
      </c>
      <c r="D441" s="80">
        <v>1.1399999999999999</v>
      </c>
      <c r="E441" t="s">
        <v>54</v>
      </c>
      <c r="F441" s="83">
        <v>0.5</v>
      </c>
      <c r="G441" t="s">
        <v>1343</v>
      </c>
      <c r="H441" t="str">
        <f>IF(G442="","Em aberto","Finalizado")</f>
        <v>Finalizado</v>
      </c>
    </row>
    <row r="442" spans="1:8" ht="14.55" customHeight="1" x14ac:dyDescent="0.3">
      <c r="A442" s="25" t="s">
        <v>1372</v>
      </c>
      <c r="B442" s="41" t="s">
        <v>45</v>
      </c>
      <c r="C442" s="177">
        <v>3</v>
      </c>
      <c r="D442" s="41" t="s">
        <v>48</v>
      </c>
      <c r="E442" s="177">
        <v>0</v>
      </c>
      <c r="F442" t="s">
        <v>1373</v>
      </c>
      <c r="G442">
        <f>IF(OR(C442="",E442=""),"",C442+E442)</f>
        <v>3</v>
      </c>
    </row>
    <row r="443" spans="1:8" ht="14.55" customHeight="1" x14ac:dyDescent="0.3">
      <c r="A443" s="25" t="s">
        <v>1374</v>
      </c>
      <c r="B443" t="s">
        <v>426</v>
      </c>
      <c r="C443" s="111" t="str">
        <f>IF(G442="","",IF(G442&gt;=2,"Green","Red"))</f>
        <v>Green</v>
      </c>
      <c r="D443" t="s">
        <v>1342</v>
      </c>
      <c r="E443" s="83">
        <f>IF(G442="","",IF(G442&gt;=2,F441*(D441-1),-F441))</f>
        <v>6.9999999999999951E-2</v>
      </c>
      <c r="F443" s="305" t="s">
        <v>8283</v>
      </c>
      <c r="G443" s="305"/>
      <c r="H443" s="305"/>
    </row>
    <row r="444" spans="1:8" ht="14.55" customHeight="1" x14ac:dyDescent="0.3"/>
    <row r="445" spans="1:8" ht="14.55" customHeight="1" x14ac:dyDescent="0.3"/>
    <row r="446" spans="1:8" ht="17.55" customHeight="1" x14ac:dyDescent="0.35">
      <c r="A446" s="328">
        <f>DATE(2026,8,14)</f>
        <v>46248</v>
      </c>
      <c r="B446" s="328"/>
      <c r="C446" s="329" t="s">
        <v>8290</v>
      </c>
      <c r="D446" s="329"/>
      <c r="E446" s="329"/>
      <c r="F446" s="329"/>
      <c r="G446" s="329"/>
      <c r="H446" s="329"/>
    </row>
    <row r="447" spans="1:8" ht="14.55" customHeight="1" x14ac:dyDescent="0.3">
      <c r="A447" s="330" t="s">
        <v>954</v>
      </c>
      <c r="B447" s="330"/>
      <c r="C447" s="330"/>
      <c r="D447" s="330"/>
      <c r="E447" s="315" t="s">
        <v>1370</v>
      </c>
      <c r="F447" s="315"/>
      <c r="G447" s="330" t="s">
        <v>8207</v>
      </c>
      <c r="H447" s="330"/>
    </row>
    <row r="448" spans="1:8" ht="14.55" customHeight="1" x14ac:dyDescent="0.3">
      <c r="A448" s="25" t="s">
        <v>1357</v>
      </c>
      <c r="B448" s="305" t="s">
        <v>8291</v>
      </c>
      <c r="C448" s="305"/>
      <c r="D448" s="305"/>
      <c r="E448" s="81" t="s">
        <v>1358</v>
      </c>
      <c r="F448" s="81" t="s">
        <v>1346</v>
      </c>
      <c r="G448" s="81" t="s">
        <v>801</v>
      </c>
      <c r="H448" s="81" t="s">
        <v>8209</v>
      </c>
    </row>
    <row r="449" spans="1:8" ht="14.55" customHeight="1" x14ac:dyDescent="0.3">
      <c r="A449" s="25" t="s">
        <v>1359</v>
      </c>
      <c r="B449" s="305" t="s">
        <v>8729</v>
      </c>
      <c r="C449" s="305"/>
      <c r="D449" s="305"/>
      <c r="E449" s="305"/>
      <c r="F449" s="305"/>
      <c r="G449" s="305"/>
      <c r="H449" s="305"/>
    </row>
    <row r="450" spans="1:8" ht="14.55" customHeight="1" x14ac:dyDescent="0.3">
      <c r="A450" s="25" t="s">
        <v>1360</v>
      </c>
      <c r="B450" s="305" t="s">
        <v>8292</v>
      </c>
      <c r="C450" s="305"/>
      <c r="D450" s="81" t="s">
        <v>800</v>
      </c>
      <c r="E450" s="305" t="s">
        <v>8293</v>
      </c>
      <c r="F450" s="305"/>
      <c r="G450" s="305"/>
      <c r="H450" s="305"/>
    </row>
    <row r="451" spans="1:8" ht="14.55" customHeight="1" x14ac:dyDescent="0.3">
      <c r="A451" s="25" t="s">
        <v>1361</v>
      </c>
      <c r="B451" t="s">
        <v>1346</v>
      </c>
      <c r="C451" t="s">
        <v>53</v>
      </c>
      <c r="D451" s="80">
        <v>1.2749999999999999</v>
      </c>
      <c r="E451" t="s">
        <v>54</v>
      </c>
      <c r="F451" s="83">
        <v>0.5</v>
      </c>
      <c r="G451" t="s">
        <v>1343</v>
      </c>
      <c r="H451" t="str">
        <f>IF(G452="","Em aberto","Finalizado")</f>
        <v>Finalizado</v>
      </c>
    </row>
    <row r="452" spans="1:8" ht="14.55" customHeight="1" x14ac:dyDescent="0.3">
      <c r="A452" s="25" t="s">
        <v>1372</v>
      </c>
      <c r="B452" s="41" t="s">
        <v>45</v>
      </c>
      <c r="C452" s="177">
        <v>3</v>
      </c>
      <c r="D452" s="41" t="s">
        <v>48</v>
      </c>
      <c r="E452" s="177">
        <v>3</v>
      </c>
      <c r="F452" t="s">
        <v>1373</v>
      </c>
      <c r="G452">
        <f>IF(OR(C452="",E452=""),"",C452+E452)</f>
        <v>6</v>
      </c>
    </row>
    <row r="453" spans="1:8" ht="14.55" customHeight="1" x14ac:dyDescent="0.3">
      <c r="A453" s="25" t="s">
        <v>1374</v>
      </c>
      <c r="B453" t="s">
        <v>426</v>
      </c>
      <c r="C453" s="111" t="str">
        <f>IF(G452="","",IF(G452&gt;2,"Green",IF(G452=2,"Devolvida","Red")))</f>
        <v>Green</v>
      </c>
      <c r="D453" t="s">
        <v>1342</v>
      </c>
      <c r="E453" s="83">
        <f>IF(G452="","",IF(G452&gt;2,F451*(D451-1),IF(G452=2,0,-F451)))</f>
        <v>0.13749999999999996</v>
      </c>
      <c r="F453" s="305" t="s">
        <v>8266</v>
      </c>
      <c r="G453" s="305"/>
      <c r="H453" s="305"/>
    </row>
    <row r="454" spans="1:8" ht="14.55" customHeight="1" x14ac:dyDescent="0.3"/>
    <row r="455" spans="1:8" ht="14.55" customHeight="1" x14ac:dyDescent="0.3"/>
    <row r="456" spans="1:8" ht="17.55" customHeight="1" x14ac:dyDescent="0.35">
      <c r="A456" s="328">
        <f>DATE(2026,8,15)</f>
        <v>46249</v>
      </c>
      <c r="B456" s="328"/>
      <c r="C456" s="329" t="s">
        <v>8680</v>
      </c>
      <c r="D456" s="329"/>
      <c r="E456" s="329"/>
      <c r="F456" s="329"/>
      <c r="G456" s="329"/>
      <c r="H456" s="329"/>
    </row>
    <row r="457" spans="1:8" ht="14.55" customHeight="1" x14ac:dyDescent="0.3">
      <c r="A457" s="330" t="s">
        <v>1405</v>
      </c>
      <c r="B457" s="330"/>
      <c r="C457" s="330"/>
      <c r="D457" s="330"/>
      <c r="E457" s="315" t="s">
        <v>1370</v>
      </c>
      <c r="F457" s="315"/>
      <c r="G457" s="330" t="s">
        <v>8681</v>
      </c>
      <c r="H457" s="330"/>
    </row>
    <row r="458" spans="1:8" ht="14.55" customHeight="1" x14ac:dyDescent="0.3">
      <c r="A458" s="25" t="s">
        <v>1357</v>
      </c>
      <c r="B458" s="305" t="s">
        <v>8682</v>
      </c>
      <c r="C458" s="305"/>
      <c r="D458" s="305"/>
      <c r="E458" s="81" t="s">
        <v>1358</v>
      </c>
      <c r="F458" s="81" t="s">
        <v>1346</v>
      </c>
      <c r="G458" s="81" t="s">
        <v>801</v>
      </c>
      <c r="H458" s="81" t="s">
        <v>8209</v>
      </c>
    </row>
    <row r="459" spans="1:8" ht="14.55" customHeight="1" x14ac:dyDescent="0.3">
      <c r="A459" s="25" t="s">
        <v>1359</v>
      </c>
      <c r="B459" s="305" t="s">
        <v>8730</v>
      </c>
      <c r="C459" s="305"/>
      <c r="D459" s="305"/>
      <c r="E459" s="305"/>
      <c r="F459" s="305"/>
      <c r="G459" s="305"/>
      <c r="H459" s="305"/>
    </row>
    <row r="460" spans="1:8" ht="14.55" customHeight="1" x14ac:dyDescent="0.3">
      <c r="A460" s="25" t="s">
        <v>1360</v>
      </c>
      <c r="B460" s="305" t="s">
        <v>1425</v>
      </c>
      <c r="C460" s="305"/>
      <c r="D460" s="81" t="s">
        <v>800</v>
      </c>
      <c r="E460" s="305" t="s">
        <v>8683</v>
      </c>
      <c r="F460" s="305"/>
      <c r="G460" s="305"/>
      <c r="H460" s="305"/>
    </row>
    <row r="461" spans="1:8" ht="14.55" customHeight="1" x14ac:dyDescent="0.3">
      <c r="A461" s="25" t="s">
        <v>1361</v>
      </c>
      <c r="B461" t="s">
        <v>1346</v>
      </c>
      <c r="C461" t="s">
        <v>53</v>
      </c>
      <c r="D461" s="80">
        <v>1.1499999999999999</v>
      </c>
      <c r="E461" t="s">
        <v>54</v>
      </c>
      <c r="F461" s="83">
        <v>0.5</v>
      </c>
      <c r="G461" t="s">
        <v>1343</v>
      </c>
      <c r="H461" t="str">
        <f>IF(G462="","Em aberto","Finalizado")</f>
        <v>Finalizado</v>
      </c>
    </row>
    <row r="462" spans="1:8" ht="14.55" customHeight="1" x14ac:dyDescent="0.3">
      <c r="A462" s="25" t="s">
        <v>1372</v>
      </c>
      <c r="B462" s="41" t="s">
        <v>45</v>
      </c>
      <c r="C462" s="177">
        <v>0</v>
      </c>
      <c r="D462" s="41" t="s">
        <v>48</v>
      </c>
      <c r="E462" s="177">
        <v>0</v>
      </c>
      <c r="F462" t="s">
        <v>1373</v>
      </c>
      <c r="G462">
        <f>IF(OR(C462="",E462=""),"",C462+E462)</f>
        <v>0</v>
      </c>
    </row>
    <row r="463" spans="1:8" ht="14.55" customHeight="1" x14ac:dyDescent="0.3">
      <c r="A463" s="25" t="s">
        <v>1374</v>
      </c>
      <c r="B463" t="s">
        <v>426</v>
      </c>
      <c r="C463" s="111" t="str">
        <f>IF(G462="","",IF(G462&gt;2,"Green",IF(G462=2,"Devolvida","Red")))</f>
        <v>Red</v>
      </c>
      <c r="D463" t="s">
        <v>1342</v>
      </c>
      <c r="E463" s="83">
        <f>IF(G462="","",IF(G462&gt;2,F461*(D461-1),IF(G462=2,0,-F461)))</f>
        <v>-0.5</v>
      </c>
      <c r="F463" s="305" t="s">
        <v>8266</v>
      </c>
      <c r="G463" s="305"/>
      <c r="H463" s="305"/>
    </row>
    <row r="464" spans="1:8" ht="14.55" customHeight="1" x14ac:dyDescent="0.3"/>
    <row r="465" spans="1:8" ht="14.55" customHeight="1" x14ac:dyDescent="0.3"/>
    <row r="466" spans="1:8" ht="17.55" customHeight="1" x14ac:dyDescent="0.35">
      <c r="A466" s="328">
        <f>DATE(2026,8,15)</f>
        <v>46249</v>
      </c>
      <c r="B466" s="328"/>
      <c r="C466" s="329" t="s">
        <v>8684</v>
      </c>
      <c r="D466" s="329"/>
      <c r="E466" s="329"/>
      <c r="F466" s="329"/>
      <c r="G466" s="329"/>
      <c r="H466" s="329"/>
    </row>
    <row r="467" spans="1:8" ht="14.55" customHeight="1" x14ac:dyDescent="0.3">
      <c r="A467" s="330" t="s">
        <v>1330</v>
      </c>
      <c r="B467" s="330"/>
      <c r="C467" s="330"/>
      <c r="D467" s="330"/>
      <c r="E467" s="315" t="s">
        <v>1370</v>
      </c>
      <c r="F467" s="315"/>
      <c r="G467" s="330" t="s">
        <v>8681</v>
      </c>
      <c r="H467" s="330"/>
    </row>
    <row r="468" spans="1:8" ht="14.55" customHeight="1" x14ac:dyDescent="0.3">
      <c r="A468" s="25" t="s">
        <v>1357</v>
      </c>
      <c r="B468" s="305" t="s">
        <v>8685</v>
      </c>
      <c r="C468" s="305"/>
      <c r="D468" s="305"/>
      <c r="E468" s="81" t="s">
        <v>1358</v>
      </c>
      <c r="F468" s="81" t="s">
        <v>1346</v>
      </c>
      <c r="G468" s="81" t="s">
        <v>801</v>
      </c>
      <c r="H468" s="81" t="s">
        <v>8218</v>
      </c>
    </row>
    <row r="469" spans="1:8" ht="14.55" customHeight="1" x14ac:dyDescent="0.3">
      <c r="A469" s="25" t="s">
        <v>1359</v>
      </c>
      <c r="B469" s="305" t="s">
        <v>8686</v>
      </c>
      <c r="C469" s="305"/>
      <c r="D469" s="305"/>
      <c r="E469" s="305"/>
      <c r="F469" s="305"/>
      <c r="G469" s="305"/>
      <c r="H469" s="305"/>
    </row>
    <row r="470" spans="1:8" ht="14.55" customHeight="1" x14ac:dyDescent="0.3">
      <c r="A470" s="25" t="s">
        <v>1360</v>
      </c>
      <c r="B470" s="305" t="s">
        <v>8686</v>
      </c>
      <c r="C470" s="305"/>
      <c r="D470" s="81" t="s">
        <v>800</v>
      </c>
      <c r="E470" s="305" t="s">
        <v>8687</v>
      </c>
      <c r="F470" s="305"/>
      <c r="G470" s="305"/>
      <c r="H470" s="305"/>
    </row>
    <row r="471" spans="1:8" ht="14.55" customHeight="1" x14ac:dyDescent="0.3">
      <c r="A471" s="25" t="s">
        <v>1361</v>
      </c>
      <c r="B471" t="s">
        <v>1346</v>
      </c>
      <c r="C471" t="s">
        <v>53</v>
      </c>
      <c r="D471" s="80">
        <v>1.175</v>
      </c>
      <c r="E471" t="s">
        <v>54</v>
      </c>
      <c r="F471" s="83">
        <v>0.5</v>
      </c>
      <c r="G471" t="s">
        <v>1343</v>
      </c>
      <c r="H471" t="str">
        <f>IF(G472="","Em aberto","Finalizado")</f>
        <v>Finalizado</v>
      </c>
    </row>
    <row r="472" spans="1:8" ht="14.55" customHeight="1" x14ac:dyDescent="0.3">
      <c r="A472" s="25" t="s">
        <v>1372</v>
      </c>
      <c r="B472" s="41" t="s">
        <v>45</v>
      </c>
      <c r="C472" s="177">
        <v>0</v>
      </c>
      <c r="D472" s="41" t="s">
        <v>48</v>
      </c>
      <c r="E472" s="177">
        <v>3</v>
      </c>
      <c r="F472" t="s">
        <v>1373</v>
      </c>
      <c r="G472">
        <f>IF(OR(C472="",E472=""),"",C472+E472)</f>
        <v>3</v>
      </c>
    </row>
    <row r="473" spans="1:8" ht="14.55" customHeight="1" x14ac:dyDescent="0.3">
      <c r="A473" s="25" t="s">
        <v>1374</v>
      </c>
      <c r="B473" t="s">
        <v>426</v>
      </c>
      <c r="C473" s="111" t="str">
        <f>IF(G472="","",IF(G472&gt;2,"Green",IF(G472=2,"Devolvida","Red")))</f>
        <v>Green</v>
      </c>
      <c r="D473" t="s">
        <v>1342</v>
      </c>
      <c r="E473" s="83">
        <f>IF(G472="","",IF(G472&gt;2,F471*(D471-1),IF(G472=2,0,-F471)))</f>
        <v>8.7500000000000022E-2</v>
      </c>
      <c r="F473" s="305" t="s">
        <v>8266</v>
      </c>
      <c r="G473" s="305"/>
      <c r="H473" s="305"/>
    </row>
    <row r="474" spans="1:8" ht="14.55" customHeight="1" x14ac:dyDescent="0.3"/>
    <row r="475" spans="1:8" ht="14.55" customHeight="1" x14ac:dyDescent="0.3"/>
    <row r="476" spans="1:8" ht="17.55" customHeight="1" x14ac:dyDescent="0.35">
      <c r="A476" s="328">
        <f>DATE(2026,8,15)</f>
        <v>46249</v>
      </c>
      <c r="B476" s="328"/>
      <c r="C476" s="329" t="s">
        <v>8688</v>
      </c>
      <c r="D476" s="329"/>
      <c r="E476" s="329"/>
      <c r="F476" s="329"/>
      <c r="G476" s="329"/>
      <c r="H476" s="329"/>
    </row>
    <row r="477" spans="1:8" ht="14.55" customHeight="1" x14ac:dyDescent="0.3">
      <c r="A477" s="330" t="s">
        <v>1330</v>
      </c>
      <c r="B477" s="330"/>
      <c r="C477" s="330"/>
      <c r="D477" s="330"/>
      <c r="E477" s="315" t="s">
        <v>1370</v>
      </c>
      <c r="F477" s="315"/>
      <c r="G477" s="330" t="s">
        <v>8681</v>
      </c>
      <c r="H477" s="330"/>
    </row>
    <row r="478" spans="1:8" ht="14.55" customHeight="1" x14ac:dyDescent="0.3">
      <c r="A478" s="25" t="s">
        <v>1357</v>
      </c>
      <c r="B478" s="305" t="s">
        <v>8689</v>
      </c>
      <c r="C478" s="305"/>
      <c r="D478" s="305"/>
      <c r="E478" s="81" t="s">
        <v>1358</v>
      </c>
      <c r="F478" s="81" t="s">
        <v>1348</v>
      </c>
      <c r="G478" s="81" t="s">
        <v>801</v>
      </c>
      <c r="H478" s="81" t="s">
        <v>8209</v>
      </c>
    </row>
    <row r="479" spans="1:8" ht="14.55" customHeight="1" x14ac:dyDescent="0.3">
      <c r="A479" s="25" t="s">
        <v>1359</v>
      </c>
      <c r="B479" s="305" t="s">
        <v>8690</v>
      </c>
      <c r="C479" s="305"/>
      <c r="D479" s="305"/>
      <c r="E479" s="305"/>
      <c r="F479" s="305"/>
      <c r="G479" s="305"/>
      <c r="H479" s="305"/>
    </row>
    <row r="480" spans="1:8" ht="14.55" customHeight="1" x14ac:dyDescent="0.3">
      <c r="A480" s="25" t="s">
        <v>1360</v>
      </c>
      <c r="B480" s="305" t="s">
        <v>8690</v>
      </c>
      <c r="C480" s="305"/>
      <c r="D480" s="81" t="s">
        <v>800</v>
      </c>
      <c r="E480" s="305" t="s">
        <v>8691</v>
      </c>
      <c r="F480" s="305"/>
      <c r="G480" s="305"/>
      <c r="H480" s="305"/>
    </row>
    <row r="481" spans="1:8" ht="14.55" customHeight="1" x14ac:dyDescent="0.3">
      <c r="A481" s="25" t="s">
        <v>1361</v>
      </c>
      <c r="B481" t="s">
        <v>1348</v>
      </c>
      <c r="C481" t="s">
        <v>53</v>
      </c>
      <c r="D481" s="80">
        <v>1.21</v>
      </c>
      <c r="E481" t="s">
        <v>54</v>
      </c>
      <c r="F481" s="83">
        <v>0.5</v>
      </c>
      <c r="G481" t="s">
        <v>1343</v>
      </c>
      <c r="H481" t="str">
        <f>IF(G482="","Em aberto","Finalizado")</f>
        <v>Finalizado</v>
      </c>
    </row>
    <row r="482" spans="1:8" ht="14.55" customHeight="1" x14ac:dyDescent="0.3">
      <c r="A482" s="25" t="s">
        <v>1372</v>
      </c>
      <c r="B482" s="41" t="s">
        <v>45</v>
      </c>
      <c r="C482" s="177">
        <v>4</v>
      </c>
      <c r="D482" s="41" t="s">
        <v>48</v>
      </c>
      <c r="E482" s="177">
        <v>5</v>
      </c>
      <c r="F482" t="s">
        <v>1373</v>
      </c>
      <c r="G482">
        <f>IF(OR(C482="",E482=""),"",C482+E482)</f>
        <v>9</v>
      </c>
    </row>
    <row r="483" spans="1:8" ht="14.55" customHeight="1" x14ac:dyDescent="0.3">
      <c r="A483" s="25" t="s">
        <v>1374</v>
      </c>
      <c r="B483" t="s">
        <v>426</v>
      </c>
      <c r="C483" s="111" t="str">
        <f>IF(G482="","",IF(G482&gt;=2,"Green","Red"))</f>
        <v>Green</v>
      </c>
      <c r="D483" t="s">
        <v>1342</v>
      </c>
      <c r="E483" s="83">
        <f>IF(G482="","",IF(G482&gt;=2,F481*(D481-1),-F481))</f>
        <v>0.10499999999999998</v>
      </c>
      <c r="F483" s="305" t="s">
        <v>8283</v>
      </c>
      <c r="G483" s="305"/>
      <c r="H483" s="305"/>
    </row>
    <row r="484" spans="1:8" ht="14.55" customHeight="1" x14ac:dyDescent="0.3"/>
    <row r="485" spans="1:8" ht="14.55" customHeight="1" x14ac:dyDescent="0.3"/>
    <row r="486" spans="1:8" ht="17.55" customHeight="1" x14ac:dyDescent="0.35">
      <c r="A486" s="328">
        <f>DATE(2026,8,15)</f>
        <v>46249</v>
      </c>
      <c r="B486" s="328"/>
      <c r="C486" s="329" t="s">
        <v>8692</v>
      </c>
      <c r="D486" s="329"/>
      <c r="E486" s="329"/>
      <c r="F486" s="329"/>
      <c r="G486" s="329"/>
      <c r="H486" s="329"/>
    </row>
    <row r="487" spans="1:8" ht="14.55" customHeight="1" x14ac:dyDescent="0.3">
      <c r="A487" s="330" t="s">
        <v>1405</v>
      </c>
      <c r="B487" s="330"/>
      <c r="C487" s="330"/>
      <c r="D487" s="330"/>
      <c r="E487" s="315" t="s">
        <v>1370</v>
      </c>
      <c r="F487" s="315"/>
      <c r="G487" s="330" t="s">
        <v>8681</v>
      </c>
      <c r="H487" s="330"/>
    </row>
    <row r="488" spans="1:8" ht="14.55" customHeight="1" x14ac:dyDescent="0.3">
      <c r="A488" s="25" t="s">
        <v>1357</v>
      </c>
      <c r="B488" s="305" t="s">
        <v>8693</v>
      </c>
      <c r="C488" s="305"/>
      <c r="D488" s="305"/>
      <c r="E488" s="81" t="s">
        <v>1358</v>
      </c>
      <c r="F488" s="81" t="s">
        <v>1344</v>
      </c>
      <c r="G488" s="81" t="s">
        <v>801</v>
      </c>
      <c r="H488" s="81" t="s">
        <v>8209</v>
      </c>
    </row>
    <row r="489" spans="1:8" ht="14.55" customHeight="1" x14ac:dyDescent="0.3">
      <c r="A489" s="25" t="s">
        <v>1359</v>
      </c>
      <c r="B489" s="305" t="s">
        <v>8731</v>
      </c>
      <c r="C489" s="305"/>
      <c r="D489" s="305"/>
      <c r="E489" s="305"/>
      <c r="F489" s="305"/>
      <c r="G489" s="305"/>
      <c r="H489" s="305"/>
    </row>
    <row r="490" spans="1:8" ht="14.55" customHeight="1" x14ac:dyDescent="0.3">
      <c r="A490" s="25" t="s">
        <v>1360</v>
      </c>
      <c r="B490" s="305" t="s">
        <v>8694</v>
      </c>
      <c r="C490" s="305"/>
      <c r="D490" s="81" t="s">
        <v>800</v>
      </c>
      <c r="E490" s="305" t="s">
        <v>8695</v>
      </c>
      <c r="F490" s="305"/>
      <c r="G490" s="305"/>
      <c r="H490" s="305"/>
    </row>
    <row r="491" spans="1:8" ht="14.55" customHeight="1" x14ac:dyDescent="0.3">
      <c r="A491" s="25" t="s">
        <v>1361</v>
      </c>
      <c r="B491" t="s">
        <v>1344</v>
      </c>
      <c r="C491" t="s">
        <v>53</v>
      </c>
      <c r="D491" s="80">
        <v>1.3</v>
      </c>
      <c r="E491" t="s">
        <v>54</v>
      </c>
      <c r="F491" s="83">
        <v>0.5</v>
      </c>
      <c r="G491" t="s">
        <v>1343</v>
      </c>
      <c r="H491" t="str">
        <f>IF(G492="","Em aberto","Finalizado")</f>
        <v>Finalizado</v>
      </c>
    </row>
    <row r="492" spans="1:8" ht="14.55" customHeight="1" x14ac:dyDescent="0.3">
      <c r="A492" s="25" t="s">
        <v>1372</v>
      </c>
      <c r="B492" s="41" t="s">
        <v>45</v>
      </c>
      <c r="C492" s="177">
        <v>2</v>
      </c>
      <c r="D492" s="41" t="s">
        <v>48</v>
      </c>
      <c r="E492" s="177">
        <v>1</v>
      </c>
      <c r="F492" t="s">
        <v>1373</v>
      </c>
      <c r="G492">
        <f>IF(OR(C492="",E492=""),"",C492+E492)</f>
        <v>3</v>
      </c>
    </row>
    <row r="493" spans="1:8" ht="14.55" customHeight="1" x14ac:dyDescent="0.3">
      <c r="A493" s="25" t="s">
        <v>1374</v>
      </c>
      <c r="B493" t="s">
        <v>426</v>
      </c>
      <c r="C493" s="111" t="str">
        <f>IF(G492="","",IF(G492&gt;=3,"Green","Red"))</f>
        <v>Green</v>
      </c>
      <c r="D493" t="s">
        <v>1342</v>
      </c>
      <c r="E493" s="83">
        <f>IF(G492="","",IF(G492&gt;=3,F491*(D491-1),-F491))</f>
        <v>0.15000000000000002</v>
      </c>
      <c r="F493" s="305" t="s">
        <v>8696</v>
      </c>
      <c r="G493" s="305"/>
      <c r="H493" s="305"/>
    </row>
    <row r="494" spans="1:8" ht="14.55" customHeight="1" x14ac:dyDescent="0.3"/>
    <row r="495" spans="1:8" ht="14.55" customHeight="1" x14ac:dyDescent="0.3"/>
    <row r="496" spans="1:8" ht="17.55" customHeight="1" x14ac:dyDescent="0.35">
      <c r="A496" s="328">
        <f>DATE(2026,8,15)</f>
        <v>46249</v>
      </c>
      <c r="B496" s="328"/>
      <c r="C496" s="329" t="s">
        <v>8697</v>
      </c>
      <c r="D496" s="329"/>
      <c r="E496" s="329"/>
      <c r="F496" s="329"/>
      <c r="G496" s="329"/>
      <c r="H496" s="329"/>
    </row>
    <row r="497" spans="1:8" ht="14.55" customHeight="1" x14ac:dyDescent="0.3">
      <c r="A497" s="330" t="s">
        <v>973</v>
      </c>
      <c r="B497" s="330"/>
      <c r="C497" s="330"/>
      <c r="D497" s="330"/>
      <c r="E497" s="315" t="s">
        <v>1370</v>
      </c>
      <c r="F497" s="315"/>
      <c r="G497" s="330" t="s">
        <v>8681</v>
      </c>
      <c r="H497" s="330"/>
    </row>
    <row r="498" spans="1:8" ht="14.55" customHeight="1" x14ac:dyDescent="0.3">
      <c r="A498" s="25" t="s">
        <v>1357</v>
      </c>
      <c r="B498" s="305" t="s">
        <v>8698</v>
      </c>
      <c r="C498" s="305"/>
      <c r="D498" s="305"/>
      <c r="E498" s="81" t="s">
        <v>1358</v>
      </c>
      <c r="F498" s="81" t="s">
        <v>1348</v>
      </c>
      <c r="G498" s="81" t="s">
        <v>801</v>
      </c>
      <c r="H498" s="81" t="s">
        <v>8209</v>
      </c>
    </row>
    <row r="499" spans="1:8" ht="14.55" customHeight="1" x14ac:dyDescent="0.3">
      <c r="A499" s="25" t="s">
        <v>1359</v>
      </c>
      <c r="B499" s="305" t="s">
        <v>8732</v>
      </c>
      <c r="C499" s="305"/>
      <c r="D499" s="305"/>
      <c r="E499" s="305"/>
      <c r="F499" s="305"/>
      <c r="G499" s="305"/>
      <c r="H499" s="305"/>
    </row>
    <row r="500" spans="1:8" ht="14.55" customHeight="1" x14ac:dyDescent="0.3">
      <c r="A500" s="25" t="s">
        <v>1360</v>
      </c>
      <c r="B500" s="305" t="s">
        <v>1621</v>
      </c>
      <c r="C500" s="305"/>
      <c r="D500" s="81" t="s">
        <v>800</v>
      </c>
      <c r="E500" s="305" t="s">
        <v>8699</v>
      </c>
      <c r="F500" s="305"/>
      <c r="G500" s="305"/>
      <c r="H500" s="305"/>
    </row>
    <row r="501" spans="1:8" ht="14.55" customHeight="1" x14ac:dyDescent="0.3">
      <c r="A501" s="25" t="s">
        <v>1361</v>
      </c>
      <c r="B501" t="s">
        <v>1348</v>
      </c>
      <c r="C501" t="s">
        <v>53</v>
      </c>
      <c r="D501" s="80">
        <v>1.1000000000000001</v>
      </c>
      <c r="E501" t="s">
        <v>54</v>
      </c>
      <c r="F501" s="83">
        <v>0.5</v>
      </c>
      <c r="G501" t="s">
        <v>1343</v>
      </c>
      <c r="H501" t="str">
        <f>IF(G502="","Em aberto","Finalizado")</f>
        <v>Finalizado</v>
      </c>
    </row>
    <row r="502" spans="1:8" ht="14.55" customHeight="1" x14ac:dyDescent="0.3">
      <c r="A502" s="25" t="s">
        <v>1372</v>
      </c>
      <c r="B502" s="41" t="s">
        <v>45</v>
      </c>
      <c r="C502" s="177">
        <v>2</v>
      </c>
      <c r="D502" s="41" t="s">
        <v>48</v>
      </c>
      <c r="E502" s="177">
        <v>0</v>
      </c>
      <c r="F502" t="s">
        <v>1373</v>
      </c>
      <c r="G502">
        <f>IF(OR(C502="",E502=""),"",C502+E502)</f>
        <v>2</v>
      </c>
    </row>
    <row r="503" spans="1:8" ht="14.55" customHeight="1" x14ac:dyDescent="0.3">
      <c r="A503" s="25" t="s">
        <v>1374</v>
      </c>
      <c r="B503" t="s">
        <v>426</v>
      </c>
      <c r="C503" s="111" t="str">
        <f>IF(G502="","",IF(G502&gt;=2,"Green","Red"))</f>
        <v>Green</v>
      </c>
      <c r="D503" t="s">
        <v>1342</v>
      </c>
      <c r="E503" s="83">
        <f>IF(G502="","",IF(G502&gt;=2,F501*(D501-1),-F501))</f>
        <v>5.0000000000000044E-2</v>
      </c>
      <c r="F503" s="305" t="s">
        <v>8283</v>
      </c>
      <c r="G503" s="305"/>
      <c r="H503" s="305"/>
    </row>
    <row r="504" spans="1:8" ht="14.55" customHeight="1" x14ac:dyDescent="0.3"/>
    <row r="505" spans="1:8" ht="14.55" customHeight="1" x14ac:dyDescent="0.3"/>
    <row r="506" spans="1:8" ht="17.55" customHeight="1" x14ac:dyDescent="0.35">
      <c r="A506" s="328">
        <f>DATE(2026,8,15)</f>
        <v>46249</v>
      </c>
      <c r="B506" s="328"/>
      <c r="C506" s="329" t="s">
        <v>8700</v>
      </c>
      <c r="D506" s="329"/>
      <c r="E506" s="329"/>
      <c r="F506" s="329"/>
      <c r="G506" s="329"/>
      <c r="H506" s="329"/>
    </row>
    <row r="507" spans="1:8" ht="14.55" customHeight="1" x14ac:dyDescent="0.3">
      <c r="A507" s="330" t="s">
        <v>847</v>
      </c>
      <c r="B507" s="330"/>
      <c r="C507" s="330"/>
      <c r="D507" s="330"/>
      <c r="E507" s="315" t="s">
        <v>1370</v>
      </c>
      <c r="F507" s="315"/>
      <c r="G507" s="330" t="s">
        <v>8681</v>
      </c>
      <c r="H507" s="330"/>
    </row>
    <row r="508" spans="1:8" ht="14.55" customHeight="1" x14ac:dyDescent="0.3">
      <c r="A508" s="25" t="s">
        <v>1357</v>
      </c>
      <c r="B508" s="305" t="s">
        <v>8701</v>
      </c>
      <c r="C508" s="305"/>
      <c r="D508" s="305"/>
      <c r="E508" s="81" t="s">
        <v>1358</v>
      </c>
      <c r="F508" s="81" t="s">
        <v>1348</v>
      </c>
      <c r="G508" s="81" t="s">
        <v>801</v>
      </c>
      <c r="H508" s="81" t="s">
        <v>8218</v>
      </c>
    </row>
    <row r="509" spans="1:8" ht="14.55" customHeight="1" x14ac:dyDescent="0.3">
      <c r="A509" s="25" t="s">
        <v>1359</v>
      </c>
      <c r="B509" s="305" t="s">
        <v>8733</v>
      </c>
      <c r="C509" s="305"/>
      <c r="D509" s="305"/>
      <c r="E509" s="305"/>
      <c r="F509" s="305"/>
      <c r="G509" s="305"/>
      <c r="H509" s="305"/>
    </row>
    <row r="510" spans="1:8" ht="14.55" customHeight="1" x14ac:dyDescent="0.3">
      <c r="A510" s="25" t="s">
        <v>1360</v>
      </c>
      <c r="B510" s="305" t="s">
        <v>8224</v>
      </c>
      <c r="C510" s="305"/>
      <c r="D510" s="81" t="s">
        <v>800</v>
      </c>
      <c r="E510" s="305" t="s">
        <v>8702</v>
      </c>
      <c r="F510" s="305"/>
      <c r="G510" s="305"/>
      <c r="H510" s="305"/>
    </row>
    <row r="511" spans="1:8" ht="14.55" customHeight="1" x14ac:dyDescent="0.3">
      <c r="A511" s="25" t="s">
        <v>1361</v>
      </c>
      <c r="B511" t="s">
        <v>1348</v>
      </c>
      <c r="C511" t="s">
        <v>53</v>
      </c>
      <c r="D511" s="80">
        <v>1.1200000000000001</v>
      </c>
      <c r="E511" t="s">
        <v>54</v>
      </c>
      <c r="F511" s="83">
        <v>0.5</v>
      </c>
      <c r="G511" t="s">
        <v>1343</v>
      </c>
      <c r="H511" t="str">
        <f>IF(G512="","Em aberto","Finalizado")</f>
        <v>Finalizado</v>
      </c>
    </row>
    <row r="512" spans="1:8" ht="14.55" customHeight="1" x14ac:dyDescent="0.3">
      <c r="A512" s="25" t="s">
        <v>1372</v>
      </c>
      <c r="B512" s="41" t="s">
        <v>45</v>
      </c>
      <c r="C512" s="177">
        <v>2</v>
      </c>
      <c r="D512" s="41" t="s">
        <v>48</v>
      </c>
      <c r="E512" s="177">
        <v>3</v>
      </c>
      <c r="F512" t="s">
        <v>1373</v>
      </c>
      <c r="G512">
        <f>IF(OR(C512="",E512=""),"",C512+E512)</f>
        <v>5</v>
      </c>
    </row>
    <row r="513" spans="1:8" ht="14.55" customHeight="1" x14ac:dyDescent="0.3">
      <c r="A513" s="25" t="s">
        <v>1374</v>
      </c>
      <c r="B513" t="s">
        <v>426</v>
      </c>
      <c r="C513" s="111" t="str">
        <f>IF(G512="","",IF(G512&gt;=2,"Green","Red"))</f>
        <v>Green</v>
      </c>
      <c r="D513" t="s">
        <v>1342</v>
      </c>
      <c r="E513" s="83">
        <f>IF(G512="","",IF(G512&gt;=2,F511*(D511-1),-F511))</f>
        <v>6.0000000000000053E-2</v>
      </c>
      <c r="F513" s="305" t="s">
        <v>8283</v>
      </c>
      <c r="G513" s="305"/>
      <c r="H513" s="305"/>
    </row>
    <row r="514" spans="1:8" ht="14.55" customHeight="1" x14ac:dyDescent="0.3"/>
    <row r="515" spans="1:8" ht="14.55" customHeight="1" x14ac:dyDescent="0.3"/>
    <row r="516" spans="1:8" ht="17.55" customHeight="1" x14ac:dyDescent="0.35">
      <c r="A516" s="328">
        <f>DATE(2026,8,15)</f>
        <v>46249</v>
      </c>
      <c r="B516" s="328"/>
      <c r="C516" s="329" t="s">
        <v>8703</v>
      </c>
      <c r="D516" s="329"/>
      <c r="E516" s="329"/>
      <c r="F516" s="329"/>
      <c r="G516" s="329"/>
      <c r="H516" s="329"/>
    </row>
    <row r="517" spans="1:8" ht="14.55" customHeight="1" x14ac:dyDescent="0.3">
      <c r="A517" s="330" t="s">
        <v>847</v>
      </c>
      <c r="B517" s="330"/>
      <c r="C517" s="330"/>
      <c r="D517" s="330"/>
      <c r="E517" s="315" t="s">
        <v>1370</v>
      </c>
      <c r="F517" s="315"/>
      <c r="G517" s="330" t="s">
        <v>8681</v>
      </c>
      <c r="H517" s="330"/>
    </row>
    <row r="518" spans="1:8" ht="14.55" customHeight="1" x14ac:dyDescent="0.3">
      <c r="A518" s="25" t="s">
        <v>1357</v>
      </c>
      <c r="B518" s="305" t="s">
        <v>8704</v>
      </c>
      <c r="C518" s="305"/>
      <c r="D518" s="305"/>
      <c r="E518" s="81" t="s">
        <v>1358</v>
      </c>
      <c r="F518" s="81" t="s">
        <v>1348</v>
      </c>
      <c r="G518" s="81" t="s">
        <v>801</v>
      </c>
      <c r="H518" s="81" t="s">
        <v>8218</v>
      </c>
    </row>
    <row r="519" spans="1:8" ht="14.55" customHeight="1" x14ac:dyDescent="0.3">
      <c r="A519" s="25" t="s">
        <v>1359</v>
      </c>
      <c r="B519" s="305" t="s">
        <v>1624</v>
      </c>
      <c r="C519" s="305"/>
      <c r="D519" s="305"/>
      <c r="E519" s="305"/>
      <c r="F519" s="305"/>
      <c r="G519" s="305"/>
      <c r="H519" s="305"/>
    </row>
    <row r="520" spans="1:8" ht="14.55" customHeight="1" x14ac:dyDescent="0.3">
      <c r="A520" s="25" t="s">
        <v>1360</v>
      </c>
      <c r="B520" s="305" t="s">
        <v>1624</v>
      </c>
      <c r="C520" s="305"/>
      <c r="D520" s="81" t="s">
        <v>800</v>
      </c>
      <c r="E520" s="305" t="s">
        <v>8702</v>
      </c>
      <c r="F520" s="305"/>
      <c r="G520" s="305"/>
      <c r="H520" s="305"/>
    </row>
    <row r="521" spans="1:8" ht="14.55" customHeight="1" x14ac:dyDescent="0.3">
      <c r="A521" s="25" t="s">
        <v>1361</v>
      </c>
      <c r="B521" t="s">
        <v>1348</v>
      </c>
      <c r="C521" t="s">
        <v>53</v>
      </c>
      <c r="D521" s="80">
        <v>1.18</v>
      </c>
      <c r="E521" t="s">
        <v>54</v>
      </c>
      <c r="F521" s="83">
        <v>0.5</v>
      </c>
      <c r="G521" t="s">
        <v>1343</v>
      </c>
      <c r="H521" t="str">
        <f>IF(G522="","Em aberto","Finalizado")</f>
        <v>Finalizado</v>
      </c>
    </row>
    <row r="522" spans="1:8" ht="14.55" customHeight="1" x14ac:dyDescent="0.3">
      <c r="A522" s="25" t="s">
        <v>1372</v>
      </c>
      <c r="B522" s="41" t="s">
        <v>45</v>
      </c>
      <c r="C522" s="177">
        <v>1</v>
      </c>
      <c r="D522" s="41" t="s">
        <v>48</v>
      </c>
      <c r="E522" s="177">
        <v>2</v>
      </c>
      <c r="F522" t="s">
        <v>1373</v>
      </c>
      <c r="G522">
        <f>IF(OR(C522="",E522=""),"",C522+E522)</f>
        <v>3</v>
      </c>
    </row>
    <row r="523" spans="1:8" ht="14.55" customHeight="1" x14ac:dyDescent="0.3">
      <c r="A523" s="25" t="s">
        <v>1374</v>
      </c>
      <c r="B523" t="s">
        <v>426</v>
      </c>
      <c r="C523" s="111" t="str">
        <f>IF(G522="","",IF(G522&gt;=2,"Green","Red"))</f>
        <v>Green</v>
      </c>
      <c r="D523" t="s">
        <v>1342</v>
      </c>
      <c r="E523" s="83">
        <f>IF(G522="","",IF(G522&gt;=2,F521*(D521-1),-F521))</f>
        <v>8.9999999999999969E-2</v>
      </c>
      <c r="F523" s="305" t="s">
        <v>8283</v>
      </c>
      <c r="G523" s="305"/>
      <c r="H523" s="305"/>
    </row>
    <row r="524" spans="1:8" ht="14.55" customHeight="1" x14ac:dyDescent="0.3"/>
    <row r="525" spans="1:8" ht="14.55" customHeight="1" x14ac:dyDescent="0.3"/>
    <row r="526" spans="1:8" ht="17.55" customHeight="1" x14ac:dyDescent="0.35">
      <c r="A526" s="328">
        <f>DATE(2026,8,15)</f>
        <v>46249</v>
      </c>
      <c r="B526" s="328"/>
      <c r="C526" s="329" t="s">
        <v>8705</v>
      </c>
      <c r="D526" s="329"/>
      <c r="E526" s="329"/>
      <c r="F526" s="329"/>
      <c r="G526" s="329"/>
      <c r="H526" s="329"/>
    </row>
    <row r="527" spans="1:8" ht="14.55" customHeight="1" x14ac:dyDescent="0.3">
      <c r="A527" s="330" t="s">
        <v>847</v>
      </c>
      <c r="B527" s="330"/>
      <c r="C527" s="330"/>
      <c r="D527" s="330"/>
      <c r="E527" s="315" t="s">
        <v>1370</v>
      </c>
      <c r="F527" s="315"/>
      <c r="G527" s="330" t="s">
        <v>8681</v>
      </c>
      <c r="H527" s="330"/>
    </row>
    <row r="528" spans="1:8" ht="14.55" customHeight="1" x14ac:dyDescent="0.3">
      <c r="A528" s="25" t="s">
        <v>1357</v>
      </c>
      <c r="B528" s="305" t="s">
        <v>8706</v>
      </c>
      <c r="C528" s="305"/>
      <c r="D528" s="305"/>
      <c r="E528" s="81" t="s">
        <v>1358</v>
      </c>
      <c r="F528" s="81" t="s">
        <v>1348</v>
      </c>
      <c r="G528" s="81" t="s">
        <v>801</v>
      </c>
      <c r="H528" s="81" t="s">
        <v>8218</v>
      </c>
    </row>
    <row r="529" spans="1:8" ht="14.55" customHeight="1" x14ac:dyDescent="0.3">
      <c r="A529" s="25" t="s">
        <v>1359</v>
      </c>
      <c r="B529" s="305" t="s">
        <v>8734</v>
      </c>
      <c r="C529" s="305"/>
      <c r="D529" s="305"/>
      <c r="E529" s="305"/>
      <c r="F529" s="305"/>
      <c r="G529" s="305"/>
      <c r="H529" s="305"/>
    </row>
    <row r="530" spans="1:8" ht="14.55" customHeight="1" x14ac:dyDescent="0.3">
      <c r="A530" s="25" t="s">
        <v>1360</v>
      </c>
      <c r="B530" s="305" t="s">
        <v>8690</v>
      </c>
      <c r="C530" s="305"/>
      <c r="D530" s="81" t="s">
        <v>800</v>
      </c>
      <c r="E530" s="305" t="s">
        <v>8702</v>
      </c>
      <c r="F530" s="305"/>
      <c r="G530" s="305"/>
      <c r="H530" s="305"/>
    </row>
    <row r="531" spans="1:8" ht="14.55" customHeight="1" x14ac:dyDescent="0.3">
      <c r="A531" s="25" t="s">
        <v>1361</v>
      </c>
      <c r="B531" t="s">
        <v>1348</v>
      </c>
      <c r="C531" t="s">
        <v>53</v>
      </c>
      <c r="D531" s="80">
        <v>1.21</v>
      </c>
      <c r="E531" t="s">
        <v>54</v>
      </c>
      <c r="F531" s="83">
        <v>0.5</v>
      </c>
      <c r="G531" t="s">
        <v>1343</v>
      </c>
      <c r="H531" t="str">
        <f>IF(G532="","Em aberto","Finalizado")</f>
        <v>Finalizado</v>
      </c>
    </row>
    <row r="532" spans="1:8" ht="14.55" customHeight="1" x14ac:dyDescent="0.3">
      <c r="A532" s="25" t="s">
        <v>1372</v>
      </c>
      <c r="B532" s="41" t="s">
        <v>45</v>
      </c>
      <c r="C532" s="177">
        <v>2</v>
      </c>
      <c r="D532" s="41" t="s">
        <v>48</v>
      </c>
      <c r="E532" s="177">
        <v>4</v>
      </c>
      <c r="F532" t="s">
        <v>1373</v>
      </c>
      <c r="G532">
        <f>IF(OR(C532="",E532=""),"",C532+E532)</f>
        <v>6</v>
      </c>
    </row>
    <row r="533" spans="1:8" ht="14.55" customHeight="1" x14ac:dyDescent="0.3">
      <c r="A533" s="25" t="s">
        <v>1374</v>
      </c>
      <c r="B533" t="s">
        <v>426</v>
      </c>
      <c r="C533" s="111" t="str">
        <f>IF(G532="","",IF(G532&gt;=2,"Green","Red"))</f>
        <v>Green</v>
      </c>
      <c r="D533" t="s">
        <v>1342</v>
      </c>
      <c r="E533" s="83">
        <f>IF(G532="","",IF(G532&gt;=2,F531*(D531-1),-F531))</f>
        <v>0.10499999999999998</v>
      </c>
      <c r="F533" s="305" t="s">
        <v>8283</v>
      </c>
      <c r="G533" s="305"/>
      <c r="H533" s="305"/>
    </row>
    <row r="534" spans="1:8" ht="14.55" customHeight="1" x14ac:dyDescent="0.3"/>
    <row r="535" spans="1:8" ht="14.55" customHeight="1" x14ac:dyDescent="0.3"/>
    <row r="536" spans="1:8" ht="17.55" customHeight="1" x14ac:dyDescent="0.35">
      <c r="A536" s="328">
        <f>DATE(2026,8,15)</f>
        <v>46249</v>
      </c>
      <c r="B536" s="328"/>
      <c r="C536" s="329" t="s">
        <v>8707</v>
      </c>
      <c r="D536" s="329"/>
      <c r="E536" s="329"/>
      <c r="F536" s="329"/>
      <c r="G536" s="329"/>
      <c r="H536" s="329"/>
    </row>
    <row r="537" spans="1:8" ht="14.55" customHeight="1" x14ac:dyDescent="0.3">
      <c r="A537" s="330" t="s">
        <v>7895</v>
      </c>
      <c r="B537" s="330"/>
      <c r="C537" s="330"/>
      <c r="D537" s="330"/>
      <c r="E537" s="315" t="s">
        <v>1370</v>
      </c>
      <c r="F537" s="315"/>
      <c r="G537" s="330" t="s">
        <v>8681</v>
      </c>
      <c r="H537" s="330"/>
    </row>
    <row r="538" spans="1:8" ht="14.55" customHeight="1" x14ac:dyDescent="0.3">
      <c r="A538" s="25" t="s">
        <v>1357</v>
      </c>
      <c r="B538" s="305" t="s">
        <v>8708</v>
      </c>
      <c r="C538" s="305"/>
      <c r="D538" s="305"/>
      <c r="E538" s="81" t="s">
        <v>1358</v>
      </c>
      <c r="F538" s="81" t="s">
        <v>1348</v>
      </c>
      <c r="G538" s="81" t="s">
        <v>801</v>
      </c>
      <c r="H538" s="81" t="s">
        <v>8709</v>
      </c>
    </row>
    <row r="539" spans="1:8" ht="14.55" customHeight="1" x14ac:dyDescent="0.3">
      <c r="A539" s="25" t="s">
        <v>1359</v>
      </c>
      <c r="B539" s="305" t="s">
        <v>8710</v>
      </c>
      <c r="C539" s="305"/>
      <c r="D539" s="305"/>
      <c r="E539" s="305"/>
      <c r="F539" s="305"/>
      <c r="G539" s="305"/>
      <c r="H539" s="305"/>
    </row>
    <row r="540" spans="1:8" ht="14.55" customHeight="1" x14ac:dyDescent="0.3">
      <c r="A540" s="25" t="s">
        <v>1360</v>
      </c>
      <c r="B540" s="305" t="s">
        <v>8710</v>
      </c>
      <c r="C540" s="305"/>
      <c r="D540" s="81" t="s">
        <v>800</v>
      </c>
      <c r="E540" s="305" t="s">
        <v>8711</v>
      </c>
      <c r="F540" s="305"/>
      <c r="G540" s="305"/>
      <c r="H540" s="305"/>
    </row>
    <row r="541" spans="1:8" ht="14.55" customHeight="1" x14ac:dyDescent="0.3">
      <c r="A541" s="25" t="s">
        <v>1361</v>
      </c>
      <c r="B541" t="s">
        <v>1348</v>
      </c>
      <c r="C541" t="s">
        <v>53</v>
      </c>
      <c r="D541" s="80">
        <v>1.1599999999999999</v>
      </c>
      <c r="E541" t="s">
        <v>54</v>
      </c>
      <c r="F541" s="83">
        <v>0.5</v>
      </c>
      <c r="G541" t="s">
        <v>1343</v>
      </c>
      <c r="H541" t="str">
        <f>IF(G542="","Em aberto","Finalizado")</f>
        <v>Finalizado</v>
      </c>
    </row>
    <row r="542" spans="1:8" ht="14.55" customHeight="1" x14ac:dyDescent="0.3">
      <c r="A542" s="25" t="s">
        <v>1372</v>
      </c>
      <c r="B542" s="41" t="s">
        <v>45</v>
      </c>
      <c r="C542" s="177">
        <v>1</v>
      </c>
      <c r="D542" s="41" t="s">
        <v>48</v>
      </c>
      <c r="E542" s="177">
        <v>0</v>
      </c>
      <c r="F542" t="s">
        <v>1373</v>
      </c>
      <c r="G542">
        <f>IF(OR(C542="",E542=""),"",C542+E542)</f>
        <v>1</v>
      </c>
    </row>
    <row r="543" spans="1:8" ht="14.55" customHeight="1" x14ac:dyDescent="0.3">
      <c r="A543" s="25" t="s">
        <v>1374</v>
      </c>
      <c r="B543" t="s">
        <v>426</v>
      </c>
      <c r="C543" s="111" t="str">
        <f>IF(G542="","",IF(G542&gt;=2,"Green","Red"))</f>
        <v>Red</v>
      </c>
      <c r="D543" t="s">
        <v>1342</v>
      </c>
      <c r="E543" s="83">
        <f>IF(G542="","",IF(G542&gt;=2,F541*(D541-1),-F541))</f>
        <v>-0.5</v>
      </c>
      <c r="F543" s="305" t="s">
        <v>8283</v>
      </c>
      <c r="G543" s="305"/>
      <c r="H543" s="305"/>
    </row>
    <row r="544" spans="1:8" ht="14.55" customHeight="1" x14ac:dyDescent="0.3"/>
    <row r="545" spans="1:8" ht="14.55" customHeight="1" x14ac:dyDescent="0.3"/>
    <row r="546" spans="1:8" ht="17.55" customHeight="1" x14ac:dyDescent="0.35">
      <c r="A546" s="328">
        <f>DATE(2026,8,15)</f>
        <v>46249</v>
      </c>
      <c r="B546" s="328"/>
      <c r="C546" s="329" t="s">
        <v>8712</v>
      </c>
      <c r="D546" s="329"/>
      <c r="E546" s="329"/>
      <c r="F546" s="329"/>
      <c r="G546" s="329"/>
      <c r="H546" s="329"/>
    </row>
    <row r="547" spans="1:8" ht="14.55" customHeight="1" x14ac:dyDescent="0.3">
      <c r="A547" s="330" t="s">
        <v>1335</v>
      </c>
      <c r="B547" s="330"/>
      <c r="C547" s="330"/>
      <c r="D547" s="330"/>
      <c r="E547" s="315" t="s">
        <v>1370</v>
      </c>
      <c r="F547" s="315"/>
      <c r="G547" s="330" t="s">
        <v>8681</v>
      </c>
      <c r="H547" s="330"/>
    </row>
    <row r="548" spans="1:8" ht="14.55" customHeight="1" x14ac:dyDescent="0.3">
      <c r="A548" s="25" t="s">
        <v>1357</v>
      </c>
      <c r="B548" s="305" t="s">
        <v>8713</v>
      </c>
      <c r="C548" s="305"/>
      <c r="D548" s="305"/>
      <c r="E548" s="81" t="s">
        <v>1358</v>
      </c>
      <c r="F548" s="81" t="s">
        <v>1348</v>
      </c>
      <c r="G548" s="81" t="s">
        <v>801</v>
      </c>
      <c r="H548" s="81" t="s">
        <v>8218</v>
      </c>
    </row>
    <row r="549" spans="1:8" ht="14.55" customHeight="1" x14ac:dyDescent="0.3">
      <c r="A549" s="25" t="s">
        <v>1359</v>
      </c>
      <c r="B549" s="305" t="s">
        <v>8735</v>
      </c>
      <c r="C549" s="305"/>
      <c r="D549" s="305"/>
      <c r="E549" s="305"/>
      <c r="F549" s="305"/>
      <c r="G549" s="305"/>
      <c r="H549" s="305"/>
    </row>
    <row r="550" spans="1:8" ht="14.55" customHeight="1" x14ac:dyDescent="0.3">
      <c r="A550" s="25" t="s">
        <v>1360</v>
      </c>
      <c r="B550" s="305" t="s">
        <v>8714</v>
      </c>
      <c r="C550" s="305"/>
      <c r="D550" s="81" t="s">
        <v>800</v>
      </c>
      <c r="E550" s="305" t="s">
        <v>8715</v>
      </c>
      <c r="F550" s="305"/>
      <c r="G550" s="305"/>
      <c r="H550" s="305"/>
    </row>
    <row r="551" spans="1:8" ht="14.55" customHeight="1" x14ac:dyDescent="0.3">
      <c r="A551" s="25" t="s">
        <v>1361</v>
      </c>
      <c r="B551" t="s">
        <v>1348</v>
      </c>
      <c r="C551" t="s">
        <v>53</v>
      </c>
      <c r="D551" s="80">
        <v>1.1100000000000001</v>
      </c>
      <c r="E551" t="s">
        <v>54</v>
      </c>
      <c r="F551" s="83">
        <v>0.5</v>
      </c>
      <c r="G551" t="s">
        <v>1343</v>
      </c>
      <c r="H551" t="str">
        <f>IF(G552="","Em aberto","Finalizado")</f>
        <v>Finalizado</v>
      </c>
    </row>
    <row r="552" spans="1:8" ht="14.55" customHeight="1" x14ac:dyDescent="0.3">
      <c r="A552" s="25" t="s">
        <v>1372</v>
      </c>
      <c r="B552" s="41" t="s">
        <v>45</v>
      </c>
      <c r="C552" s="177">
        <v>2</v>
      </c>
      <c r="D552" s="41" t="s">
        <v>48</v>
      </c>
      <c r="E552" s="177">
        <v>1</v>
      </c>
      <c r="F552" t="s">
        <v>1373</v>
      </c>
      <c r="G552">
        <f>IF(OR(C552="",E552=""),"",C552+E552)</f>
        <v>3</v>
      </c>
    </row>
    <row r="553" spans="1:8" ht="14.55" customHeight="1" x14ac:dyDescent="0.3">
      <c r="A553" s="25" t="s">
        <v>1374</v>
      </c>
      <c r="B553" t="s">
        <v>426</v>
      </c>
      <c r="C553" s="111" t="str">
        <f>IF(G552="","",IF(G552&gt;=2,"Green","Red"))</f>
        <v>Green</v>
      </c>
      <c r="D553" t="s">
        <v>1342</v>
      </c>
      <c r="E553" s="83">
        <f>IF(G552="","",IF(G552&gt;=2,F551*(D551-1),-F551))</f>
        <v>5.5000000000000049E-2</v>
      </c>
      <c r="F553" s="305" t="s">
        <v>8283</v>
      </c>
      <c r="G553" s="305"/>
      <c r="H553" s="305"/>
    </row>
    <row r="554" spans="1:8" ht="14.55" customHeight="1" x14ac:dyDescent="0.3"/>
    <row r="555" spans="1:8" ht="14.55" customHeight="1" x14ac:dyDescent="0.3"/>
    <row r="556" spans="1:8" ht="17.55" customHeight="1" x14ac:dyDescent="0.35">
      <c r="A556" s="328">
        <f>DATE(2026,8,15)</f>
        <v>46249</v>
      </c>
      <c r="B556" s="328"/>
      <c r="C556" s="329" t="s">
        <v>8716</v>
      </c>
      <c r="D556" s="329"/>
      <c r="E556" s="329"/>
      <c r="F556" s="329"/>
      <c r="G556" s="329"/>
      <c r="H556" s="329"/>
    </row>
    <row r="557" spans="1:8" ht="14.55" customHeight="1" x14ac:dyDescent="0.3">
      <c r="A557" s="330" t="s">
        <v>844</v>
      </c>
      <c r="B557" s="330"/>
      <c r="C557" s="330"/>
      <c r="D557" s="330"/>
      <c r="E557" s="315" t="s">
        <v>1370</v>
      </c>
      <c r="F557" s="315"/>
      <c r="G557" s="330" t="s">
        <v>8681</v>
      </c>
      <c r="H557" s="330"/>
    </row>
    <row r="558" spans="1:8" ht="14.55" customHeight="1" x14ac:dyDescent="0.3">
      <c r="A558" s="25" t="s">
        <v>1357</v>
      </c>
      <c r="B558" s="305" t="s">
        <v>8281</v>
      </c>
      <c r="C558" s="305"/>
      <c r="D558" s="305"/>
      <c r="E558" s="81" t="s">
        <v>1358</v>
      </c>
      <c r="F558" s="81" t="s">
        <v>1348</v>
      </c>
      <c r="G558" s="81" t="s">
        <v>801</v>
      </c>
      <c r="H558" s="81" t="s">
        <v>8209</v>
      </c>
    </row>
    <row r="559" spans="1:8" ht="14.55" customHeight="1" x14ac:dyDescent="0.3">
      <c r="A559" s="25" t="s">
        <v>1359</v>
      </c>
      <c r="B559" s="305" t="s">
        <v>8736</v>
      </c>
      <c r="C559" s="305"/>
      <c r="D559" s="305"/>
      <c r="E559" s="305"/>
      <c r="F559" s="305"/>
      <c r="G559" s="305"/>
      <c r="H559" s="305"/>
    </row>
    <row r="560" spans="1:8" ht="14.55" customHeight="1" x14ac:dyDescent="0.3">
      <c r="A560" s="25" t="s">
        <v>1360</v>
      </c>
      <c r="B560" s="305" t="s">
        <v>8717</v>
      </c>
      <c r="C560" s="305"/>
      <c r="D560" s="81" t="s">
        <v>800</v>
      </c>
      <c r="E560" s="305" t="s">
        <v>8718</v>
      </c>
      <c r="F560" s="305"/>
      <c r="G560" s="305"/>
      <c r="H560" s="305"/>
    </row>
    <row r="561" spans="1:8" ht="14.55" customHeight="1" x14ac:dyDescent="0.3">
      <c r="A561" s="25" t="s">
        <v>1361</v>
      </c>
      <c r="B561" t="s">
        <v>1348</v>
      </c>
      <c r="C561" t="s">
        <v>53</v>
      </c>
      <c r="D561" s="80">
        <v>1.125</v>
      </c>
      <c r="E561" t="s">
        <v>54</v>
      </c>
      <c r="F561" s="83">
        <v>0.5</v>
      </c>
      <c r="G561" t="s">
        <v>1343</v>
      </c>
      <c r="H561" t="str">
        <f>IF(G562="","Em aberto","Finalizado")</f>
        <v>Finalizado</v>
      </c>
    </row>
    <row r="562" spans="1:8" ht="14.55" customHeight="1" x14ac:dyDescent="0.3">
      <c r="A562" s="25" t="s">
        <v>1372</v>
      </c>
      <c r="B562" s="41" t="s">
        <v>45</v>
      </c>
      <c r="C562" s="177">
        <v>0</v>
      </c>
      <c r="D562" s="41" t="s">
        <v>48</v>
      </c>
      <c r="E562" s="177">
        <v>2</v>
      </c>
      <c r="F562" t="s">
        <v>1373</v>
      </c>
      <c r="G562">
        <f>IF(OR(C562="",E562=""),"",C562+E562)</f>
        <v>2</v>
      </c>
    </row>
    <row r="563" spans="1:8" ht="14.55" customHeight="1" x14ac:dyDescent="0.3">
      <c r="A563" s="25" t="s">
        <v>1374</v>
      </c>
      <c r="B563" t="s">
        <v>426</v>
      </c>
      <c r="C563" s="111" t="str">
        <f>IF(G562="","",IF(G562&gt;=2,"Green","Red"))</f>
        <v>Green</v>
      </c>
      <c r="D563" t="s">
        <v>1342</v>
      </c>
      <c r="E563" s="83">
        <f>IF(G562="","",IF(G562&gt;=2,F561*(D561-1),-F561))</f>
        <v>6.25E-2</v>
      </c>
      <c r="F563" s="305" t="s">
        <v>8283</v>
      </c>
      <c r="G563" s="305"/>
      <c r="H563" s="305"/>
    </row>
    <row r="564" spans="1:8" ht="14.55" customHeight="1" x14ac:dyDescent="0.3"/>
    <row r="565" spans="1:8" ht="14.55" customHeight="1" x14ac:dyDescent="0.3"/>
    <row r="566" spans="1:8" ht="17.55" customHeight="1" x14ac:dyDescent="0.35">
      <c r="A566" s="328">
        <f>DATE(2026,8,15)</f>
        <v>46249</v>
      </c>
      <c r="B566" s="328"/>
      <c r="C566" s="329" t="s">
        <v>8719</v>
      </c>
      <c r="D566" s="329"/>
      <c r="E566" s="329"/>
      <c r="F566" s="329"/>
      <c r="G566" s="329"/>
      <c r="H566" s="329"/>
    </row>
    <row r="567" spans="1:8" ht="14.55" customHeight="1" x14ac:dyDescent="0.3">
      <c r="A567" s="330" t="s">
        <v>844</v>
      </c>
      <c r="B567" s="330"/>
      <c r="C567" s="330"/>
      <c r="D567" s="330"/>
      <c r="E567" s="315" t="s">
        <v>1370</v>
      </c>
      <c r="F567" s="315"/>
      <c r="G567" s="330" t="s">
        <v>8681</v>
      </c>
      <c r="H567" s="330"/>
    </row>
    <row r="568" spans="1:8" ht="14.55" customHeight="1" x14ac:dyDescent="0.3">
      <c r="A568" s="25" t="s">
        <v>1357</v>
      </c>
      <c r="B568" s="305" t="s">
        <v>8720</v>
      </c>
      <c r="C568" s="305"/>
      <c r="D568" s="305"/>
      <c r="E568" s="81" t="s">
        <v>1358</v>
      </c>
      <c r="F568" s="81" t="s">
        <v>1348</v>
      </c>
      <c r="G568" s="81" t="s">
        <v>801</v>
      </c>
      <c r="H568" s="81" t="s">
        <v>8721</v>
      </c>
    </row>
    <row r="569" spans="1:8" ht="14.55" customHeight="1" x14ac:dyDescent="0.3">
      <c r="A569" s="25" t="s">
        <v>1359</v>
      </c>
      <c r="B569" s="305" t="s">
        <v>8737</v>
      </c>
      <c r="C569" s="305"/>
      <c r="D569" s="305"/>
      <c r="E569" s="305"/>
      <c r="F569" s="305"/>
      <c r="G569" s="305"/>
      <c r="H569" s="305"/>
    </row>
    <row r="570" spans="1:8" ht="14.55" customHeight="1" x14ac:dyDescent="0.3">
      <c r="A570" s="25" t="s">
        <v>1360</v>
      </c>
      <c r="B570" s="305" t="s">
        <v>8722</v>
      </c>
      <c r="C570" s="305"/>
      <c r="D570" s="81" t="s">
        <v>800</v>
      </c>
      <c r="E570" s="305" t="s">
        <v>8723</v>
      </c>
      <c r="F570" s="305"/>
      <c r="G570" s="305"/>
      <c r="H570" s="305"/>
    </row>
    <row r="571" spans="1:8" ht="14.55" customHeight="1" x14ac:dyDescent="0.3">
      <c r="A571" s="25" t="s">
        <v>1361</v>
      </c>
      <c r="B571" t="s">
        <v>1348</v>
      </c>
      <c r="C571" t="s">
        <v>53</v>
      </c>
      <c r="D571" s="80">
        <v>1.115</v>
      </c>
      <c r="E571" t="s">
        <v>54</v>
      </c>
      <c r="F571" s="83">
        <v>0.5</v>
      </c>
      <c r="G571" t="s">
        <v>1343</v>
      </c>
      <c r="H571" t="str">
        <f>IF(G572="","Em aberto","Finalizado")</f>
        <v>Finalizado</v>
      </c>
    </row>
    <row r="572" spans="1:8" ht="14.55" customHeight="1" x14ac:dyDescent="0.3">
      <c r="A572" s="25" t="s">
        <v>1372</v>
      </c>
      <c r="B572" s="41" t="s">
        <v>45</v>
      </c>
      <c r="C572" s="177">
        <v>3</v>
      </c>
      <c r="D572" s="41" t="s">
        <v>48</v>
      </c>
      <c r="E572" s="177">
        <v>3</v>
      </c>
      <c r="F572" t="s">
        <v>1373</v>
      </c>
      <c r="G572">
        <f>IF(OR(C572="",E572=""),"",C572+E572)</f>
        <v>6</v>
      </c>
    </row>
    <row r="573" spans="1:8" ht="14.55" customHeight="1" x14ac:dyDescent="0.3">
      <c r="A573" s="25" t="s">
        <v>1374</v>
      </c>
      <c r="B573" t="s">
        <v>426</v>
      </c>
      <c r="C573" s="111" t="str">
        <f>IF(G572="","",IF(G572&gt;=2,"Green","Red"))</f>
        <v>Green</v>
      </c>
      <c r="D573" t="s">
        <v>1342</v>
      </c>
      <c r="E573" s="83">
        <f>IF(G572="","",IF(G572&gt;=2,F571*(D571-1),-F571))</f>
        <v>5.7499999999999996E-2</v>
      </c>
      <c r="F573" s="305" t="s">
        <v>8724</v>
      </c>
      <c r="G573" s="305"/>
      <c r="H573" s="305"/>
    </row>
    <row r="574" spans="1:8" ht="14.55" customHeight="1" x14ac:dyDescent="0.3"/>
    <row r="575" spans="1:8" ht="14.55" customHeight="1" x14ac:dyDescent="0.3"/>
    <row r="576" spans="1:8" ht="17.55" customHeight="1" x14ac:dyDescent="0.35">
      <c r="A576" s="328">
        <f>DATE(2026,8,15)</f>
        <v>46249</v>
      </c>
      <c r="B576" s="328"/>
      <c r="C576" s="329" t="s">
        <v>8725</v>
      </c>
      <c r="D576" s="329"/>
      <c r="E576" s="329"/>
      <c r="F576" s="329"/>
      <c r="G576" s="329"/>
      <c r="H576" s="329"/>
    </row>
    <row r="577" spans="1:8" ht="14.55" customHeight="1" x14ac:dyDescent="0.3">
      <c r="A577" s="330" t="s">
        <v>844</v>
      </c>
      <c r="B577" s="330"/>
      <c r="C577" s="330"/>
      <c r="D577" s="330"/>
      <c r="E577" s="315" t="s">
        <v>1370</v>
      </c>
      <c r="F577" s="315"/>
      <c r="G577" s="330" t="s">
        <v>8681</v>
      </c>
      <c r="H577" s="330"/>
    </row>
    <row r="578" spans="1:8" ht="14.55" customHeight="1" x14ac:dyDescent="0.3">
      <c r="A578" s="25" t="s">
        <v>1357</v>
      </c>
      <c r="B578" s="305" t="s">
        <v>8726</v>
      </c>
      <c r="C578" s="305"/>
      <c r="D578" s="305"/>
      <c r="E578" s="81" t="s">
        <v>1358</v>
      </c>
      <c r="F578" s="81" t="s">
        <v>1348</v>
      </c>
      <c r="G578" s="81" t="s">
        <v>801</v>
      </c>
      <c r="H578" s="81" t="s">
        <v>8218</v>
      </c>
    </row>
    <row r="579" spans="1:8" ht="14.55" customHeight="1" x14ac:dyDescent="0.3">
      <c r="A579" s="25" t="s">
        <v>1359</v>
      </c>
      <c r="B579" s="305" t="s">
        <v>8738</v>
      </c>
      <c r="C579" s="305"/>
      <c r="D579" s="305"/>
      <c r="E579" s="305"/>
      <c r="F579" s="305"/>
      <c r="G579" s="305"/>
      <c r="H579" s="305"/>
    </row>
    <row r="580" spans="1:8" ht="14.55" customHeight="1" x14ac:dyDescent="0.3">
      <c r="A580" s="25" t="s">
        <v>1360</v>
      </c>
      <c r="B580" s="305" t="s">
        <v>8727</v>
      </c>
      <c r="C580" s="305"/>
      <c r="D580" s="81" t="s">
        <v>800</v>
      </c>
      <c r="E580" s="305" t="s">
        <v>8728</v>
      </c>
      <c r="F580" s="305"/>
      <c r="G580" s="305"/>
      <c r="H580" s="305"/>
    </row>
    <row r="581" spans="1:8" ht="14.55" customHeight="1" x14ac:dyDescent="0.3">
      <c r="A581" s="25" t="s">
        <v>1361</v>
      </c>
      <c r="B581" t="s">
        <v>1348</v>
      </c>
      <c r="C581" t="s">
        <v>53</v>
      </c>
      <c r="D581" s="80">
        <v>1.05</v>
      </c>
      <c r="E581" t="s">
        <v>54</v>
      </c>
      <c r="F581" s="83">
        <v>0.5</v>
      </c>
      <c r="G581" t="s">
        <v>1343</v>
      </c>
      <c r="H581" t="str">
        <f>IF(G582="","Em aberto","Finalizado")</f>
        <v>Finalizado</v>
      </c>
    </row>
    <row r="582" spans="1:8" ht="14.55" customHeight="1" x14ac:dyDescent="0.3">
      <c r="A582" s="25" t="s">
        <v>1372</v>
      </c>
      <c r="B582" s="41" t="s">
        <v>45</v>
      </c>
      <c r="C582" s="177">
        <v>1</v>
      </c>
      <c r="D582" s="41" t="s">
        <v>48</v>
      </c>
      <c r="E582" s="177">
        <v>1</v>
      </c>
      <c r="F582" t="s">
        <v>1373</v>
      </c>
      <c r="G582">
        <f>IF(OR(C582="",E582=""),"",C582+E582)</f>
        <v>2</v>
      </c>
    </row>
    <row r="583" spans="1:8" ht="14.55" customHeight="1" x14ac:dyDescent="0.3">
      <c r="A583" s="25" t="s">
        <v>1374</v>
      </c>
      <c r="B583" t="s">
        <v>426</v>
      </c>
      <c r="C583" s="111" t="str">
        <f>IF(G582="","",IF(G582&gt;=2,"Green","Red"))</f>
        <v>Green</v>
      </c>
      <c r="D583" t="s">
        <v>1342</v>
      </c>
      <c r="E583" s="83">
        <f>IF(G582="","",IF(G582&gt;=2,F581*(D581-1),-F581))</f>
        <v>2.5000000000000022E-2</v>
      </c>
      <c r="F583" s="305" t="s">
        <v>8283</v>
      </c>
      <c r="G583" s="305"/>
      <c r="H583" s="305"/>
    </row>
    <row r="584" spans="1:8" ht="14.55" customHeight="1" x14ac:dyDescent="0.3"/>
    <row r="585" spans="1:8" ht="14.55" customHeight="1" x14ac:dyDescent="0.3"/>
    <row r="586" spans="1:8" ht="17.55" customHeight="1" x14ac:dyDescent="0.35">
      <c r="A586" s="328">
        <f>DATE(2026,8,15)</f>
        <v>46249</v>
      </c>
      <c r="B586" s="328"/>
      <c r="C586" s="329" t="s">
        <v>8739</v>
      </c>
      <c r="D586" s="329"/>
      <c r="E586" s="329"/>
      <c r="F586" s="329"/>
      <c r="G586" s="329"/>
      <c r="H586" s="329"/>
    </row>
    <row r="587" spans="1:8" ht="14.55" customHeight="1" x14ac:dyDescent="0.3">
      <c r="A587" s="330" t="s">
        <v>1336</v>
      </c>
      <c r="B587" s="330"/>
      <c r="C587" s="330"/>
      <c r="D587" s="330"/>
      <c r="E587" s="315" t="s">
        <v>1370</v>
      </c>
      <c r="F587" s="315"/>
      <c r="G587" s="330" t="s">
        <v>8681</v>
      </c>
      <c r="H587" s="330"/>
    </row>
    <row r="588" spans="1:8" ht="14.55" customHeight="1" x14ac:dyDescent="0.3">
      <c r="A588" s="25" t="s">
        <v>1357</v>
      </c>
      <c r="B588" s="305" t="s">
        <v>8740</v>
      </c>
      <c r="C588" s="305"/>
      <c r="D588" s="305"/>
      <c r="E588" s="81" t="s">
        <v>1358</v>
      </c>
      <c r="F588" s="81" t="s">
        <v>1436</v>
      </c>
      <c r="G588" s="81" t="s">
        <v>801</v>
      </c>
      <c r="H588" s="81" t="s">
        <v>8209</v>
      </c>
    </row>
    <row r="589" spans="1:8" ht="14.55" customHeight="1" x14ac:dyDescent="0.3">
      <c r="A589" s="25" t="s">
        <v>1359</v>
      </c>
      <c r="B589" s="305" t="s">
        <v>8741</v>
      </c>
      <c r="C589" s="305"/>
      <c r="D589" s="305"/>
      <c r="E589" s="305"/>
      <c r="F589" s="305"/>
      <c r="G589" s="305"/>
      <c r="H589" s="305"/>
    </row>
    <row r="590" spans="1:8" ht="14.55" customHeight="1" x14ac:dyDescent="0.3">
      <c r="A590" s="25" t="s">
        <v>1360</v>
      </c>
      <c r="B590" s="305" t="s">
        <v>1515</v>
      </c>
      <c r="C590" s="305"/>
      <c r="D590" s="81" t="s">
        <v>800</v>
      </c>
      <c r="E590" s="305" t="s">
        <v>8742</v>
      </c>
      <c r="F590" s="305"/>
      <c r="G590" s="305"/>
      <c r="H590" s="305"/>
    </row>
    <row r="591" spans="1:8" ht="14.55" customHeight="1" x14ac:dyDescent="0.3">
      <c r="A591" s="25" t="s">
        <v>1361</v>
      </c>
      <c r="B591" t="s">
        <v>1436</v>
      </c>
      <c r="C591" t="s">
        <v>53</v>
      </c>
      <c r="D591" s="80">
        <v>1.18</v>
      </c>
      <c r="E591" t="s">
        <v>54</v>
      </c>
      <c r="F591" s="83">
        <v>0.5</v>
      </c>
      <c r="G591" t="s">
        <v>1343</v>
      </c>
      <c r="H591" t="str">
        <f>IF(G592="","Em aberto","Finalizado")</f>
        <v>Finalizado</v>
      </c>
    </row>
    <row r="592" spans="1:8" ht="14.55" customHeight="1" x14ac:dyDescent="0.3">
      <c r="A592" s="25" t="s">
        <v>1372</v>
      </c>
      <c r="B592" s="41" t="s">
        <v>45</v>
      </c>
      <c r="C592" s="177">
        <v>0</v>
      </c>
      <c r="D592" s="41" t="s">
        <v>48</v>
      </c>
      <c r="E592" s="177">
        <v>3</v>
      </c>
      <c r="F592" t="s">
        <v>1373</v>
      </c>
      <c r="G592">
        <f>IF(OR(C592="",E592=""),"",C592+E592)</f>
        <v>3</v>
      </c>
    </row>
    <row r="593" spans="1:8" ht="14.55" customHeight="1" x14ac:dyDescent="0.3">
      <c r="A593" s="25" t="s">
        <v>1374</v>
      </c>
      <c r="B593" t="s">
        <v>426</v>
      </c>
      <c r="C593" s="111" t="str">
        <f>IF(G592="","",IF(G592&gt;2,"Green",IF(G592=2,"Meio Red","Red")))</f>
        <v>Green</v>
      </c>
      <c r="D593" t="s">
        <v>1342</v>
      </c>
      <c r="E593" s="83">
        <f>IF(G592="","",IF(G592&gt;2,F591*(D591-1),IF(G592=2,-F591/2,-F591)))</f>
        <v>8.9999999999999969E-2</v>
      </c>
      <c r="F593" s="305" t="s">
        <v>8279</v>
      </c>
      <c r="G593" s="305"/>
      <c r="H593" s="305"/>
    </row>
    <row r="594" spans="1:8" ht="14.55" customHeight="1" x14ac:dyDescent="0.3"/>
    <row r="595" spans="1:8" ht="14.55" customHeight="1" x14ac:dyDescent="0.3"/>
    <row r="596" spans="1:8" ht="17.55" customHeight="1" x14ac:dyDescent="0.35">
      <c r="A596" s="328">
        <f>DATE(2026,8,15)</f>
        <v>46249</v>
      </c>
      <c r="B596" s="328"/>
      <c r="C596" s="329" t="s">
        <v>8743</v>
      </c>
      <c r="D596" s="329"/>
      <c r="E596" s="329"/>
      <c r="F596" s="329"/>
      <c r="G596" s="329"/>
      <c r="H596" s="329"/>
    </row>
    <row r="597" spans="1:8" ht="14.55" customHeight="1" x14ac:dyDescent="0.3">
      <c r="A597" s="330" t="s">
        <v>1336</v>
      </c>
      <c r="B597" s="330"/>
      <c r="C597" s="330"/>
      <c r="D597" s="330"/>
      <c r="E597" s="315" t="s">
        <v>1370</v>
      </c>
      <c r="F597" s="315"/>
      <c r="G597" s="330" t="s">
        <v>8681</v>
      </c>
      <c r="H597" s="330"/>
    </row>
    <row r="598" spans="1:8" ht="14.55" customHeight="1" x14ac:dyDescent="0.3">
      <c r="A598" s="25" t="s">
        <v>1357</v>
      </c>
      <c r="B598" s="305" t="s">
        <v>8744</v>
      </c>
      <c r="C598" s="305"/>
      <c r="D598" s="305"/>
      <c r="E598" s="81" t="s">
        <v>1358</v>
      </c>
      <c r="F598" s="81" t="s">
        <v>1527</v>
      </c>
      <c r="G598" s="81" t="s">
        <v>801</v>
      </c>
      <c r="H598" s="81" t="s">
        <v>8745</v>
      </c>
    </row>
    <row r="599" spans="1:8" ht="14.55" customHeight="1" x14ac:dyDescent="0.3">
      <c r="A599" s="25" t="s">
        <v>1359</v>
      </c>
      <c r="B599" s="305" t="s">
        <v>8746</v>
      </c>
      <c r="C599" s="305"/>
      <c r="D599" s="305"/>
      <c r="E599" s="305"/>
      <c r="F599" s="305"/>
      <c r="G599" s="305"/>
      <c r="H599" s="305"/>
    </row>
    <row r="600" spans="1:8" ht="14.55" customHeight="1" x14ac:dyDescent="0.3">
      <c r="A600" s="25" t="s">
        <v>1360</v>
      </c>
      <c r="B600" s="305" t="s">
        <v>8747</v>
      </c>
      <c r="C600" s="305"/>
      <c r="D600" s="81" t="s">
        <v>800</v>
      </c>
      <c r="E600" s="305" t="s">
        <v>8748</v>
      </c>
      <c r="F600" s="305"/>
      <c r="G600" s="305"/>
      <c r="H600" s="305"/>
    </row>
    <row r="601" spans="1:8" ht="14.55" customHeight="1" x14ac:dyDescent="0.3">
      <c r="A601" s="25" t="s">
        <v>1361</v>
      </c>
      <c r="B601" t="s">
        <v>1527</v>
      </c>
      <c r="C601" t="s">
        <v>53</v>
      </c>
      <c r="D601" s="80">
        <v>1.21</v>
      </c>
      <c r="E601" t="s">
        <v>54</v>
      </c>
      <c r="F601" s="83">
        <v>0.5</v>
      </c>
      <c r="G601" t="s">
        <v>1343</v>
      </c>
      <c r="H601" t="str">
        <f>IF(G602="","Em aberto","Finalizado")</f>
        <v>Finalizado</v>
      </c>
    </row>
    <row r="602" spans="1:8" ht="14.55" customHeight="1" x14ac:dyDescent="0.3">
      <c r="A602" s="25" t="s">
        <v>1372</v>
      </c>
      <c r="B602" s="41" t="s">
        <v>45</v>
      </c>
      <c r="C602" s="177">
        <v>3</v>
      </c>
      <c r="D602" s="41" t="s">
        <v>48</v>
      </c>
      <c r="E602" s="177">
        <v>5</v>
      </c>
      <c r="F602" t="s">
        <v>1373</v>
      </c>
      <c r="G602">
        <f>IF(OR(C602="",E602=""),"",C602+E602)</f>
        <v>8</v>
      </c>
    </row>
    <row r="603" spans="1:8" ht="14.55" customHeight="1" x14ac:dyDescent="0.3">
      <c r="A603" s="25" t="s">
        <v>1374</v>
      </c>
      <c r="B603" t="s">
        <v>426</v>
      </c>
      <c r="C603" s="111" t="str">
        <f>IF(G602="","",IF(G602&gt;3,"Green",IF(G602=3,"Devolvida","Red")))</f>
        <v>Green</v>
      </c>
      <c r="D603" t="s">
        <v>1342</v>
      </c>
      <c r="E603" s="83">
        <f>IF(G602="","",IF(G602&gt;3,F601*(D601-1),IF(G602=3,0,-F601)))</f>
        <v>0.10499999999999998</v>
      </c>
      <c r="F603" s="305" t="s">
        <v>8749</v>
      </c>
      <c r="G603" s="305"/>
      <c r="H603" s="305"/>
    </row>
    <row r="604" spans="1:8" ht="14.55" customHeight="1" x14ac:dyDescent="0.3"/>
    <row r="605" spans="1:8" ht="14.55" customHeight="1" x14ac:dyDescent="0.3"/>
    <row r="606" spans="1:8" ht="17.55" customHeight="1" x14ac:dyDescent="0.35">
      <c r="A606" s="328" t="s">
        <v>8754</v>
      </c>
      <c r="B606" s="328"/>
      <c r="C606" s="329" t="s">
        <v>8750</v>
      </c>
      <c r="D606" s="329"/>
      <c r="E606" s="329"/>
      <c r="F606" s="329"/>
      <c r="G606" s="329"/>
      <c r="H606" s="329"/>
    </row>
    <row r="607" spans="1:8" ht="14.55" customHeight="1" x14ac:dyDescent="0.3">
      <c r="A607" s="330" t="s">
        <v>1336</v>
      </c>
      <c r="B607" s="330"/>
      <c r="C607" s="330"/>
      <c r="D607" s="330"/>
      <c r="E607" s="315" t="s">
        <v>1370</v>
      </c>
      <c r="F607" s="315"/>
      <c r="G607" s="330" t="s">
        <v>8681</v>
      </c>
      <c r="H607" s="330"/>
    </row>
    <row r="608" spans="1:8" ht="14.55" customHeight="1" x14ac:dyDescent="0.3">
      <c r="A608" s="25" t="s">
        <v>1357</v>
      </c>
      <c r="B608" s="305" t="s">
        <v>8751</v>
      </c>
      <c r="C608" s="305"/>
      <c r="D608" s="305"/>
      <c r="E608" s="81" t="s">
        <v>1358</v>
      </c>
      <c r="F608" s="81" t="s">
        <v>1348</v>
      </c>
      <c r="G608" s="81" t="s">
        <v>801</v>
      </c>
      <c r="H608" s="81" t="s">
        <v>8218</v>
      </c>
    </row>
    <row r="609" spans="1:8" ht="14.55" customHeight="1" x14ac:dyDescent="0.3">
      <c r="A609" s="25" t="s">
        <v>1359</v>
      </c>
      <c r="B609" s="305" t="s">
        <v>8752</v>
      </c>
      <c r="C609" s="305"/>
      <c r="D609" s="305"/>
      <c r="E609" s="305"/>
      <c r="F609" s="305"/>
      <c r="G609" s="305"/>
      <c r="H609" s="305"/>
    </row>
    <row r="610" spans="1:8" ht="14.55" customHeight="1" x14ac:dyDescent="0.3">
      <c r="A610" s="25" t="s">
        <v>1360</v>
      </c>
      <c r="B610" s="305" t="s">
        <v>8288</v>
      </c>
      <c r="C610" s="305"/>
      <c r="D610" s="81" t="s">
        <v>800</v>
      </c>
      <c r="E610" s="305" t="s">
        <v>8753</v>
      </c>
      <c r="F610" s="305"/>
      <c r="G610" s="305"/>
      <c r="H610" s="305"/>
    </row>
    <row r="611" spans="1:8" ht="14.55" customHeight="1" x14ac:dyDescent="0.3">
      <c r="A611" s="25" t="s">
        <v>1361</v>
      </c>
      <c r="B611" t="s">
        <v>1348</v>
      </c>
      <c r="C611" t="s">
        <v>53</v>
      </c>
      <c r="D611" s="80">
        <v>1.1399999999999999</v>
      </c>
      <c r="E611" t="s">
        <v>54</v>
      </c>
      <c r="F611" s="83">
        <v>0.5</v>
      </c>
      <c r="G611" t="s">
        <v>1343</v>
      </c>
      <c r="H611" t="str">
        <f>IF(G612="","Em aberto","Finalizado")</f>
        <v>Finalizado</v>
      </c>
    </row>
    <row r="612" spans="1:8" ht="14.55" customHeight="1" x14ac:dyDescent="0.3">
      <c r="A612" s="25" t="s">
        <v>1372</v>
      </c>
      <c r="B612" s="41" t="s">
        <v>45</v>
      </c>
      <c r="C612" s="177">
        <v>1</v>
      </c>
      <c r="D612" s="41" t="s">
        <v>48</v>
      </c>
      <c r="E612" s="177">
        <v>3</v>
      </c>
      <c r="F612" t="s">
        <v>1373</v>
      </c>
      <c r="G612">
        <f>IF(OR(C612="",E612=""),"",C612+E612)</f>
        <v>4</v>
      </c>
    </row>
    <row r="613" spans="1:8" ht="14.55" customHeight="1" x14ac:dyDescent="0.3">
      <c r="A613" s="25" t="s">
        <v>1374</v>
      </c>
      <c r="B613" t="s">
        <v>426</v>
      </c>
      <c r="C613" s="111" t="str">
        <f>IF(G612="","",IF(G612&gt;=2,"Green","Red"))</f>
        <v>Green</v>
      </c>
      <c r="D613" t="s">
        <v>1342</v>
      </c>
      <c r="E613" s="83">
        <f>IF(G612="","",IF(G612&gt;=2,F611*(D611-1),-F611))</f>
        <v>6.9999999999999951E-2</v>
      </c>
      <c r="F613" s="305" t="s">
        <v>8283</v>
      </c>
      <c r="G613" s="305"/>
      <c r="H613" s="305"/>
    </row>
    <row r="614" spans="1:8" ht="14.55" customHeight="1" x14ac:dyDescent="0.3"/>
    <row r="615" spans="1:8" ht="14.55" customHeight="1" x14ac:dyDescent="0.3"/>
    <row r="616" spans="1:8" ht="14.55" customHeight="1" x14ac:dyDescent="0.35">
      <c r="A616" s="328">
        <f>DATE(2026,8,15)</f>
        <v>46249</v>
      </c>
      <c r="B616" s="328"/>
      <c r="C616" s="329" t="s">
        <v>8755</v>
      </c>
      <c r="D616" s="329"/>
      <c r="E616" s="329"/>
      <c r="F616" s="329"/>
      <c r="G616" s="329"/>
      <c r="H616" s="329"/>
    </row>
    <row r="617" spans="1:8" ht="14.55" customHeight="1" x14ac:dyDescent="0.3">
      <c r="A617" s="330" t="s">
        <v>882</v>
      </c>
      <c r="B617" s="330"/>
      <c r="C617" s="330"/>
      <c r="D617" s="330"/>
      <c r="E617" s="315" t="s">
        <v>1370</v>
      </c>
      <c r="F617" s="315"/>
      <c r="G617" s="330" t="s">
        <v>8681</v>
      </c>
      <c r="H617" s="330"/>
    </row>
    <row r="618" spans="1:8" ht="14.55" customHeight="1" x14ac:dyDescent="0.3">
      <c r="A618" s="25" t="s">
        <v>1357</v>
      </c>
      <c r="B618" s="305" t="s">
        <v>8756</v>
      </c>
      <c r="C618" s="305"/>
      <c r="D618" s="305"/>
      <c r="E618" s="81" t="s">
        <v>1358</v>
      </c>
      <c r="F618" s="81" t="s">
        <v>1346</v>
      </c>
      <c r="G618" s="81" t="s">
        <v>801</v>
      </c>
      <c r="H618" s="81" t="s">
        <v>8209</v>
      </c>
    </row>
    <row r="619" spans="1:8" ht="14.55" customHeight="1" x14ac:dyDescent="0.3">
      <c r="A619" s="25" t="s">
        <v>1359</v>
      </c>
      <c r="B619" s="305" t="s">
        <v>3051</v>
      </c>
      <c r="C619" s="305"/>
      <c r="D619" s="305"/>
      <c r="E619" s="305"/>
      <c r="F619" s="305"/>
      <c r="G619" s="305"/>
      <c r="H619" s="305"/>
    </row>
    <row r="620" spans="1:8" ht="14.55" customHeight="1" x14ac:dyDescent="0.3">
      <c r="A620" s="25" t="s">
        <v>1360</v>
      </c>
      <c r="B620" s="305" t="s">
        <v>3051</v>
      </c>
      <c r="C620" s="305"/>
      <c r="D620" s="81" t="s">
        <v>800</v>
      </c>
      <c r="E620" s="305" t="s">
        <v>8757</v>
      </c>
      <c r="F620" s="305"/>
      <c r="G620" s="305"/>
      <c r="H620" s="305"/>
    </row>
    <row r="621" spans="1:8" ht="14.55" customHeight="1" x14ac:dyDescent="0.3">
      <c r="A621" s="25" t="s">
        <v>1361</v>
      </c>
      <c r="B621" t="s">
        <v>1346</v>
      </c>
      <c r="C621" t="s">
        <v>53</v>
      </c>
      <c r="D621" s="80">
        <v>1.1299999999999999</v>
      </c>
      <c r="E621" t="s">
        <v>54</v>
      </c>
      <c r="F621" s="83">
        <v>0.5</v>
      </c>
      <c r="G621" t="s">
        <v>1343</v>
      </c>
      <c r="H621" t="str">
        <f>IF(G622="","Em aberto","Finalizado")</f>
        <v>Finalizado</v>
      </c>
    </row>
    <row r="622" spans="1:8" ht="14.55" customHeight="1" x14ac:dyDescent="0.3">
      <c r="A622" s="25" t="s">
        <v>1372</v>
      </c>
      <c r="B622" s="41" t="s">
        <v>45</v>
      </c>
      <c r="C622" s="177">
        <v>0</v>
      </c>
      <c r="D622" s="41" t="s">
        <v>48</v>
      </c>
      <c r="E622" s="177">
        <v>1</v>
      </c>
      <c r="F622" t="s">
        <v>1373</v>
      </c>
      <c r="G622">
        <f>IF(OR(C622="",E622=""),"",C622+E622)</f>
        <v>1</v>
      </c>
    </row>
    <row r="623" spans="1:8" ht="14.55" customHeight="1" x14ac:dyDescent="0.3">
      <c r="A623" s="25" t="s">
        <v>1374</v>
      </c>
      <c r="B623" t="s">
        <v>426</v>
      </c>
      <c r="C623" s="111" t="str">
        <f>IF(G622="","",IF(G622&gt;2,"Green",IF(G622=2,"Devolvida","Red")))</f>
        <v>Red</v>
      </c>
      <c r="D623" t="s">
        <v>1342</v>
      </c>
      <c r="E623" s="83">
        <f>IF(G622="","",IF(G622&gt;2,F621*(D621-1),IF(G622=2,0,-F621)))</f>
        <v>-0.5</v>
      </c>
      <c r="F623" s="305" t="s">
        <v>8266</v>
      </c>
      <c r="G623" s="305"/>
      <c r="H623" s="305"/>
    </row>
    <row r="624" spans="1:8" ht="14.55" customHeight="1" x14ac:dyDescent="0.3"/>
    <row r="625" spans="1:8" ht="14.55" customHeight="1" x14ac:dyDescent="0.3"/>
    <row r="626" spans="1:8" ht="14.55" customHeight="1" x14ac:dyDescent="0.35">
      <c r="A626" s="328">
        <f>DATE(2026,8,15)</f>
        <v>46249</v>
      </c>
      <c r="B626" s="328"/>
      <c r="C626" s="329" t="s">
        <v>8758</v>
      </c>
      <c r="D626" s="329"/>
      <c r="E626" s="329"/>
      <c r="F626" s="329"/>
      <c r="G626" s="329"/>
      <c r="H626" s="329"/>
    </row>
    <row r="627" spans="1:8" ht="14.55" customHeight="1" x14ac:dyDescent="0.3">
      <c r="A627" s="330" t="s">
        <v>882</v>
      </c>
      <c r="B627" s="330"/>
      <c r="C627" s="330"/>
      <c r="D627" s="330"/>
      <c r="E627" s="315" t="s">
        <v>1370</v>
      </c>
      <c r="F627" s="315"/>
      <c r="G627" s="330" t="s">
        <v>8681</v>
      </c>
      <c r="H627" s="330"/>
    </row>
    <row r="628" spans="1:8" ht="14.55" customHeight="1" x14ac:dyDescent="0.3">
      <c r="A628" s="25" t="s">
        <v>1357</v>
      </c>
      <c r="B628" s="305" t="s">
        <v>8759</v>
      </c>
      <c r="C628" s="305"/>
      <c r="D628" s="305"/>
      <c r="E628" s="81" t="s">
        <v>1358</v>
      </c>
      <c r="F628" s="81" t="s">
        <v>1344</v>
      </c>
      <c r="G628" s="81" t="s">
        <v>801</v>
      </c>
      <c r="H628" s="81" t="s">
        <v>8760</v>
      </c>
    </row>
    <row r="629" spans="1:8" ht="14.55" customHeight="1" x14ac:dyDescent="0.3">
      <c r="A629" s="25" t="s">
        <v>1359</v>
      </c>
      <c r="B629" s="305" t="s">
        <v>8761</v>
      </c>
      <c r="C629" s="305"/>
      <c r="D629" s="305"/>
      <c r="E629" s="305"/>
      <c r="F629" s="305"/>
      <c r="G629" s="305"/>
      <c r="H629" s="305"/>
    </row>
    <row r="630" spans="1:8" ht="14.55" customHeight="1" x14ac:dyDescent="0.3">
      <c r="A630" s="25" t="s">
        <v>1360</v>
      </c>
      <c r="B630" s="305" t="s">
        <v>8762</v>
      </c>
      <c r="C630" s="305"/>
      <c r="D630" s="81" t="s">
        <v>800</v>
      </c>
      <c r="E630" s="305" t="s">
        <v>8763</v>
      </c>
      <c r="F630" s="305"/>
      <c r="G630" s="305"/>
      <c r="H630" s="305"/>
    </row>
    <row r="631" spans="1:8" ht="14.55" customHeight="1" x14ac:dyDescent="0.3">
      <c r="A631" s="25" t="s">
        <v>1361</v>
      </c>
      <c r="B631" t="s">
        <v>1344</v>
      </c>
      <c r="C631" t="s">
        <v>53</v>
      </c>
      <c r="D631" s="80">
        <v>1.1399999999999999</v>
      </c>
      <c r="E631" t="s">
        <v>54</v>
      </c>
      <c r="F631" s="83">
        <v>0.5</v>
      </c>
      <c r="G631" t="s">
        <v>1343</v>
      </c>
      <c r="H631" t="str">
        <f>IF(G632="","Em aberto","Finalizado")</f>
        <v>Finalizado</v>
      </c>
    </row>
    <row r="632" spans="1:8" ht="14.55" customHeight="1" x14ac:dyDescent="0.3">
      <c r="A632" s="25" t="s">
        <v>1372</v>
      </c>
      <c r="B632" s="41" t="s">
        <v>45</v>
      </c>
      <c r="C632" s="177">
        <v>4</v>
      </c>
      <c r="D632" s="41" t="s">
        <v>48</v>
      </c>
      <c r="E632" s="177">
        <v>0</v>
      </c>
      <c r="F632" t="s">
        <v>1373</v>
      </c>
      <c r="G632">
        <f>IF(OR(C632="",E632=""),"",C632+E632)</f>
        <v>4</v>
      </c>
    </row>
    <row r="633" spans="1:8" ht="14.55" customHeight="1" x14ac:dyDescent="0.3">
      <c r="A633" s="25" t="s">
        <v>1374</v>
      </c>
      <c r="B633" t="s">
        <v>426</v>
      </c>
      <c r="C633" s="111" t="str">
        <f>IF(G632="","",IF(G632&gt;=3,"Green","Red"))</f>
        <v>Green</v>
      </c>
      <c r="D633" t="s">
        <v>1342</v>
      </c>
      <c r="E633" s="83">
        <f>IF(G632="","",IF(G632&gt;=3,F631*(D631-1),-F631))</f>
        <v>6.9999999999999951E-2</v>
      </c>
      <c r="F633" s="305" t="s">
        <v>8696</v>
      </c>
      <c r="G633" s="305"/>
      <c r="H633" s="305"/>
    </row>
    <row r="634" spans="1:8" ht="14.55" customHeight="1" x14ac:dyDescent="0.3"/>
    <row r="635" spans="1:8" ht="14.55" customHeight="1" x14ac:dyDescent="0.3"/>
    <row r="636" spans="1:8" ht="14.55" customHeight="1" x14ac:dyDescent="0.35">
      <c r="A636" s="328">
        <f>DATE(2026,8,15)</f>
        <v>46249</v>
      </c>
      <c r="B636" s="328"/>
      <c r="C636" s="329" t="s">
        <v>8764</v>
      </c>
      <c r="D636" s="329"/>
      <c r="E636" s="329"/>
      <c r="F636" s="329"/>
      <c r="G636" s="329"/>
      <c r="H636" s="329"/>
    </row>
    <row r="637" spans="1:8" ht="14.55" customHeight="1" x14ac:dyDescent="0.3">
      <c r="A637" s="330" t="s">
        <v>845</v>
      </c>
      <c r="B637" s="330"/>
      <c r="C637" s="330"/>
      <c r="D637" s="330"/>
      <c r="E637" s="315" t="s">
        <v>1370</v>
      </c>
      <c r="F637" s="315"/>
      <c r="G637" s="330" t="s">
        <v>8681</v>
      </c>
      <c r="H637" s="330"/>
    </row>
    <row r="638" spans="1:8" ht="14.55" customHeight="1" x14ac:dyDescent="0.3">
      <c r="A638" s="25" t="s">
        <v>1357</v>
      </c>
      <c r="B638" s="305" t="s">
        <v>8765</v>
      </c>
      <c r="C638" s="305"/>
      <c r="D638" s="305"/>
      <c r="E638" s="81" t="s">
        <v>1358</v>
      </c>
      <c r="F638" s="81" t="s">
        <v>1527</v>
      </c>
      <c r="G638" s="81" t="s">
        <v>801</v>
      </c>
      <c r="H638" s="81" t="s">
        <v>8209</v>
      </c>
    </row>
    <row r="639" spans="1:8" ht="14.55" customHeight="1" x14ac:dyDescent="0.3">
      <c r="A639" s="25" t="s">
        <v>1359</v>
      </c>
      <c r="B639" s="305" t="s">
        <v>8766</v>
      </c>
      <c r="C639" s="305"/>
      <c r="D639" s="305"/>
      <c r="E639" s="305"/>
      <c r="F639" s="305"/>
      <c r="G639" s="305"/>
      <c r="H639" s="305"/>
    </row>
    <row r="640" spans="1:8" ht="14.55" customHeight="1" x14ac:dyDescent="0.3">
      <c r="A640" s="25" t="s">
        <v>1360</v>
      </c>
      <c r="B640" s="305" t="s">
        <v>8766</v>
      </c>
      <c r="C640" s="305"/>
      <c r="D640" s="81" t="s">
        <v>800</v>
      </c>
      <c r="E640" s="305" t="s">
        <v>8767</v>
      </c>
      <c r="F640" s="305"/>
      <c r="G640" s="305"/>
      <c r="H640" s="305"/>
    </row>
    <row r="641" spans="1:8" ht="14.55" customHeight="1" x14ac:dyDescent="0.3">
      <c r="A641" s="25" t="s">
        <v>1361</v>
      </c>
      <c r="B641" t="s">
        <v>1527</v>
      </c>
      <c r="C641" t="s">
        <v>53</v>
      </c>
      <c r="D641" s="80">
        <v>1.24</v>
      </c>
      <c r="E641" t="s">
        <v>54</v>
      </c>
      <c r="F641" s="83">
        <v>0.5</v>
      </c>
      <c r="G641" t="s">
        <v>1343</v>
      </c>
      <c r="H641" t="str">
        <f>IF(G642="","Em aberto","Finalizado")</f>
        <v>Finalizado</v>
      </c>
    </row>
    <row r="642" spans="1:8" ht="14.55" customHeight="1" x14ac:dyDescent="0.3">
      <c r="A642" s="25" t="s">
        <v>1372</v>
      </c>
      <c r="B642" s="41" t="s">
        <v>45</v>
      </c>
      <c r="C642" s="177">
        <v>1</v>
      </c>
      <c r="D642" s="41" t="s">
        <v>48</v>
      </c>
      <c r="E642" s="177">
        <v>1</v>
      </c>
      <c r="F642" t="s">
        <v>1373</v>
      </c>
      <c r="G642">
        <f>IF(OR(C642="",E642=""),"",C642+E642)</f>
        <v>2</v>
      </c>
    </row>
    <row r="643" spans="1:8" ht="14.55" customHeight="1" x14ac:dyDescent="0.3">
      <c r="A643" s="25" t="s">
        <v>1374</v>
      </c>
      <c r="B643" t="s">
        <v>426</v>
      </c>
      <c r="C643" s="111" t="str">
        <f>IF(G642="","",IF(G642&gt;3,"Green",IF(G642=3,"Devolvida","Red")))</f>
        <v>Red</v>
      </c>
      <c r="D643" t="s">
        <v>1342</v>
      </c>
      <c r="E643" s="83">
        <f>IF(G642="","",IF(G642&gt;3,F641*(D641-1),IF(G642=3,0,-F641)))</f>
        <v>-0.5</v>
      </c>
      <c r="F643" s="305" t="s">
        <v>8749</v>
      </c>
      <c r="G643" s="305"/>
      <c r="H643" s="305"/>
    </row>
    <row r="644" spans="1:8" ht="14.55" customHeight="1" x14ac:dyDescent="0.3"/>
    <row r="645" spans="1:8" ht="14.55" customHeight="1" x14ac:dyDescent="0.3"/>
    <row r="646" spans="1:8" ht="14.55" customHeight="1" x14ac:dyDescent="0.35">
      <c r="A646" s="328">
        <f>DATE(2026,8,15)</f>
        <v>46249</v>
      </c>
      <c r="B646" s="328"/>
      <c r="C646" s="329" t="s">
        <v>8768</v>
      </c>
      <c r="D646" s="329"/>
      <c r="E646" s="329"/>
      <c r="F646" s="329"/>
      <c r="G646" s="329"/>
      <c r="H646" s="329"/>
    </row>
    <row r="647" spans="1:8" ht="14.55" customHeight="1" x14ac:dyDescent="0.3">
      <c r="A647" s="330" t="s">
        <v>845</v>
      </c>
      <c r="B647" s="330"/>
      <c r="C647" s="330"/>
      <c r="D647" s="330"/>
      <c r="E647" s="315" t="s">
        <v>1370</v>
      </c>
      <c r="F647" s="315"/>
      <c r="G647" s="330" t="s">
        <v>8681</v>
      </c>
      <c r="H647" s="330"/>
    </row>
    <row r="648" spans="1:8" ht="14.55" customHeight="1" x14ac:dyDescent="0.3">
      <c r="A648" s="25" t="s">
        <v>1357</v>
      </c>
      <c r="B648" s="305" t="s">
        <v>8769</v>
      </c>
      <c r="C648" s="305"/>
      <c r="D648" s="305"/>
      <c r="E648" s="81" t="s">
        <v>1358</v>
      </c>
      <c r="F648" s="81" t="s">
        <v>1344</v>
      </c>
      <c r="G648" s="81" t="s">
        <v>801</v>
      </c>
      <c r="H648" s="81" t="s">
        <v>8209</v>
      </c>
    </row>
    <row r="649" spans="1:8" ht="14.55" customHeight="1" x14ac:dyDescent="0.3">
      <c r="A649" s="25" t="s">
        <v>1359</v>
      </c>
      <c r="B649" s="305" t="s">
        <v>8770</v>
      </c>
      <c r="C649" s="305"/>
      <c r="D649" s="305"/>
      <c r="E649" s="305"/>
      <c r="F649" s="305"/>
      <c r="G649" s="305"/>
      <c r="H649" s="305"/>
    </row>
    <row r="650" spans="1:8" ht="14.55" customHeight="1" x14ac:dyDescent="0.3">
      <c r="A650" s="25" t="s">
        <v>1360</v>
      </c>
      <c r="B650" s="305" t="s">
        <v>8770</v>
      </c>
      <c r="C650" s="305"/>
      <c r="D650" s="81" t="s">
        <v>800</v>
      </c>
      <c r="E650" s="305" t="s">
        <v>8771</v>
      </c>
      <c r="F650" s="305"/>
      <c r="G650" s="305"/>
      <c r="H650" s="305"/>
    </row>
    <row r="651" spans="1:8" ht="14.55" customHeight="1" x14ac:dyDescent="0.3">
      <c r="A651" s="25" t="s">
        <v>1361</v>
      </c>
      <c r="B651" t="s">
        <v>1344</v>
      </c>
      <c r="C651" t="s">
        <v>53</v>
      </c>
      <c r="D651" s="80">
        <v>1.1599999999999999</v>
      </c>
      <c r="E651" t="s">
        <v>54</v>
      </c>
      <c r="F651" s="83">
        <v>0.5</v>
      </c>
      <c r="G651" t="s">
        <v>1343</v>
      </c>
      <c r="H651" t="str">
        <f>IF(G652="","Em aberto","Finalizado")</f>
        <v>Finalizado</v>
      </c>
    </row>
    <row r="652" spans="1:8" ht="14.55" customHeight="1" x14ac:dyDescent="0.3">
      <c r="A652" s="25" t="s">
        <v>1372</v>
      </c>
      <c r="B652" s="41" t="s">
        <v>45</v>
      </c>
      <c r="C652" s="177">
        <v>3</v>
      </c>
      <c r="D652" s="41" t="s">
        <v>48</v>
      </c>
      <c r="E652" s="177">
        <v>1</v>
      </c>
      <c r="F652" t="s">
        <v>1373</v>
      </c>
      <c r="G652">
        <f>IF(OR(C652="",E652=""),"",C652+E652)</f>
        <v>4</v>
      </c>
    </row>
    <row r="653" spans="1:8" ht="14.55" customHeight="1" x14ac:dyDescent="0.3">
      <c r="A653" s="25" t="s">
        <v>1374</v>
      </c>
      <c r="B653" t="s">
        <v>426</v>
      </c>
      <c r="C653" s="111" t="str">
        <f>IF(G652="","",IF(G652&gt;=3,"Green","Red"))</f>
        <v>Green</v>
      </c>
      <c r="D653" t="s">
        <v>1342</v>
      </c>
      <c r="E653" s="83">
        <f>IF(G652="","",IF(G652&gt;=3,F651*(D651-1),-F651))</f>
        <v>7.999999999999996E-2</v>
      </c>
      <c r="F653" s="305" t="s">
        <v>8696</v>
      </c>
      <c r="G653" s="305"/>
      <c r="H653" s="305"/>
    </row>
    <row r="654" spans="1:8" ht="14.55" customHeight="1" x14ac:dyDescent="0.3"/>
    <row r="655" spans="1:8" ht="14.55" customHeight="1" x14ac:dyDescent="0.3"/>
    <row r="656" spans="1:8" ht="14.55" customHeight="1" x14ac:dyDescent="0.35">
      <c r="A656" s="328">
        <f>DATE(2026,8,15)</f>
        <v>46249</v>
      </c>
      <c r="B656" s="328"/>
      <c r="C656" s="329" t="s">
        <v>8772</v>
      </c>
      <c r="D656" s="329"/>
      <c r="E656" s="329"/>
      <c r="F656" s="329"/>
      <c r="G656" s="329"/>
      <c r="H656" s="329"/>
    </row>
    <row r="657" spans="1:8" ht="14.55" customHeight="1" x14ac:dyDescent="0.3">
      <c r="A657" s="330" t="s">
        <v>987</v>
      </c>
      <c r="B657" s="330"/>
      <c r="C657" s="330"/>
      <c r="D657" s="330"/>
      <c r="E657" s="315" t="s">
        <v>1370</v>
      </c>
      <c r="F657" s="315"/>
      <c r="G657" s="330" t="s">
        <v>8681</v>
      </c>
      <c r="H657" s="330"/>
    </row>
    <row r="658" spans="1:8" ht="14.55" customHeight="1" x14ac:dyDescent="0.3">
      <c r="A658" s="25" t="s">
        <v>1357</v>
      </c>
      <c r="B658" s="305" t="s">
        <v>8773</v>
      </c>
      <c r="C658" s="305"/>
      <c r="D658" s="305"/>
      <c r="E658" s="81" t="s">
        <v>1358</v>
      </c>
      <c r="F658" s="81" t="s">
        <v>1344</v>
      </c>
      <c r="G658" s="81" t="s">
        <v>801</v>
      </c>
      <c r="H658" s="81" t="s">
        <v>8209</v>
      </c>
    </row>
    <row r="659" spans="1:8" ht="14.55" customHeight="1" x14ac:dyDescent="0.3">
      <c r="A659" s="25" t="s">
        <v>1359</v>
      </c>
      <c r="B659" s="305" t="s">
        <v>8774</v>
      </c>
      <c r="C659" s="305"/>
      <c r="D659" s="305"/>
      <c r="E659" s="305"/>
      <c r="F659" s="305"/>
      <c r="G659" s="305"/>
      <c r="H659" s="305"/>
    </row>
    <row r="660" spans="1:8" ht="14.55" customHeight="1" x14ac:dyDescent="0.3">
      <c r="A660" s="25" t="s">
        <v>1360</v>
      </c>
      <c r="B660" s="305" t="s">
        <v>8775</v>
      </c>
      <c r="C660" s="305"/>
      <c r="D660" s="81" t="s">
        <v>800</v>
      </c>
      <c r="E660" s="305" t="s">
        <v>8776</v>
      </c>
      <c r="F660" s="305"/>
      <c r="G660" s="305"/>
      <c r="H660" s="305"/>
    </row>
    <row r="661" spans="1:8" ht="14.55" customHeight="1" x14ac:dyDescent="0.3">
      <c r="A661" s="25" t="s">
        <v>1361</v>
      </c>
      <c r="B661" t="s">
        <v>1344</v>
      </c>
      <c r="C661" t="s">
        <v>53</v>
      </c>
      <c r="D661" s="80">
        <v>1.24</v>
      </c>
      <c r="E661" t="s">
        <v>54</v>
      </c>
      <c r="F661" s="83">
        <v>0.5</v>
      </c>
      <c r="G661" t="s">
        <v>1343</v>
      </c>
      <c r="H661" t="str">
        <f>IF(G662="","Em aberto","Finalizado")</f>
        <v>Finalizado</v>
      </c>
    </row>
    <row r="662" spans="1:8" ht="14.55" customHeight="1" x14ac:dyDescent="0.3">
      <c r="A662" s="25" t="s">
        <v>1372</v>
      </c>
      <c r="B662" s="41" t="s">
        <v>45</v>
      </c>
      <c r="C662" s="177">
        <v>1</v>
      </c>
      <c r="D662" s="41" t="s">
        <v>48</v>
      </c>
      <c r="E662" s="177">
        <v>3</v>
      </c>
      <c r="F662" t="s">
        <v>1373</v>
      </c>
      <c r="G662">
        <f>IF(OR(C662="",E662=""),"",C662+E662)</f>
        <v>4</v>
      </c>
    </row>
    <row r="663" spans="1:8" ht="14.55" customHeight="1" x14ac:dyDescent="0.3">
      <c r="A663" s="25" t="s">
        <v>1374</v>
      </c>
      <c r="B663" t="s">
        <v>426</v>
      </c>
      <c r="C663" s="111" t="str">
        <f>IF(G662="","",IF(G662&gt;=3,"Green","Red"))</f>
        <v>Green</v>
      </c>
      <c r="D663" t="s">
        <v>1342</v>
      </c>
      <c r="E663" s="83">
        <f>IF(G662="","",IF(G662&gt;=3,F661*(D661-1),-F661))</f>
        <v>0.12</v>
      </c>
      <c r="F663" s="305" t="s">
        <v>8696</v>
      </c>
      <c r="G663" s="305"/>
      <c r="H663" s="305"/>
    </row>
    <row r="664" spans="1:8" ht="14.55" customHeight="1" x14ac:dyDescent="0.3"/>
    <row r="665" spans="1:8" ht="14.55" customHeight="1" x14ac:dyDescent="0.3"/>
    <row r="666" spans="1:8" ht="14.55" customHeight="1" x14ac:dyDescent="0.35">
      <c r="A666" s="328">
        <f>DATE(2026,8,15)</f>
        <v>46249</v>
      </c>
      <c r="B666" s="328"/>
      <c r="C666" s="329" t="s">
        <v>10657</v>
      </c>
      <c r="D666" s="329"/>
      <c r="E666" s="329"/>
      <c r="F666" s="329"/>
      <c r="G666" s="329"/>
      <c r="H666" s="329"/>
    </row>
    <row r="667" spans="1:8" ht="14.55" customHeight="1" x14ac:dyDescent="0.3">
      <c r="A667" s="330" t="s">
        <v>1339</v>
      </c>
      <c r="B667" s="330"/>
      <c r="C667" s="330"/>
      <c r="D667" s="330"/>
      <c r="E667" s="315" t="s">
        <v>1370</v>
      </c>
      <c r="F667" s="315"/>
      <c r="G667" s="330" t="s">
        <v>8681</v>
      </c>
      <c r="H667" s="330"/>
    </row>
    <row r="668" spans="1:8" ht="14.55" customHeight="1" x14ac:dyDescent="0.3">
      <c r="A668" s="25" t="s">
        <v>1357</v>
      </c>
      <c r="B668" s="305" t="s">
        <v>10658</v>
      </c>
      <c r="C668" s="305"/>
      <c r="D668" s="305"/>
      <c r="E668" s="81" t="s">
        <v>1358</v>
      </c>
      <c r="F668" s="81" t="s">
        <v>1348</v>
      </c>
      <c r="G668" s="81" t="s">
        <v>801</v>
      </c>
      <c r="H668" s="81" t="s">
        <v>8209</v>
      </c>
    </row>
    <row r="669" spans="1:8" ht="14.55" customHeight="1" x14ac:dyDescent="0.3">
      <c r="A669" s="25" t="s">
        <v>1359</v>
      </c>
      <c r="B669" s="305" t="s">
        <v>8288</v>
      </c>
      <c r="C669" s="305"/>
      <c r="D669" s="305"/>
      <c r="E669" s="305"/>
      <c r="F669" s="305"/>
      <c r="G669" s="305"/>
      <c r="H669" s="305"/>
    </row>
    <row r="670" spans="1:8" ht="14.55" customHeight="1" x14ac:dyDescent="0.3">
      <c r="A670" s="25" t="s">
        <v>1360</v>
      </c>
      <c r="B670" s="305" t="s">
        <v>8288</v>
      </c>
      <c r="C670" s="305"/>
      <c r="D670" s="81" t="s">
        <v>800</v>
      </c>
      <c r="E670" s="305" t="s">
        <v>10659</v>
      </c>
      <c r="F670" s="305"/>
      <c r="G670" s="305"/>
      <c r="H670" s="305"/>
    </row>
    <row r="671" spans="1:8" ht="14.55" customHeight="1" x14ac:dyDescent="0.3">
      <c r="A671" s="25" t="s">
        <v>1361</v>
      </c>
      <c r="B671" t="s">
        <v>1348</v>
      </c>
      <c r="C671" t="s">
        <v>53</v>
      </c>
      <c r="D671" s="80">
        <v>1.1399999999999999</v>
      </c>
      <c r="E671" t="s">
        <v>54</v>
      </c>
      <c r="F671" s="83">
        <v>0.5</v>
      </c>
      <c r="G671" t="s">
        <v>1343</v>
      </c>
      <c r="H671" t="str">
        <f>IF(G672="","Em aberto","Finalizado")</f>
        <v>Finalizado</v>
      </c>
    </row>
    <row r="672" spans="1:8" ht="14.55" customHeight="1" x14ac:dyDescent="0.3">
      <c r="A672" s="25" t="s">
        <v>1372</v>
      </c>
      <c r="B672" s="41" t="s">
        <v>45</v>
      </c>
      <c r="C672" s="177">
        <v>2</v>
      </c>
      <c r="D672" s="41" t="s">
        <v>48</v>
      </c>
      <c r="E672" s="177">
        <v>2</v>
      </c>
      <c r="F672" t="s">
        <v>1373</v>
      </c>
      <c r="G672">
        <f>IF(OR(C672="",E672=""),"",C672+E672)</f>
        <v>4</v>
      </c>
    </row>
    <row r="673" spans="1:8" ht="14.55" customHeight="1" x14ac:dyDescent="0.3">
      <c r="A673" s="25" t="s">
        <v>1374</v>
      </c>
      <c r="B673" t="s">
        <v>426</v>
      </c>
      <c r="C673" s="111" t="str">
        <f>IF(G672="","",IF(G672&gt;=2,"Green","Red"))</f>
        <v>Green</v>
      </c>
      <c r="D673" t="s">
        <v>1342</v>
      </c>
      <c r="E673" s="83">
        <f>IF(G672="","",IF(G672&gt;=2,F671*(D671-1),-F671))</f>
        <v>6.9999999999999951E-2</v>
      </c>
      <c r="F673" s="305" t="s">
        <v>8283</v>
      </c>
      <c r="G673" s="305"/>
      <c r="H673" s="305"/>
    </row>
    <row r="674" spans="1:8" ht="14.55" customHeight="1" x14ac:dyDescent="0.3"/>
    <row r="675" spans="1:8" ht="14.55" customHeight="1" x14ac:dyDescent="0.3"/>
    <row r="676" spans="1:8" ht="14.55" customHeight="1" x14ac:dyDescent="0.35">
      <c r="A676" s="328">
        <f>DATE(2026,8,15)</f>
        <v>46249</v>
      </c>
      <c r="B676" s="328"/>
      <c r="C676" s="329" t="s">
        <v>10774</v>
      </c>
      <c r="D676" s="329"/>
      <c r="E676" s="329"/>
      <c r="F676" s="329"/>
      <c r="G676" s="329"/>
      <c r="H676" s="329"/>
    </row>
    <row r="677" spans="1:8" ht="14.55" customHeight="1" x14ac:dyDescent="0.3">
      <c r="A677" s="330" t="s">
        <v>3662</v>
      </c>
      <c r="B677" s="330"/>
      <c r="C677" s="330"/>
      <c r="D677" s="330"/>
      <c r="E677" s="315" t="s">
        <v>1370</v>
      </c>
      <c r="F677" s="315"/>
      <c r="G677" s="330" t="s">
        <v>8681</v>
      </c>
      <c r="H677" s="330"/>
    </row>
    <row r="678" spans="1:8" ht="14.55" customHeight="1" x14ac:dyDescent="0.3">
      <c r="A678" s="25" t="s">
        <v>1357</v>
      </c>
      <c r="B678" s="305" t="s">
        <v>10775</v>
      </c>
      <c r="C678" s="305"/>
      <c r="D678" s="305"/>
      <c r="E678" s="81" t="s">
        <v>1358</v>
      </c>
      <c r="F678" s="81" t="s">
        <v>1346</v>
      </c>
      <c r="G678" s="81" t="s">
        <v>801</v>
      </c>
      <c r="H678" s="81" t="s">
        <v>8218</v>
      </c>
    </row>
    <row r="679" spans="1:8" ht="14.55" customHeight="1" x14ac:dyDescent="0.3">
      <c r="A679" s="25" t="s">
        <v>1359</v>
      </c>
      <c r="B679" s="305" t="s">
        <v>10784</v>
      </c>
      <c r="C679" s="305"/>
      <c r="D679" s="305"/>
      <c r="E679" s="305"/>
      <c r="F679" s="305"/>
      <c r="G679" s="305"/>
      <c r="H679" s="305"/>
    </row>
    <row r="680" spans="1:8" ht="14.55" customHeight="1" x14ac:dyDescent="0.3">
      <c r="A680" s="25" t="s">
        <v>1360</v>
      </c>
      <c r="B680" s="305" t="s">
        <v>10776</v>
      </c>
      <c r="C680" s="305"/>
      <c r="D680" s="81" t="s">
        <v>800</v>
      </c>
      <c r="E680" s="305" t="s">
        <v>10777</v>
      </c>
      <c r="F680" s="305"/>
      <c r="G680" s="305"/>
      <c r="H680" s="305"/>
    </row>
    <row r="681" spans="1:8" ht="14.55" customHeight="1" x14ac:dyDescent="0.3">
      <c r="A681" s="25" t="s">
        <v>1361</v>
      </c>
      <c r="B681" t="s">
        <v>1346</v>
      </c>
      <c r="C681" t="s">
        <v>53</v>
      </c>
      <c r="D681" s="80">
        <v>1.1000000000000001</v>
      </c>
      <c r="E681" t="s">
        <v>54</v>
      </c>
      <c r="F681" s="83">
        <v>0.5</v>
      </c>
      <c r="G681" t="s">
        <v>1343</v>
      </c>
      <c r="H681" t="s">
        <v>4265</v>
      </c>
    </row>
    <row r="682" spans="1:8" ht="14.55" customHeight="1" x14ac:dyDescent="0.3">
      <c r="A682" s="25" t="s">
        <v>1372</v>
      </c>
      <c r="B682" s="41" t="s">
        <v>45</v>
      </c>
      <c r="C682" s="177">
        <v>1</v>
      </c>
      <c r="D682" s="41" t="s">
        <v>48</v>
      </c>
      <c r="E682" s="177">
        <v>1</v>
      </c>
      <c r="F682" t="s">
        <v>1373</v>
      </c>
      <c r="G682">
        <f>IF(OR(C682="",E682=""),"",C682+E682)</f>
        <v>2</v>
      </c>
    </row>
    <row r="683" spans="1:8" ht="14.55" customHeight="1" x14ac:dyDescent="0.3">
      <c r="A683" s="25" t="s">
        <v>1374</v>
      </c>
      <c r="B683" t="s">
        <v>426</v>
      </c>
      <c r="C683" s="111" t="s">
        <v>62</v>
      </c>
      <c r="D683" t="s">
        <v>1342</v>
      </c>
      <c r="E683" s="83">
        <v>0.05</v>
      </c>
      <c r="F683" s="305" t="s">
        <v>11353</v>
      </c>
      <c r="G683" s="305"/>
      <c r="H683" s="305"/>
    </row>
    <row r="684" spans="1:8" ht="14.55" customHeight="1" x14ac:dyDescent="0.3"/>
    <row r="685" spans="1:8" ht="14.55" customHeight="1" x14ac:dyDescent="0.3"/>
    <row r="686" spans="1:8" ht="14.55" customHeight="1" x14ac:dyDescent="0.35">
      <c r="A686" s="328">
        <f>DATE(2026,8,15)</f>
        <v>46249</v>
      </c>
      <c r="B686" s="328"/>
      <c r="C686" s="329" t="s">
        <v>10778</v>
      </c>
      <c r="D686" s="329"/>
      <c r="E686" s="329"/>
      <c r="F686" s="329"/>
      <c r="G686" s="329"/>
      <c r="H686" s="329"/>
    </row>
    <row r="687" spans="1:8" ht="14.55" customHeight="1" x14ac:dyDescent="0.3">
      <c r="A687" s="330" t="s">
        <v>3662</v>
      </c>
      <c r="B687" s="330"/>
      <c r="C687" s="330"/>
      <c r="D687" s="330"/>
      <c r="E687" s="315" t="s">
        <v>1370</v>
      </c>
      <c r="F687" s="315"/>
      <c r="G687" s="330" t="s">
        <v>8681</v>
      </c>
      <c r="H687" s="330"/>
    </row>
    <row r="688" spans="1:8" ht="14.55" customHeight="1" x14ac:dyDescent="0.3">
      <c r="A688" s="25" t="s">
        <v>1357</v>
      </c>
      <c r="B688" s="305" t="s">
        <v>10779</v>
      </c>
      <c r="C688" s="305"/>
      <c r="D688" s="305"/>
      <c r="E688" s="81" t="s">
        <v>1358</v>
      </c>
      <c r="F688" s="81" t="s">
        <v>1348</v>
      </c>
      <c r="G688" s="81" t="s">
        <v>801</v>
      </c>
      <c r="H688" s="81" t="s">
        <v>8209</v>
      </c>
    </row>
    <row r="689" spans="1:8" ht="14.55" customHeight="1" x14ac:dyDescent="0.3">
      <c r="A689" s="25" t="s">
        <v>1359</v>
      </c>
      <c r="B689" s="305" t="s">
        <v>10785</v>
      </c>
      <c r="C689" s="305"/>
      <c r="D689" s="305"/>
      <c r="E689" s="305"/>
      <c r="F689" s="305"/>
      <c r="G689" s="305"/>
      <c r="H689" s="305"/>
    </row>
    <row r="690" spans="1:8" ht="14.55" customHeight="1" x14ac:dyDescent="0.3">
      <c r="A690" s="25" t="s">
        <v>1360</v>
      </c>
      <c r="B690" s="305" t="s">
        <v>8722</v>
      </c>
      <c r="C690" s="305"/>
      <c r="D690" s="81" t="s">
        <v>800</v>
      </c>
      <c r="E690" s="305" t="s">
        <v>10780</v>
      </c>
      <c r="F690" s="305"/>
      <c r="G690" s="305"/>
      <c r="H690" s="305"/>
    </row>
    <row r="691" spans="1:8" ht="14.55" customHeight="1" x14ac:dyDescent="0.3">
      <c r="A691" s="25" t="s">
        <v>1361</v>
      </c>
      <c r="B691" t="s">
        <v>1348</v>
      </c>
      <c r="C691" t="s">
        <v>53</v>
      </c>
      <c r="D691" s="80">
        <v>1.115</v>
      </c>
      <c r="E691" t="s">
        <v>54</v>
      </c>
      <c r="F691" s="83">
        <v>0.5</v>
      </c>
      <c r="G691" t="s">
        <v>1343</v>
      </c>
      <c r="H691" t="str">
        <f>IF(G692="","Em aberto","Finalizado")</f>
        <v>Finalizado</v>
      </c>
    </row>
    <row r="692" spans="1:8" ht="14.55" customHeight="1" x14ac:dyDescent="0.3">
      <c r="A692" s="25" t="s">
        <v>1372</v>
      </c>
      <c r="B692" s="41" t="s">
        <v>45</v>
      </c>
      <c r="C692" s="177">
        <v>2</v>
      </c>
      <c r="D692" s="41" t="s">
        <v>48</v>
      </c>
      <c r="E692" s="177">
        <v>1</v>
      </c>
      <c r="F692" t="s">
        <v>1373</v>
      </c>
      <c r="G692">
        <f>IF(OR(C692="",E692=""),"",C692+E692)</f>
        <v>3</v>
      </c>
    </row>
    <row r="693" spans="1:8" ht="14.55" customHeight="1" x14ac:dyDescent="0.3">
      <c r="A693" s="25" t="s">
        <v>1374</v>
      </c>
      <c r="B693" t="s">
        <v>426</v>
      </c>
      <c r="C693" s="111" t="str">
        <f>IF(G692="","",IF(G692&gt;=2,"Green","Red"))</f>
        <v>Green</v>
      </c>
      <c r="D693" t="s">
        <v>1342</v>
      </c>
      <c r="E693" s="83">
        <f>IF(G692="","",IF(G692&gt;=2,F691*(D691-1),-F691))</f>
        <v>5.7499999999999996E-2</v>
      </c>
      <c r="F693" s="305" t="s">
        <v>8283</v>
      </c>
      <c r="G693" s="305"/>
      <c r="H693" s="305"/>
    </row>
    <row r="694" spans="1:8" ht="14.55" customHeight="1" x14ac:dyDescent="0.3"/>
    <row r="695" spans="1:8" ht="14.55" customHeight="1" x14ac:dyDescent="0.3"/>
    <row r="696" spans="1:8" ht="14.55" customHeight="1" x14ac:dyDescent="0.35">
      <c r="A696" s="328">
        <f>DATE(2026,8,15)</f>
        <v>46249</v>
      </c>
      <c r="B696" s="328"/>
      <c r="C696" s="329" t="s">
        <v>10781</v>
      </c>
      <c r="D696" s="329"/>
      <c r="E696" s="329"/>
      <c r="F696" s="329"/>
      <c r="G696" s="329"/>
      <c r="H696" s="329"/>
    </row>
    <row r="697" spans="1:8" ht="14.55" customHeight="1" x14ac:dyDescent="0.3">
      <c r="A697" s="330" t="s">
        <v>3663</v>
      </c>
      <c r="B697" s="330"/>
      <c r="C697" s="330"/>
      <c r="D697" s="330"/>
      <c r="E697" s="315" t="s">
        <v>1370</v>
      </c>
      <c r="F697" s="315"/>
      <c r="G697" s="330" t="s">
        <v>8681</v>
      </c>
      <c r="H697" s="330"/>
    </row>
    <row r="698" spans="1:8" ht="14.55" customHeight="1" x14ac:dyDescent="0.3">
      <c r="A698" s="25" t="s">
        <v>1357</v>
      </c>
      <c r="B698" s="305" t="s">
        <v>10782</v>
      </c>
      <c r="C698" s="305"/>
      <c r="D698" s="305"/>
      <c r="E698" s="81" t="s">
        <v>1358</v>
      </c>
      <c r="F698" s="81" t="s">
        <v>1348</v>
      </c>
      <c r="G698" s="81" t="s">
        <v>801</v>
      </c>
      <c r="H698" s="81" t="s">
        <v>8209</v>
      </c>
    </row>
    <row r="699" spans="1:8" ht="14.55" customHeight="1" x14ac:dyDescent="0.3">
      <c r="A699" s="25" t="s">
        <v>1359</v>
      </c>
      <c r="B699" s="305" t="s">
        <v>10786</v>
      </c>
      <c r="C699" s="305"/>
      <c r="D699" s="305"/>
      <c r="E699" s="305"/>
      <c r="F699" s="305"/>
      <c r="G699" s="305"/>
      <c r="H699" s="305"/>
    </row>
    <row r="700" spans="1:8" ht="14.55" customHeight="1" x14ac:dyDescent="0.3">
      <c r="A700" s="25" t="s">
        <v>1360</v>
      </c>
      <c r="B700" s="305" t="s">
        <v>8288</v>
      </c>
      <c r="C700" s="305"/>
      <c r="D700" s="81" t="s">
        <v>800</v>
      </c>
      <c r="E700" s="305" t="s">
        <v>10783</v>
      </c>
      <c r="F700" s="305"/>
      <c r="G700" s="305"/>
      <c r="H700" s="305"/>
    </row>
    <row r="701" spans="1:8" ht="14.55" customHeight="1" x14ac:dyDescent="0.3">
      <c r="A701" s="25" t="s">
        <v>1361</v>
      </c>
      <c r="B701" t="s">
        <v>1348</v>
      </c>
      <c r="C701" t="s">
        <v>53</v>
      </c>
      <c r="D701" s="80">
        <v>1.1399999999999999</v>
      </c>
      <c r="E701" t="s">
        <v>54</v>
      </c>
      <c r="F701" s="83">
        <v>0.5</v>
      </c>
      <c r="G701" t="s">
        <v>1343</v>
      </c>
      <c r="H701" t="str">
        <f>IF(G702="","Em aberto","Finalizado")</f>
        <v>Em aberto</v>
      </c>
    </row>
    <row r="702" spans="1:8" ht="14.55" customHeight="1" x14ac:dyDescent="0.3">
      <c r="A702" s="25" t="s">
        <v>1372</v>
      </c>
      <c r="B702" s="41" t="s">
        <v>45</v>
      </c>
      <c r="C702" s="177"/>
      <c r="D702" s="41" t="s">
        <v>48</v>
      </c>
      <c r="E702" s="177"/>
      <c r="F702" t="s">
        <v>1373</v>
      </c>
      <c r="G702" t="str">
        <f>IF(OR(C702="",E702=""),"",C702+E702)</f>
        <v/>
      </c>
    </row>
    <row r="703" spans="1:8" ht="14.55" customHeight="1" x14ac:dyDescent="0.3">
      <c r="A703" s="25" t="s">
        <v>1374</v>
      </c>
      <c r="B703" t="s">
        <v>426</v>
      </c>
      <c r="C703" s="111" t="str">
        <f>IF(G702="","",IF(G702&gt;=2,"Green","Red"))</f>
        <v/>
      </c>
      <c r="D703" t="s">
        <v>1342</v>
      </c>
      <c r="E703" s="83" t="str">
        <f>IF(G702="","",IF(G702&gt;=2,F701*(D701-1),-F701))</f>
        <v/>
      </c>
      <c r="F703" s="305" t="s">
        <v>8283</v>
      </c>
      <c r="G703" s="305"/>
      <c r="H703" s="305"/>
    </row>
    <row r="704" spans="1:8" ht="14.55" customHeight="1" x14ac:dyDescent="0.3"/>
    <row r="705" spans="1:8" ht="14.55" customHeight="1" x14ac:dyDescent="0.3"/>
    <row r="706" spans="1:8" ht="14.55" customHeight="1" x14ac:dyDescent="0.35">
      <c r="A706" s="328">
        <f>DATE(2026,8,15)</f>
        <v>46249</v>
      </c>
      <c r="B706" s="328"/>
      <c r="C706" s="329" t="s">
        <v>10787</v>
      </c>
      <c r="D706" s="329"/>
      <c r="E706" s="329"/>
      <c r="F706" s="329"/>
      <c r="G706" s="329"/>
      <c r="H706" s="329"/>
    </row>
    <row r="707" spans="1:8" ht="14.55" customHeight="1" x14ac:dyDescent="0.3">
      <c r="A707" s="330" t="s">
        <v>3662</v>
      </c>
      <c r="B707" s="330"/>
      <c r="C707" s="330"/>
      <c r="D707" s="330"/>
      <c r="E707" s="315" t="s">
        <v>1370</v>
      </c>
      <c r="F707" s="315"/>
      <c r="G707" s="330" t="s">
        <v>10788</v>
      </c>
      <c r="H707" s="330"/>
    </row>
    <row r="708" spans="1:8" ht="14.55" customHeight="1" x14ac:dyDescent="0.3">
      <c r="A708" s="25" t="s">
        <v>1357</v>
      </c>
      <c r="B708" s="305" t="s">
        <v>10789</v>
      </c>
      <c r="C708" s="305"/>
      <c r="D708" s="305"/>
      <c r="E708" s="81" t="s">
        <v>1358</v>
      </c>
      <c r="F708" s="81" t="s">
        <v>1348</v>
      </c>
      <c r="G708" s="81" t="s">
        <v>801</v>
      </c>
      <c r="H708" s="81" t="s">
        <v>8209</v>
      </c>
    </row>
    <row r="709" spans="1:8" ht="14.55" customHeight="1" x14ac:dyDescent="0.3">
      <c r="A709" s="25" t="s">
        <v>1359</v>
      </c>
      <c r="B709" s="305" t="s">
        <v>10790</v>
      </c>
      <c r="C709" s="305"/>
      <c r="D709" s="305"/>
      <c r="E709" s="305"/>
      <c r="F709" s="305"/>
      <c r="G709" s="305"/>
      <c r="H709" s="305"/>
    </row>
    <row r="710" spans="1:8" ht="14.55" customHeight="1" x14ac:dyDescent="0.3">
      <c r="A710" s="25" t="s">
        <v>1360</v>
      </c>
      <c r="B710" s="305" t="s">
        <v>8288</v>
      </c>
      <c r="C710" s="305"/>
      <c r="D710" s="81" t="s">
        <v>800</v>
      </c>
      <c r="E710" s="305" t="s">
        <v>10791</v>
      </c>
      <c r="F710" s="305"/>
      <c r="G710" s="305"/>
      <c r="H710" s="305"/>
    </row>
    <row r="711" spans="1:8" ht="14.55" customHeight="1" x14ac:dyDescent="0.3">
      <c r="A711" s="25" t="s">
        <v>1361</v>
      </c>
      <c r="B711" t="s">
        <v>1348</v>
      </c>
      <c r="C711" t="s">
        <v>53</v>
      </c>
      <c r="D711" s="80">
        <v>1.1399999999999999</v>
      </c>
      <c r="E711" t="s">
        <v>54</v>
      </c>
      <c r="F711" s="83">
        <v>0.5</v>
      </c>
      <c r="G711" t="s">
        <v>1343</v>
      </c>
      <c r="H711" t="str">
        <f>IF(G712="","Em aberto","Finalizado")</f>
        <v>Finalizado</v>
      </c>
    </row>
    <row r="712" spans="1:8" ht="14.55" customHeight="1" x14ac:dyDescent="0.3">
      <c r="A712" s="25" t="s">
        <v>1372</v>
      </c>
      <c r="B712" s="41" t="s">
        <v>45</v>
      </c>
      <c r="C712" s="177">
        <v>4</v>
      </c>
      <c r="D712" s="41" t="s">
        <v>48</v>
      </c>
      <c r="E712" s="177">
        <v>1</v>
      </c>
      <c r="F712" t="s">
        <v>1373</v>
      </c>
      <c r="G712">
        <f>IF(OR(C712="",E712=""),"",C712+E712)</f>
        <v>5</v>
      </c>
    </row>
    <row r="713" spans="1:8" ht="14.55" customHeight="1" x14ac:dyDescent="0.3">
      <c r="A713" s="25" t="s">
        <v>1374</v>
      </c>
      <c r="B713" t="s">
        <v>426</v>
      </c>
      <c r="C713" s="111" t="str">
        <f>IF(G712="","",IF(G712&gt;=2,"Green","Red"))</f>
        <v>Green</v>
      </c>
      <c r="D713" t="s">
        <v>1342</v>
      </c>
      <c r="E713" s="83">
        <f>IF(G712="","",IF(G712&gt;=2,F711*(D711-1),-F711))</f>
        <v>6.9999999999999951E-2</v>
      </c>
      <c r="F713" s="305" t="s">
        <v>8283</v>
      </c>
      <c r="G713" s="305"/>
      <c r="H713" s="305"/>
    </row>
    <row r="714" spans="1:8" ht="14.55" customHeight="1" x14ac:dyDescent="0.3"/>
    <row r="715" spans="1:8" ht="14.55" customHeight="1" x14ac:dyDescent="0.3"/>
    <row r="716" spans="1:8" ht="14.55" customHeight="1" x14ac:dyDescent="0.35">
      <c r="A716" s="328">
        <f>DATE(2026,8,16)</f>
        <v>46250</v>
      </c>
      <c r="B716" s="328"/>
      <c r="C716" s="329" t="s">
        <v>10792</v>
      </c>
      <c r="D716" s="329"/>
      <c r="E716" s="329"/>
      <c r="F716" s="329"/>
      <c r="G716" s="329"/>
      <c r="H716" s="329"/>
    </row>
    <row r="717" spans="1:8" ht="14.55" customHeight="1" x14ac:dyDescent="0.3">
      <c r="A717" s="330" t="s">
        <v>7895</v>
      </c>
      <c r="B717" s="330"/>
      <c r="C717" s="330"/>
      <c r="D717" s="330"/>
      <c r="E717" s="315" t="s">
        <v>1370</v>
      </c>
      <c r="F717" s="315"/>
      <c r="G717" s="330" t="s">
        <v>10793</v>
      </c>
      <c r="H717" s="330"/>
    </row>
    <row r="718" spans="1:8" ht="14.55" customHeight="1" x14ac:dyDescent="0.3">
      <c r="A718" s="25" t="s">
        <v>1357</v>
      </c>
      <c r="B718" s="305" t="s">
        <v>10794</v>
      </c>
      <c r="C718" s="305"/>
      <c r="D718" s="305"/>
      <c r="E718" s="81" t="s">
        <v>1358</v>
      </c>
      <c r="F718" s="81" t="s">
        <v>1348</v>
      </c>
      <c r="G718" s="81" t="s">
        <v>801</v>
      </c>
      <c r="H718" s="81" t="s">
        <v>8209</v>
      </c>
    </row>
    <row r="719" spans="1:8" ht="14.55" customHeight="1" x14ac:dyDescent="0.3">
      <c r="A719" s="25" t="s">
        <v>1359</v>
      </c>
      <c r="B719" s="305" t="s">
        <v>10795</v>
      </c>
      <c r="C719" s="305"/>
      <c r="D719" s="305"/>
      <c r="E719" s="305"/>
      <c r="F719" s="305"/>
      <c r="G719" s="305"/>
      <c r="H719" s="305"/>
    </row>
    <row r="720" spans="1:8" ht="14.55" customHeight="1" x14ac:dyDescent="0.3">
      <c r="A720" s="25" t="s">
        <v>1360</v>
      </c>
      <c r="B720" s="305" t="s">
        <v>10796</v>
      </c>
      <c r="C720" s="305"/>
      <c r="D720" s="81" t="s">
        <v>800</v>
      </c>
      <c r="E720" s="305" t="s">
        <v>10797</v>
      </c>
      <c r="F720" s="305"/>
      <c r="G720" s="305"/>
      <c r="H720" s="305"/>
    </row>
    <row r="721" spans="1:8" ht="14.55" customHeight="1" x14ac:dyDescent="0.3">
      <c r="A721" s="25" t="s">
        <v>1361</v>
      </c>
      <c r="B721" t="s">
        <v>1348</v>
      </c>
      <c r="C721" t="s">
        <v>53</v>
      </c>
      <c r="D721" s="80">
        <v>1.325</v>
      </c>
      <c r="E721" t="s">
        <v>54</v>
      </c>
      <c r="F721" s="83">
        <v>0.5</v>
      </c>
      <c r="G721" t="s">
        <v>1343</v>
      </c>
      <c r="H721" t="str">
        <f>IF(G722="","Em aberto","Finalizado")</f>
        <v>Em aberto</v>
      </c>
    </row>
    <row r="722" spans="1:8" ht="14.55" customHeight="1" x14ac:dyDescent="0.3">
      <c r="A722" s="25" t="s">
        <v>1372</v>
      </c>
      <c r="B722" s="41" t="s">
        <v>45</v>
      </c>
      <c r="C722" s="177"/>
      <c r="D722" s="41" t="s">
        <v>48</v>
      </c>
      <c r="E722" s="177"/>
      <c r="F722" t="s">
        <v>1373</v>
      </c>
      <c r="G722" t="str">
        <f>IF(OR(C722="",E722=""),"",C722+E722)</f>
        <v/>
      </c>
    </row>
    <row r="723" spans="1:8" ht="14.55" customHeight="1" x14ac:dyDescent="0.3">
      <c r="A723" s="25" t="s">
        <v>1374</v>
      </c>
      <c r="B723" t="s">
        <v>426</v>
      </c>
      <c r="C723" s="111" t="str">
        <f>IF(G722="","",IF(G722&gt;=2,"Green","Red"))</f>
        <v/>
      </c>
      <c r="D723" t="s">
        <v>1342</v>
      </c>
      <c r="E723" s="83" t="str">
        <f>IF(G722="","",IF(G722&gt;=2,F721*(D721-1),-F721))</f>
        <v/>
      </c>
      <c r="F723" s="305" t="s">
        <v>8283</v>
      </c>
      <c r="G723" s="305"/>
      <c r="H723" s="305"/>
    </row>
    <row r="724" spans="1:8" ht="14.55" customHeight="1" x14ac:dyDescent="0.3"/>
    <row r="725" spans="1:8" ht="14.55" customHeight="1" x14ac:dyDescent="0.3"/>
    <row r="726" spans="1:8" ht="14.55" customHeight="1" x14ac:dyDescent="0.35">
      <c r="A726" s="328">
        <f>DATE(2026,8,16)</f>
        <v>46250</v>
      </c>
      <c r="B726" s="328"/>
      <c r="C726" s="329" t="s">
        <v>10798</v>
      </c>
      <c r="D726" s="329"/>
      <c r="E726" s="329"/>
      <c r="F726" s="329"/>
      <c r="G726" s="329"/>
      <c r="H726" s="329"/>
    </row>
    <row r="727" spans="1:8" ht="14.55" customHeight="1" x14ac:dyDescent="0.3">
      <c r="A727" s="330" t="s">
        <v>7895</v>
      </c>
      <c r="B727" s="330"/>
      <c r="C727" s="330"/>
      <c r="D727" s="330"/>
      <c r="E727" s="315" t="s">
        <v>1370</v>
      </c>
      <c r="F727" s="315"/>
      <c r="G727" s="330" t="s">
        <v>10793</v>
      </c>
      <c r="H727" s="330"/>
    </row>
    <row r="728" spans="1:8" ht="14.55" customHeight="1" x14ac:dyDescent="0.3">
      <c r="A728" s="25" t="s">
        <v>1357</v>
      </c>
      <c r="B728" s="305" t="s">
        <v>10799</v>
      </c>
      <c r="C728" s="305"/>
      <c r="D728" s="305"/>
      <c r="E728" s="81" t="s">
        <v>1358</v>
      </c>
      <c r="F728" s="81" t="s">
        <v>10800</v>
      </c>
      <c r="G728" s="81" t="s">
        <v>801</v>
      </c>
      <c r="H728" s="81" t="s">
        <v>10801</v>
      </c>
    </row>
    <row r="729" spans="1:8" ht="14.55" customHeight="1" x14ac:dyDescent="0.3">
      <c r="A729" s="25" t="s">
        <v>1359</v>
      </c>
      <c r="B729" s="305" t="s">
        <v>10802</v>
      </c>
      <c r="C729" s="305"/>
      <c r="D729" s="305"/>
      <c r="E729" s="305"/>
      <c r="F729" s="305"/>
      <c r="G729" s="305"/>
      <c r="H729" s="305"/>
    </row>
    <row r="730" spans="1:8" ht="14.55" customHeight="1" x14ac:dyDescent="0.3">
      <c r="A730" s="25" t="s">
        <v>1360</v>
      </c>
      <c r="B730" s="305" t="s">
        <v>10803</v>
      </c>
      <c r="C730" s="305"/>
      <c r="D730" s="81" t="s">
        <v>800</v>
      </c>
      <c r="E730" s="305" t="s">
        <v>10804</v>
      </c>
      <c r="F730" s="305"/>
      <c r="G730" s="305"/>
      <c r="H730" s="305"/>
    </row>
    <row r="731" spans="1:8" ht="14.55" customHeight="1" x14ac:dyDescent="0.3">
      <c r="A731" s="25" t="s">
        <v>1361</v>
      </c>
      <c r="B731" t="s">
        <v>10800</v>
      </c>
      <c r="C731" t="s">
        <v>53</v>
      </c>
      <c r="D731" s="80">
        <v>1.1299999999999999</v>
      </c>
      <c r="E731" t="s">
        <v>54</v>
      </c>
      <c r="F731" s="83">
        <v>0.5</v>
      </c>
      <c r="G731" t="s">
        <v>1343</v>
      </c>
      <c r="H731" t="str">
        <f>IF(G732="","Em aberto","Finalizado")</f>
        <v>Em aberto</v>
      </c>
    </row>
    <row r="732" spans="1:8" ht="14.55" customHeight="1" x14ac:dyDescent="0.3">
      <c r="A732" s="25" t="s">
        <v>1372</v>
      </c>
      <c r="B732" s="41" t="s">
        <v>45</v>
      </c>
      <c r="C732" s="177"/>
      <c r="D732" s="41" t="s">
        <v>48</v>
      </c>
      <c r="E732" s="177"/>
      <c r="F732" t="s">
        <v>1373</v>
      </c>
      <c r="G732" t="str">
        <f>IF(OR(C732="",E732=""),"",C732+E732)</f>
        <v/>
      </c>
    </row>
    <row r="733" spans="1:8" ht="14.55" customHeight="1" x14ac:dyDescent="0.3">
      <c r="A733" s="25" t="s">
        <v>1374</v>
      </c>
      <c r="B733" t="s">
        <v>426</v>
      </c>
      <c r="C733" s="111" t="str">
        <f>IF(G732="","",IF(G732&lt;=4,"Green","Red"))</f>
        <v/>
      </c>
      <c r="D733" t="s">
        <v>1342</v>
      </c>
      <c r="E733" s="83" t="str">
        <f>IF(G732="","",IF(G732&lt;=4,F731*(D731-1),-F731))</f>
        <v/>
      </c>
      <c r="F733" s="305" t="s">
        <v>10805</v>
      </c>
      <c r="G733" s="305"/>
      <c r="H733" s="305"/>
    </row>
    <row r="734" spans="1:8" ht="14.55" customHeight="1" x14ac:dyDescent="0.3"/>
    <row r="735" spans="1:8" ht="14.55" customHeight="1" x14ac:dyDescent="0.3"/>
    <row r="736" spans="1:8" ht="14.55" customHeight="1" x14ac:dyDescent="0.35">
      <c r="A736" s="328">
        <f>DATE(2026,8,16)</f>
        <v>46250</v>
      </c>
      <c r="B736" s="328"/>
      <c r="C736" s="329" t="s">
        <v>11262</v>
      </c>
      <c r="D736" s="329"/>
      <c r="E736" s="329"/>
      <c r="F736" s="329"/>
      <c r="G736" s="329"/>
      <c r="H736" s="329"/>
    </row>
    <row r="737" spans="1:8" ht="14.55" customHeight="1" x14ac:dyDescent="0.3">
      <c r="A737" s="330" t="s">
        <v>10991</v>
      </c>
      <c r="B737" s="330"/>
      <c r="C737" s="330"/>
      <c r="D737" s="330"/>
      <c r="E737" s="315" t="s">
        <v>1370</v>
      </c>
      <c r="F737" s="315"/>
      <c r="G737" s="330" t="s">
        <v>11263</v>
      </c>
      <c r="H737" s="330"/>
    </row>
    <row r="738" spans="1:8" ht="14.55" customHeight="1" x14ac:dyDescent="0.3">
      <c r="A738" s="25" t="s">
        <v>1357</v>
      </c>
      <c r="B738" s="305" t="s">
        <v>11264</v>
      </c>
      <c r="C738" s="305"/>
      <c r="D738" s="305"/>
      <c r="E738" s="81" t="s">
        <v>1358</v>
      </c>
      <c r="F738" s="81" t="s">
        <v>11265</v>
      </c>
      <c r="G738" s="81" t="s">
        <v>801</v>
      </c>
      <c r="H738" s="81" t="s">
        <v>8209</v>
      </c>
    </row>
    <row r="739" spans="1:8" ht="14.55" customHeight="1" x14ac:dyDescent="0.3">
      <c r="A739" s="25" t="s">
        <v>1359</v>
      </c>
      <c r="B739" s="305" t="s">
        <v>11266</v>
      </c>
      <c r="C739" s="305"/>
      <c r="D739" s="305"/>
      <c r="E739" s="305"/>
      <c r="F739" s="305"/>
      <c r="G739" s="305"/>
      <c r="H739" s="305"/>
    </row>
    <row r="740" spans="1:8" ht="14.55" customHeight="1" x14ac:dyDescent="0.3">
      <c r="A740" s="25" t="s">
        <v>1360</v>
      </c>
      <c r="B740" s="305" t="s">
        <v>11267</v>
      </c>
      <c r="C740" s="305"/>
      <c r="D740" s="81" t="s">
        <v>800</v>
      </c>
      <c r="E740" s="305" t="s">
        <v>11268</v>
      </c>
      <c r="F740" s="305"/>
      <c r="G740" s="305"/>
      <c r="H740" s="305"/>
    </row>
    <row r="741" spans="1:8" ht="14.55" customHeight="1" x14ac:dyDescent="0.3">
      <c r="A741" s="25" t="s">
        <v>1361</v>
      </c>
      <c r="B741" t="s">
        <v>11265</v>
      </c>
      <c r="C741" t="s">
        <v>53</v>
      </c>
      <c r="D741" s="80">
        <v>1.1200000000000001</v>
      </c>
      <c r="E741" t="s">
        <v>54</v>
      </c>
      <c r="F741" s="83">
        <v>0.5</v>
      </c>
      <c r="G741" t="s">
        <v>1343</v>
      </c>
      <c r="H741" t="str">
        <f>IF(G742="","Em aberto","Finalizado")</f>
        <v>Em aberto</v>
      </c>
    </row>
    <row r="742" spans="1:8" ht="14.55" customHeight="1" x14ac:dyDescent="0.3">
      <c r="A742" s="25" t="s">
        <v>1372</v>
      </c>
      <c r="B742" s="41" t="s">
        <v>45</v>
      </c>
      <c r="C742" s="177"/>
      <c r="D742" s="41" t="s">
        <v>48</v>
      </c>
      <c r="E742" s="177"/>
      <c r="F742" t="s">
        <v>1373</v>
      </c>
      <c r="G742" t="str">
        <f>IF(OR(C742="",E742=""),"",C742+E742)</f>
        <v/>
      </c>
    </row>
    <row r="743" spans="1:8" ht="14.55" customHeight="1" x14ac:dyDescent="0.3">
      <c r="A743" s="25" t="s">
        <v>1374</v>
      </c>
      <c r="B743" t="s">
        <v>426</v>
      </c>
      <c r="C743" s="111" t="str">
        <f>IF(G742="","",IF(G742&lt;4,"Green",IF(G742=4,"Devolvida","Red")))</f>
        <v/>
      </c>
      <c r="D743" t="s">
        <v>1342</v>
      </c>
      <c r="E743" s="83" t="str">
        <f>IF(G742="","",IF(G742&lt;4,F741*(D741-1),IF(G742=4,0,-F741)))</f>
        <v/>
      </c>
      <c r="F743" s="305" t="s">
        <v>11269</v>
      </c>
      <c r="G743" s="305"/>
      <c r="H743" s="305"/>
    </row>
    <row r="744" spans="1:8" ht="14.55" customHeight="1" x14ac:dyDescent="0.3"/>
    <row r="745" spans="1:8" ht="14.55" customHeight="1" x14ac:dyDescent="0.3"/>
    <row r="746" spans="1:8" ht="14.55" customHeight="1" x14ac:dyDescent="0.35">
      <c r="A746" s="328">
        <f>DATE(2026,8,16)</f>
        <v>46250</v>
      </c>
      <c r="B746" s="328"/>
      <c r="C746" s="329" t="s">
        <v>11270</v>
      </c>
      <c r="D746" s="329"/>
      <c r="E746" s="329"/>
      <c r="F746" s="329"/>
      <c r="G746" s="329"/>
      <c r="H746" s="329"/>
    </row>
    <row r="747" spans="1:8" ht="14.55" customHeight="1" x14ac:dyDescent="0.3">
      <c r="A747" s="330" t="s">
        <v>11257</v>
      </c>
      <c r="B747" s="330"/>
      <c r="C747" s="330"/>
      <c r="D747" s="330"/>
      <c r="E747" s="315" t="s">
        <v>1370</v>
      </c>
      <c r="F747" s="315"/>
      <c r="G747" s="330" t="s">
        <v>11263</v>
      </c>
      <c r="H747" s="330"/>
    </row>
    <row r="748" spans="1:8" ht="14.55" customHeight="1" x14ac:dyDescent="0.3">
      <c r="A748" s="25" t="s">
        <v>1357</v>
      </c>
      <c r="B748" s="305" t="s">
        <v>11271</v>
      </c>
      <c r="C748" s="305"/>
      <c r="D748" s="305"/>
      <c r="E748" s="81" t="s">
        <v>1358</v>
      </c>
      <c r="F748" s="81" t="s">
        <v>1348</v>
      </c>
      <c r="G748" s="81" t="s">
        <v>801</v>
      </c>
      <c r="H748" s="81" t="s">
        <v>8209</v>
      </c>
    </row>
    <row r="749" spans="1:8" ht="14.55" customHeight="1" x14ac:dyDescent="0.3">
      <c r="A749" s="25" t="s">
        <v>1359</v>
      </c>
      <c r="B749" s="305" t="s">
        <v>11272</v>
      </c>
      <c r="C749" s="305"/>
      <c r="D749" s="305"/>
      <c r="E749" s="305"/>
      <c r="F749" s="305"/>
      <c r="G749" s="305"/>
      <c r="H749" s="305"/>
    </row>
    <row r="750" spans="1:8" ht="14.55" customHeight="1" x14ac:dyDescent="0.3">
      <c r="A750" s="25" t="s">
        <v>1360</v>
      </c>
      <c r="B750" s="305" t="s">
        <v>8710</v>
      </c>
      <c r="C750" s="305"/>
      <c r="D750" s="81" t="s">
        <v>800</v>
      </c>
      <c r="E750" s="305" t="s">
        <v>11273</v>
      </c>
      <c r="F750" s="305"/>
      <c r="G750" s="305"/>
      <c r="H750" s="305"/>
    </row>
    <row r="751" spans="1:8" ht="14.55" customHeight="1" x14ac:dyDescent="0.3">
      <c r="A751" s="25" t="s">
        <v>1361</v>
      </c>
      <c r="B751" t="s">
        <v>1348</v>
      </c>
      <c r="C751" t="s">
        <v>53</v>
      </c>
      <c r="D751" s="80">
        <v>1.1599999999999999</v>
      </c>
      <c r="E751" t="s">
        <v>54</v>
      </c>
      <c r="F751" s="83">
        <v>0.5</v>
      </c>
      <c r="G751" t="s">
        <v>1343</v>
      </c>
      <c r="H751" t="str">
        <f>IF(G752="","Em aberto","Finalizado")</f>
        <v>Em aberto</v>
      </c>
    </row>
    <row r="752" spans="1:8" ht="14.55" customHeight="1" x14ac:dyDescent="0.3">
      <c r="A752" s="25" t="s">
        <v>1372</v>
      </c>
      <c r="B752" s="41" t="s">
        <v>45</v>
      </c>
      <c r="C752" s="177"/>
      <c r="D752" s="41" t="s">
        <v>48</v>
      </c>
      <c r="E752" s="177"/>
      <c r="F752" t="s">
        <v>1373</v>
      </c>
      <c r="G752" t="str">
        <f>IF(OR(C752="",E752=""),"",C752+E752)</f>
        <v/>
      </c>
    </row>
    <row r="753" spans="1:8" ht="14.55" customHeight="1" x14ac:dyDescent="0.3">
      <c r="A753" s="25" t="s">
        <v>1374</v>
      </c>
      <c r="B753" t="s">
        <v>426</v>
      </c>
      <c r="C753" s="111" t="str">
        <f>IF(G752="","",IF(G752&gt;=2,"Green","Red"))</f>
        <v/>
      </c>
      <c r="D753" t="s">
        <v>1342</v>
      </c>
      <c r="E753" s="83" t="str">
        <f>IF(G752="","",IF(G752&gt;=2,F751*(D751-1),-F751))</f>
        <v/>
      </c>
      <c r="F753" s="305" t="s">
        <v>8283</v>
      </c>
      <c r="G753" s="305"/>
      <c r="H753" s="305"/>
    </row>
    <row r="754" spans="1:8" ht="14.55" customHeight="1" x14ac:dyDescent="0.3"/>
    <row r="755" spans="1:8" ht="14.55" customHeight="1" x14ac:dyDescent="0.3"/>
    <row r="756" spans="1:8" ht="14.55" customHeight="1" x14ac:dyDescent="0.35">
      <c r="A756" s="328">
        <f>DATE(2026,8,16)</f>
        <v>46250</v>
      </c>
      <c r="B756" s="328"/>
      <c r="C756" s="329" t="s">
        <v>11274</v>
      </c>
      <c r="D756" s="329"/>
      <c r="E756" s="329"/>
      <c r="F756" s="329"/>
      <c r="G756" s="329"/>
      <c r="H756" s="329"/>
    </row>
    <row r="757" spans="1:8" ht="14.55" customHeight="1" x14ac:dyDescent="0.3">
      <c r="A757" s="330" t="s">
        <v>11257</v>
      </c>
      <c r="B757" s="330"/>
      <c r="C757" s="330"/>
      <c r="D757" s="330"/>
      <c r="E757" s="315" t="s">
        <v>1370</v>
      </c>
      <c r="F757" s="315"/>
      <c r="G757" s="330" t="s">
        <v>11263</v>
      </c>
      <c r="H757" s="330"/>
    </row>
    <row r="758" spans="1:8" ht="14.55" customHeight="1" x14ac:dyDescent="0.3">
      <c r="A758" s="25" t="s">
        <v>1357</v>
      </c>
      <c r="B758" s="305" t="s">
        <v>11275</v>
      </c>
      <c r="C758" s="305"/>
      <c r="D758" s="305"/>
      <c r="E758" s="81" t="s">
        <v>1358</v>
      </c>
      <c r="F758" s="81" t="s">
        <v>1348</v>
      </c>
      <c r="G758" s="81" t="s">
        <v>801</v>
      </c>
      <c r="H758" s="81" t="s">
        <v>8209</v>
      </c>
    </row>
    <row r="759" spans="1:8" ht="14.55" customHeight="1" x14ac:dyDescent="0.3">
      <c r="A759" s="25" t="s">
        <v>1359</v>
      </c>
      <c r="B759" s="305" t="s">
        <v>11276</v>
      </c>
      <c r="C759" s="305"/>
      <c r="D759" s="305"/>
      <c r="E759" s="305"/>
      <c r="F759" s="305"/>
      <c r="G759" s="305"/>
      <c r="H759" s="305"/>
    </row>
    <row r="760" spans="1:8" ht="14.55" customHeight="1" x14ac:dyDescent="0.3">
      <c r="A760" s="25" t="s">
        <v>1360</v>
      </c>
      <c r="B760" s="305" t="s">
        <v>11277</v>
      </c>
      <c r="C760" s="305"/>
      <c r="D760" s="81" t="s">
        <v>800</v>
      </c>
      <c r="E760" s="305" t="s">
        <v>11278</v>
      </c>
      <c r="F760" s="305"/>
      <c r="G760" s="305"/>
      <c r="H760" s="305"/>
    </row>
    <row r="761" spans="1:8" ht="14.55" customHeight="1" x14ac:dyDescent="0.3">
      <c r="A761" s="25" t="s">
        <v>1361</v>
      </c>
      <c r="B761" t="s">
        <v>1348</v>
      </c>
      <c r="C761" t="s">
        <v>53</v>
      </c>
      <c r="D761" s="80">
        <v>1.375</v>
      </c>
      <c r="E761" t="s">
        <v>54</v>
      </c>
      <c r="F761" s="83">
        <v>0.5</v>
      </c>
      <c r="G761" t="s">
        <v>1343</v>
      </c>
      <c r="H761" t="str">
        <f>IF(G762="","Em aberto","Finalizado")</f>
        <v>Em aberto</v>
      </c>
    </row>
    <row r="762" spans="1:8" ht="14.55" customHeight="1" x14ac:dyDescent="0.3">
      <c r="A762" s="25" t="s">
        <v>1372</v>
      </c>
      <c r="B762" s="41" t="s">
        <v>45</v>
      </c>
      <c r="C762" s="177"/>
      <c r="D762" s="41" t="s">
        <v>48</v>
      </c>
      <c r="E762" s="177"/>
      <c r="F762" t="s">
        <v>1373</v>
      </c>
      <c r="G762" t="str">
        <f>IF(OR(C762="",E762=""),"",C762+E762)</f>
        <v/>
      </c>
    </row>
    <row r="763" spans="1:8" ht="14.55" customHeight="1" x14ac:dyDescent="0.3">
      <c r="A763" s="25" t="s">
        <v>1374</v>
      </c>
      <c r="B763" t="s">
        <v>426</v>
      </c>
      <c r="C763" s="111" t="str">
        <f>IF(G762="","",IF(G762&gt;=2,"Green","Red"))</f>
        <v/>
      </c>
      <c r="D763" t="s">
        <v>1342</v>
      </c>
      <c r="E763" s="83" t="str">
        <f>IF(G762="","",IF(G762&gt;=2,F761*(D761-1),-F761))</f>
        <v/>
      </c>
      <c r="F763" s="305" t="s">
        <v>8283</v>
      </c>
      <c r="G763" s="305"/>
      <c r="H763" s="305"/>
    </row>
    <row r="764" spans="1:8" ht="14.55" customHeight="1" x14ac:dyDescent="0.3"/>
    <row r="765" spans="1:8" ht="14.55" customHeight="1" x14ac:dyDescent="0.3"/>
    <row r="766" spans="1:8" ht="14.55" customHeight="1" x14ac:dyDescent="0.35">
      <c r="A766" s="328">
        <f>DATE(2026,8,16)</f>
        <v>46250</v>
      </c>
      <c r="B766" s="328"/>
      <c r="C766" s="329" t="s">
        <v>11279</v>
      </c>
      <c r="D766" s="329"/>
      <c r="E766" s="329"/>
      <c r="F766" s="329"/>
      <c r="G766" s="329"/>
      <c r="H766" s="329"/>
    </row>
    <row r="767" spans="1:8" ht="14.55" customHeight="1" x14ac:dyDescent="0.3">
      <c r="A767" s="330" t="s">
        <v>11257</v>
      </c>
      <c r="B767" s="330"/>
      <c r="C767" s="330"/>
      <c r="D767" s="330"/>
      <c r="E767" s="315" t="s">
        <v>1370</v>
      </c>
      <c r="F767" s="315"/>
      <c r="G767" s="330" t="s">
        <v>11263</v>
      </c>
      <c r="H767" s="330"/>
    </row>
    <row r="768" spans="1:8" ht="14.55" customHeight="1" x14ac:dyDescent="0.3">
      <c r="A768" s="25" t="s">
        <v>1357</v>
      </c>
      <c r="B768" s="305" t="s">
        <v>11280</v>
      </c>
      <c r="C768" s="305"/>
      <c r="D768" s="305"/>
      <c r="E768" s="81" t="s">
        <v>1358</v>
      </c>
      <c r="F768" s="81" t="s">
        <v>11281</v>
      </c>
      <c r="G768" s="81" t="s">
        <v>801</v>
      </c>
      <c r="H768" s="81" t="s">
        <v>8209</v>
      </c>
    </row>
    <row r="769" spans="1:8" ht="14.55" customHeight="1" x14ac:dyDescent="0.3">
      <c r="A769" s="25" t="s">
        <v>1359</v>
      </c>
      <c r="B769" s="305" t="s">
        <v>11282</v>
      </c>
      <c r="C769" s="305"/>
      <c r="D769" s="305"/>
      <c r="E769" s="305"/>
      <c r="F769" s="305"/>
      <c r="G769" s="305"/>
      <c r="H769" s="305"/>
    </row>
    <row r="770" spans="1:8" ht="14.55" customHeight="1" x14ac:dyDescent="0.3">
      <c r="A770" s="25" t="s">
        <v>1360</v>
      </c>
      <c r="B770" s="305" t="s">
        <v>11283</v>
      </c>
      <c r="C770" s="305"/>
      <c r="D770" s="81" t="s">
        <v>800</v>
      </c>
      <c r="E770" s="305" t="s">
        <v>11284</v>
      </c>
      <c r="F770" s="305"/>
      <c r="G770" s="305"/>
      <c r="H770" s="305"/>
    </row>
    <row r="771" spans="1:8" ht="14.55" customHeight="1" x14ac:dyDescent="0.3">
      <c r="A771" s="25" t="s">
        <v>1361</v>
      </c>
      <c r="B771" t="s">
        <v>11281</v>
      </c>
      <c r="C771" t="s">
        <v>53</v>
      </c>
      <c r="D771" s="80">
        <v>1.1399999999999999</v>
      </c>
      <c r="E771" t="s">
        <v>54</v>
      </c>
      <c r="F771" s="83">
        <v>0.5</v>
      </c>
      <c r="G771" t="s">
        <v>1343</v>
      </c>
      <c r="H771" t="str">
        <f>IF(G772="","Em aberto","Finalizado")</f>
        <v>Em aberto</v>
      </c>
    </row>
    <row r="772" spans="1:8" ht="14.55" customHeight="1" x14ac:dyDescent="0.3">
      <c r="A772" s="25" t="s">
        <v>1372</v>
      </c>
      <c r="B772" s="41" t="s">
        <v>45</v>
      </c>
      <c r="C772" s="177"/>
      <c r="D772" s="41" t="s">
        <v>48</v>
      </c>
      <c r="E772" s="177"/>
      <c r="F772" t="s">
        <v>1373</v>
      </c>
      <c r="G772" t="str">
        <f>IF(OR(C772="",E772=""),"",C772+E772)</f>
        <v/>
      </c>
    </row>
    <row r="773" spans="1:8" ht="14.55" customHeight="1" x14ac:dyDescent="0.3">
      <c r="A773" s="25" t="s">
        <v>1374</v>
      </c>
      <c r="B773" t="s">
        <v>426</v>
      </c>
      <c r="C773" s="111" t="str">
        <f>IF(G772="","",IF(G772&lt;=3,"Green",IF(G772=4,"Meio Green","Red")))</f>
        <v/>
      </c>
      <c r="D773" t="s">
        <v>1342</v>
      </c>
      <c r="E773" s="83" t="str">
        <f>IF(G772="","",IF(G772&lt;=3,F771*(D771-1),IF(G772=4,F771*(D771-1)/2,-F771)))</f>
        <v/>
      </c>
      <c r="F773" s="305" t="s">
        <v>11285</v>
      </c>
      <c r="G773" s="305"/>
      <c r="H773" s="305"/>
    </row>
    <row r="774" spans="1:8" ht="14.55" customHeight="1" x14ac:dyDescent="0.3"/>
    <row r="775" spans="1:8" ht="14.55" customHeight="1" x14ac:dyDescent="0.3"/>
    <row r="776" spans="1:8" ht="14.55" customHeight="1" x14ac:dyDescent="0.35">
      <c r="A776" s="328">
        <f>DATE(2026,8,16)</f>
        <v>46250</v>
      </c>
      <c r="B776" s="328"/>
      <c r="C776" s="329" t="s">
        <v>11329</v>
      </c>
      <c r="D776" s="329"/>
      <c r="E776" s="329"/>
      <c r="F776" s="329"/>
      <c r="G776" s="329"/>
      <c r="H776" s="329"/>
    </row>
    <row r="777" spans="1:8" ht="14.55" customHeight="1" x14ac:dyDescent="0.3">
      <c r="A777" s="330" t="s">
        <v>987</v>
      </c>
      <c r="B777" s="330"/>
      <c r="C777" s="330"/>
      <c r="D777" s="330"/>
      <c r="E777" s="315" t="s">
        <v>1370</v>
      </c>
      <c r="F777" s="315"/>
      <c r="G777" s="330" t="s">
        <v>11330</v>
      </c>
      <c r="H777" s="330"/>
    </row>
    <row r="778" spans="1:8" ht="14.55" customHeight="1" x14ac:dyDescent="0.3">
      <c r="A778" s="25" t="s">
        <v>1357</v>
      </c>
      <c r="B778" s="305" t="s">
        <v>11331</v>
      </c>
      <c r="C778" s="305"/>
      <c r="D778" s="305"/>
      <c r="E778" s="81" t="s">
        <v>1358</v>
      </c>
      <c r="F778" s="81" t="s">
        <v>1344</v>
      </c>
      <c r="G778" s="81" t="s">
        <v>801</v>
      </c>
      <c r="H778" s="81" t="s">
        <v>11332</v>
      </c>
    </row>
    <row r="779" spans="1:8" ht="14.55" customHeight="1" x14ac:dyDescent="0.3">
      <c r="A779" s="25" t="s">
        <v>1359</v>
      </c>
      <c r="B779" s="305" t="s">
        <v>11333</v>
      </c>
      <c r="C779" s="305"/>
      <c r="D779" s="305"/>
      <c r="E779" s="305"/>
      <c r="F779" s="305"/>
      <c r="G779" s="305"/>
      <c r="H779" s="305"/>
    </row>
    <row r="780" spans="1:8" ht="14.55" customHeight="1" x14ac:dyDescent="0.3">
      <c r="A780" s="25" t="s">
        <v>1360</v>
      </c>
      <c r="B780" s="305" t="s">
        <v>11334</v>
      </c>
      <c r="C780" s="305"/>
      <c r="D780" s="81" t="s">
        <v>800</v>
      </c>
      <c r="E780" s="305" t="s">
        <v>11335</v>
      </c>
      <c r="F780" s="305"/>
      <c r="G780" s="305"/>
      <c r="H780" s="305"/>
    </row>
    <row r="781" spans="1:8" ht="14.55" customHeight="1" x14ac:dyDescent="0.3">
      <c r="A781" s="25" t="s">
        <v>1361</v>
      </c>
      <c r="B781" t="s">
        <v>1344</v>
      </c>
      <c r="C781" t="s">
        <v>53</v>
      </c>
      <c r="D781" s="80">
        <v>1.21</v>
      </c>
      <c r="E781" t="s">
        <v>54</v>
      </c>
      <c r="F781" s="83">
        <v>0.5</v>
      </c>
      <c r="G781" t="s">
        <v>1343</v>
      </c>
      <c r="H781" t="str">
        <f>IF(G782="","Em aberto","Finalizado")</f>
        <v>Em aberto</v>
      </c>
    </row>
    <row r="782" spans="1:8" ht="14.55" customHeight="1" x14ac:dyDescent="0.3">
      <c r="A782" s="25" t="s">
        <v>1372</v>
      </c>
      <c r="B782" s="41" t="s">
        <v>45</v>
      </c>
      <c r="C782" s="177"/>
      <c r="D782" s="41" t="s">
        <v>48</v>
      </c>
      <c r="E782" s="177"/>
      <c r="F782" t="s">
        <v>1373</v>
      </c>
      <c r="G782" t="str">
        <f>IF(OR(C782="",E782=""),"",C782+E782)</f>
        <v/>
      </c>
    </row>
    <row r="783" spans="1:8" ht="14.55" customHeight="1" x14ac:dyDescent="0.3">
      <c r="A783" s="25" t="s">
        <v>1374</v>
      </c>
      <c r="B783" t="s">
        <v>426</v>
      </c>
      <c r="C783" s="111" t="str">
        <f>IF(G782="","",IF(G782&gt;=3,"Green","Red"))</f>
        <v/>
      </c>
      <c r="D783" t="s">
        <v>1342</v>
      </c>
      <c r="E783" s="83" t="str">
        <f>IF(G782="","",IF(G782&gt;=3,F781*(D781-1),-F781))</f>
        <v/>
      </c>
      <c r="F783" s="305" t="s">
        <v>8696</v>
      </c>
      <c r="G783" s="305"/>
      <c r="H783" s="305"/>
    </row>
    <row r="784" spans="1:8" ht="14.55" customHeight="1" x14ac:dyDescent="0.3"/>
    <row r="785" spans="1:8" ht="14.55" customHeight="1" x14ac:dyDescent="0.3"/>
    <row r="786" spans="1:8" ht="14.55" customHeight="1" x14ac:dyDescent="0.35">
      <c r="A786" s="328">
        <f>DATE(2026,8,16)</f>
        <v>46250</v>
      </c>
      <c r="B786" s="328"/>
      <c r="C786" s="329" t="s">
        <v>11336</v>
      </c>
      <c r="D786" s="329"/>
      <c r="E786" s="329"/>
      <c r="F786" s="329"/>
      <c r="G786" s="329"/>
      <c r="H786" s="329"/>
    </row>
    <row r="787" spans="1:8" ht="14.55" customHeight="1" x14ac:dyDescent="0.3">
      <c r="A787" s="330" t="s">
        <v>4290</v>
      </c>
      <c r="B787" s="330"/>
      <c r="C787" s="330"/>
      <c r="D787" s="330"/>
      <c r="E787" s="315" t="s">
        <v>1370</v>
      </c>
      <c r="F787" s="315"/>
      <c r="G787" s="330" t="s">
        <v>11337</v>
      </c>
      <c r="H787" s="330"/>
    </row>
    <row r="788" spans="1:8" ht="14.55" customHeight="1" x14ac:dyDescent="0.3">
      <c r="A788" s="25" t="s">
        <v>1357</v>
      </c>
      <c r="B788" s="305" t="s">
        <v>11338</v>
      </c>
      <c r="C788" s="305"/>
      <c r="D788" s="305"/>
      <c r="E788" s="81" t="s">
        <v>1358</v>
      </c>
      <c r="F788" s="81" t="s">
        <v>1344</v>
      </c>
      <c r="G788" s="81" t="s">
        <v>801</v>
      </c>
      <c r="H788" s="81" t="s">
        <v>11332</v>
      </c>
    </row>
    <row r="789" spans="1:8" ht="14.55" customHeight="1" x14ac:dyDescent="0.3">
      <c r="A789" s="25" t="s">
        <v>1359</v>
      </c>
      <c r="B789" s="305" t="s">
        <v>11339</v>
      </c>
      <c r="C789" s="305"/>
      <c r="D789" s="305"/>
      <c r="E789" s="305"/>
      <c r="F789" s="305"/>
      <c r="G789" s="305"/>
      <c r="H789" s="305"/>
    </row>
    <row r="790" spans="1:8" ht="14.55" customHeight="1" x14ac:dyDescent="0.3">
      <c r="A790" s="25" t="s">
        <v>1360</v>
      </c>
      <c r="B790" s="305" t="s">
        <v>11340</v>
      </c>
      <c r="C790" s="305"/>
      <c r="D790" s="81" t="s">
        <v>800</v>
      </c>
      <c r="E790" s="305" t="s">
        <v>11341</v>
      </c>
      <c r="F790" s="305"/>
      <c r="G790" s="305"/>
      <c r="H790" s="305"/>
    </row>
    <row r="791" spans="1:8" ht="14.55" customHeight="1" x14ac:dyDescent="0.3">
      <c r="A791" s="25" t="s">
        <v>1361</v>
      </c>
      <c r="B791" t="s">
        <v>1344</v>
      </c>
      <c r="C791" t="s">
        <v>53</v>
      </c>
      <c r="D791" s="80">
        <v>1.18</v>
      </c>
      <c r="E791" t="s">
        <v>54</v>
      </c>
      <c r="F791" s="83">
        <v>0.5</v>
      </c>
      <c r="G791" t="s">
        <v>1343</v>
      </c>
      <c r="H791" t="str">
        <f>IF(G792="","Em aberto","Finalizado")</f>
        <v>Em aberto</v>
      </c>
    </row>
    <row r="792" spans="1:8" ht="14.55" customHeight="1" x14ac:dyDescent="0.3">
      <c r="A792" s="25" t="s">
        <v>1372</v>
      </c>
      <c r="B792" s="41" t="s">
        <v>45</v>
      </c>
      <c r="C792" s="177"/>
      <c r="D792" s="41" t="s">
        <v>48</v>
      </c>
      <c r="E792" s="177"/>
      <c r="F792" t="s">
        <v>1373</v>
      </c>
      <c r="G792" t="str">
        <f>IF(OR(C792="",E792=""),"",C792+E792)</f>
        <v/>
      </c>
    </row>
    <row r="793" spans="1:8" ht="14.55" customHeight="1" x14ac:dyDescent="0.3">
      <c r="A793" s="25" t="s">
        <v>1374</v>
      </c>
      <c r="B793" t="s">
        <v>426</v>
      </c>
      <c r="C793" s="111" t="str">
        <f>IF(G792="","",IF(G792&gt;=3,"Green","Red"))</f>
        <v/>
      </c>
      <c r="D793" t="s">
        <v>1342</v>
      </c>
      <c r="E793" s="83" t="str">
        <f>IF(G792="","",IF(G792&gt;=3,F791*(D791-1),-F791))</f>
        <v/>
      </c>
      <c r="F793" s="305" t="s">
        <v>8696</v>
      </c>
      <c r="G793" s="305"/>
      <c r="H793" s="305"/>
    </row>
    <row r="794" spans="1:8" ht="14.55" customHeight="1" x14ac:dyDescent="0.3"/>
    <row r="795" spans="1:8" ht="14.55" customHeight="1" x14ac:dyDescent="0.3"/>
    <row r="796" spans="1:8" ht="14.55" customHeight="1" x14ac:dyDescent="0.35">
      <c r="A796" s="328">
        <f>DATE(2026,8,16)</f>
        <v>46250</v>
      </c>
      <c r="B796" s="328"/>
      <c r="C796" s="329" t="s">
        <v>11342</v>
      </c>
      <c r="D796" s="329"/>
      <c r="E796" s="329"/>
      <c r="F796" s="329"/>
      <c r="G796" s="329"/>
      <c r="H796" s="329"/>
    </row>
    <row r="797" spans="1:8" ht="14.55" customHeight="1" x14ac:dyDescent="0.3">
      <c r="A797" s="330" t="s">
        <v>987</v>
      </c>
      <c r="B797" s="330"/>
      <c r="C797" s="330"/>
      <c r="D797" s="330"/>
      <c r="E797" s="315" t="s">
        <v>1370</v>
      </c>
      <c r="F797" s="315"/>
      <c r="G797" s="330" t="s">
        <v>11330</v>
      </c>
      <c r="H797" s="330"/>
    </row>
    <row r="798" spans="1:8" ht="14.55" customHeight="1" x14ac:dyDescent="0.3">
      <c r="A798" s="25" t="s">
        <v>1357</v>
      </c>
      <c r="B798" s="305" t="s">
        <v>11343</v>
      </c>
      <c r="C798" s="305"/>
      <c r="D798" s="305"/>
      <c r="E798" s="81" t="s">
        <v>1358</v>
      </c>
      <c r="F798" s="81" t="s">
        <v>1346</v>
      </c>
      <c r="G798" s="81" t="s">
        <v>801</v>
      </c>
      <c r="H798" s="81" t="s">
        <v>8209</v>
      </c>
    </row>
    <row r="799" spans="1:8" ht="14.55" customHeight="1" x14ac:dyDescent="0.3">
      <c r="A799" s="25" t="s">
        <v>1359</v>
      </c>
      <c r="B799" s="305" t="s">
        <v>11344</v>
      </c>
      <c r="C799" s="305"/>
      <c r="D799" s="305"/>
      <c r="E799" s="305"/>
      <c r="F799" s="305"/>
      <c r="G799" s="305"/>
      <c r="H799" s="305"/>
    </row>
    <row r="800" spans="1:8" ht="14.55" customHeight="1" x14ac:dyDescent="0.3">
      <c r="A800" s="25" t="s">
        <v>1360</v>
      </c>
      <c r="B800" s="305" t="s">
        <v>3051</v>
      </c>
      <c r="C800" s="305"/>
      <c r="D800" s="81" t="s">
        <v>800</v>
      </c>
      <c r="E800" s="305" t="s">
        <v>11345</v>
      </c>
      <c r="F800" s="305"/>
      <c r="G800" s="305"/>
      <c r="H800" s="305"/>
    </row>
    <row r="801" spans="1:8" ht="14.55" customHeight="1" x14ac:dyDescent="0.3">
      <c r="A801" s="25" t="s">
        <v>1361</v>
      </c>
      <c r="B801" t="s">
        <v>1346</v>
      </c>
      <c r="C801" t="s">
        <v>53</v>
      </c>
      <c r="D801" s="80">
        <v>1.1299999999999999</v>
      </c>
      <c r="E801" t="s">
        <v>54</v>
      </c>
      <c r="F801" s="83">
        <v>0.5</v>
      </c>
      <c r="G801" t="s">
        <v>1343</v>
      </c>
      <c r="H801" t="str">
        <f>IF(G802="","Em aberto","Finalizado")</f>
        <v>Em aberto</v>
      </c>
    </row>
    <row r="802" spans="1:8" ht="14.55" customHeight="1" x14ac:dyDescent="0.3">
      <c r="A802" s="25" t="s">
        <v>1372</v>
      </c>
      <c r="B802" s="41" t="s">
        <v>45</v>
      </c>
      <c r="C802" s="177"/>
      <c r="D802" s="41" t="s">
        <v>48</v>
      </c>
      <c r="E802" s="177"/>
      <c r="F802" t="s">
        <v>1373</v>
      </c>
      <c r="G802" t="str">
        <f>IF(OR(C802="",E802=""),"",C802+E802)</f>
        <v/>
      </c>
    </row>
    <row r="803" spans="1:8" ht="14.55" customHeight="1" x14ac:dyDescent="0.3">
      <c r="A803" s="25" t="s">
        <v>1374</v>
      </c>
      <c r="B803" t="s">
        <v>426</v>
      </c>
      <c r="C803" s="111" t="str">
        <f>IF(G802="","",IF(G802&gt;2,"Green",IF(G802=2,"Devolvida","Red")))</f>
        <v/>
      </c>
      <c r="D803" t="s">
        <v>1342</v>
      </c>
      <c r="E803" s="83" t="str">
        <f>IF(G802="","",IF(G802&gt;2,F801*(D801-1),IF(G802=2,0,-F801)))</f>
        <v/>
      </c>
      <c r="F803" s="305" t="s">
        <v>8266</v>
      </c>
      <c r="G803" s="305"/>
      <c r="H803" s="305"/>
    </row>
    <row r="804" spans="1:8" ht="14.55" customHeight="1" x14ac:dyDescent="0.3"/>
    <row r="805" spans="1:8" ht="14.55" customHeight="1" x14ac:dyDescent="0.3"/>
    <row r="806" spans="1:8" ht="14.55" customHeight="1" x14ac:dyDescent="0.35">
      <c r="A806" s="328">
        <f>DATE(2026,8,15)</f>
        <v>46249</v>
      </c>
      <c r="B806" s="328"/>
      <c r="C806" s="329" t="s">
        <v>11346</v>
      </c>
      <c r="D806" s="329"/>
      <c r="E806" s="329"/>
      <c r="F806" s="329"/>
      <c r="G806" s="329"/>
      <c r="H806" s="329"/>
    </row>
    <row r="807" spans="1:8" ht="14.55" customHeight="1" x14ac:dyDescent="0.3">
      <c r="A807" s="330" t="s">
        <v>1333</v>
      </c>
      <c r="B807" s="330"/>
      <c r="C807" s="330"/>
      <c r="D807" s="330"/>
      <c r="E807" s="315" t="s">
        <v>1370</v>
      </c>
      <c r="F807" s="315"/>
      <c r="G807" s="330" t="s">
        <v>11347</v>
      </c>
      <c r="H807" s="330"/>
    </row>
    <row r="808" spans="1:8" ht="14.55" customHeight="1" x14ac:dyDescent="0.3">
      <c r="A808" s="25" t="s">
        <v>1357</v>
      </c>
      <c r="B808" s="305" t="s">
        <v>11348</v>
      </c>
      <c r="C808" s="305"/>
      <c r="D808" s="305"/>
      <c r="E808" s="81" t="s">
        <v>1358</v>
      </c>
      <c r="F808" s="81" t="s">
        <v>1838</v>
      </c>
      <c r="G808" s="81" t="s">
        <v>801</v>
      </c>
      <c r="H808" s="81" t="s">
        <v>11349</v>
      </c>
    </row>
    <row r="809" spans="1:8" ht="14.55" customHeight="1" x14ac:dyDescent="0.3">
      <c r="A809" s="25" t="s">
        <v>1359</v>
      </c>
      <c r="B809" s="305" t="s">
        <v>11350</v>
      </c>
      <c r="C809" s="305"/>
      <c r="D809" s="305"/>
      <c r="E809" s="305"/>
      <c r="F809" s="305"/>
      <c r="G809" s="305"/>
      <c r="H809" s="305"/>
    </row>
    <row r="810" spans="1:8" ht="14.55" customHeight="1" x14ac:dyDescent="0.3">
      <c r="A810" s="25" t="s">
        <v>1360</v>
      </c>
      <c r="B810" s="305" t="s">
        <v>11350</v>
      </c>
      <c r="C810" s="305"/>
      <c r="D810" s="81" t="s">
        <v>800</v>
      </c>
      <c r="E810" s="305" t="s">
        <v>11351</v>
      </c>
      <c r="F810" s="305"/>
      <c r="G810" s="305"/>
      <c r="H810" s="305"/>
    </row>
    <row r="811" spans="1:8" ht="14.55" customHeight="1" x14ac:dyDescent="0.3">
      <c r="A811" s="25" t="s">
        <v>1361</v>
      </c>
      <c r="B811" t="s">
        <v>1838</v>
      </c>
      <c r="C811" t="s">
        <v>53</v>
      </c>
      <c r="D811" s="80">
        <v>1.22</v>
      </c>
      <c r="E811" t="s">
        <v>54</v>
      </c>
      <c r="F811" s="83">
        <v>0.5</v>
      </c>
      <c r="G811" t="s">
        <v>1343</v>
      </c>
      <c r="H811" t="s">
        <v>4265</v>
      </c>
    </row>
    <row r="812" spans="1:8" ht="14.55" customHeight="1" x14ac:dyDescent="0.3">
      <c r="A812" s="25" t="s">
        <v>1372</v>
      </c>
      <c r="B812" s="41" t="s">
        <v>45</v>
      </c>
      <c r="C812" s="177">
        <v>1</v>
      </c>
      <c r="D812" s="41" t="s">
        <v>48</v>
      </c>
      <c r="E812" s="177">
        <v>1</v>
      </c>
      <c r="F812" t="s">
        <v>1373</v>
      </c>
      <c r="G812">
        <v>2</v>
      </c>
    </row>
    <row r="813" spans="1:8" ht="14.55" customHeight="1" x14ac:dyDescent="0.3">
      <c r="A813" s="25" t="s">
        <v>1374</v>
      </c>
      <c r="B813" t="s">
        <v>426</v>
      </c>
      <c r="C813" s="111" t="str">
        <f>IF(G812="","",IF(G812&gt;=2,"Green",IF(G812=1,"Meio Red","Red")))</f>
        <v>Green</v>
      </c>
      <c r="D813" t="s">
        <v>1342</v>
      </c>
      <c r="E813" s="83">
        <f>IF(G812="","",IF(G812&gt;=2,F811*(D811-1),IF(G812=1,-F811/2,-F811)))</f>
        <v>0.10999999999999999</v>
      </c>
      <c r="F813" s="305" t="s">
        <v>11352</v>
      </c>
      <c r="G813" s="305"/>
      <c r="H813" s="305"/>
    </row>
    <row r="814" spans="1:8" ht="14.55" customHeight="1" x14ac:dyDescent="0.3"/>
    <row r="815" spans="1:8" ht="14.55" customHeight="1" x14ac:dyDescent="0.3"/>
    <row r="816" spans="1:8" ht="14.55" customHeight="1" x14ac:dyDescent="0.35">
      <c r="A816" s="328">
        <f>DATE(2026,8,15)</f>
        <v>46249</v>
      </c>
      <c r="B816" s="328"/>
      <c r="C816" s="329" t="s">
        <v>11354</v>
      </c>
      <c r="D816" s="329"/>
      <c r="E816" s="329"/>
      <c r="F816" s="329"/>
      <c r="G816" s="329"/>
      <c r="H816" s="329"/>
    </row>
    <row r="817" spans="1:8" ht="14.55" customHeight="1" x14ac:dyDescent="0.3">
      <c r="A817" s="330" t="s">
        <v>1333</v>
      </c>
      <c r="B817" s="330"/>
      <c r="C817" s="330"/>
      <c r="D817" s="330"/>
      <c r="E817" s="315" t="s">
        <v>1370</v>
      </c>
      <c r="F817" s="315"/>
      <c r="G817" s="330" t="s">
        <v>11347</v>
      </c>
      <c r="H817" s="330"/>
    </row>
    <row r="818" spans="1:8" ht="14.55" customHeight="1" x14ac:dyDescent="0.3">
      <c r="A818" s="25" t="s">
        <v>1357</v>
      </c>
      <c r="B818" s="305" t="s">
        <v>11348</v>
      </c>
      <c r="C818" s="305"/>
      <c r="D818" s="305"/>
      <c r="E818" s="81" t="s">
        <v>1358</v>
      </c>
      <c r="F818" s="81" t="s">
        <v>1827</v>
      </c>
      <c r="G818" s="81" t="s">
        <v>801</v>
      </c>
      <c r="H818" s="81" t="s">
        <v>11349</v>
      </c>
    </row>
    <row r="819" spans="1:8" ht="14.55" customHeight="1" x14ac:dyDescent="0.3">
      <c r="A819" s="25" t="s">
        <v>1359</v>
      </c>
      <c r="B819" s="305" t="s">
        <v>1889</v>
      </c>
      <c r="C819" s="305"/>
      <c r="D819" s="305"/>
      <c r="E819" s="305"/>
      <c r="F819" s="305"/>
      <c r="G819" s="305"/>
      <c r="H819" s="305"/>
    </row>
    <row r="820" spans="1:8" ht="14.55" customHeight="1" x14ac:dyDescent="0.3">
      <c r="A820" s="25" t="s">
        <v>1360</v>
      </c>
      <c r="B820" s="305" t="s">
        <v>1889</v>
      </c>
      <c r="C820" s="305"/>
      <c r="D820" s="81" t="s">
        <v>800</v>
      </c>
      <c r="E820" s="305" t="s">
        <v>11355</v>
      </c>
      <c r="F820" s="305"/>
      <c r="G820" s="305"/>
      <c r="H820" s="305"/>
    </row>
    <row r="821" spans="1:8" ht="14.55" customHeight="1" x14ac:dyDescent="0.3">
      <c r="A821" s="25" t="s">
        <v>1361</v>
      </c>
      <c r="B821" t="s">
        <v>1827</v>
      </c>
      <c r="C821" t="s">
        <v>53</v>
      </c>
      <c r="D821" s="80">
        <v>1.105</v>
      </c>
      <c r="E821" t="s">
        <v>54</v>
      </c>
      <c r="F821" s="83">
        <v>0.5</v>
      </c>
      <c r="G821" t="s">
        <v>1343</v>
      </c>
      <c r="H821" t="s">
        <v>4265</v>
      </c>
    </row>
    <row r="822" spans="1:8" ht="14.55" customHeight="1" x14ac:dyDescent="0.3">
      <c r="A822" s="25" t="s">
        <v>1372</v>
      </c>
      <c r="B822" s="41" t="s">
        <v>45</v>
      </c>
      <c r="C822" s="177">
        <v>1</v>
      </c>
      <c r="D822" s="41" t="s">
        <v>48</v>
      </c>
      <c r="E822" s="177">
        <v>1</v>
      </c>
      <c r="F822" t="s">
        <v>1373</v>
      </c>
      <c r="G822">
        <v>2</v>
      </c>
    </row>
    <row r="823" spans="1:8" ht="14.55" customHeight="1" x14ac:dyDescent="0.3">
      <c r="A823" s="25" t="s">
        <v>1374</v>
      </c>
      <c r="B823" t="s">
        <v>426</v>
      </c>
      <c r="C823" s="111" t="str">
        <f>IF(G822="","",IF(G822&gt;1,"Green",IF(G822=1,"Devolvida","Red")))</f>
        <v>Green</v>
      </c>
      <c r="D823" t="s">
        <v>1342</v>
      </c>
      <c r="E823" s="83">
        <f>IF(G822="","",IF(G822&gt;1,F821*(D821-1),IF(G822=1,0,-F821)))</f>
        <v>5.2499999999999991E-2</v>
      </c>
      <c r="F823" s="305" t="s">
        <v>11356</v>
      </c>
      <c r="G823" s="305"/>
      <c r="H823" s="305"/>
    </row>
    <row r="824" spans="1:8" ht="14.55" customHeight="1" x14ac:dyDescent="0.3"/>
    <row r="825" spans="1:8" ht="14.55" customHeight="1" x14ac:dyDescent="0.3"/>
    <row r="826" spans="1:8" ht="14.55" customHeight="1" x14ac:dyDescent="0.35">
      <c r="A826" s="328">
        <f>DATE(2026,8,15)</f>
        <v>46249</v>
      </c>
      <c r="B826" s="328"/>
      <c r="C826" s="329" t="s">
        <v>11357</v>
      </c>
      <c r="D826" s="329"/>
      <c r="E826" s="329"/>
      <c r="F826" s="329"/>
      <c r="G826" s="329"/>
      <c r="H826" s="329"/>
    </row>
    <row r="827" spans="1:8" ht="14.55" customHeight="1" x14ac:dyDescent="0.3">
      <c r="A827" s="330" t="s">
        <v>1334</v>
      </c>
      <c r="B827" s="330"/>
      <c r="C827" s="330"/>
      <c r="D827" s="330"/>
      <c r="E827" s="315" t="s">
        <v>1370</v>
      </c>
      <c r="F827" s="315"/>
      <c r="G827" s="330" t="s">
        <v>11347</v>
      </c>
      <c r="H827" s="330"/>
    </row>
    <row r="828" spans="1:8" ht="14.55" customHeight="1" x14ac:dyDescent="0.3">
      <c r="A828" s="25" t="s">
        <v>1357</v>
      </c>
      <c r="B828" s="305" t="s">
        <v>11348</v>
      </c>
      <c r="C828" s="305"/>
      <c r="D828" s="305"/>
      <c r="E828" s="81" t="s">
        <v>1358</v>
      </c>
      <c r="F828" s="81" t="s">
        <v>1827</v>
      </c>
      <c r="G828" s="81" t="s">
        <v>801</v>
      </c>
      <c r="H828" s="81" t="s">
        <v>11349</v>
      </c>
    </row>
    <row r="829" spans="1:8" ht="14.55" customHeight="1" x14ac:dyDescent="0.3">
      <c r="A829" s="25" t="s">
        <v>1359</v>
      </c>
      <c r="B829" s="305" t="s">
        <v>4552</v>
      </c>
      <c r="C829" s="305"/>
      <c r="D829" s="305"/>
      <c r="E829" s="305"/>
      <c r="F829" s="305"/>
      <c r="G829" s="305"/>
      <c r="H829" s="305"/>
    </row>
    <row r="830" spans="1:8" ht="14.55" customHeight="1" x14ac:dyDescent="0.3">
      <c r="A830" s="25" t="s">
        <v>1360</v>
      </c>
      <c r="B830" s="305" t="s">
        <v>4552</v>
      </c>
      <c r="C830" s="305"/>
      <c r="D830" s="81" t="s">
        <v>800</v>
      </c>
      <c r="E830" s="305" t="s">
        <v>11355</v>
      </c>
      <c r="F830" s="305"/>
      <c r="G830" s="305"/>
      <c r="H830" s="305"/>
    </row>
    <row r="831" spans="1:8" ht="14.55" customHeight="1" x14ac:dyDescent="0.3">
      <c r="A831" s="25" t="s">
        <v>1361</v>
      </c>
      <c r="B831" t="s">
        <v>1827</v>
      </c>
      <c r="C831" t="s">
        <v>53</v>
      </c>
      <c r="D831" s="80">
        <v>1.1200000000000001</v>
      </c>
      <c r="E831" t="s">
        <v>54</v>
      </c>
      <c r="F831" s="83">
        <v>0.5</v>
      </c>
      <c r="G831" t="s">
        <v>1343</v>
      </c>
      <c r="H831" t="s">
        <v>4265</v>
      </c>
    </row>
    <row r="832" spans="1:8" ht="14.55" customHeight="1" x14ac:dyDescent="0.3">
      <c r="A832" s="25" t="s">
        <v>1372</v>
      </c>
      <c r="B832" s="41" t="s">
        <v>45</v>
      </c>
      <c r="C832" s="177">
        <v>0</v>
      </c>
      <c r="D832" s="41" t="s">
        <v>48</v>
      </c>
      <c r="E832" s="177">
        <v>2</v>
      </c>
      <c r="F832" t="s">
        <v>1373</v>
      </c>
      <c r="G832">
        <v>2</v>
      </c>
    </row>
    <row r="833" spans="1:8" ht="14.55" customHeight="1" x14ac:dyDescent="0.3">
      <c r="A833" s="25" t="s">
        <v>1374</v>
      </c>
      <c r="B833" t="s">
        <v>426</v>
      </c>
      <c r="C833" s="111" t="str">
        <f>IF(G832="","",IF(G832&gt;1,"Green",IF(G832=1,"Devolvida","Red")))</f>
        <v>Green</v>
      </c>
      <c r="D833" t="s">
        <v>1342</v>
      </c>
      <c r="E833" s="83">
        <f>IF(G832="","",IF(G832&gt;1,F831*(D831-1),IF(G832=1,0,-F831)))</f>
        <v>6.0000000000000053E-2</v>
      </c>
      <c r="F833" s="305" t="s">
        <v>11356</v>
      </c>
      <c r="G833" s="305"/>
      <c r="H833" s="305"/>
    </row>
    <row r="834" spans="1:8" ht="14.55" customHeight="1" x14ac:dyDescent="0.3"/>
    <row r="835" spans="1:8" ht="14.55" customHeight="1" x14ac:dyDescent="0.3"/>
    <row r="836" spans="1:8" ht="17.399999999999999" x14ac:dyDescent="0.35">
      <c r="A836" s="328">
        <f>DATE(2026,8,16)</f>
        <v>46250</v>
      </c>
      <c r="B836" s="328"/>
      <c r="C836" s="329" t="s">
        <v>11358</v>
      </c>
      <c r="D836" s="329"/>
      <c r="E836" s="329"/>
      <c r="F836" s="329"/>
      <c r="G836" s="329"/>
      <c r="H836" s="329"/>
    </row>
    <row r="837" spans="1:8" x14ac:dyDescent="0.3">
      <c r="A837" s="330" t="s">
        <v>1000</v>
      </c>
      <c r="B837" s="330"/>
      <c r="C837" s="330"/>
      <c r="D837" s="330"/>
      <c r="E837" s="315" t="s">
        <v>1370</v>
      </c>
      <c r="F837" s="315"/>
      <c r="G837" s="330" t="s">
        <v>11359</v>
      </c>
      <c r="H837" s="330"/>
    </row>
    <row r="838" spans="1:8" ht="14.4" customHeight="1" x14ac:dyDescent="0.3">
      <c r="A838" s="25" t="s">
        <v>1357</v>
      </c>
      <c r="B838" s="305" t="s">
        <v>11362</v>
      </c>
      <c r="C838" s="305"/>
      <c r="D838" s="305"/>
      <c r="E838" s="81" t="s">
        <v>1358</v>
      </c>
      <c r="F838" s="81" t="s">
        <v>1346</v>
      </c>
      <c r="G838" s="81" t="s">
        <v>801</v>
      </c>
      <c r="H838" s="81" t="s">
        <v>8209</v>
      </c>
    </row>
    <row r="839" spans="1:8" ht="14.4" customHeight="1" x14ac:dyDescent="0.3">
      <c r="A839" s="25" t="s">
        <v>1359</v>
      </c>
      <c r="B839" s="305" t="s">
        <v>11360</v>
      </c>
      <c r="C839" s="305"/>
      <c r="D839" s="305"/>
      <c r="E839" s="305"/>
      <c r="F839" s="305"/>
      <c r="G839" s="305"/>
      <c r="H839" s="305"/>
    </row>
    <row r="840" spans="1:8" ht="14.4" customHeight="1" x14ac:dyDescent="0.3">
      <c r="A840" s="25" t="s">
        <v>1360</v>
      </c>
      <c r="B840" s="305" t="s">
        <v>11361</v>
      </c>
      <c r="C840" s="305"/>
      <c r="D840" s="81" t="s">
        <v>800</v>
      </c>
      <c r="E840" s="305" t="s">
        <v>11363</v>
      </c>
      <c r="F840" s="305"/>
      <c r="G840" s="305"/>
      <c r="H840" s="305"/>
    </row>
    <row r="841" spans="1:8" x14ac:dyDescent="0.3">
      <c r="A841" s="25" t="s">
        <v>1361</v>
      </c>
      <c r="B841" t="s">
        <v>1346</v>
      </c>
      <c r="C841" t="s">
        <v>53</v>
      </c>
      <c r="D841" s="80">
        <v>1.4</v>
      </c>
      <c r="E841" t="s">
        <v>54</v>
      </c>
      <c r="F841" s="83">
        <v>0.5</v>
      </c>
      <c r="G841" t="s">
        <v>1343</v>
      </c>
      <c r="H841" t="s">
        <v>8226</v>
      </c>
    </row>
    <row r="842" spans="1:8" x14ac:dyDescent="0.3">
      <c r="A842" s="25" t="s">
        <v>1372</v>
      </c>
      <c r="B842" s="41" t="s">
        <v>45</v>
      </c>
      <c r="C842" s="177"/>
      <c r="D842" s="41" t="s">
        <v>48</v>
      </c>
      <c r="E842" s="177"/>
      <c r="F842" t="s">
        <v>1373</v>
      </c>
    </row>
    <row r="843" spans="1:8" ht="14.4" customHeight="1" x14ac:dyDescent="0.3">
      <c r="A843" s="25" t="s">
        <v>1374</v>
      </c>
      <c r="B843" t="s">
        <v>426</v>
      </c>
      <c r="C843" s="111" t="str">
        <f>IF(G842="","",IF(G842&gt;2,"Green",IF(G842=2,"Devolvida","Red")))</f>
        <v/>
      </c>
      <c r="D843" t="s">
        <v>1342</v>
      </c>
      <c r="E843" s="83" t="str">
        <f>IF(G842="","",IF(G842&gt;2,F841*(D841-1),IF(G842=2,0,-F841)))</f>
        <v/>
      </c>
      <c r="F843" s="305" t="s">
        <v>8266</v>
      </c>
      <c r="G843" s="305"/>
      <c r="H843" s="305"/>
    </row>
    <row r="846" spans="1:8" ht="28.8" x14ac:dyDescent="0.3">
      <c r="A846" s="214" t="s">
        <v>1367</v>
      </c>
      <c r="B846" s="81"/>
      <c r="C846" s="81"/>
      <c r="D846" s="81" t="s">
        <v>1368</v>
      </c>
      <c r="E846" s="215">
        <f>SUMIF($A:$A,"LIQUIDAÇÃO",$E:$E)</f>
        <v>0.94249999999999956</v>
      </c>
      <c r="F846" s="81" t="s">
        <v>1369</v>
      </c>
      <c r="G846" s="81" t="str">
        <f>COUNTIF(H:H,"Finalizado")&amp;" de "&amp;COUNTIF(A:A,"BILHETE")</f>
        <v>69 de 86</v>
      </c>
      <c r="H846" s="81"/>
    </row>
    <row r="847" spans="1:8" ht="17.399999999999999" x14ac:dyDescent="0.35">
      <c r="A847" s="339" t="s">
        <v>4277</v>
      </c>
      <c r="B847" s="339"/>
      <c r="C847" s="339"/>
      <c r="D847" s="339"/>
      <c r="E847" s="339"/>
      <c r="F847" s="339"/>
      <c r="G847" s="339"/>
      <c r="H847" s="339"/>
    </row>
    <row r="848" spans="1:8" ht="15.6" x14ac:dyDescent="0.3">
      <c r="A848" s="336" t="s">
        <v>4272</v>
      </c>
      <c r="B848" s="336"/>
      <c r="C848" s="337">
        <f>COUNTIF($C$1:INDEX($C:$C,ROW()-1),"Green")</f>
        <v>59</v>
      </c>
      <c r="D848" s="338"/>
      <c r="E848" s="334" t="s">
        <v>4280</v>
      </c>
      <c r="F848" s="334"/>
      <c r="G848" s="334"/>
      <c r="H848" s="334"/>
    </row>
    <row r="849" spans="1:8" ht="15.6" x14ac:dyDescent="0.3">
      <c r="A849" s="336" t="s">
        <v>4276</v>
      </c>
      <c r="B849" s="336"/>
      <c r="C849" s="337">
        <f>COUNTIF($C$1:INDEX($C:$C,ROW()-1),"Cashout")</f>
        <v>4</v>
      </c>
      <c r="D849" s="338"/>
      <c r="E849" s="334" t="s">
        <v>4281</v>
      </c>
      <c r="F849" s="334"/>
      <c r="G849" s="334"/>
      <c r="H849" s="334"/>
    </row>
    <row r="850" spans="1:8" ht="15.6" x14ac:dyDescent="0.3">
      <c r="A850" s="336" t="s">
        <v>958</v>
      </c>
      <c r="B850" s="336"/>
      <c r="C850" s="337">
        <f>COUNTIF($C$1:INDEX($C:$C,ROW()-1),"Meio Red")</f>
        <v>1</v>
      </c>
      <c r="D850" s="338"/>
      <c r="E850" s="334" t="s">
        <v>4282</v>
      </c>
      <c r="F850" s="334"/>
      <c r="G850" s="334"/>
      <c r="H850" s="334"/>
    </row>
    <row r="851" spans="1:8" ht="15.6" x14ac:dyDescent="0.3">
      <c r="A851" s="336" t="s">
        <v>4274</v>
      </c>
      <c r="B851" s="336"/>
      <c r="C851" s="337">
        <f>COUNTIF($C$1:INDEX($C:$C,ROW()-1),"Red")</f>
        <v>7</v>
      </c>
      <c r="D851" s="338"/>
      <c r="E851" s="334" t="s">
        <v>4283</v>
      </c>
      <c r="F851" s="334"/>
      <c r="G851" s="334"/>
      <c r="H851" s="334"/>
    </row>
    <row r="852" spans="1:8" ht="15.6" x14ac:dyDescent="0.3">
      <c r="A852" s="336" t="s">
        <v>4273</v>
      </c>
      <c r="B852" s="336"/>
      <c r="C852" s="337">
        <f>COUNTIF($C$1:INDEX($C:$C,ROW()-1),"Devolvida")</f>
        <v>4</v>
      </c>
      <c r="D852" s="338"/>
      <c r="E852" s="334" t="s">
        <v>4284</v>
      </c>
      <c r="F852" s="334"/>
      <c r="G852" s="334"/>
      <c r="H852" s="334"/>
    </row>
    <row r="853" spans="1:8" ht="15.6" x14ac:dyDescent="0.3">
      <c r="A853" s="336" t="s">
        <v>4278</v>
      </c>
      <c r="B853" s="336"/>
      <c r="C853" s="337">
        <f>SUM(C848:C851)</f>
        <v>71</v>
      </c>
      <c r="D853" s="338"/>
      <c r="E853" s="334" t="s">
        <v>4285</v>
      </c>
      <c r="F853" s="334"/>
      <c r="G853" s="334"/>
      <c r="H853" s="334"/>
    </row>
    <row r="854" spans="1:8" ht="15.6" x14ac:dyDescent="0.3">
      <c r="A854" s="336" t="s">
        <v>4279</v>
      </c>
      <c r="B854" s="336"/>
      <c r="C854" s="337">
        <f>C852</f>
        <v>4</v>
      </c>
      <c r="D854" s="338"/>
      <c r="E854" s="334" t="s">
        <v>4273</v>
      </c>
      <c r="F854" s="334"/>
      <c r="G854" s="334"/>
      <c r="H854" s="334"/>
    </row>
    <row r="855" spans="1:8" ht="15.6" x14ac:dyDescent="0.3">
      <c r="A855" s="331" t="s">
        <v>4275</v>
      </c>
      <c r="B855" s="331"/>
      <c r="C855" s="332">
        <f>IFERROR((C848+C849+(C850*0.5))/C853,0)</f>
        <v>0.89436619718309862</v>
      </c>
      <c r="D855" s="333"/>
      <c r="E855" s="334" t="s">
        <v>4286</v>
      </c>
      <c r="F855" s="334"/>
      <c r="G855" s="334"/>
      <c r="H855" s="334"/>
    </row>
    <row r="856" spans="1:8" x14ac:dyDescent="0.3">
      <c r="A856" s="335" t="s">
        <v>4287</v>
      </c>
      <c r="B856" s="335"/>
      <c r="C856" s="335"/>
      <c r="D856" s="335"/>
      <c r="E856" s="335"/>
      <c r="F856" s="335"/>
      <c r="G856" s="335"/>
      <c r="H856" s="335"/>
    </row>
  </sheetData>
  <mergeCells count="890">
    <mergeCell ref="F673:H673"/>
    <mergeCell ref="F663:H663"/>
    <mergeCell ref="A666:B666"/>
    <mergeCell ref="C666:H666"/>
    <mergeCell ref="A667:D667"/>
    <mergeCell ref="E667:F667"/>
    <mergeCell ref="G667:H667"/>
    <mergeCell ref="B668:D668"/>
    <mergeCell ref="B669:H669"/>
    <mergeCell ref="B670:C670"/>
    <mergeCell ref="E670:H670"/>
    <mergeCell ref="F653:H653"/>
    <mergeCell ref="A656:B656"/>
    <mergeCell ref="C656:H656"/>
    <mergeCell ref="A657:D657"/>
    <mergeCell ref="E657:F657"/>
    <mergeCell ref="G657:H657"/>
    <mergeCell ref="B658:D658"/>
    <mergeCell ref="B659:H659"/>
    <mergeCell ref="B660:C660"/>
    <mergeCell ref="E660:H660"/>
    <mergeCell ref="F643:H643"/>
    <mergeCell ref="A646:B646"/>
    <mergeCell ref="C646:H646"/>
    <mergeCell ref="A647:D647"/>
    <mergeCell ref="E647:F647"/>
    <mergeCell ref="G647:H647"/>
    <mergeCell ref="B648:D648"/>
    <mergeCell ref="B649:H649"/>
    <mergeCell ref="B650:C650"/>
    <mergeCell ref="E650:H650"/>
    <mergeCell ref="F633:H633"/>
    <mergeCell ref="A636:B636"/>
    <mergeCell ref="C636:H636"/>
    <mergeCell ref="A637:D637"/>
    <mergeCell ref="E637:F637"/>
    <mergeCell ref="G637:H637"/>
    <mergeCell ref="B638:D638"/>
    <mergeCell ref="B639:H639"/>
    <mergeCell ref="B640:C640"/>
    <mergeCell ref="E640:H640"/>
    <mergeCell ref="F623:H623"/>
    <mergeCell ref="A626:B626"/>
    <mergeCell ref="C626:H626"/>
    <mergeCell ref="A627:D627"/>
    <mergeCell ref="E627:F627"/>
    <mergeCell ref="G627:H627"/>
    <mergeCell ref="B628:D628"/>
    <mergeCell ref="B629:H629"/>
    <mergeCell ref="B630:C630"/>
    <mergeCell ref="E630:H630"/>
    <mergeCell ref="F613:H613"/>
    <mergeCell ref="A616:B616"/>
    <mergeCell ref="C616:H616"/>
    <mergeCell ref="A617:D617"/>
    <mergeCell ref="E617:F617"/>
    <mergeCell ref="G617:H617"/>
    <mergeCell ref="B618:D618"/>
    <mergeCell ref="B619:H619"/>
    <mergeCell ref="B620:C620"/>
    <mergeCell ref="E620:H620"/>
    <mergeCell ref="F603:H603"/>
    <mergeCell ref="A606:B606"/>
    <mergeCell ref="C606:H606"/>
    <mergeCell ref="A607:D607"/>
    <mergeCell ref="E607:F607"/>
    <mergeCell ref="G607:H607"/>
    <mergeCell ref="B608:D608"/>
    <mergeCell ref="B609:H609"/>
    <mergeCell ref="B610:C610"/>
    <mergeCell ref="E610:H610"/>
    <mergeCell ref="F593:H593"/>
    <mergeCell ref="A596:B596"/>
    <mergeCell ref="C596:H596"/>
    <mergeCell ref="A597:D597"/>
    <mergeCell ref="E597:F597"/>
    <mergeCell ref="G597:H597"/>
    <mergeCell ref="B598:D598"/>
    <mergeCell ref="B599:H599"/>
    <mergeCell ref="B600:C600"/>
    <mergeCell ref="E600:H600"/>
    <mergeCell ref="F583:H583"/>
    <mergeCell ref="A586:B586"/>
    <mergeCell ref="C586:H586"/>
    <mergeCell ref="A587:D587"/>
    <mergeCell ref="E587:F587"/>
    <mergeCell ref="G587:H587"/>
    <mergeCell ref="B588:D588"/>
    <mergeCell ref="B589:H589"/>
    <mergeCell ref="B590:C590"/>
    <mergeCell ref="E590:H590"/>
    <mergeCell ref="F573:H573"/>
    <mergeCell ref="A576:B576"/>
    <mergeCell ref="C576:H576"/>
    <mergeCell ref="A577:D577"/>
    <mergeCell ref="E577:F577"/>
    <mergeCell ref="G577:H577"/>
    <mergeCell ref="B578:D578"/>
    <mergeCell ref="B579:H579"/>
    <mergeCell ref="B580:C580"/>
    <mergeCell ref="E580:H580"/>
    <mergeCell ref="F563:H563"/>
    <mergeCell ref="A566:B566"/>
    <mergeCell ref="C566:H566"/>
    <mergeCell ref="A567:D567"/>
    <mergeCell ref="E567:F567"/>
    <mergeCell ref="G567:H567"/>
    <mergeCell ref="B568:D568"/>
    <mergeCell ref="B569:H569"/>
    <mergeCell ref="B570:C570"/>
    <mergeCell ref="E570:H570"/>
    <mergeCell ref="F553:H553"/>
    <mergeCell ref="A556:B556"/>
    <mergeCell ref="C556:H556"/>
    <mergeCell ref="A557:D557"/>
    <mergeCell ref="E557:F557"/>
    <mergeCell ref="G557:H557"/>
    <mergeCell ref="B558:D558"/>
    <mergeCell ref="B559:H559"/>
    <mergeCell ref="B560:C560"/>
    <mergeCell ref="E560:H560"/>
    <mergeCell ref="F543:H543"/>
    <mergeCell ref="A546:B546"/>
    <mergeCell ref="C546:H546"/>
    <mergeCell ref="A547:D547"/>
    <mergeCell ref="E547:F547"/>
    <mergeCell ref="G547:H547"/>
    <mergeCell ref="B548:D548"/>
    <mergeCell ref="B549:H549"/>
    <mergeCell ref="B550:C550"/>
    <mergeCell ref="E550:H550"/>
    <mergeCell ref="F533:H533"/>
    <mergeCell ref="A536:B536"/>
    <mergeCell ref="C536:H536"/>
    <mergeCell ref="A537:D537"/>
    <mergeCell ref="E537:F537"/>
    <mergeCell ref="G537:H537"/>
    <mergeCell ref="B538:D538"/>
    <mergeCell ref="B539:H539"/>
    <mergeCell ref="B540:C540"/>
    <mergeCell ref="E540:H540"/>
    <mergeCell ref="F523:H523"/>
    <mergeCell ref="A526:B526"/>
    <mergeCell ref="C526:H526"/>
    <mergeCell ref="A527:D527"/>
    <mergeCell ref="E527:F527"/>
    <mergeCell ref="G527:H527"/>
    <mergeCell ref="B528:D528"/>
    <mergeCell ref="B529:H529"/>
    <mergeCell ref="B530:C530"/>
    <mergeCell ref="E530:H530"/>
    <mergeCell ref="F513:H513"/>
    <mergeCell ref="A516:B516"/>
    <mergeCell ref="C516:H516"/>
    <mergeCell ref="A517:D517"/>
    <mergeCell ref="E517:F517"/>
    <mergeCell ref="G517:H517"/>
    <mergeCell ref="B518:D518"/>
    <mergeCell ref="B519:H519"/>
    <mergeCell ref="B520:C520"/>
    <mergeCell ref="E520:H520"/>
    <mergeCell ref="F503:H503"/>
    <mergeCell ref="A506:B506"/>
    <mergeCell ref="C506:H506"/>
    <mergeCell ref="A507:D507"/>
    <mergeCell ref="E507:F507"/>
    <mergeCell ref="G507:H507"/>
    <mergeCell ref="B508:D508"/>
    <mergeCell ref="B509:H509"/>
    <mergeCell ref="B510:C510"/>
    <mergeCell ref="E510:H510"/>
    <mergeCell ref="F493:H493"/>
    <mergeCell ref="A496:B496"/>
    <mergeCell ref="C496:H496"/>
    <mergeCell ref="A497:D497"/>
    <mergeCell ref="E497:F497"/>
    <mergeCell ref="G497:H497"/>
    <mergeCell ref="B498:D498"/>
    <mergeCell ref="B499:H499"/>
    <mergeCell ref="B500:C500"/>
    <mergeCell ref="E500:H500"/>
    <mergeCell ref="F483:H483"/>
    <mergeCell ref="A486:B486"/>
    <mergeCell ref="C486:H486"/>
    <mergeCell ref="A487:D487"/>
    <mergeCell ref="E487:F487"/>
    <mergeCell ref="G487:H487"/>
    <mergeCell ref="B488:D488"/>
    <mergeCell ref="B489:H489"/>
    <mergeCell ref="B490:C490"/>
    <mergeCell ref="E490:H490"/>
    <mergeCell ref="F473:H473"/>
    <mergeCell ref="A476:B476"/>
    <mergeCell ref="C476:H476"/>
    <mergeCell ref="A477:D477"/>
    <mergeCell ref="E477:F477"/>
    <mergeCell ref="G477:H477"/>
    <mergeCell ref="B478:D478"/>
    <mergeCell ref="B479:H479"/>
    <mergeCell ref="B480:C480"/>
    <mergeCell ref="E480:H480"/>
    <mergeCell ref="F463:H463"/>
    <mergeCell ref="A466:B466"/>
    <mergeCell ref="C466:H466"/>
    <mergeCell ref="A467:D467"/>
    <mergeCell ref="E467:F467"/>
    <mergeCell ref="G467:H467"/>
    <mergeCell ref="B468:D468"/>
    <mergeCell ref="B469:H469"/>
    <mergeCell ref="B470:C470"/>
    <mergeCell ref="E470:H470"/>
    <mergeCell ref="A456:B456"/>
    <mergeCell ref="C456:H456"/>
    <mergeCell ref="A457:D457"/>
    <mergeCell ref="E457:F457"/>
    <mergeCell ref="G457:H457"/>
    <mergeCell ref="B458:D458"/>
    <mergeCell ref="B459:H459"/>
    <mergeCell ref="B460:C460"/>
    <mergeCell ref="E460:H460"/>
    <mergeCell ref="F453:H453"/>
    <mergeCell ref="F443:H443"/>
    <mergeCell ref="A446:B446"/>
    <mergeCell ref="C446:H446"/>
    <mergeCell ref="A447:D447"/>
    <mergeCell ref="E447:F447"/>
    <mergeCell ref="G447:H447"/>
    <mergeCell ref="B448:D448"/>
    <mergeCell ref="B449:H449"/>
    <mergeCell ref="B450:C450"/>
    <mergeCell ref="E450:H450"/>
    <mergeCell ref="F433:H433"/>
    <mergeCell ref="A436:B436"/>
    <mergeCell ref="C436:H436"/>
    <mergeCell ref="A437:D437"/>
    <mergeCell ref="E437:F437"/>
    <mergeCell ref="G437:H437"/>
    <mergeCell ref="B438:D438"/>
    <mergeCell ref="B439:H439"/>
    <mergeCell ref="B440:C440"/>
    <mergeCell ref="E440:H440"/>
    <mergeCell ref="F423:H423"/>
    <mergeCell ref="A426:B426"/>
    <mergeCell ref="C426:H426"/>
    <mergeCell ref="A427:D427"/>
    <mergeCell ref="E427:F427"/>
    <mergeCell ref="G427:H427"/>
    <mergeCell ref="B428:D428"/>
    <mergeCell ref="B429:H429"/>
    <mergeCell ref="B430:C430"/>
    <mergeCell ref="E430:H430"/>
    <mergeCell ref="F413:H413"/>
    <mergeCell ref="A416:B416"/>
    <mergeCell ref="C416:H416"/>
    <mergeCell ref="A417:D417"/>
    <mergeCell ref="E417:F417"/>
    <mergeCell ref="G417:H417"/>
    <mergeCell ref="B418:D418"/>
    <mergeCell ref="B419:H419"/>
    <mergeCell ref="B420:C420"/>
    <mergeCell ref="E420:H420"/>
    <mergeCell ref="A406:B406"/>
    <mergeCell ref="C406:H406"/>
    <mergeCell ref="A407:D407"/>
    <mergeCell ref="E407:F407"/>
    <mergeCell ref="G407:H407"/>
    <mergeCell ref="B408:D408"/>
    <mergeCell ref="B409:H409"/>
    <mergeCell ref="B410:C410"/>
    <mergeCell ref="E410:H410"/>
    <mergeCell ref="B298:D298"/>
    <mergeCell ref="B299:H299"/>
    <mergeCell ref="B300:C300"/>
    <mergeCell ref="E300:H300"/>
    <mergeCell ref="F303:H303"/>
    <mergeCell ref="B288:D288"/>
    <mergeCell ref="B289:H289"/>
    <mergeCell ref="B290:C290"/>
    <mergeCell ref="E290:H290"/>
    <mergeCell ref="F293:H293"/>
    <mergeCell ref="A296:B296"/>
    <mergeCell ref="C296:H296"/>
    <mergeCell ref="A297:D297"/>
    <mergeCell ref="E297:F297"/>
    <mergeCell ref="G297:H297"/>
    <mergeCell ref="B278:D278"/>
    <mergeCell ref="B279:H279"/>
    <mergeCell ref="B280:C280"/>
    <mergeCell ref="E280:H280"/>
    <mergeCell ref="F283:H283"/>
    <mergeCell ref="A286:B286"/>
    <mergeCell ref="C286:H286"/>
    <mergeCell ref="A287:D287"/>
    <mergeCell ref="E287:F287"/>
    <mergeCell ref="G287:H287"/>
    <mergeCell ref="B268:D268"/>
    <mergeCell ref="B269:H269"/>
    <mergeCell ref="B270:C270"/>
    <mergeCell ref="E270:H270"/>
    <mergeCell ref="A276:B276"/>
    <mergeCell ref="C276:H276"/>
    <mergeCell ref="A277:D277"/>
    <mergeCell ref="E277:F277"/>
    <mergeCell ref="G277:H277"/>
    <mergeCell ref="F273:H273"/>
    <mergeCell ref="A267:D267"/>
    <mergeCell ref="E267:F267"/>
    <mergeCell ref="G267:H267"/>
    <mergeCell ref="F243:H243"/>
    <mergeCell ref="A256:B256"/>
    <mergeCell ref="C256:H256"/>
    <mergeCell ref="F233:H233"/>
    <mergeCell ref="A236:B236"/>
    <mergeCell ref="C236:H236"/>
    <mergeCell ref="A237:D237"/>
    <mergeCell ref="E237:F237"/>
    <mergeCell ref="G237:H237"/>
    <mergeCell ref="B238:D238"/>
    <mergeCell ref="B239:H239"/>
    <mergeCell ref="B240:C240"/>
    <mergeCell ref="E240:H240"/>
    <mergeCell ref="F253:H253"/>
    <mergeCell ref="A257:D257"/>
    <mergeCell ref="E257:F257"/>
    <mergeCell ref="G257:H257"/>
    <mergeCell ref="B258:D258"/>
    <mergeCell ref="B259:H259"/>
    <mergeCell ref="B260:C260"/>
    <mergeCell ref="E260:H260"/>
    <mergeCell ref="A227:D227"/>
    <mergeCell ref="E227:F227"/>
    <mergeCell ref="G227:H227"/>
    <mergeCell ref="B228:D228"/>
    <mergeCell ref="B229:H229"/>
    <mergeCell ref="B230:C230"/>
    <mergeCell ref="E230:H230"/>
    <mergeCell ref="A266:B266"/>
    <mergeCell ref="C266:H266"/>
    <mergeCell ref="F263:H263"/>
    <mergeCell ref="A246:B246"/>
    <mergeCell ref="C246:H246"/>
    <mergeCell ref="A247:D247"/>
    <mergeCell ref="E247:F247"/>
    <mergeCell ref="G247:H247"/>
    <mergeCell ref="B248:D248"/>
    <mergeCell ref="B249:H249"/>
    <mergeCell ref="B250:C250"/>
    <mergeCell ref="E250:H250"/>
    <mergeCell ref="A217:D217"/>
    <mergeCell ref="E217:F217"/>
    <mergeCell ref="G217:H217"/>
    <mergeCell ref="B218:D218"/>
    <mergeCell ref="B219:H219"/>
    <mergeCell ref="B220:C220"/>
    <mergeCell ref="E220:H220"/>
    <mergeCell ref="F223:H223"/>
    <mergeCell ref="A226:B226"/>
    <mergeCell ref="C226:H226"/>
    <mergeCell ref="F110:H110"/>
    <mergeCell ref="A104:D104"/>
    <mergeCell ref="E104:F104"/>
    <mergeCell ref="G104:H104"/>
    <mergeCell ref="B105:D105"/>
    <mergeCell ref="B106:H106"/>
    <mergeCell ref="B107:C107"/>
    <mergeCell ref="E107:H107"/>
    <mergeCell ref="B96:D96"/>
    <mergeCell ref="B97:H97"/>
    <mergeCell ref="B98:C98"/>
    <mergeCell ref="E98:H98"/>
    <mergeCell ref="F101:H101"/>
    <mergeCell ref="A103:B103"/>
    <mergeCell ref="C103:H103"/>
    <mergeCell ref="F92:H92"/>
    <mergeCell ref="A94:B94"/>
    <mergeCell ref="C94:H94"/>
    <mergeCell ref="A95:D95"/>
    <mergeCell ref="E95:F95"/>
    <mergeCell ref="G95:H95"/>
    <mergeCell ref="A86:D86"/>
    <mergeCell ref="E86:F86"/>
    <mergeCell ref="G86:H86"/>
    <mergeCell ref="B87:D87"/>
    <mergeCell ref="B88:H88"/>
    <mergeCell ref="B89:C89"/>
    <mergeCell ref="E89:H89"/>
    <mergeCell ref="B78:D78"/>
    <mergeCell ref="B79:H79"/>
    <mergeCell ref="B80:C80"/>
    <mergeCell ref="E80:H80"/>
    <mergeCell ref="F83:H83"/>
    <mergeCell ref="A85:B85"/>
    <mergeCell ref="C85:H85"/>
    <mergeCell ref="F74:H74"/>
    <mergeCell ref="A76:B76"/>
    <mergeCell ref="C76:H76"/>
    <mergeCell ref="A77:D77"/>
    <mergeCell ref="E77:F77"/>
    <mergeCell ref="G77:H77"/>
    <mergeCell ref="B42:D42"/>
    <mergeCell ref="A68:D68"/>
    <mergeCell ref="E68:F68"/>
    <mergeCell ref="G68:H68"/>
    <mergeCell ref="B69:D69"/>
    <mergeCell ref="B70:H70"/>
    <mergeCell ref="B71:C71"/>
    <mergeCell ref="E71:H71"/>
    <mergeCell ref="E62:H62"/>
    <mergeCell ref="F65:H65"/>
    <mergeCell ref="B60:D60"/>
    <mergeCell ref="B61:H61"/>
    <mergeCell ref="B62:C62"/>
    <mergeCell ref="B43:H43"/>
    <mergeCell ref="B44:C44"/>
    <mergeCell ref="E44:H44"/>
    <mergeCell ref="A50:D50"/>
    <mergeCell ref="E50:F50"/>
    <mergeCell ref="G50:H50"/>
    <mergeCell ref="F47:H47"/>
    <mergeCell ref="A49:B49"/>
    <mergeCell ref="B123:D123"/>
    <mergeCell ref="A3:H3"/>
    <mergeCell ref="A67:B67"/>
    <mergeCell ref="C67:H67"/>
    <mergeCell ref="C49:H49"/>
    <mergeCell ref="F56:H56"/>
    <mergeCell ref="A58:B58"/>
    <mergeCell ref="C58:H58"/>
    <mergeCell ref="A59:D59"/>
    <mergeCell ref="E59:F59"/>
    <mergeCell ref="G59:H59"/>
    <mergeCell ref="A4:B4"/>
    <mergeCell ref="C4:H4"/>
    <mergeCell ref="F11:H11"/>
    <mergeCell ref="A13:B13"/>
    <mergeCell ref="C13:H13"/>
    <mergeCell ref="F20:H20"/>
    <mergeCell ref="B51:D51"/>
    <mergeCell ref="B52:H52"/>
    <mergeCell ref="B53:C53"/>
    <mergeCell ref="E53:H53"/>
    <mergeCell ref="A41:D41"/>
    <mergeCell ref="E41:F41"/>
    <mergeCell ref="G41:H41"/>
    <mergeCell ref="B114:D114"/>
    <mergeCell ref="B115:H115"/>
    <mergeCell ref="B116:C116"/>
    <mergeCell ref="E116:H116"/>
    <mergeCell ref="F119:H119"/>
    <mergeCell ref="A121:B121"/>
    <mergeCell ref="C121:H121"/>
    <mergeCell ref="A122:D122"/>
    <mergeCell ref="E122:F122"/>
    <mergeCell ref="G122:H122"/>
    <mergeCell ref="F38:H38"/>
    <mergeCell ref="A40:B40"/>
    <mergeCell ref="C40:H40"/>
    <mergeCell ref="A32:D32"/>
    <mergeCell ref="E32:F32"/>
    <mergeCell ref="G32:H32"/>
    <mergeCell ref="B33:D33"/>
    <mergeCell ref="B34:H34"/>
    <mergeCell ref="B35:C35"/>
    <mergeCell ref="E35:H35"/>
    <mergeCell ref="A31:B31"/>
    <mergeCell ref="C31:H31"/>
    <mergeCell ref="B17:C17"/>
    <mergeCell ref="E17:H17"/>
    <mergeCell ref="A23:D23"/>
    <mergeCell ref="E23:F23"/>
    <mergeCell ref="G23:H23"/>
    <mergeCell ref="A22:B22"/>
    <mergeCell ref="C22:H22"/>
    <mergeCell ref="A1:H1"/>
    <mergeCell ref="A2:H2"/>
    <mergeCell ref="A5:D5"/>
    <mergeCell ref="E5:F5"/>
    <mergeCell ref="A112:B112"/>
    <mergeCell ref="C112:H112"/>
    <mergeCell ref="A113:D113"/>
    <mergeCell ref="E113:F113"/>
    <mergeCell ref="G113:H113"/>
    <mergeCell ref="A14:D14"/>
    <mergeCell ref="E14:F14"/>
    <mergeCell ref="G14:H14"/>
    <mergeCell ref="B15:D15"/>
    <mergeCell ref="B16:H16"/>
    <mergeCell ref="G5:H5"/>
    <mergeCell ref="B6:D6"/>
    <mergeCell ref="B7:H7"/>
    <mergeCell ref="B8:C8"/>
    <mergeCell ref="E8:H8"/>
    <mergeCell ref="B24:D24"/>
    <mergeCell ref="B25:H25"/>
    <mergeCell ref="B26:C26"/>
    <mergeCell ref="E26:H26"/>
    <mergeCell ref="F29:H29"/>
    <mergeCell ref="B124:H124"/>
    <mergeCell ref="B125:C125"/>
    <mergeCell ref="E125:H125"/>
    <mergeCell ref="F128:H128"/>
    <mergeCell ref="A130:B130"/>
    <mergeCell ref="C130:H130"/>
    <mergeCell ref="A131:D131"/>
    <mergeCell ref="E131:F131"/>
    <mergeCell ref="G131:H131"/>
    <mergeCell ref="B132:D132"/>
    <mergeCell ref="B133:H133"/>
    <mergeCell ref="B134:C134"/>
    <mergeCell ref="E134:H134"/>
    <mergeCell ref="F137:H137"/>
    <mergeCell ref="A139:B139"/>
    <mergeCell ref="C139:H139"/>
    <mergeCell ref="A140:D140"/>
    <mergeCell ref="E140:F140"/>
    <mergeCell ref="G140:H140"/>
    <mergeCell ref="B141:D141"/>
    <mergeCell ref="B142:H142"/>
    <mergeCell ref="B143:C143"/>
    <mergeCell ref="E143:H143"/>
    <mergeCell ref="F146:H146"/>
    <mergeCell ref="A148:B148"/>
    <mergeCell ref="C148:H148"/>
    <mergeCell ref="A149:D149"/>
    <mergeCell ref="E149:F149"/>
    <mergeCell ref="G149:H149"/>
    <mergeCell ref="B159:D159"/>
    <mergeCell ref="B160:H160"/>
    <mergeCell ref="B161:C161"/>
    <mergeCell ref="E161:H161"/>
    <mergeCell ref="F164:H164"/>
    <mergeCell ref="B150:D150"/>
    <mergeCell ref="B151:H151"/>
    <mergeCell ref="B152:C152"/>
    <mergeCell ref="E152:H152"/>
    <mergeCell ref="F155:H155"/>
    <mergeCell ref="A157:B157"/>
    <mergeCell ref="C157:H157"/>
    <mergeCell ref="A158:D158"/>
    <mergeCell ref="E158:F158"/>
    <mergeCell ref="G158:H158"/>
    <mergeCell ref="B168:D168"/>
    <mergeCell ref="B169:H169"/>
    <mergeCell ref="B170:C170"/>
    <mergeCell ref="E170:H170"/>
    <mergeCell ref="F173:H173"/>
    <mergeCell ref="A166:B166"/>
    <mergeCell ref="C166:H166"/>
    <mergeCell ref="A167:D167"/>
    <mergeCell ref="E167:F167"/>
    <mergeCell ref="G167:H167"/>
    <mergeCell ref="A176:B176"/>
    <mergeCell ref="C176:H176"/>
    <mergeCell ref="A177:D177"/>
    <mergeCell ref="E177:F177"/>
    <mergeCell ref="G177:H177"/>
    <mergeCell ref="B178:D178"/>
    <mergeCell ref="B179:H179"/>
    <mergeCell ref="B180:C180"/>
    <mergeCell ref="E180:H180"/>
    <mergeCell ref="F183:H183"/>
    <mergeCell ref="A186:B186"/>
    <mergeCell ref="C186:H186"/>
    <mergeCell ref="A187:D187"/>
    <mergeCell ref="E187:F187"/>
    <mergeCell ref="G187:H187"/>
    <mergeCell ref="B188:D188"/>
    <mergeCell ref="B189:H189"/>
    <mergeCell ref="B190:C190"/>
    <mergeCell ref="E190:H190"/>
    <mergeCell ref="F193:H193"/>
    <mergeCell ref="A196:B196"/>
    <mergeCell ref="C196:H196"/>
    <mergeCell ref="A197:D197"/>
    <mergeCell ref="E197:F197"/>
    <mergeCell ref="G197:H197"/>
    <mergeCell ref="B198:D198"/>
    <mergeCell ref="B199:H199"/>
    <mergeCell ref="B200:C200"/>
    <mergeCell ref="E200:H200"/>
    <mergeCell ref="F213:H213"/>
    <mergeCell ref="A216:B216"/>
    <mergeCell ref="F203:H203"/>
    <mergeCell ref="A206:B206"/>
    <mergeCell ref="C206:H206"/>
    <mergeCell ref="A207:D207"/>
    <mergeCell ref="E207:F207"/>
    <mergeCell ref="G207:H207"/>
    <mergeCell ref="B208:D208"/>
    <mergeCell ref="B209:H209"/>
    <mergeCell ref="B210:C210"/>
    <mergeCell ref="E210:H210"/>
    <mergeCell ref="C216:H216"/>
    <mergeCell ref="A306:B306"/>
    <mergeCell ref="C306:H306"/>
    <mergeCell ref="A307:D307"/>
    <mergeCell ref="E307:F307"/>
    <mergeCell ref="G307:H307"/>
    <mergeCell ref="B308:D308"/>
    <mergeCell ref="B309:H309"/>
    <mergeCell ref="B310:C310"/>
    <mergeCell ref="E310:H310"/>
    <mergeCell ref="F313:H313"/>
    <mergeCell ref="G308:H308"/>
    <mergeCell ref="A848:B848"/>
    <mergeCell ref="E848:H848"/>
    <mergeCell ref="A847:H847"/>
    <mergeCell ref="C848:D848"/>
    <mergeCell ref="F333:H333"/>
    <mergeCell ref="A336:B336"/>
    <mergeCell ref="C336:H336"/>
    <mergeCell ref="A337:D337"/>
    <mergeCell ref="E337:F337"/>
    <mergeCell ref="G337:H337"/>
    <mergeCell ref="B338:D338"/>
    <mergeCell ref="B339:H339"/>
    <mergeCell ref="B340:C340"/>
    <mergeCell ref="E340:H340"/>
    <mergeCell ref="F343:H343"/>
    <mergeCell ref="A346:B346"/>
    <mergeCell ref="C346:H346"/>
    <mergeCell ref="A347:D347"/>
    <mergeCell ref="E347:F347"/>
    <mergeCell ref="G347:H347"/>
    <mergeCell ref="B348:D348"/>
    <mergeCell ref="B349:H349"/>
    <mergeCell ref="C852:D852"/>
    <mergeCell ref="E852:H852"/>
    <mergeCell ref="A853:B853"/>
    <mergeCell ref="C853:D853"/>
    <mergeCell ref="E853:H853"/>
    <mergeCell ref="A854:B854"/>
    <mergeCell ref="C854:D854"/>
    <mergeCell ref="E854:H854"/>
    <mergeCell ref="A849:B849"/>
    <mergeCell ref="C849:D849"/>
    <mergeCell ref="E849:H849"/>
    <mergeCell ref="A850:B850"/>
    <mergeCell ref="C850:D850"/>
    <mergeCell ref="E850:H850"/>
    <mergeCell ref="A851:B851"/>
    <mergeCell ref="C851:D851"/>
    <mergeCell ref="E851:H851"/>
    <mergeCell ref="A855:B855"/>
    <mergeCell ref="C855:D855"/>
    <mergeCell ref="E855:H855"/>
    <mergeCell ref="A856:H856"/>
    <mergeCell ref="A316:B316"/>
    <mergeCell ref="C316:H316"/>
    <mergeCell ref="A317:D317"/>
    <mergeCell ref="E317:F317"/>
    <mergeCell ref="G317:H317"/>
    <mergeCell ref="B318:D318"/>
    <mergeCell ref="B319:H319"/>
    <mergeCell ref="B320:C320"/>
    <mergeCell ref="E320:H320"/>
    <mergeCell ref="F323:H323"/>
    <mergeCell ref="A326:B326"/>
    <mergeCell ref="C326:H326"/>
    <mergeCell ref="A327:D327"/>
    <mergeCell ref="E327:F327"/>
    <mergeCell ref="G327:H327"/>
    <mergeCell ref="B328:D328"/>
    <mergeCell ref="B329:H329"/>
    <mergeCell ref="B330:C330"/>
    <mergeCell ref="E330:H330"/>
    <mergeCell ref="A852:B852"/>
    <mergeCell ref="B350:C350"/>
    <mergeCell ref="E350:H350"/>
    <mergeCell ref="F353:H353"/>
    <mergeCell ref="A356:B356"/>
    <mergeCell ref="C356:H356"/>
    <mergeCell ref="A357:D357"/>
    <mergeCell ref="E357:F357"/>
    <mergeCell ref="G357:H357"/>
    <mergeCell ref="B358:D358"/>
    <mergeCell ref="B359:H359"/>
    <mergeCell ref="B360:C360"/>
    <mergeCell ref="E360:H360"/>
    <mergeCell ref="F363:H363"/>
    <mergeCell ref="A366:B366"/>
    <mergeCell ref="C366:H366"/>
    <mergeCell ref="A367:D367"/>
    <mergeCell ref="E367:F367"/>
    <mergeCell ref="G367:H367"/>
    <mergeCell ref="B368:D368"/>
    <mergeCell ref="B369:H369"/>
    <mergeCell ref="B370:C370"/>
    <mergeCell ref="E370:H370"/>
    <mergeCell ref="F373:H373"/>
    <mergeCell ref="A376:B376"/>
    <mergeCell ref="C376:H376"/>
    <mergeCell ref="A377:D377"/>
    <mergeCell ref="E377:F377"/>
    <mergeCell ref="G377:H377"/>
    <mergeCell ref="B378:D378"/>
    <mergeCell ref="B379:H379"/>
    <mergeCell ref="B380:C380"/>
    <mergeCell ref="E380:H380"/>
    <mergeCell ref="F383:H383"/>
    <mergeCell ref="A386:B386"/>
    <mergeCell ref="C386:H386"/>
    <mergeCell ref="A387:D387"/>
    <mergeCell ref="E387:F387"/>
    <mergeCell ref="G387:H387"/>
    <mergeCell ref="B398:D398"/>
    <mergeCell ref="B399:H399"/>
    <mergeCell ref="B400:C400"/>
    <mergeCell ref="E400:H400"/>
    <mergeCell ref="F403:H403"/>
    <mergeCell ref="B388:D388"/>
    <mergeCell ref="B389:H389"/>
    <mergeCell ref="B390:C390"/>
    <mergeCell ref="E390:H390"/>
    <mergeCell ref="F393:H393"/>
    <mergeCell ref="A396:B396"/>
    <mergeCell ref="C396:H396"/>
    <mergeCell ref="A397:D397"/>
    <mergeCell ref="E397:F397"/>
    <mergeCell ref="G397:H397"/>
    <mergeCell ref="A676:B676"/>
    <mergeCell ref="C676:H676"/>
    <mergeCell ref="A677:D677"/>
    <mergeCell ref="E677:F677"/>
    <mergeCell ref="G677:H677"/>
    <mergeCell ref="B678:D678"/>
    <mergeCell ref="B679:H679"/>
    <mergeCell ref="B680:C680"/>
    <mergeCell ref="E680:H680"/>
    <mergeCell ref="F683:H683"/>
    <mergeCell ref="A686:B686"/>
    <mergeCell ref="C686:H686"/>
    <mergeCell ref="A687:D687"/>
    <mergeCell ref="E687:F687"/>
    <mergeCell ref="G687:H687"/>
    <mergeCell ref="B688:D688"/>
    <mergeCell ref="B689:H689"/>
    <mergeCell ref="B690:C690"/>
    <mergeCell ref="E690:H690"/>
    <mergeCell ref="F693:H693"/>
    <mergeCell ref="A696:B696"/>
    <mergeCell ref="C696:H696"/>
    <mergeCell ref="A697:D697"/>
    <mergeCell ref="E697:F697"/>
    <mergeCell ref="G697:H697"/>
    <mergeCell ref="B698:D698"/>
    <mergeCell ref="B699:H699"/>
    <mergeCell ref="B700:C700"/>
    <mergeCell ref="E700:H700"/>
    <mergeCell ref="F703:H703"/>
    <mergeCell ref="A706:B706"/>
    <mergeCell ref="C706:H706"/>
    <mergeCell ref="A707:D707"/>
    <mergeCell ref="E707:F707"/>
    <mergeCell ref="G707:H707"/>
    <mergeCell ref="B708:D708"/>
    <mergeCell ref="B709:H709"/>
    <mergeCell ref="B710:C710"/>
    <mergeCell ref="E710:H710"/>
    <mergeCell ref="F713:H713"/>
    <mergeCell ref="A716:B716"/>
    <mergeCell ref="C716:H716"/>
    <mergeCell ref="A717:D717"/>
    <mergeCell ref="E717:F717"/>
    <mergeCell ref="G717:H717"/>
    <mergeCell ref="B718:D718"/>
    <mergeCell ref="B719:H719"/>
    <mergeCell ref="B720:C720"/>
    <mergeCell ref="E720:H720"/>
    <mergeCell ref="F723:H723"/>
    <mergeCell ref="A726:B726"/>
    <mergeCell ref="C726:H726"/>
    <mergeCell ref="A727:D727"/>
    <mergeCell ref="E727:F727"/>
    <mergeCell ref="G727:H727"/>
    <mergeCell ref="B728:D728"/>
    <mergeCell ref="B729:H729"/>
    <mergeCell ref="B730:C730"/>
    <mergeCell ref="E730:H730"/>
    <mergeCell ref="F733:H733"/>
    <mergeCell ref="A736:B736"/>
    <mergeCell ref="C736:H736"/>
    <mergeCell ref="A737:D737"/>
    <mergeCell ref="E737:F737"/>
    <mergeCell ref="G737:H737"/>
    <mergeCell ref="B738:D738"/>
    <mergeCell ref="B739:H739"/>
    <mergeCell ref="B740:C740"/>
    <mergeCell ref="E740:H740"/>
    <mergeCell ref="F743:H743"/>
    <mergeCell ref="A746:B746"/>
    <mergeCell ref="C746:H746"/>
    <mergeCell ref="A747:D747"/>
    <mergeCell ref="E747:F747"/>
    <mergeCell ref="G747:H747"/>
    <mergeCell ref="B748:D748"/>
    <mergeCell ref="B749:H749"/>
    <mergeCell ref="B750:C750"/>
    <mergeCell ref="E750:H750"/>
    <mergeCell ref="F753:H753"/>
    <mergeCell ref="A756:B756"/>
    <mergeCell ref="C756:H756"/>
    <mergeCell ref="A757:D757"/>
    <mergeCell ref="E757:F757"/>
    <mergeCell ref="G757:H757"/>
    <mergeCell ref="B758:D758"/>
    <mergeCell ref="B759:H759"/>
    <mergeCell ref="B760:C760"/>
    <mergeCell ref="E760:H760"/>
    <mergeCell ref="F763:H763"/>
    <mergeCell ref="A766:B766"/>
    <mergeCell ref="C766:H766"/>
    <mergeCell ref="A767:D767"/>
    <mergeCell ref="E767:F767"/>
    <mergeCell ref="G767:H767"/>
    <mergeCell ref="B768:D768"/>
    <mergeCell ref="B769:H769"/>
    <mergeCell ref="B770:C770"/>
    <mergeCell ref="E770:H770"/>
    <mergeCell ref="F773:H773"/>
    <mergeCell ref="A776:B776"/>
    <mergeCell ref="C776:H776"/>
    <mergeCell ref="A777:D777"/>
    <mergeCell ref="E777:F777"/>
    <mergeCell ref="G777:H777"/>
    <mergeCell ref="B778:D778"/>
    <mergeCell ref="B779:H779"/>
    <mergeCell ref="B780:C780"/>
    <mergeCell ref="E780:H780"/>
    <mergeCell ref="F783:H783"/>
    <mergeCell ref="A786:B786"/>
    <mergeCell ref="C786:H786"/>
    <mergeCell ref="A787:D787"/>
    <mergeCell ref="E787:F787"/>
    <mergeCell ref="G787:H787"/>
    <mergeCell ref="B788:D788"/>
    <mergeCell ref="B789:H789"/>
    <mergeCell ref="B790:C790"/>
    <mergeCell ref="E790:H790"/>
    <mergeCell ref="F793:H793"/>
    <mergeCell ref="A796:B796"/>
    <mergeCell ref="C796:H796"/>
    <mergeCell ref="A797:D797"/>
    <mergeCell ref="E797:F797"/>
    <mergeCell ref="G797:H797"/>
    <mergeCell ref="B798:D798"/>
    <mergeCell ref="B799:H799"/>
    <mergeCell ref="B800:C800"/>
    <mergeCell ref="E800:H800"/>
    <mergeCell ref="F803:H803"/>
    <mergeCell ref="A806:B806"/>
    <mergeCell ref="C806:H806"/>
    <mergeCell ref="A807:D807"/>
    <mergeCell ref="E807:F807"/>
    <mergeCell ref="G807:H807"/>
    <mergeCell ref="B808:D808"/>
    <mergeCell ref="B809:H809"/>
    <mergeCell ref="B810:C810"/>
    <mergeCell ref="E810:H810"/>
    <mergeCell ref="F813:H813"/>
    <mergeCell ref="A816:B816"/>
    <mergeCell ref="C816:H816"/>
    <mergeCell ref="A817:D817"/>
    <mergeCell ref="E817:F817"/>
    <mergeCell ref="G817:H817"/>
    <mergeCell ref="B818:D818"/>
    <mergeCell ref="B819:H819"/>
    <mergeCell ref="B820:C820"/>
    <mergeCell ref="E820:H820"/>
    <mergeCell ref="F833:H833"/>
    <mergeCell ref="F823:H823"/>
    <mergeCell ref="A826:B826"/>
    <mergeCell ref="C826:H826"/>
    <mergeCell ref="A827:D827"/>
    <mergeCell ref="E827:F827"/>
    <mergeCell ref="G827:H827"/>
    <mergeCell ref="B828:D828"/>
    <mergeCell ref="B829:H829"/>
    <mergeCell ref="B830:C830"/>
    <mergeCell ref="E830:H830"/>
    <mergeCell ref="F843:H843"/>
    <mergeCell ref="A836:B836"/>
    <mergeCell ref="C836:H836"/>
    <mergeCell ref="A837:D837"/>
    <mergeCell ref="E837:F837"/>
    <mergeCell ref="G837:H837"/>
    <mergeCell ref="B838:D838"/>
    <mergeCell ref="B839:H839"/>
    <mergeCell ref="B840:C840"/>
    <mergeCell ref="E840:H840"/>
  </mergeCells>
  <conditionalFormatting sqref="C11">
    <cfRule type="expression" dxfId="441" priority="393">
      <formula>C11="Devolvida"</formula>
    </cfRule>
    <cfRule type="expression" dxfId="440" priority="392">
      <formula>C11="Meio Green"</formula>
    </cfRule>
    <cfRule type="expression" dxfId="439" priority="391">
      <formula>C11="Green"</formula>
    </cfRule>
    <cfRule type="expression" dxfId="438" priority="395">
      <formula>C11="Red"</formula>
    </cfRule>
    <cfRule type="expression" dxfId="437" priority="394">
      <formula>C11="Meio Red"</formula>
    </cfRule>
  </conditionalFormatting>
  <conditionalFormatting sqref="C20">
    <cfRule type="expression" dxfId="436" priority="400">
      <formula>C20="Red"</formula>
    </cfRule>
    <cfRule type="expression" dxfId="435" priority="399">
      <formula>C20="Meio Red"</formula>
    </cfRule>
    <cfRule type="expression" dxfId="434" priority="398">
      <formula>C20="Devolvida"</formula>
    </cfRule>
    <cfRule type="expression" dxfId="433" priority="397">
      <formula>C20="Meio Green"</formula>
    </cfRule>
    <cfRule type="expression" dxfId="432" priority="396">
      <formula>C20="Green"</formula>
    </cfRule>
  </conditionalFormatting>
  <conditionalFormatting sqref="C29">
    <cfRule type="expression" dxfId="431" priority="405">
      <formula>C29="Red"</formula>
    </cfRule>
    <cfRule type="expression" dxfId="430" priority="403">
      <formula>C29="Devolvida"</formula>
    </cfRule>
    <cfRule type="expression" dxfId="429" priority="402">
      <formula>C29="Meio Green"</formula>
    </cfRule>
    <cfRule type="expression" dxfId="428" priority="401">
      <formula>C29="Green"</formula>
    </cfRule>
    <cfRule type="expression" dxfId="427" priority="404">
      <formula>C29="Meio Red"</formula>
    </cfRule>
  </conditionalFormatting>
  <conditionalFormatting sqref="C38">
    <cfRule type="expression" dxfId="426" priority="410">
      <formula>C38="Red"</formula>
    </cfRule>
    <cfRule type="expression" dxfId="425" priority="408">
      <formula>C38="Devolvida"</formula>
    </cfRule>
    <cfRule type="expression" dxfId="424" priority="409">
      <formula>C38="Meio Red"</formula>
    </cfRule>
    <cfRule type="expression" dxfId="423" priority="406">
      <formula>C38="Green"</formula>
    </cfRule>
    <cfRule type="expression" dxfId="422" priority="407">
      <formula>C38="Meio Green"</formula>
    </cfRule>
  </conditionalFormatting>
  <conditionalFormatting sqref="C47">
    <cfRule type="expression" dxfId="421" priority="411">
      <formula>C47="Green"</formula>
    </cfRule>
    <cfRule type="expression" dxfId="420" priority="415">
      <formula>C47="Red"</formula>
    </cfRule>
    <cfRule type="expression" dxfId="419" priority="414">
      <formula>C47="Meio Red"</formula>
    </cfRule>
    <cfRule type="expression" dxfId="418" priority="413">
      <formula>C47="Devolvida"</formula>
    </cfRule>
    <cfRule type="expression" dxfId="417" priority="412">
      <formula>C47="Meio Green"</formula>
    </cfRule>
  </conditionalFormatting>
  <conditionalFormatting sqref="C56">
    <cfRule type="expression" dxfId="416" priority="417">
      <formula>C56="Meio Green"</formula>
    </cfRule>
    <cfRule type="expression" dxfId="415" priority="420">
      <formula>C56="Red"</formula>
    </cfRule>
    <cfRule type="expression" dxfId="414" priority="419">
      <formula>C56="Meio Red"</formula>
    </cfRule>
    <cfRule type="expression" dxfId="413" priority="418">
      <formula>C56="Devolvida"</formula>
    </cfRule>
    <cfRule type="expression" dxfId="412" priority="416">
      <formula>C56="Green"</formula>
    </cfRule>
  </conditionalFormatting>
  <conditionalFormatting sqref="C65">
    <cfRule type="expression" dxfId="411" priority="421">
      <formula>C65="Green"</formula>
    </cfRule>
    <cfRule type="expression" dxfId="410" priority="424">
      <formula>C65="Meio Red"</formula>
    </cfRule>
    <cfRule type="expression" dxfId="409" priority="423">
      <formula>C65="Devolvida"</formula>
    </cfRule>
    <cfRule type="expression" dxfId="408" priority="422">
      <formula>C65="Meio Green"</formula>
    </cfRule>
    <cfRule type="expression" dxfId="407" priority="425">
      <formula>C65="Red"</formula>
    </cfRule>
  </conditionalFormatting>
  <conditionalFormatting sqref="C74">
    <cfRule type="expression" dxfId="406" priority="427">
      <formula>C74="Meio Green"</formula>
    </cfRule>
    <cfRule type="expression" dxfId="405" priority="426">
      <formula>C74="Green"</formula>
    </cfRule>
    <cfRule type="expression" dxfId="404" priority="430">
      <formula>C74="Red"</formula>
    </cfRule>
    <cfRule type="expression" dxfId="403" priority="429">
      <formula>C74="Meio Red"</formula>
    </cfRule>
    <cfRule type="expression" dxfId="402" priority="428">
      <formula>C74="Devolvida"</formula>
    </cfRule>
  </conditionalFormatting>
  <conditionalFormatting sqref="C83">
    <cfRule type="expression" dxfId="401" priority="435">
      <formula>C83="Red"</formula>
    </cfRule>
    <cfRule type="expression" dxfId="400" priority="434">
      <formula>C83="Meio Red"</formula>
    </cfRule>
    <cfRule type="expression" dxfId="399" priority="433">
      <formula>C83="Devolvida"</formula>
    </cfRule>
    <cfRule type="expression" dxfId="398" priority="432">
      <formula>C83="Meio Green"</formula>
    </cfRule>
    <cfRule type="expression" dxfId="397" priority="431">
      <formula>C83="Green"</formula>
    </cfRule>
  </conditionalFormatting>
  <conditionalFormatting sqref="C92">
    <cfRule type="expression" dxfId="396" priority="438">
      <formula>C92="Devolvida"</formula>
    </cfRule>
    <cfRule type="expression" dxfId="395" priority="437">
      <formula>C92="Meio Green"</formula>
    </cfRule>
    <cfRule type="expression" dxfId="394" priority="436">
      <formula>C92="Green"</formula>
    </cfRule>
    <cfRule type="expression" dxfId="393" priority="440">
      <formula>C92="Red"</formula>
    </cfRule>
    <cfRule type="expression" dxfId="392" priority="439">
      <formula>C92="Meio Red"</formula>
    </cfRule>
  </conditionalFormatting>
  <conditionalFormatting sqref="C101">
    <cfRule type="expression" dxfId="391" priority="443">
      <formula>C101="Devolvida"</formula>
    </cfRule>
    <cfRule type="expression" dxfId="390" priority="444">
      <formula>C101="Meio Red"</formula>
    </cfRule>
    <cfRule type="expression" dxfId="389" priority="445">
      <formula>C101="Red"</formula>
    </cfRule>
    <cfRule type="expression" dxfId="388" priority="442">
      <formula>C101="Meio Green"</formula>
    </cfRule>
    <cfRule type="expression" dxfId="387" priority="441">
      <formula>C101="Green"</formula>
    </cfRule>
  </conditionalFormatting>
  <conditionalFormatting sqref="C110">
    <cfRule type="expression" dxfId="386" priority="446">
      <formula>C110="Green"</formula>
    </cfRule>
    <cfRule type="expression" dxfId="385" priority="450">
      <formula>C110="Red"</formula>
    </cfRule>
    <cfRule type="expression" dxfId="384" priority="449">
      <formula>C110="Meio Red"</formula>
    </cfRule>
    <cfRule type="expression" dxfId="383" priority="448">
      <formula>C110="Devolvida"</formula>
    </cfRule>
    <cfRule type="expression" dxfId="382" priority="447">
      <formula>C110="Meio Green"</formula>
    </cfRule>
  </conditionalFormatting>
  <conditionalFormatting sqref="C119">
    <cfRule type="expression" dxfId="381" priority="455">
      <formula>C119="Red"</formula>
    </cfRule>
    <cfRule type="expression" dxfId="380" priority="454">
      <formula>C119="Meio Red"</formula>
    </cfRule>
    <cfRule type="expression" dxfId="379" priority="453">
      <formula>C119="Devolvida"</formula>
    </cfRule>
    <cfRule type="expression" dxfId="378" priority="452">
      <formula>C119="Meio Green"</formula>
    </cfRule>
    <cfRule type="expression" dxfId="377" priority="451">
      <formula>C119="Green"</formula>
    </cfRule>
  </conditionalFormatting>
  <conditionalFormatting sqref="C128">
    <cfRule type="expression" dxfId="376" priority="460">
      <formula>C128="Red"</formula>
    </cfRule>
    <cfRule type="expression" dxfId="375" priority="459">
      <formula>C128="Meio Red"</formula>
    </cfRule>
    <cfRule type="expression" dxfId="374" priority="458">
      <formula>C128="Devolvida"</formula>
    </cfRule>
    <cfRule type="expression" dxfId="373" priority="457">
      <formula>C128="Meio Green"</formula>
    </cfRule>
    <cfRule type="expression" dxfId="372" priority="456">
      <formula>C128="Green"</formula>
    </cfRule>
  </conditionalFormatting>
  <conditionalFormatting sqref="C137">
    <cfRule type="expression" dxfId="371" priority="464">
      <formula>C137="Meio Red"</formula>
    </cfRule>
    <cfRule type="expression" dxfId="370" priority="465">
      <formula>C137="Red"</formula>
    </cfRule>
    <cfRule type="expression" dxfId="369" priority="463">
      <formula>C137="Devolvida"</formula>
    </cfRule>
    <cfRule type="expression" dxfId="368" priority="461">
      <formula>C137="Green"</formula>
    </cfRule>
    <cfRule type="expression" dxfId="367" priority="462">
      <formula>C137="Meio Green"</formula>
    </cfRule>
  </conditionalFormatting>
  <conditionalFormatting sqref="C146">
    <cfRule type="expression" dxfId="366" priority="469">
      <formula>C146="Meio Red"</formula>
    </cfRule>
    <cfRule type="expression" dxfId="365" priority="466">
      <formula>C146="Green"</formula>
    </cfRule>
    <cfRule type="expression" dxfId="364" priority="467">
      <formula>C146="Meio Green"</formula>
    </cfRule>
    <cfRule type="expression" dxfId="363" priority="468">
      <formula>C146="Devolvida"</formula>
    </cfRule>
    <cfRule type="expression" dxfId="362" priority="470">
      <formula>C146="Red"</formula>
    </cfRule>
  </conditionalFormatting>
  <conditionalFormatting sqref="C155">
    <cfRule type="expression" dxfId="361" priority="471">
      <formula>C155="Green"</formula>
    </cfRule>
    <cfRule type="expression" dxfId="360" priority="472">
      <formula>C155="Meio Green"</formula>
    </cfRule>
    <cfRule type="expression" dxfId="359" priority="473">
      <formula>C155="Devolvida"</formula>
    </cfRule>
    <cfRule type="expression" dxfId="358" priority="474">
      <formula>C155="Meio Red"</formula>
    </cfRule>
    <cfRule type="expression" dxfId="357" priority="475">
      <formula>C155="Red"</formula>
    </cfRule>
  </conditionalFormatting>
  <conditionalFormatting sqref="C164">
    <cfRule type="expression" dxfId="356" priority="479">
      <formula>C164="Meio Red"</formula>
    </cfRule>
    <cfRule type="expression" dxfId="355" priority="480">
      <formula>C164="Red"</formula>
    </cfRule>
    <cfRule type="expression" dxfId="354" priority="478">
      <formula>C164="Devolvida"</formula>
    </cfRule>
    <cfRule type="expression" dxfId="353" priority="476">
      <formula>C164="Green"</formula>
    </cfRule>
    <cfRule type="expression" dxfId="352" priority="477">
      <formula>C164="Meio Green"</formula>
    </cfRule>
  </conditionalFormatting>
  <conditionalFormatting sqref="C183">
    <cfRule type="expression" dxfId="351" priority="481">
      <formula>C183="Green"</formula>
    </cfRule>
    <cfRule type="expression" dxfId="350" priority="483">
      <formula>C183="Devolvida"</formula>
    </cfRule>
    <cfRule type="expression" dxfId="349" priority="484">
      <formula>C183="Meio Red"</formula>
    </cfRule>
    <cfRule type="expression" dxfId="348" priority="485">
      <formula>C183="Red"</formula>
    </cfRule>
    <cfRule type="expression" dxfId="347" priority="482">
      <formula>C183="Meio Green"</formula>
    </cfRule>
  </conditionalFormatting>
  <conditionalFormatting sqref="C193">
    <cfRule type="expression" dxfId="346" priority="486">
      <formula>C193="Green"</formula>
    </cfRule>
    <cfRule type="expression" dxfId="345" priority="488">
      <formula>C193="Devolvida"</formula>
    </cfRule>
    <cfRule type="expression" dxfId="344" priority="489">
      <formula>C193="Meio Red"</formula>
    </cfRule>
    <cfRule type="expression" dxfId="343" priority="490">
      <formula>C193="Red"</formula>
    </cfRule>
    <cfRule type="expression" dxfId="342" priority="487">
      <formula>C193="Meio Green"</formula>
    </cfRule>
  </conditionalFormatting>
  <conditionalFormatting sqref="C203">
    <cfRule type="expression" dxfId="341" priority="494">
      <formula>C203="Meio Red"</formula>
    </cfRule>
    <cfRule type="expression" dxfId="340" priority="493">
      <formula>C203="Devolvida"</formula>
    </cfRule>
    <cfRule type="expression" dxfId="339" priority="491">
      <formula>C203="Green"</formula>
    </cfRule>
    <cfRule type="expression" dxfId="338" priority="495">
      <formula>C203="Red"</formula>
    </cfRule>
    <cfRule type="expression" dxfId="337" priority="492">
      <formula>C203="Meio Green"</formula>
    </cfRule>
  </conditionalFormatting>
  <conditionalFormatting sqref="C213">
    <cfRule type="expression" dxfId="336" priority="390">
      <formula>C213="Red"</formula>
    </cfRule>
    <cfRule type="expression" dxfId="335" priority="389">
      <formula>C213="Meio Red"</formula>
    </cfRule>
    <cfRule type="expression" dxfId="334" priority="388">
      <formula>C213="Devolvida"</formula>
    </cfRule>
    <cfRule type="expression" dxfId="333" priority="387">
      <formula>C213="Meio Green"</formula>
    </cfRule>
    <cfRule type="expression" dxfId="332" priority="386">
      <formula>C213="Green"</formula>
    </cfRule>
  </conditionalFormatting>
  <conditionalFormatting sqref="C223">
    <cfRule type="expression" dxfId="331" priority="385">
      <formula>C223="Red"</formula>
    </cfRule>
    <cfRule type="expression" dxfId="330" priority="384">
      <formula>C223="Meio Red"</formula>
    </cfRule>
    <cfRule type="expression" dxfId="329" priority="383">
      <formula>C223="Devolvida"</formula>
    </cfRule>
    <cfRule type="expression" dxfId="328" priority="382">
      <formula>C223="Meio Green"</formula>
    </cfRule>
    <cfRule type="expression" dxfId="327" priority="381">
      <formula>C223="Green"</formula>
    </cfRule>
  </conditionalFormatting>
  <conditionalFormatting sqref="C233">
    <cfRule type="expression" dxfId="326" priority="380">
      <formula>C233="Red"</formula>
    </cfRule>
    <cfRule type="expression" dxfId="325" priority="379">
      <formula>C233="Meio Red"</formula>
    </cfRule>
    <cfRule type="expression" dxfId="324" priority="378">
      <formula>C233="Devolvida"</formula>
    </cfRule>
    <cfRule type="expression" dxfId="323" priority="377">
      <formula>C233="Meio Green"</formula>
    </cfRule>
    <cfRule type="expression" dxfId="322" priority="376">
      <formula>C233="Green"</formula>
    </cfRule>
  </conditionalFormatting>
  <conditionalFormatting sqref="C243">
    <cfRule type="expression" dxfId="321" priority="375">
      <formula>C243="Red"</formula>
    </cfRule>
    <cfRule type="expression" dxfId="320" priority="374">
      <formula>C243="Meio Red"</formula>
    </cfRule>
    <cfRule type="expression" dxfId="319" priority="373">
      <formula>C243="Devolvida"</formula>
    </cfRule>
    <cfRule type="expression" dxfId="318" priority="372">
      <formula>C243="Meio Green"</formula>
    </cfRule>
    <cfRule type="expression" dxfId="317" priority="371">
      <formula>C243="Green"</formula>
    </cfRule>
  </conditionalFormatting>
  <conditionalFormatting sqref="C253">
    <cfRule type="expression" dxfId="316" priority="365">
      <formula>C253="Red"</formula>
    </cfRule>
    <cfRule type="expression" dxfId="315" priority="364">
      <formula>C253="Meio Red"</formula>
    </cfRule>
    <cfRule type="expression" dxfId="314" priority="363">
      <formula>C253="Devolvida"</formula>
    </cfRule>
    <cfRule type="expression" dxfId="313" priority="362">
      <formula>C253="Meio Green"</formula>
    </cfRule>
    <cfRule type="expression" dxfId="312" priority="361">
      <formula>C253="Green"</formula>
    </cfRule>
  </conditionalFormatting>
  <conditionalFormatting sqref="C263">
    <cfRule type="expression" dxfId="311" priority="355">
      <formula>C263="Red"</formula>
    </cfRule>
    <cfRule type="expression" dxfId="310" priority="354">
      <formula>C263="Meio Red"</formula>
    </cfRule>
    <cfRule type="expression" dxfId="309" priority="353">
      <formula>C263="Devolvida"</formula>
    </cfRule>
    <cfRule type="expression" dxfId="308" priority="352">
      <formula>C263="Meio Green"</formula>
    </cfRule>
    <cfRule type="expression" dxfId="307" priority="351">
      <formula>C263="Green"</formula>
    </cfRule>
  </conditionalFormatting>
  <conditionalFormatting sqref="C273">
    <cfRule type="expression" dxfId="306" priority="340">
      <formula>C273="Red"</formula>
    </cfRule>
    <cfRule type="expression" dxfId="305" priority="339">
      <formula>C273="Meio Red"</formula>
    </cfRule>
    <cfRule type="expression" dxfId="304" priority="338">
      <formula>C273="Devolvida"</formula>
    </cfRule>
    <cfRule type="expression" dxfId="303" priority="337">
      <formula>C273="Meio Green"</formula>
    </cfRule>
    <cfRule type="expression" dxfId="302" priority="336">
      <formula>C273="Green"</formula>
    </cfRule>
  </conditionalFormatting>
  <conditionalFormatting sqref="C283">
    <cfRule type="expression" dxfId="301" priority="335">
      <formula>C283="Red"</formula>
    </cfRule>
    <cfRule type="expression" dxfId="300" priority="334">
      <formula>C283="Meio Red"</formula>
    </cfRule>
    <cfRule type="expression" dxfId="299" priority="333">
      <formula>C283="Devolvida"</formula>
    </cfRule>
    <cfRule type="expression" dxfId="298" priority="332">
      <formula>C283="Meio Green"</formula>
    </cfRule>
    <cfRule type="expression" dxfId="297" priority="331">
      <formula>C283="Green"</formula>
    </cfRule>
  </conditionalFormatting>
  <conditionalFormatting sqref="C293">
    <cfRule type="expression" dxfId="296" priority="325">
      <formula>C293="Red"</formula>
    </cfRule>
    <cfRule type="expression" dxfId="295" priority="324">
      <formula>C293="Meio Red"</formula>
    </cfRule>
    <cfRule type="expression" dxfId="294" priority="323">
      <formula>C293="Devolvida"</formula>
    </cfRule>
    <cfRule type="expression" dxfId="293" priority="322">
      <formula>C293="Meio Green"</formula>
    </cfRule>
    <cfRule type="expression" dxfId="292" priority="321">
      <formula>C293="Green"</formula>
    </cfRule>
  </conditionalFormatting>
  <conditionalFormatting sqref="C303">
    <cfRule type="expression" dxfId="291" priority="315">
      <formula>C303="Red"</formula>
    </cfRule>
    <cfRule type="expression" dxfId="290" priority="314">
      <formula>C303="Meio Red"</formula>
    </cfRule>
    <cfRule type="expression" dxfId="289" priority="313">
      <formula>C303="Devolvida"</formula>
    </cfRule>
    <cfRule type="expression" dxfId="288" priority="312">
      <formula>C303="Meio Green"</formula>
    </cfRule>
    <cfRule type="expression" dxfId="287" priority="311">
      <formula>C303="Green"</formula>
    </cfRule>
  </conditionalFormatting>
  <conditionalFormatting sqref="C313">
    <cfRule type="expression" dxfId="286" priority="310">
      <formula>C313="Red"</formula>
    </cfRule>
    <cfRule type="expression" dxfId="285" priority="309">
      <formula>C313="Meio Red"</formula>
    </cfRule>
    <cfRule type="expression" dxfId="284" priority="308">
      <formula>C313="Devolvida"</formula>
    </cfRule>
    <cfRule type="expression" dxfId="283" priority="307">
      <formula>C313="Meio Green"</formula>
    </cfRule>
    <cfRule type="expression" dxfId="282" priority="306">
      <formula>C313="Green"</formula>
    </cfRule>
  </conditionalFormatting>
  <conditionalFormatting sqref="C323">
    <cfRule type="expression" dxfId="281" priority="305">
      <formula>C323="Red"</formula>
    </cfRule>
    <cfRule type="expression" dxfId="280" priority="304">
      <formula>C323="Meio Red"</formula>
    </cfRule>
    <cfRule type="expression" dxfId="279" priority="303">
      <formula>C323="Devolvida"</formula>
    </cfRule>
    <cfRule type="expression" dxfId="278" priority="302">
      <formula>C323="Meio Green"</formula>
    </cfRule>
    <cfRule type="expression" dxfId="277" priority="301">
      <formula>C323="Green"</formula>
    </cfRule>
  </conditionalFormatting>
  <conditionalFormatting sqref="C333">
    <cfRule type="expression" dxfId="276" priority="300">
      <formula>C333="Red"</formula>
    </cfRule>
    <cfRule type="expression" dxfId="275" priority="299">
      <formula>C333="Meio Red"</formula>
    </cfRule>
    <cfRule type="expression" dxfId="274" priority="298">
      <formula>C333="Devolvida"</formula>
    </cfRule>
    <cfRule type="expression" dxfId="273" priority="297">
      <formula>C333="Meio Green"</formula>
    </cfRule>
    <cfRule type="expression" dxfId="272" priority="296">
      <formula>C333="Green"</formula>
    </cfRule>
  </conditionalFormatting>
  <conditionalFormatting sqref="C343">
    <cfRule type="expression" dxfId="271" priority="290">
      <formula>C343="Red"</formula>
    </cfRule>
    <cfRule type="expression" dxfId="270" priority="289">
      <formula>C343="Meio Red"</formula>
    </cfRule>
    <cfRule type="expression" dxfId="269" priority="288">
      <formula>C343="Devolvida"</formula>
    </cfRule>
    <cfRule type="expression" dxfId="268" priority="287">
      <formula>C343="Meio Green"</formula>
    </cfRule>
    <cfRule type="expression" dxfId="267" priority="286">
      <formula>C343="Green"</formula>
    </cfRule>
  </conditionalFormatting>
  <conditionalFormatting sqref="C353">
    <cfRule type="expression" dxfId="266" priority="265">
      <formula>C353="Red"</formula>
    </cfRule>
    <cfRule type="expression" dxfId="265" priority="264">
      <formula>C353="Meio Red"</formula>
    </cfRule>
    <cfRule type="expression" dxfId="264" priority="263">
      <formula>C353="Devolvida"</formula>
    </cfRule>
    <cfRule type="expression" dxfId="263" priority="262">
      <formula>C353="Meio Green"</formula>
    </cfRule>
    <cfRule type="expression" dxfId="262" priority="261">
      <formula>C353="Green"</formula>
    </cfRule>
  </conditionalFormatting>
  <conditionalFormatting sqref="C363">
    <cfRule type="expression" dxfId="261" priority="260">
      <formula>C363="Red"</formula>
    </cfRule>
    <cfRule type="expression" dxfId="260" priority="259">
      <formula>C363="Meio Red"</formula>
    </cfRule>
    <cfRule type="expression" dxfId="259" priority="258">
      <formula>C363="Devolvida"</formula>
    </cfRule>
    <cfRule type="expression" dxfId="258" priority="257">
      <formula>C363="Meio Green"</formula>
    </cfRule>
    <cfRule type="expression" dxfId="257" priority="256">
      <formula>C363="Green"</formula>
    </cfRule>
  </conditionalFormatting>
  <conditionalFormatting sqref="C373">
    <cfRule type="expression" dxfId="256" priority="255">
      <formula>C373="Red"</formula>
    </cfRule>
    <cfRule type="expression" dxfId="255" priority="254">
      <formula>C373="Meio Red"</formula>
    </cfRule>
    <cfRule type="expression" dxfId="254" priority="253">
      <formula>C373="Devolvida"</formula>
    </cfRule>
    <cfRule type="expression" dxfId="253" priority="252">
      <formula>C373="Meio Green"</formula>
    </cfRule>
    <cfRule type="expression" dxfId="252" priority="251">
      <formula>C373="Green"</formula>
    </cfRule>
  </conditionalFormatting>
  <conditionalFormatting sqref="C383">
    <cfRule type="expression" dxfId="251" priority="250">
      <formula>C383="Red"</formula>
    </cfRule>
    <cfRule type="expression" dxfId="250" priority="249">
      <formula>C383="Meio Red"</formula>
    </cfRule>
    <cfRule type="expression" dxfId="249" priority="248">
      <formula>C383="Devolvida"</formula>
    </cfRule>
    <cfRule type="expression" dxfId="248" priority="247">
      <formula>C383="Meio Green"</formula>
    </cfRule>
    <cfRule type="expression" dxfId="247" priority="246">
      <formula>C383="Green"</formula>
    </cfRule>
  </conditionalFormatting>
  <conditionalFormatting sqref="C393">
    <cfRule type="expression" dxfId="246" priority="240">
      <formula>C393="Red"</formula>
    </cfRule>
    <cfRule type="expression" dxfId="245" priority="239">
      <formula>C393="Meio Red"</formula>
    </cfRule>
    <cfRule type="expression" dxfId="244" priority="238">
      <formula>C393="Devolvida"</formula>
    </cfRule>
    <cfRule type="expression" dxfId="243" priority="237">
      <formula>C393="Meio Green"</formula>
    </cfRule>
    <cfRule type="expression" dxfId="242" priority="236">
      <formula>C393="Green"</formula>
    </cfRule>
  </conditionalFormatting>
  <conditionalFormatting sqref="C403">
    <cfRule type="expression" dxfId="241" priority="230">
      <formula>C403="Red"</formula>
    </cfRule>
    <cfRule type="expression" dxfId="240" priority="229">
      <formula>C403="Meio Red"</formula>
    </cfRule>
    <cfRule type="expression" dxfId="239" priority="228">
      <formula>C403="Devolvida"</formula>
    </cfRule>
    <cfRule type="expression" dxfId="238" priority="227">
      <formula>C403="Meio Green"</formula>
    </cfRule>
    <cfRule type="expression" dxfId="237" priority="226">
      <formula>C403="Green"</formula>
    </cfRule>
  </conditionalFormatting>
  <conditionalFormatting sqref="C413">
    <cfRule type="expression" dxfId="236" priority="225">
      <formula>C413="Red"</formula>
    </cfRule>
    <cfRule type="expression" dxfId="235" priority="224">
      <formula>C413="Meio Red"</formula>
    </cfRule>
    <cfRule type="expression" dxfId="234" priority="223">
      <formula>C413="Devolvida"</formula>
    </cfRule>
    <cfRule type="expression" dxfId="233" priority="222">
      <formula>C413="Meio Green"</formula>
    </cfRule>
    <cfRule type="expression" dxfId="232" priority="221">
      <formula>C413="Green"</formula>
    </cfRule>
  </conditionalFormatting>
  <conditionalFormatting sqref="C423">
    <cfRule type="expression" dxfId="231" priority="216">
      <formula>C423="Green"</formula>
    </cfRule>
    <cfRule type="expression" dxfId="230" priority="217">
      <formula>C423="Meio Green"</formula>
    </cfRule>
    <cfRule type="expression" dxfId="229" priority="218">
      <formula>C423="Devolvida"</formula>
    </cfRule>
    <cfRule type="expression" dxfId="228" priority="219">
      <formula>C423="Meio Red"</formula>
    </cfRule>
    <cfRule type="expression" dxfId="227" priority="220">
      <formula>C423="Red"</formula>
    </cfRule>
  </conditionalFormatting>
  <conditionalFormatting sqref="C433">
    <cfRule type="expression" dxfId="226" priority="215">
      <formula>C433="Red"</formula>
    </cfRule>
    <cfRule type="expression" dxfId="225" priority="214">
      <formula>C433="Meio Red"</formula>
    </cfRule>
    <cfRule type="expression" dxfId="224" priority="213">
      <formula>C433="Devolvida"</formula>
    </cfRule>
    <cfRule type="expression" dxfId="223" priority="212">
      <formula>C433="Meio Green"</formula>
    </cfRule>
    <cfRule type="expression" dxfId="222" priority="211">
      <formula>C433="Green"</formula>
    </cfRule>
  </conditionalFormatting>
  <conditionalFormatting sqref="C443">
    <cfRule type="expression" dxfId="221" priority="210">
      <formula>C443="Red"</formula>
    </cfRule>
    <cfRule type="expression" dxfId="220" priority="209">
      <formula>C443="Meio Red"</formula>
    </cfRule>
    <cfRule type="expression" dxfId="219" priority="208">
      <formula>C443="Devolvida"</formula>
    </cfRule>
    <cfRule type="expression" dxfId="218" priority="207">
      <formula>C443="Meio Green"</formula>
    </cfRule>
    <cfRule type="expression" dxfId="217" priority="206">
      <formula>C443="Green"</formula>
    </cfRule>
  </conditionalFormatting>
  <conditionalFormatting sqref="C453">
    <cfRule type="expression" dxfId="216" priority="205">
      <formula>C453="Red"</formula>
    </cfRule>
    <cfRule type="expression" dxfId="215" priority="204">
      <formula>C453="Meio Red"</formula>
    </cfRule>
    <cfRule type="expression" dxfId="214" priority="203">
      <formula>C453="Devolvida"</formula>
    </cfRule>
    <cfRule type="expression" dxfId="213" priority="202">
      <formula>C453="Meio Green"</formula>
    </cfRule>
    <cfRule type="expression" dxfId="212" priority="201">
      <formula>C453="Green"</formula>
    </cfRule>
  </conditionalFormatting>
  <conditionalFormatting sqref="C463">
    <cfRule type="expression" dxfId="211" priority="200">
      <formula>C463="Red"</formula>
    </cfRule>
    <cfRule type="expression" dxfId="210" priority="199">
      <formula>C463="Meio Red"</formula>
    </cfRule>
    <cfRule type="expression" dxfId="209" priority="198">
      <formula>C463="Devolvida"</formula>
    </cfRule>
    <cfRule type="expression" dxfId="208" priority="197">
      <formula>C463="Meio Green"</formula>
    </cfRule>
    <cfRule type="expression" dxfId="207" priority="196">
      <formula>C463="Green"</formula>
    </cfRule>
  </conditionalFormatting>
  <conditionalFormatting sqref="C473">
    <cfRule type="expression" dxfId="206" priority="195">
      <formula>C473="Red"</formula>
    </cfRule>
    <cfRule type="expression" dxfId="205" priority="194">
      <formula>C473="Meio Red"</formula>
    </cfRule>
    <cfRule type="expression" dxfId="204" priority="193">
      <formula>C473="Devolvida"</formula>
    </cfRule>
    <cfRule type="expression" dxfId="203" priority="192">
      <formula>C473="Meio Green"</formula>
    </cfRule>
    <cfRule type="expression" dxfId="202" priority="191">
      <formula>C473="Green"</formula>
    </cfRule>
  </conditionalFormatting>
  <conditionalFormatting sqref="C483">
    <cfRule type="expression" dxfId="201" priority="190">
      <formula>C483="Red"</formula>
    </cfRule>
    <cfRule type="expression" dxfId="200" priority="189">
      <formula>C483="Meio Red"</formula>
    </cfRule>
    <cfRule type="expression" dxfId="199" priority="188">
      <formula>C483="Devolvida"</formula>
    </cfRule>
    <cfRule type="expression" dxfId="198" priority="187">
      <formula>C483="Meio Green"</formula>
    </cfRule>
    <cfRule type="expression" dxfId="197" priority="186">
      <formula>C483="Green"</formula>
    </cfRule>
  </conditionalFormatting>
  <conditionalFormatting sqref="C493">
    <cfRule type="expression" dxfId="196" priority="185">
      <formula>C493="Red"</formula>
    </cfRule>
    <cfRule type="expression" dxfId="195" priority="184">
      <formula>C493="Meio Red"</formula>
    </cfRule>
    <cfRule type="expression" dxfId="194" priority="183">
      <formula>C493="Devolvida"</formula>
    </cfRule>
    <cfRule type="expression" dxfId="193" priority="182">
      <formula>C493="Meio Green"</formula>
    </cfRule>
    <cfRule type="expression" dxfId="192" priority="181">
      <formula>C493="Green"</formula>
    </cfRule>
  </conditionalFormatting>
  <conditionalFormatting sqref="C503">
    <cfRule type="expression" dxfId="191" priority="180">
      <formula>C503="Red"</formula>
    </cfRule>
    <cfRule type="expression" dxfId="190" priority="179">
      <formula>C503="Meio Red"</formula>
    </cfRule>
    <cfRule type="expression" dxfId="189" priority="178">
      <formula>C503="Devolvida"</formula>
    </cfRule>
    <cfRule type="expression" dxfId="188" priority="177">
      <formula>C503="Meio Green"</formula>
    </cfRule>
    <cfRule type="expression" dxfId="187" priority="176">
      <formula>C503="Green"</formula>
    </cfRule>
  </conditionalFormatting>
  <conditionalFormatting sqref="C513">
    <cfRule type="expression" dxfId="186" priority="175">
      <formula>C513="Red"</formula>
    </cfRule>
    <cfRule type="expression" dxfId="185" priority="174">
      <formula>C513="Meio Red"</formula>
    </cfRule>
    <cfRule type="expression" dxfId="184" priority="173">
      <formula>C513="Devolvida"</formula>
    </cfRule>
    <cfRule type="expression" dxfId="183" priority="172">
      <formula>C513="Meio Green"</formula>
    </cfRule>
    <cfRule type="expression" dxfId="182" priority="171">
      <formula>C513="Green"</formula>
    </cfRule>
  </conditionalFormatting>
  <conditionalFormatting sqref="C523">
    <cfRule type="expression" dxfId="181" priority="170">
      <formula>C523="Red"</formula>
    </cfRule>
    <cfRule type="expression" dxfId="180" priority="169">
      <formula>C523="Meio Red"</formula>
    </cfRule>
    <cfRule type="expression" dxfId="179" priority="168">
      <formula>C523="Devolvida"</formula>
    </cfRule>
    <cfRule type="expression" dxfId="178" priority="167">
      <formula>C523="Meio Green"</formula>
    </cfRule>
    <cfRule type="expression" dxfId="177" priority="166">
      <formula>C523="Green"</formula>
    </cfRule>
  </conditionalFormatting>
  <conditionalFormatting sqref="C533">
    <cfRule type="expression" dxfId="176" priority="165">
      <formula>C533="Red"</formula>
    </cfRule>
    <cfRule type="expression" dxfId="175" priority="164">
      <formula>C533="Meio Red"</formula>
    </cfRule>
    <cfRule type="expression" dxfId="174" priority="163">
      <formula>C533="Devolvida"</formula>
    </cfRule>
    <cfRule type="expression" dxfId="173" priority="162">
      <formula>C533="Meio Green"</formula>
    </cfRule>
    <cfRule type="expression" dxfId="172" priority="161">
      <formula>C533="Green"</formula>
    </cfRule>
  </conditionalFormatting>
  <conditionalFormatting sqref="C543">
    <cfRule type="expression" dxfId="171" priority="160">
      <formula>C543="Red"</formula>
    </cfRule>
    <cfRule type="expression" dxfId="170" priority="159">
      <formula>C543="Meio Red"</formula>
    </cfRule>
    <cfRule type="expression" dxfId="169" priority="158">
      <formula>C543="Devolvida"</formula>
    </cfRule>
    <cfRule type="expression" dxfId="168" priority="157">
      <formula>C543="Meio Green"</formula>
    </cfRule>
    <cfRule type="expression" dxfId="167" priority="156">
      <formula>C543="Green"</formula>
    </cfRule>
  </conditionalFormatting>
  <conditionalFormatting sqref="C553">
    <cfRule type="expression" dxfId="166" priority="155">
      <formula>C553="Red"</formula>
    </cfRule>
    <cfRule type="expression" dxfId="165" priority="154">
      <formula>C553="Meio Red"</formula>
    </cfRule>
    <cfRule type="expression" dxfId="164" priority="153">
      <formula>C553="Devolvida"</formula>
    </cfRule>
    <cfRule type="expression" dxfId="163" priority="152">
      <formula>C553="Meio Green"</formula>
    </cfRule>
    <cfRule type="expression" dxfId="162" priority="151">
      <formula>C553="Green"</formula>
    </cfRule>
  </conditionalFormatting>
  <conditionalFormatting sqref="C563">
    <cfRule type="expression" dxfId="161" priority="150">
      <formula>C563="Red"</formula>
    </cfRule>
    <cfRule type="expression" dxfId="160" priority="149">
      <formula>C563="Meio Red"</formula>
    </cfRule>
    <cfRule type="expression" dxfId="159" priority="148">
      <formula>C563="Devolvida"</formula>
    </cfRule>
    <cfRule type="expression" dxfId="158" priority="147">
      <formula>C563="Meio Green"</formula>
    </cfRule>
    <cfRule type="expression" dxfId="157" priority="146">
      <formula>C563="Green"</formula>
    </cfRule>
  </conditionalFormatting>
  <conditionalFormatting sqref="C573">
    <cfRule type="expression" dxfId="156" priority="145">
      <formula>C573="Red"</formula>
    </cfRule>
    <cfRule type="expression" dxfId="155" priority="144">
      <formula>C573="Meio Red"</formula>
    </cfRule>
    <cfRule type="expression" dxfId="154" priority="143">
      <formula>C573="Devolvida"</formula>
    </cfRule>
    <cfRule type="expression" dxfId="153" priority="142">
      <formula>C573="Meio Green"</formula>
    </cfRule>
    <cfRule type="expression" dxfId="152" priority="141">
      <formula>C573="Green"</formula>
    </cfRule>
  </conditionalFormatting>
  <conditionalFormatting sqref="C583">
    <cfRule type="expression" dxfId="151" priority="140">
      <formula>C583="Red"</formula>
    </cfRule>
    <cfRule type="expression" dxfId="150" priority="139">
      <formula>C583="Meio Red"</formula>
    </cfRule>
    <cfRule type="expression" dxfId="149" priority="138">
      <formula>C583="Devolvida"</formula>
    </cfRule>
    <cfRule type="expression" dxfId="148" priority="137">
      <formula>C583="Meio Green"</formula>
    </cfRule>
    <cfRule type="expression" dxfId="147" priority="136">
      <formula>C583="Green"</formula>
    </cfRule>
  </conditionalFormatting>
  <conditionalFormatting sqref="C593">
    <cfRule type="expression" dxfId="146" priority="135">
      <formula>C593="Red"</formula>
    </cfRule>
    <cfRule type="expression" dxfId="145" priority="134">
      <formula>C593="Meio Red"</formula>
    </cfRule>
    <cfRule type="expression" dxfId="144" priority="133">
      <formula>C593="Devolvida"</formula>
    </cfRule>
    <cfRule type="expression" dxfId="143" priority="132">
      <formula>C593="Meio Green"</formula>
    </cfRule>
    <cfRule type="expression" dxfId="142" priority="131">
      <formula>C593="Green"</formula>
    </cfRule>
  </conditionalFormatting>
  <conditionalFormatting sqref="C603">
    <cfRule type="expression" dxfId="141" priority="130">
      <formula>C603="Red"</formula>
    </cfRule>
    <cfRule type="expression" dxfId="140" priority="129">
      <formula>C603="Meio Red"</formula>
    </cfRule>
    <cfRule type="expression" dxfId="139" priority="128">
      <formula>C603="Devolvida"</formula>
    </cfRule>
    <cfRule type="expression" dxfId="138" priority="127">
      <formula>C603="Meio Green"</formula>
    </cfRule>
    <cfRule type="expression" dxfId="137" priority="126">
      <formula>C603="Green"</formula>
    </cfRule>
  </conditionalFormatting>
  <conditionalFormatting sqref="C613">
    <cfRule type="expression" dxfId="136" priority="125">
      <formula>C613="Red"</formula>
    </cfRule>
    <cfRule type="expression" dxfId="135" priority="124">
      <formula>C613="Meio Red"</formula>
    </cfRule>
    <cfRule type="expression" dxfId="134" priority="123">
      <formula>C613="Devolvida"</formula>
    </cfRule>
    <cfRule type="expression" dxfId="133" priority="122">
      <formula>C613="Meio Green"</formula>
    </cfRule>
    <cfRule type="expression" dxfId="132" priority="121">
      <formula>C613="Green"</formula>
    </cfRule>
  </conditionalFormatting>
  <conditionalFormatting sqref="C623">
    <cfRule type="expression" dxfId="131" priority="120">
      <formula>C623="Red"</formula>
    </cfRule>
    <cfRule type="expression" dxfId="130" priority="119">
      <formula>C623="Meio Red"</formula>
    </cfRule>
    <cfRule type="expression" dxfId="129" priority="118">
      <formula>C623="Devolvida"</formula>
    </cfRule>
    <cfRule type="expression" dxfId="128" priority="117">
      <formula>C623="Meio Green"</formula>
    </cfRule>
    <cfRule type="expression" dxfId="127" priority="116">
      <formula>C623="Green"</formula>
    </cfRule>
  </conditionalFormatting>
  <conditionalFormatting sqref="C633">
    <cfRule type="expression" dxfId="126" priority="115">
      <formula>C633="Red"</formula>
    </cfRule>
    <cfRule type="expression" dxfId="125" priority="114">
      <formula>C633="Meio Red"</formula>
    </cfRule>
    <cfRule type="expression" dxfId="124" priority="113">
      <formula>C633="Devolvida"</formula>
    </cfRule>
    <cfRule type="expression" dxfId="123" priority="112">
      <formula>C633="Meio Green"</formula>
    </cfRule>
    <cfRule type="expression" dxfId="122" priority="111">
      <formula>C633="Green"</formula>
    </cfRule>
  </conditionalFormatting>
  <conditionalFormatting sqref="C643">
    <cfRule type="expression" dxfId="121" priority="110">
      <formula>C643="Red"</formula>
    </cfRule>
    <cfRule type="expression" dxfId="120" priority="109">
      <formula>C643="Meio Red"</formula>
    </cfRule>
    <cfRule type="expression" dxfId="119" priority="108">
      <formula>C643="Devolvida"</formula>
    </cfRule>
    <cfRule type="expression" dxfId="118" priority="107">
      <formula>C643="Meio Green"</formula>
    </cfRule>
    <cfRule type="expression" dxfId="117" priority="106">
      <formula>C643="Green"</formula>
    </cfRule>
  </conditionalFormatting>
  <conditionalFormatting sqref="C653">
    <cfRule type="expression" dxfId="116" priority="105">
      <formula>C653="Red"</formula>
    </cfRule>
    <cfRule type="expression" dxfId="115" priority="104">
      <formula>C653="Meio Red"</formula>
    </cfRule>
    <cfRule type="expression" dxfId="114" priority="103">
      <formula>C653="Devolvida"</formula>
    </cfRule>
    <cfRule type="expression" dxfId="113" priority="102">
      <formula>C653="Meio Green"</formula>
    </cfRule>
    <cfRule type="expression" dxfId="112" priority="101">
      <formula>C653="Green"</formula>
    </cfRule>
  </conditionalFormatting>
  <conditionalFormatting sqref="C663">
    <cfRule type="expression" dxfId="111" priority="100">
      <formula>C663="Red"</formula>
    </cfRule>
    <cfRule type="expression" dxfId="110" priority="99">
      <formula>C663="Meio Red"</formula>
    </cfRule>
    <cfRule type="expression" dxfId="109" priority="98">
      <formula>C663="Devolvida"</formula>
    </cfRule>
    <cfRule type="expression" dxfId="108" priority="97">
      <formula>C663="Meio Green"</formula>
    </cfRule>
    <cfRule type="expression" dxfId="107" priority="96">
      <formula>C663="Green"</formula>
    </cfRule>
  </conditionalFormatting>
  <conditionalFormatting sqref="C673">
    <cfRule type="expression" dxfId="106" priority="95">
      <formula>C673="Red"</formula>
    </cfRule>
    <cfRule type="expression" dxfId="105" priority="94">
      <formula>C673="Meio Red"</formula>
    </cfRule>
    <cfRule type="expression" dxfId="104" priority="93">
      <formula>C673="Devolvida"</formula>
    </cfRule>
    <cfRule type="expression" dxfId="103" priority="92">
      <formula>C673="Meio Green"</formula>
    </cfRule>
    <cfRule type="expression" dxfId="102" priority="91">
      <formula>C673="Green"</formula>
    </cfRule>
  </conditionalFormatting>
  <conditionalFormatting sqref="C683">
    <cfRule type="expression" dxfId="101" priority="90">
      <formula>C683="Red"</formula>
    </cfRule>
    <cfRule type="expression" dxfId="100" priority="89">
      <formula>C683="Meio Red"</formula>
    </cfRule>
    <cfRule type="expression" dxfId="99" priority="88">
      <formula>C683="Devolvida"</formula>
    </cfRule>
    <cfRule type="expression" dxfId="98" priority="87">
      <formula>C683="Meio Green"</formula>
    </cfRule>
    <cfRule type="expression" dxfId="97" priority="86">
      <formula>C683="Green"</formula>
    </cfRule>
  </conditionalFormatting>
  <conditionalFormatting sqref="C693">
    <cfRule type="expression" dxfId="96" priority="85">
      <formula>C693="Red"</formula>
    </cfRule>
    <cfRule type="expression" dxfId="95" priority="84">
      <formula>C693="Meio Red"</formula>
    </cfRule>
    <cfRule type="expression" dxfId="94" priority="83">
      <formula>C693="Devolvida"</formula>
    </cfRule>
    <cfRule type="expression" dxfId="93" priority="82">
      <formula>C693="Meio Green"</formula>
    </cfRule>
    <cfRule type="expression" dxfId="92" priority="81">
      <formula>C693="Green"</formula>
    </cfRule>
  </conditionalFormatting>
  <conditionalFormatting sqref="C703">
    <cfRule type="expression" dxfId="91" priority="80">
      <formula>C703="Red"</formula>
    </cfRule>
    <cfRule type="expression" dxfId="90" priority="79">
      <formula>C703="Meio Red"</formula>
    </cfRule>
    <cfRule type="expression" dxfId="89" priority="78">
      <formula>C703="Devolvida"</formula>
    </cfRule>
    <cfRule type="expression" dxfId="88" priority="77">
      <formula>C703="Meio Green"</formula>
    </cfRule>
    <cfRule type="expression" dxfId="87" priority="76">
      <formula>C703="Green"</formula>
    </cfRule>
  </conditionalFormatting>
  <conditionalFormatting sqref="C713">
    <cfRule type="expression" dxfId="86" priority="75">
      <formula>C713="Red"</formula>
    </cfRule>
    <cfRule type="expression" dxfId="85" priority="74">
      <formula>C713="Meio Red"</formula>
    </cfRule>
    <cfRule type="expression" dxfId="84" priority="73">
      <formula>C713="Devolvida"</formula>
    </cfRule>
    <cfRule type="expression" dxfId="83" priority="72">
      <formula>C713="Meio Green"</formula>
    </cfRule>
    <cfRule type="expression" dxfId="82" priority="71">
      <formula>C713="Green"</formula>
    </cfRule>
  </conditionalFormatting>
  <conditionalFormatting sqref="C723">
    <cfRule type="expression" dxfId="81" priority="70">
      <formula>C723="Red"</formula>
    </cfRule>
    <cfRule type="expression" dxfId="80" priority="69">
      <formula>C723="Meio Red"</formula>
    </cfRule>
    <cfRule type="expression" dxfId="79" priority="68">
      <formula>C723="Devolvida"</formula>
    </cfRule>
    <cfRule type="expression" dxfId="78" priority="67">
      <formula>C723="Meio Green"</formula>
    </cfRule>
    <cfRule type="expression" dxfId="77" priority="66">
      <formula>C723="Green"</formula>
    </cfRule>
  </conditionalFormatting>
  <conditionalFormatting sqref="C733">
    <cfRule type="expression" dxfId="76" priority="65">
      <formula>C733="Red"</formula>
    </cfRule>
    <cfRule type="expression" dxfId="75" priority="64">
      <formula>C733="Meio Red"</formula>
    </cfRule>
    <cfRule type="expression" dxfId="74" priority="63">
      <formula>C733="Devolvida"</formula>
    </cfRule>
    <cfRule type="expression" dxfId="73" priority="62">
      <formula>C733="Meio Green"</formula>
    </cfRule>
    <cfRule type="expression" dxfId="72" priority="61">
      <formula>C733="Green"</formula>
    </cfRule>
  </conditionalFormatting>
  <conditionalFormatting sqref="C743">
    <cfRule type="expression" dxfId="71" priority="60">
      <formula>C743="Red"</formula>
    </cfRule>
    <cfRule type="expression" dxfId="70" priority="59">
      <formula>C743="Meio Red"</formula>
    </cfRule>
    <cfRule type="expression" dxfId="69" priority="58">
      <formula>C743="Devolvida"</formula>
    </cfRule>
    <cfRule type="expression" dxfId="68" priority="57">
      <formula>C743="Meio Green"</formula>
    </cfRule>
    <cfRule type="expression" dxfId="67" priority="56">
      <formula>C743="Green"</formula>
    </cfRule>
  </conditionalFormatting>
  <conditionalFormatting sqref="C753">
    <cfRule type="expression" dxfId="66" priority="55">
      <formula>C753="Red"</formula>
    </cfRule>
    <cfRule type="expression" dxfId="65" priority="54">
      <formula>C753="Meio Red"</formula>
    </cfRule>
    <cfRule type="expression" dxfId="64" priority="53">
      <formula>C753="Devolvida"</formula>
    </cfRule>
    <cfRule type="expression" dxfId="63" priority="52">
      <formula>C753="Meio Green"</formula>
    </cfRule>
    <cfRule type="expression" dxfId="62" priority="51">
      <formula>C753="Green"</formula>
    </cfRule>
  </conditionalFormatting>
  <conditionalFormatting sqref="C763">
    <cfRule type="expression" dxfId="61" priority="50">
      <formula>C763="Red"</formula>
    </cfRule>
    <cfRule type="expression" dxfId="60" priority="49">
      <formula>C763="Meio Red"</formula>
    </cfRule>
    <cfRule type="expression" dxfId="59" priority="48">
      <formula>C763="Devolvida"</formula>
    </cfRule>
    <cfRule type="expression" dxfId="58" priority="47">
      <formula>C763="Meio Green"</formula>
    </cfRule>
    <cfRule type="expression" dxfId="57" priority="46">
      <formula>C763="Green"</formula>
    </cfRule>
  </conditionalFormatting>
  <conditionalFormatting sqref="C773">
    <cfRule type="expression" dxfId="56" priority="45">
      <formula>C773="Red"</formula>
    </cfRule>
    <cfRule type="expression" dxfId="55" priority="44">
      <formula>C773="Meio Red"</formula>
    </cfRule>
    <cfRule type="expression" dxfId="54" priority="43">
      <formula>C773="Devolvida"</formula>
    </cfRule>
    <cfRule type="expression" dxfId="53" priority="42">
      <formula>C773="Meio Green"</formula>
    </cfRule>
    <cfRule type="expression" dxfId="52" priority="41">
      <formula>C773="Green"</formula>
    </cfRule>
  </conditionalFormatting>
  <conditionalFormatting sqref="C783">
    <cfRule type="expression" dxfId="51" priority="40">
      <formula>C783="Red"</formula>
    </cfRule>
    <cfRule type="expression" dxfId="50" priority="39">
      <formula>C783="Meio Red"</formula>
    </cfRule>
    <cfRule type="expression" dxfId="49" priority="38">
      <formula>C783="Devolvida"</formula>
    </cfRule>
    <cfRule type="expression" dxfId="48" priority="37">
      <formula>C783="Meio Green"</formula>
    </cfRule>
    <cfRule type="expression" dxfId="47" priority="36">
      <formula>C783="Green"</formula>
    </cfRule>
  </conditionalFormatting>
  <conditionalFormatting sqref="C793">
    <cfRule type="expression" dxfId="46" priority="35">
      <formula>C793="Red"</formula>
    </cfRule>
    <cfRule type="expression" dxfId="45" priority="34">
      <formula>C793="Meio Red"</formula>
    </cfRule>
    <cfRule type="expression" dxfId="44" priority="33">
      <formula>C793="Devolvida"</formula>
    </cfRule>
    <cfRule type="expression" dxfId="43" priority="32">
      <formula>C793="Meio Green"</formula>
    </cfRule>
    <cfRule type="expression" dxfId="42" priority="31">
      <formula>C793="Green"</formula>
    </cfRule>
  </conditionalFormatting>
  <conditionalFormatting sqref="C803">
    <cfRule type="expression" dxfId="41" priority="30">
      <formula>C803="Red"</formula>
    </cfRule>
    <cfRule type="expression" dxfId="40" priority="29">
      <formula>C803="Meio Red"</formula>
    </cfRule>
    <cfRule type="expression" dxfId="39" priority="28">
      <formula>C803="Devolvida"</formula>
    </cfRule>
    <cfRule type="expression" dxfId="38" priority="27">
      <formula>C803="Meio Green"</formula>
    </cfRule>
    <cfRule type="expression" dxfId="37" priority="26">
      <formula>C803="Green"</formula>
    </cfRule>
  </conditionalFormatting>
  <conditionalFormatting sqref="C813">
    <cfRule type="expression" dxfId="36" priority="24">
      <formula>C813="Meio Red"</formula>
    </cfRule>
    <cfRule type="expression" dxfId="35" priority="23">
      <formula>C813="Devolvida"</formula>
    </cfRule>
    <cfRule type="expression" dxfId="34" priority="22">
      <formula>C813="Meio Green"</formula>
    </cfRule>
    <cfRule type="expression" dxfId="33" priority="21">
      <formula>C813="Green"</formula>
    </cfRule>
    <cfRule type="expression" dxfId="32" priority="25">
      <formula>C813="Red"</formula>
    </cfRule>
  </conditionalFormatting>
  <conditionalFormatting sqref="C823">
    <cfRule type="expression" dxfId="31" priority="20">
      <formula>C823="Red"</formula>
    </cfRule>
    <cfRule type="expression" dxfId="30" priority="19">
      <formula>C823="Meio Red"</formula>
    </cfRule>
    <cfRule type="expression" dxfId="29" priority="17">
      <formula>C823="Meio Green"</formula>
    </cfRule>
    <cfRule type="expression" dxfId="28" priority="16">
      <formula>C823="Green"</formula>
    </cfRule>
    <cfRule type="expression" dxfId="27" priority="18">
      <formula>C823="Devolvida"</formula>
    </cfRule>
  </conditionalFormatting>
  <conditionalFormatting sqref="C833">
    <cfRule type="expression" dxfId="26" priority="15">
      <formula>C833="Red"</formula>
    </cfRule>
    <cfRule type="expression" dxfId="25" priority="14">
      <formula>C833="Meio Red"</formula>
    </cfRule>
    <cfRule type="expression" dxfId="24" priority="13">
      <formula>C833="Devolvida"</formula>
    </cfRule>
    <cfRule type="expression" dxfId="23" priority="12">
      <formula>C833="Meio Green"</formula>
    </cfRule>
    <cfRule type="expression" dxfId="22" priority="11">
      <formula>C833="Green"</formula>
    </cfRule>
  </conditionalFormatting>
  <conditionalFormatting sqref="C843">
    <cfRule type="expression" dxfId="21" priority="1">
      <formula>C843="Green"</formula>
    </cfRule>
    <cfRule type="expression" dxfId="20" priority="5">
      <formula>C843="Red"</formula>
    </cfRule>
    <cfRule type="expression" dxfId="19" priority="4">
      <formula>C843="Meio Red"</formula>
    </cfRule>
    <cfRule type="expression" dxfId="18" priority="3">
      <formula>C843="Devolvida"</formula>
    </cfRule>
    <cfRule type="expression" dxfId="17" priority="2">
      <formula>C843="Meio Green"</formula>
    </cfRule>
  </conditionalFormatting>
  <dataValidations count="2">
    <dataValidation type="list" allowBlank="1" showInputMessage="1" showErrorMessage="1" sqref="B10 C65 B19 B28 B37 B46 C11 C20 C29 C38 C47 C56 B55 B64 C74 C83 C92 C101 C110 C128 C119 C137 C146 C155 C164 C173 C183 C193 C203 C213 C223 C233 C243" xr:uid="{25EE94F1-F06E-41AA-9ED4-69E31D30007F}">
      <formula1>"Green,Red,Meio Green,Meio Red,Devolvida"</formula1>
    </dataValidation>
    <dataValidation type="whole" operator="greaterThanOrEqual" allowBlank="1" showInputMessage="1" showErrorMessage="1" sqref="C10 E10 C55 E55 C19 E19 C28 E28 C37 E37 C46 E46 C64 E64 C73 E73 C82 E82 C91 E91 C100 E100 C109 E109 C127 E127 C118 E118 C136 E136 C145 E145 C154 E154 C163 E163 C172 E172 C182 E182 C192 E192 C202 E202 C212 E212 C222 E222 C232 E232 C242 E242" xr:uid="{6DFD2E25-F620-4554-A649-806C839213B5}">
      <formula1>0</formula1>
    </dataValidation>
  </dataValidation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E18B-6535-4B07-B5CB-37F0AF33D8B7}">
  <dimension ref="A1:Y117"/>
  <sheetViews>
    <sheetView topLeftCell="A824" workbookViewId="0">
      <selection activeCell="C850" sqref="C850:D850"/>
    </sheetView>
  </sheetViews>
  <sheetFormatPr defaultRowHeight="14.4" x14ac:dyDescent="0.3"/>
  <cols>
    <col min="1" max="1" width="26.5546875" bestFit="1" customWidth="1"/>
    <col min="2" max="2" width="53.33203125" bestFit="1" customWidth="1"/>
    <col min="3" max="3" width="20" bestFit="1" customWidth="1"/>
    <col min="4" max="4" width="15.21875" bestFit="1" customWidth="1"/>
    <col min="5" max="5" width="10.5546875" bestFit="1" customWidth="1"/>
    <col min="6" max="6" width="13.44140625" bestFit="1" customWidth="1"/>
    <col min="7" max="7" width="37" customWidth="1"/>
    <col min="9" max="10" width="9.6640625" customWidth="1"/>
    <col min="11" max="11" width="11.44140625" customWidth="1"/>
    <col min="12" max="12" width="15.21875" customWidth="1"/>
    <col min="14" max="24" width="8.5546875" customWidth="1"/>
    <col min="25" max="25" width="37" customWidth="1"/>
  </cols>
  <sheetData>
    <row r="1" spans="1:25" ht="28.05" customHeight="1" x14ac:dyDescent="0.4">
      <c r="A1" s="350" t="s">
        <v>871</v>
      </c>
      <c r="B1" s="350"/>
      <c r="C1" s="350"/>
      <c r="D1" s="350"/>
      <c r="E1" s="350"/>
      <c r="F1" s="350"/>
      <c r="G1" s="350"/>
      <c r="H1" s="350"/>
      <c r="I1" s="350"/>
      <c r="J1" s="350"/>
      <c r="K1" s="350"/>
      <c r="L1" s="350"/>
      <c r="M1" s="350"/>
      <c r="N1" s="350"/>
      <c r="O1" s="350"/>
      <c r="P1" s="350"/>
      <c r="Q1" s="350"/>
      <c r="R1" s="350"/>
      <c r="S1" s="350"/>
      <c r="T1" s="350"/>
      <c r="U1" s="350"/>
      <c r="V1" s="350"/>
      <c r="W1" s="350"/>
      <c r="X1" s="350"/>
    </row>
    <row r="2" spans="1:25" ht="18" customHeight="1" thickBot="1" x14ac:dyDescent="0.35">
      <c r="A2" s="50" t="s">
        <v>41</v>
      </c>
      <c r="B2" s="51" t="s">
        <v>809</v>
      </c>
      <c r="C2" s="51" t="s">
        <v>0</v>
      </c>
      <c r="D2" s="51" t="s">
        <v>742</v>
      </c>
      <c r="E2" s="52" t="s">
        <v>53</v>
      </c>
      <c r="F2" s="51" t="s">
        <v>867</v>
      </c>
      <c r="G2" s="51" t="s">
        <v>810</v>
      </c>
      <c r="H2" s="51" t="s">
        <v>868</v>
      </c>
      <c r="I2" s="51" t="s">
        <v>869</v>
      </c>
      <c r="J2" s="52" t="s">
        <v>872</v>
      </c>
      <c r="K2" s="51" t="s">
        <v>873</v>
      </c>
      <c r="L2" s="51" t="s">
        <v>874</v>
      </c>
      <c r="M2" s="51" t="s">
        <v>870</v>
      </c>
      <c r="N2" s="51" t="s">
        <v>833</v>
      </c>
      <c r="O2" s="51" t="s">
        <v>834</v>
      </c>
      <c r="P2" s="51" t="s">
        <v>835</v>
      </c>
      <c r="Q2" s="51" t="s">
        <v>836</v>
      </c>
      <c r="R2" s="51" t="s">
        <v>837</v>
      </c>
      <c r="S2" s="51" t="s">
        <v>838</v>
      </c>
      <c r="T2" s="51" t="s">
        <v>839</v>
      </c>
      <c r="U2" s="51" t="s">
        <v>840</v>
      </c>
      <c r="V2" s="69" t="s">
        <v>841</v>
      </c>
      <c r="W2" s="51" t="s">
        <v>842</v>
      </c>
      <c r="X2" s="53" t="s">
        <v>843</v>
      </c>
      <c r="Y2" s="53" t="s">
        <v>1449</v>
      </c>
    </row>
    <row r="3" spans="1:25" ht="15" customHeight="1" thickTop="1" thickBot="1" x14ac:dyDescent="0.35">
      <c r="A3" s="54">
        <v>46241</v>
      </c>
      <c r="B3" s="55" t="s">
        <v>811</v>
      </c>
      <c r="C3" s="55" t="s">
        <v>844</v>
      </c>
      <c r="D3" s="56" t="s">
        <v>799</v>
      </c>
      <c r="E3" s="57">
        <v>1.2250000000000001</v>
      </c>
      <c r="F3"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3" s="59">
        <f>IF(tblCalibracao[[#This Row],[Placar]]="","",VALUE(_xlfn.TEXTBEFORE(tblCalibracao[[#This Row],[Placar]]," x "))+VALUE(_xlfn.TEXTAFTER(tblCalibracao[[#This Row],[Placar]]," x ")))</f>
        <v>1</v>
      </c>
      <c r="H3" s="57">
        <v>2.5</v>
      </c>
      <c r="I3" s="57">
        <f>IF(tblCalibracao[[#This Row],[Gols]]="","",IF(tblCalibracao[[#This Row],[Gols]]&lt;1,0,MIN(3,tblCalibracao[[#This Row],[Gols]]-0.5)))</f>
        <v>0.5</v>
      </c>
      <c r="J3" s="57">
        <v>1.01</v>
      </c>
      <c r="K3"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5.0000000000000044E-3</v>
      </c>
      <c r="L3" s="57" t="s">
        <v>875</v>
      </c>
      <c r="M3" s="57">
        <f>IF(OR(tblCalibracao[[#This Row],[Usada]]="",tblCalibracao[[#This Row],[Melhor G]]=""),"",MAX(0,tblCalibracao[[#This Row],[Melhor G]]-tblCalibracao[[#This Row],[Usada]]))</f>
        <v>0</v>
      </c>
      <c r="N3"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3"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3"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3"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3"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3"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3" s="60"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3" s="45"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3" s="68"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3"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3" s="70"/>
    </row>
    <row r="4" spans="1:25" ht="15" customHeight="1" thickTop="1" thickBot="1" x14ac:dyDescent="0.35">
      <c r="A4" s="54">
        <v>46241</v>
      </c>
      <c r="B4" s="55" t="s">
        <v>812</v>
      </c>
      <c r="C4" s="55" t="s">
        <v>845</v>
      </c>
      <c r="D4" s="56" t="s">
        <v>802</v>
      </c>
      <c r="E4" s="57">
        <v>1.1599999999999999</v>
      </c>
      <c r="F4"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7.999999999999996E-2</v>
      </c>
      <c r="G4" s="59">
        <f>IF(tblCalibracao[[#This Row],[Placar]]="","",VALUE(_xlfn.TEXTBEFORE(tblCalibracao[[#This Row],[Placar]]," x "))+VALUE(_xlfn.TEXTAFTER(tblCalibracao[[#This Row],[Placar]]," x ")))</f>
        <v>6</v>
      </c>
      <c r="H4" s="57">
        <v>2.5</v>
      </c>
      <c r="I4" s="57">
        <f>IF(tblCalibracao[[#This Row],[Gols]]="","",IF(tblCalibracao[[#This Row],[Gols]]&lt;1,0,MIN(3,tblCalibracao[[#This Row],[Gols]]-0.5)))</f>
        <v>3</v>
      </c>
      <c r="J4" s="57"/>
      <c r="K4"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4" s="57"/>
      <c r="M4" s="57">
        <f>IF(OR(tblCalibracao[[#This Row],[Usada]]="",tblCalibracao[[#This Row],[Melhor G]]=""),"",MAX(0,tblCalibracao[[#This Row],[Melhor G]]-tblCalibracao[[#This Row],[Usada]]))</f>
        <v>0.5</v>
      </c>
      <c r="N4"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 s="63"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 s="60"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 s="44"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 s="68"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4"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4" s="56"/>
    </row>
    <row r="5" spans="1:25" ht="15" customHeight="1" thickTop="1" thickBot="1" x14ac:dyDescent="0.35">
      <c r="A5" s="54">
        <v>46241</v>
      </c>
      <c r="B5" s="55" t="s">
        <v>813</v>
      </c>
      <c r="C5" s="55" t="s">
        <v>846</v>
      </c>
      <c r="D5" s="56" t="s">
        <v>803</v>
      </c>
      <c r="E5" s="57">
        <v>1.1000000000000001</v>
      </c>
      <c r="F5"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5.0000000000000044E-2</v>
      </c>
      <c r="G5" s="59">
        <f>IF(tblCalibracao[[#This Row],[Placar]]="","",VALUE(_xlfn.TEXTBEFORE(tblCalibracao[[#This Row],[Placar]]," x "))+VALUE(_xlfn.TEXTAFTER(tblCalibracao[[#This Row],[Placar]]," x ")))</f>
        <v>4</v>
      </c>
      <c r="H5" s="57">
        <v>1.5</v>
      </c>
      <c r="I5" s="57">
        <f>IF(tblCalibracao[[#This Row],[Gols]]="","",IF(tblCalibracao[[#This Row],[Gols]]&lt;1,0,MIN(3,tblCalibracao[[#This Row],[Gols]]-0.5)))</f>
        <v>3</v>
      </c>
      <c r="J5" s="57"/>
      <c r="K5"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5" s="57"/>
      <c r="M5" s="57">
        <f>IF(OR(tblCalibracao[[#This Row],[Usada]]="",tblCalibracao[[#This Row],[Melhor G]]=""),"",MAX(0,tblCalibracao[[#This Row],[Melhor G]]-tblCalibracao[[#This Row],[Usada]]))</f>
        <v>1.5</v>
      </c>
      <c r="N5"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 s="6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 s="4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 s="68"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 s="63"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 s="70"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5"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5" s="56"/>
    </row>
    <row r="6" spans="1:25" ht="15" customHeight="1" thickTop="1" thickBot="1" x14ac:dyDescent="0.35">
      <c r="A6" s="54">
        <v>46241</v>
      </c>
      <c r="B6" s="55" t="s">
        <v>814</v>
      </c>
      <c r="C6" s="55" t="s">
        <v>845</v>
      </c>
      <c r="D6" s="56" t="s">
        <v>808</v>
      </c>
      <c r="E6" s="57">
        <v>1.2</v>
      </c>
      <c r="F6"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9.9999999999999978E-2</v>
      </c>
      <c r="G6" s="59">
        <f>IF(tblCalibracao[[#This Row],[Placar]]="","",VALUE(_xlfn.TEXTBEFORE(tblCalibracao[[#This Row],[Placar]]," x "))+VALUE(_xlfn.TEXTAFTER(tblCalibracao[[#This Row],[Placar]]," x ")))</f>
        <v>4</v>
      </c>
      <c r="H6" s="57">
        <v>2.25</v>
      </c>
      <c r="I6" s="57">
        <f>IF(tblCalibracao[[#This Row],[Gols]]="","",IF(tblCalibracao[[#This Row],[Gols]]&lt;1,0,MIN(3,tblCalibracao[[#This Row],[Gols]]-0.5)))</f>
        <v>3</v>
      </c>
      <c r="J6" s="57"/>
      <c r="K6"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6" s="57"/>
      <c r="M6" s="57">
        <f>IF(OR(tblCalibracao[[#This Row],[Usada]]="",tblCalibracao[[#This Row],[Melhor G]]=""),"",MAX(0,tblCalibracao[[#This Row],[Melhor G]]-tblCalibracao[[#This Row],[Usada]]))</f>
        <v>0.75</v>
      </c>
      <c r="N6"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 s="70"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6" s="67"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6"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6" s="68"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6"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6"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6" s="56"/>
    </row>
    <row r="7" spans="1:25" ht="15" customHeight="1" thickTop="1" thickBot="1" x14ac:dyDescent="0.35">
      <c r="A7" s="54">
        <v>46241</v>
      </c>
      <c r="B7" s="55" t="s">
        <v>831</v>
      </c>
      <c r="C7" s="55" t="s">
        <v>847</v>
      </c>
      <c r="D7" s="56" t="s">
        <v>832</v>
      </c>
      <c r="E7" s="57">
        <v>1.1399999999999999</v>
      </c>
      <c r="F7"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6.9999999999999951E-2</v>
      </c>
      <c r="G7" s="59">
        <f>IF(tblCalibracao[[#This Row],[Placar]]="","",VALUE(_xlfn.TEXTBEFORE(tblCalibracao[[#This Row],[Placar]]," x "))+VALUE(_xlfn.TEXTAFTER(tblCalibracao[[#This Row],[Placar]]," x ")))</f>
        <v>4</v>
      </c>
      <c r="H7" s="57">
        <v>2</v>
      </c>
      <c r="I7" s="57">
        <f>IF(tblCalibracao[[#This Row],[Gols]]="","",IF(tblCalibracao[[#This Row],[Gols]]&lt;1,0,MIN(3,tblCalibracao[[#This Row],[Gols]]-0.5)))</f>
        <v>3</v>
      </c>
      <c r="J7" s="57">
        <v>1.48</v>
      </c>
      <c r="K7"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0.24</v>
      </c>
      <c r="L7" s="57" t="s">
        <v>876</v>
      </c>
      <c r="M7" s="57">
        <f>IF(OR(tblCalibracao[[#This Row],[Usada]]="",tblCalibracao[[#This Row],[Melhor G]]=""),"",MAX(0,tblCalibracao[[#This Row],[Melhor G]]-tblCalibracao[[#This Row],[Usada]]))</f>
        <v>1</v>
      </c>
      <c r="N7"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7"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7"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7"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7"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7"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7"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7" s="71"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7"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7"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7"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7" s="56"/>
    </row>
    <row r="8" spans="1:25" ht="15" customHeight="1" thickTop="1" thickBot="1" x14ac:dyDescent="0.35">
      <c r="A8" s="54">
        <v>46241</v>
      </c>
      <c r="B8" s="55" t="s">
        <v>850</v>
      </c>
      <c r="C8" s="55" t="s">
        <v>851</v>
      </c>
      <c r="D8" s="56" t="s">
        <v>802</v>
      </c>
      <c r="E8" s="57">
        <v>1.26</v>
      </c>
      <c r="F8"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0.13</v>
      </c>
      <c r="G8" s="59">
        <f>IF(tblCalibracao[[#This Row],[Placar]]="","",VALUE(_xlfn.TEXTBEFORE(tblCalibracao[[#This Row],[Placar]]," x "))+VALUE(_xlfn.TEXTAFTER(tblCalibracao[[#This Row],[Placar]]," x ")))</f>
        <v>6</v>
      </c>
      <c r="H8" s="57">
        <v>2.5</v>
      </c>
      <c r="I8" s="57">
        <f>IF(tblCalibracao[[#This Row],[Gols]]="","",IF(tblCalibracao[[#This Row],[Gols]]&lt;1,0,MIN(3,tblCalibracao[[#This Row],[Gols]]-0.5)))</f>
        <v>3</v>
      </c>
      <c r="J8" s="57"/>
      <c r="K8"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8" s="57" t="s">
        <v>875</v>
      </c>
      <c r="M8" s="57">
        <f>IF(OR(tblCalibracao[[#This Row],[Usada]]="",tblCalibracao[[#This Row],[Melhor G]]=""),"",MAX(0,tblCalibracao[[#This Row],[Melhor G]]-tblCalibracao[[#This Row],[Usada]]))</f>
        <v>0.5</v>
      </c>
      <c r="N8"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8"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8"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8"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8"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8"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8" s="70"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8" s="6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8" s="44"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8" s="68"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8"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8" s="56"/>
    </row>
    <row r="9" spans="1:25" ht="15" customHeight="1" thickTop="1" thickBot="1" x14ac:dyDescent="0.35">
      <c r="A9" s="54">
        <v>46239</v>
      </c>
      <c r="B9" s="55" t="s">
        <v>852</v>
      </c>
      <c r="C9" s="55" t="s">
        <v>853</v>
      </c>
      <c r="D9" s="56" t="s">
        <v>854</v>
      </c>
      <c r="E9" s="57">
        <v>1.17</v>
      </c>
      <c r="F9"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8.4999999999999964E-2</v>
      </c>
      <c r="G9" s="59">
        <f>IF(tblCalibracao[[#This Row],[Placar]]="","",VALUE(_xlfn.TEXTBEFORE(tblCalibracao[[#This Row],[Placar]]," x "))+VALUE(_xlfn.TEXTAFTER(tblCalibracao[[#This Row],[Placar]]," x ")))</f>
        <v>3</v>
      </c>
      <c r="H9" s="57">
        <v>2.25</v>
      </c>
      <c r="I9" s="57">
        <f>IF(tblCalibracao[[#This Row],[Gols]]="","",IF(tblCalibracao[[#This Row],[Gols]]&lt;1,0,MIN(3,tblCalibracao[[#This Row],[Gols]]-0.5)))</f>
        <v>2.5</v>
      </c>
      <c r="J9" s="57">
        <v>1.29</v>
      </c>
      <c r="K9"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0.14500000000000002</v>
      </c>
      <c r="L9" s="57" t="s">
        <v>875</v>
      </c>
      <c r="M9" s="57">
        <f>IF(OR(tblCalibracao[[#This Row],[Usada]]="",tblCalibracao[[#This Row],[Melhor G]]=""),"",MAX(0,tblCalibracao[[#This Row],[Melhor G]]-tblCalibracao[[#This Row],[Usada]]))</f>
        <v>0.25</v>
      </c>
      <c r="N9"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9"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9"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9"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9"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9"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9" s="67"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9"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9" s="71"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9"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9"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9" s="56"/>
    </row>
    <row r="10" spans="1:25" ht="15" customHeight="1" thickTop="1" thickBot="1" x14ac:dyDescent="0.35">
      <c r="A10" s="54">
        <v>46239</v>
      </c>
      <c r="B10" s="55" t="s">
        <v>855</v>
      </c>
      <c r="C10" s="55" t="s">
        <v>853</v>
      </c>
      <c r="D10" s="56" t="s">
        <v>856</v>
      </c>
      <c r="E10" s="57">
        <v>1.2250000000000001</v>
      </c>
      <c r="F10"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0.11250000000000004</v>
      </c>
      <c r="G10" s="59">
        <f>IF(tblCalibracao[[#This Row],[Placar]]="","",VALUE(_xlfn.TEXTBEFORE(tblCalibracao[[#This Row],[Placar]]," x "))+VALUE(_xlfn.TEXTAFTER(tblCalibracao[[#This Row],[Placar]]," x ")))</f>
        <v>5</v>
      </c>
      <c r="H10" s="57">
        <v>2</v>
      </c>
      <c r="I10" s="57">
        <f>IF(tblCalibracao[[#This Row],[Gols]]="","",IF(tblCalibracao[[#This Row],[Gols]]&lt;1,0,MIN(3,tblCalibracao[[#This Row],[Gols]]-0.5)))</f>
        <v>3</v>
      </c>
      <c r="J10" s="57"/>
      <c r="K10"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10" s="57"/>
      <c r="M10" s="57">
        <f>IF(OR(tblCalibracao[[#This Row],[Usada]]="",tblCalibracao[[#This Row],[Melhor G]]=""),"",MAX(0,tblCalibracao[[#This Row],[Melhor G]]-tblCalibracao[[#This Row],[Usada]]))</f>
        <v>1</v>
      </c>
      <c r="N10"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0"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0"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0"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0"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0"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0"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0" s="73"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0"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0"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10"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10" s="56"/>
    </row>
    <row r="11" spans="1:25" ht="15" customHeight="1" thickTop="1" thickBot="1" x14ac:dyDescent="0.35">
      <c r="A11" s="54">
        <v>46239</v>
      </c>
      <c r="B11" s="55" t="s">
        <v>857</v>
      </c>
      <c r="C11" s="55" t="s">
        <v>4290</v>
      </c>
      <c r="D11" s="56" t="s">
        <v>858</v>
      </c>
      <c r="E11" s="57">
        <v>1.24</v>
      </c>
      <c r="F11"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0.12</v>
      </c>
      <c r="G11" s="59">
        <f>IF(tblCalibracao[[#This Row],[Placar]]="","",VALUE(_xlfn.TEXTBEFORE(tblCalibracao[[#This Row],[Placar]]," x "))+VALUE(_xlfn.TEXTAFTER(tblCalibracao[[#This Row],[Placar]]," x ")))</f>
        <v>3</v>
      </c>
      <c r="H11" s="57">
        <v>2.25</v>
      </c>
      <c r="I11" s="57">
        <f>IF(tblCalibracao[[#This Row],[Gols]]="","",IF(tblCalibracao[[#This Row],[Gols]]&lt;1,0,MIN(3,tblCalibracao[[#This Row],[Gols]]-0.5)))</f>
        <v>2.5</v>
      </c>
      <c r="J11" s="57">
        <v>1.29</v>
      </c>
      <c r="K11"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0.14500000000000002</v>
      </c>
      <c r="L11" s="57" t="s">
        <v>877</v>
      </c>
      <c r="M11" s="57">
        <f>IF(OR(tblCalibracao[[#This Row],[Usada]]="",tblCalibracao[[#This Row],[Melhor G]]=""),"",MAX(0,tblCalibracao[[#This Row],[Melhor G]]-tblCalibracao[[#This Row],[Usada]]))</f>
        <v>0.25</v>
      </c>
      <c r="N11"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1"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1"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1"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1"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1"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1" s="7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1"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1" s="68"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1"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11"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11" s="56"/>
    </row>
    <row r="12" spans="1:25" ht="15" customHeight="1" thickTop="1" thickBot="1" x14ac:dyDescent="0.35">
      <c r="A12" s="54">
        <v>46239</v>
      </c>
      <c r="B12" s="55" t="s">
        <v>859</v>
      </c>
      <c r="C12" s="55" t="s">
        <v>844</v>
      </c>
      <c r="D12" s="56" t="s">
        <v>860</v>
      </c>
      <c r="E12" s="57">
        <v>1.125</v>
      </c>
      <c r="F12"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12" s="59">
        <f>IF(tblCalibracao[[#This Row],[Placar]]="","",VALUE(_xlfn.TEXTBEFORE(tblCalibracao[[#This Row],[Placar]]," x "))+VALUE(_xlfn.TEXTAFTER(tblCalibracao[[#This Row],[Placar]]," x ")))</f>
        <v>0</v>
      </c>
      <c r="H12" s="57">
        <v>2</v>
      </c>
      <c r="I12" s="57">
        <f>IF(tblCalibracao[[#This Row],[Gols]]="","",IF(tblCalibracao[[#This Row],[Gols]]&lt;1,0,MIN(3,tblCalibracao[[#This Row],[Gols]]-0.5)))</f>
        <v>0</v>
      </c>
      <c r="J12" s="57"/>
      <c r="K12"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12" s="57" t="s">
        <v>876</v>
      </c>
      <c r="M12" s="57">
        <f>IF(OR(tblCalibracao[[#This Row],[Usada]]="",tblCalibracao[[#This Row],[Melhor G]]=""),"",MAX(0,tblCalibracao[[#This Row],[Melhor G]]-tblCalibracao[[#This Row],[Usada]]))</f>
        <v>0</v>
      </c>
      <c r="N12"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R</v>
      </c>
      <c r="O12"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R</v>
      </c>
      <c r="P12"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R</v>
      </c>
      <c r="Q12"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R</v>
      </c>
      <c r="R12"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12"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12"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12" s="71"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12"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12"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12"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12" s="56"/>
    </row>
    <row r="13" spans="1:25" ht="15" customHeight="1" thickTop="1" thickBot="1" x14ac:dyDescent="0.35">
      <c r="A13" s="54">
        <v>46239</v>
      </c>
      <c r="B13" s="55" t="s">
        <v>861</v>
      </c>
      <c r="C13" s="55" t="s">
        <v>844</v>
      </c>
      <c r="D13" s="56" t="s">
        <v>854</v>
      </c>
      <c r="E13" s="57">
        <v>1.1299999999999999</v>
      </c>
      <c r="F13"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6.4999999999999947E-2</v>
      </c>
      <c r="G13" s="59">
        <f>IF(tblCalibracao[[#This Row],[Placar]]="","",VALUE(_xlfn.TEXTBEFORE(tblCalibracao[[#This Row],[Placar]]," x "))+VALUE(_xlfn.TEXTAFTER(tblCalibracao[[#This Row],[Placar]]," x ")))</f>
        <v>3</v>
      </c>
      <c r="H13" s="57">
        <v>2</v>
      </c>
      <c r="I13" s="57">
        <f>IF(tblCalibracao[[#This Row],[Gols]]="","",IF(tblCalibracao[[#This Row],[Gols]]&lt;1,0,MIN(3,tblCalibracao[[#This Row],[Gols]]-0.5)))</f>
        <v>2.5</v>
      </c>
      <c r="J13" s="57">
        <v>1.29</v>
      </c>
      <c r="K13"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0.14500000000000002</v>
      </c>
      <c r="L13" s="57" t="s">
        <v>876</v>
      </c>
      <c r="M13" s="57">
        <f>IF(OR(tblCalibracao[[#This Row],[Usada]]="",tblCalibracao[[#This Row],[Melhor G]]=""),"",MAX(0,tblCalibracao[[#This Row],[Melhor G]]-tblCalibracao[[#This Row],[Usada]]))</f>
        <v>0.5</v>
      </c>
      <c r="N13"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3"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3"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3"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3"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3"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3"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3" s="75"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3"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3"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13"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13" s="56"/>
    </row>
    <row r="14" spans="1:25" ht="15" customHeight="1" thickTop="1" thickBot="1" x14ac:dyDescent="0.35">
      <c r="A14" s="54">
        <v>46239</v>
      </c>
      <c r="B14" s="55" t="s">
        <v>862</v>
      </c>
      <c r="C14" s="55" t="s">
        <v>844</v>
      </c>
      <c r="D14" s="56" t="s">
        <v>803</v>
      </c>
      <c r="E14" s="57">
        <v>1.2250000000000001</v>
      </c>
      <c r="F14"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0.11250000000000004</v>
      </c>
      <c r="G14" s="59">
        <f>IF(tblCalibracao[[#This Row],[Placar]]="","",VALUE(_xlfn.TEXTBEFORE(tblCalibracao[[#This Row],[Placar]]," x "))+VALUE(_xlfn.TEXTAFTER(tblCalibracao[[#This Row],[Placar]]," x ")))</f>
        <v>4</v>
      </c>
      <c r="H14" s="57">
        <v>2.25</v>
      </c>
      <c r="I14" s="57">
        <f>IF(tblCalibracao[[#This Row],[Gols]]="","",IF(tblCalibracao[[#This Row],[Gols]]&lt;1,0,MIN(3,tblCalibracao[[#This Row],[Gols]]-0.5)))</f>
        <v>3</v>
      </c>
      <c r="J14" s="57">
        <v>1.48</v>
      </c>
      <c r="K14"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0.24</v>
      </c>
      <c r="L14" s="57" t="s">
        <v>876</v>
      </c>
      <c r="M14" s="57">
        <f>IF(OR(tblCalibracao[[#This Row],[Usada]]="",tblCalibracao[[#This Row],[Melhor G]]=""),"",MAX(0,tblCalibracao[[#This Row],[Melhor G]]-tblCalibracao[[#This Row],[Usada]]))</f>
        <v>0.75</v>
      </c>
      <c r="N14"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4"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4"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4"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4"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4"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4" s="72"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4"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4" s="68"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4"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14"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14" s="56"/>
    </row>
    <row r="15" spans="1:25" ht="15" customHeight="1" thickTop="1" thickBot="1" x14ac:dyDescent="0.35">
      <c r="A15" s="54">
        <v>46239</v>
      </c>
      <c r="B15" s="55" t="s">
        <v>863</v>
      </c>
      <c r="C15" s="55" t="s">
        <v>844</v>
      </c>
      <c r="D15" s="56" t="s">
        <v>802</v>
      </c>
      <c r="E15" s="57">
        <v>1.1200000000000001</v>
      </c>
      <c r="F15"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6.0000000000000053E-2</v>
      </c>
      <c r="G15" s="59">
        <f>IF(tblCalibracao[[#This Row],[Placar]]="","",VALUE(_xlfn.TEXTBEFORE(tblCalibracao[[#This Row],[Placar]]," x "))+VALUE(_xlfn.TEXTAFTER(tblCalibracao[[#This Row],[Placar]]," x ")))</f>
        <v>6</v>
      </c>
      <c r="H15" s="57">
        <v>1.75</v>
      </c>
      <c r="I15" s="57">
        <f>IF(tblCalibracao[[#This Row],[Gols]]="","",IF(tblCalibracao[[#This Row],[Gols]]&lt;1,0,MIN(3,tblCalibracao[[#This Row],[Gols]]-0.5)))</f>
        <v>3</v>
      </c>
      <c r="J15" s="57">
        <v>1.5</v>
      </c>
      <c r="K15"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0.25</v>
      </c>
      <c r="L15" s="57" t="s">
        <v>876</v>
      </c>
      <c r="M15" s="57">
        <f>IF(OR(tblCalibracao[[#This Row],[Usada]]="",tblCalibracao[[#This Row],[Melhor G]]=""),"",MAX(0,tblCalibracao[[#This Row],[Melhor G]]-tblCalibracao[[#This Row],[Usada]]))</f>
        <v>1.25</v>
      </c>
      <c r="N15"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5"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5"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5"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5" s="67"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5" s="44"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5" s="68"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5" s="70"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5"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5"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15"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15" s="56"/>
    </row>
    <row r="16" spans="1:25" ht="15" customHeight="1" thickTop="1" thickBot="1" x14ac:dyDescent="0.35">
      <c r="A16" s="54">
        <v>46238</v>
      </c>
      <c r="B16" s="55" t="s">
        <v>864</v>
      </c>
      <c r="C16" s="55" t="s">
        <v>853</v>
      </c>
      <c r="D16" s="56" t="s">
        <v>858</v>
      </c>
      <c r="E16" s="57">
        <v>1.115</v>
      </c>
      <c r="F16"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5.7499999999999996E-2</v>
      </c>
      <c r="G16" s="59">
        <f>IF(tblCalibracao[[#This Row],[Placar]]="","",VALUE(_xlfn.TEXTBEFORE(tblCalibracao[[#This Row],[Placar]]," x "))+VALUE(_xlfn.TEXTAFTER(tblCalibracao[[#This Row],[Placar]]," x ")))</f>
        <v>3</v>
      </c>
      <c r="H16" s="57">
        <v>1.5</v>
      </c>
      <c r="I16" s="57">
        <f>IF(tblCalibracao[[#This Row],[Gols]]="","",IF(tblCalibracao[[#This Row],[Gols]]&lt;1,0,MIN(3,tblCalibracao[[#This Row],[Gols]]-0.5)))</f>
        <v>2.5</v>
      </c>
      <c r="J16" s="57">
        <v>1.44</v>
      </c>
      <c r="K16" s="58">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0.21999999999999997</v>
      </c>
      <c r="L16" s="57" t="s">
        <v>876</v>
      </c>
      <c r="M16" s="57">
        <f>IF(OR(tblCalibracao[[#This Row],[Usada]]="",tblCalibracao[[#This Row],[Melhor G]]=""),"",MAX(0,tblCalibracao[[#This Row],[Melhor G]]-tblCalibracao[[#This Row],[Usada]]))</f>
        <v>1</v>
      </c>
      <c r="N16"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6"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6"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6" s="6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6" s="4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6" s="71"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6" s="63"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6"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6"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6"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16"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16" s="56"/>
    </row>
    <row r="17" spans="1:25" ht="15" customHeight="1" thickTop="1" thickBot="1" x14ac:dyDescent="0.35">
      <c r="A17" s="54">
        <v>46238</v>
      </c>
      <c r="B17" s="55" t="s">
        <v>865</v>
      </c>
      <c r="C17" s="55" t="s">
        <v>4290</v>
      </c>
      <c r="D17" s="56" t="s">
        <v>866</v>
      </c>
      <c r="E17" s="57">
        <v>1.1299999999999999</v>
      </c>
      <c r="F17"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17" s="59">
        <f>IF(tblCalibracao[[#This Row],[Placar]]="","",VALUE(_xlfn.TEXTBEFORE(tblCalibracao[[#This Row],[Placar]]," x "))+VALUE(_xlfn.TEXTAFTER(tblCalibracao[[#This Row],[Placar]]," x ")))</f>
        <v>1</v>
      </c>
      <c r="H17" s="57">
        <v>2</v>
      </c>
      <c r="I17" s="57">
        <f>IF(tblCalibracao[[#This Row],[Gols]]="","",IF(tblCalibracao[[#This Row],[Gols]]&lt;1,0,MIN(3,tblCalibracao[[#This Row],[Gols]]-0.5)))</f>
        <v>0.5</v>
      </c>
      <c r="J17" s="57"/>
      <c r="K17"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17" s="57" t="s">
        <v>878</v>
      </c>
      <c r="M17" s="57">
        <f>IF(OR(tblCalibracao[[#This Row],[Usada]]="",tblCalibracao[[#This Row],[Melhor G]]=""),"",MAX(0,tblCalibracao[[#This Row],[Melhor G]]-tblCalibracao[[#This Row],[Usada]]))</f>
        <v>0</v>
      </c>
      <c r="N17"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7"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17"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17"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17" s="70"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17"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17"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17" s="68"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17"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17"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17"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17" s="56"/>
    </row>
    <row r="18" spans="1:25" ht="15" customHeight="1" thickTop="1" thickBot="1" x14ac:dyDescent="0.35">
      <c r="A18" s="54">
        <v>46238</v>
      </c>
      <c r="B18" s="55" t="s">
        <v>879</v>
      </c>
      <c r="C18" s="55" t="s">
        <v>853</v>
      </c>
      <c r="D18" s="56" t="s">
        <v>880</v>
      </c>
      <c r="E18" s="57">
        <v>1.125</v>
      </c>
      <c r="F18"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6.25E-2</v>
      </c>
      <c r="G18" s="59">
        <f>IF(tblCalibracao[[#This Row],[Placar]]="","",VALUE(_xlfn.TEXTBEFORE(tblCalibracao[[#This Row],[Placar]]," x "))+VALUE(_xlfn.TEXTAFTER(tblCalibracao[[#This Row],[Placar]]," x ")))</f>
        <v>5</v>
      </c>
      <c r="H18" s="57">
        <v>2</v>
      </c>
      <c r="I18" s="57">
        <f>IF(tblCalibracao[[#This Row],[Gols]]="","",IF(tblCalibracao[[#This Row],[Gols]]&lt;1,0,MIN(3,tblCalibracao[[#This Row],[Gols]]-0.5)))</f>
        <v>3</v>
      </c>
      <c r="J18" s="57"/>
      <c r="K18"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18" s="57" t="s">
        <v>878</v>
      </c>
      <c r="M18" s="57">
        <f>IF(OR(tblCalibracao[[#This Row],[Usada]]="",tblCalibracao[[#This Row],[Melhor G]]=""),"",MAX(0,tblCalibracao[[#This Row],[Melhor G]]-tblCalibracao[[#This Row],[Usada]]))</f>
        <v>1</v>
      </c>
      <c r="N18"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8"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8"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8"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8"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8"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8"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8" s="68"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8"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8"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18"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18" s="56"/>
    </row>
    <row r="19" spans="1:25" ht="15" customHeight="1" thickTop="1" thickBot="1" x14ac:dyDescent="0.35">
      <c r="A19" s="54">
        <v>46238</v>
      </c>
      <c r="B19" s="55" t="s">
        <v>881</v>
      </c>
      <c r="C19" s="55" t="s">
        <v>882</v>
      </c>
      <c r="D19" s="56" t="s">
        <v>883</v>
      </c>
      <c r="E19" s="57">
        <v>1.1399999999999999</v>
      </c>
      <c r="F19"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6.9999999999999951E-2</v>
      </c>
      <c r="G19" s="59">
        <f>IF(tblCalibracao[[#This Row],[Placar]]="","",VALUE(_xlfn.TEXTBEFORE(tblCalibracao[[#This Row],[Placar]]," x "))+VALUE(_xlfn.TEXTAFTER(tblCalibracao[[#This Row],[Placar]]," x ")))</f>
        <v>7</v>
      </c>
      <c r="H19" s="57">
        <v>2.5</v>
      </c>
      <c r="I19" s="57">
        <f>IF(tblCalibracao[[#This Row],[Gols]]="","",IF(tblCalibracao[[#This Row],[Gols]]&lt;1,0,MIN(3,tblCalibracao[[#This Row],[Gols]]-0.5)))</f>
        <v>3</v>
      </c>
      <c r="J19" s="57"/>
      <c r="K19"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19" s="57" t="s">
        <v>878</v>
      </c>
      <c r="M19" s="57">
        <f>IF(OR(tblCalibracao[[#This Row],[Usada]]="",tblCalibracao[[#This Row],[Melhor G]]=""),"",MAX(0,tblCalibracao[[#This Row],[Melhor G]]-tblCalibracao[[#This Row],[Usada]]))</f>
        <v>0.5</v>
      </c>
      <c r="N19"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19"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19"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19"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19"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19"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19" s="70"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19" s="60"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19" s="44"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19" s="68"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19"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19" s="56"/>
    </row>
    <row r="20" spans="1:25" ht="15" customHeight="1" thickTop="1" thickBot="1" x14ac:dyDescent="0.35">
      <c r="A20" s="54">
        <v>46237</v>
      </c>
      <c r="B20" s="55" t="s">
        <v>932</v>
      </c>
      <c r="C20" s="55" t="s">
        <v>4055</v>
      </c>
      <c r="D20" s="56" t="s">
        <v>854</v>
      </c>
      <c r="E20" s="57">
        <v>1.18</v>
      </c>
      <c r="F20"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8.9999999999999969E-2</v>
      </c>
      <c r="G20" s="59">
        <f>IF(tblCalibracao[[#This Row],[Placar]]="","",VALUE(_xlfn.TEXTBEFORE(tblCalibracao[[#This Row],[Placar]]," x "))+VALUE(_xlfn.TEXTAFTER(tblCalibracao[[#This Row],[Placar]]," x ")))</f>
        <v>3</v>
      </c>
      <c r="H20" s="57">
        <v>1.25</v>
      </c>
      <c r="I20" s="57">
        <f>IF(tblCalibracao[[#This Row],[Gols]]="","",IF(tblCalibracao[[#This Row],[Gols]]&lt;1,0,MIN(3,tblCalibracao[[#This Row],[Gols]]-0.5)))</f>
        <v>2.5</v>
      </c>
      <c r="J20" s="57"/>
      <c r="K20"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0" s="57" t="s">
        <v>878</v>
      </c>
      <c r="M20" s="57">
        <f>IF(OR(tblCalibracao[[#This Row],[Usada]]="",tblCalibracao[[#This Row],[Melhor G]]=""),"",MAX(0,tblCalibracao[[#This Row],[Melhor G]]-tblCalibracao[[#This Row],[Usada]]))</f>
        <v>1.25</v>
      </c>
      <c r="N20"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0"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0" s="67"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0" s="44"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0" s="68"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0"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20"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20"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20" s="70"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20"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20"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20" s="56"/>
    </row>
    <row r="21" spans="1:25" ht="15" customHeight="1" thickTop="1" thickBot="1" x14ac:dyDescent="0.35">
      <c r="A21" s="54">
        <v>46237</v>
      </c>
      <c r="B21" s="55" t="s">
        <v>935</v>
      </c>
      <c r="C21" s="55" t="s">
        <v>936</v>
      </c>
      <c r="D21" s="56" t="s">
        <v>937</v>
      </c>
      <c r="E21" s="57">
        <v>1.1000000000000001</v>
      </c>
      <c r="F21"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5.0000000000000044E-2</v>
      </c>
      <c r="G21" s="59">
        <f>IF(tblCalibracao[[#This Row],[Placar]]="","",VALUE(_xlfn.TEXTBEFORE(tblCalibracao[[#This Row],[Placar]]," x "))+VALUE(_xlfn.TEXTAFTER(tblCalibracao[[#This Row],[Placar]]," x ")))</f>
        <v>5</v>
      </c>
      <c r="H21" s="57">
        <v>1</v>
      </c>
      <c r="I21" s="57">
        <f>IF(tblCalibracao[[#This Row],[Gols]]="","",IF(tblCalibracao[[#This Row],[Gols]]&lt;1,0,MIN(3,tblCalibracao[[#This Row],[Gols]]-0.5)))</f>
        <v>3</v>
      </c>
      <c r="J21" s="57"/>
      <c r="K21"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1" s="57" t="s">
        <v>878</v>
      </c>
      <c r="M21" s="57">
        <f>IF(OR(tblCalibracao[[#This Row],[Usada]]="",tblCalibracao[[#This Row],[Melhor G]]=""),"",MAX(0,tblCalibracao[[#This Row],[Melhor G]]-tblCalibracao[[#This Row],[Usada]]))</f>
        <v>2</v>
      </c>
      <c r="N21"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1" s="60"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1" s="44"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1" s="71"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1"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1"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21"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21"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21"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21"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21"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21" s="56"/>
    </row>
    <row r="22" spans="1:25" ht="15" customHeight="1" thickTop="1" thickBot="1" x14ac:dyDescent="0.35">
      <c r="A22" s="54">
        <v>46237</v>
      </c>
      <c r="B22" s="55" t="s">
        <v>942</v>
      </c>
      <c r="C22" s="55" t="s">
        <v>4290</v>
      </c>
      <c r="D22" s="56" t="s">
        <v>856</v>
      </c>
      <c r="E22" s="57">
        <v>1.2749999999999999</v>
      </c>
      <c r="F22"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0.13749999999999996</v>
      </c>
      <c r="G22" s="59">
        <f>IF(tblCalibracao[[#This Row],[Placar]]="","",VALUE(_xlfn.TEXTBEFORE(tblCalibracao[[#This Row],[Placar]]," x "))+VALUE(_xlfn.TEXTAFTER(tblCalibracao[[#This Row],[Placar]]," x ")))</f>
        <v>5</v>
      </c>
      <c r="H22" s="57">
        <v>2.5</v>
      </c>
      <c r="I22" s="57">
        <f>IF(tblCalibracao[[#This Row],[Gols]]="","",IF(tblCalibracao[[#This Row],[Gols]]&lt;1,0,MIN(3,tblCalibracao[[#This Row],[Gols]]-0.5)))</f>
        <v>3</v>
      </c>
      <c r="J22" s="57"/>
      <c r="K22"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2" s="57" t="s">
        <v>878</v>
      </c>
      <c r="M22" s="57">
        <f>IF(OR(tblCalibracao[[#This Row],[Usada]]="",tblCalibracao[[#This Row],[Melhor G]]=""),"",MAX(0,tblCalibracao[[#This Row],[Melhor G]]-tblCalibracao[[#This Row],[Usada]]))</f>
        <v>0.5</v>
      </c>
      <c r="N22"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2"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2" s="70"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2"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2" s="63"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2"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22"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22" s="60"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22" s="44"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22" s="68"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22"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22" s="56"/>
    </row>
    <row r="23" spans="1:25" ht="15" customHeight="1" thickTop="1" thickBot="1" x14ac:dyDescent="0.35">
      <c r="A23" s="54">
        <v>46241</v>
      </c>
      <c r="B23" s="55" t="s">
        <v>943</v>
      </c>
      <c r="C23" s="55" t="s">
        <v>944</v>
      </c>
      <c r="D23" s="56" t="s">
        <v>945</v>
      </c>
      <c r="E23" s="57">
        <v>1.2749999999999999</v>
      </c>
      <c r="F23" s="58">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0.13749999999999996</v>
      </c>
      <c r="G23" s="56">
        <v>2</v>
      </c>
      <c r="H23" s="57">
        <v>1.5</v>
      </c>
      <c r="I23" s="57">
        <f>IF(tblCalibracao[[#This Row],[Gols]]="","",IF(tblCalibracao[[#This Row],[Gols]]&lt;1,0,MIN(3,tblCalibracao[[#This Row],[Gols]]-0.5)))</f>
        <v>1.5</v>
      </c>
      <c r="J23" s="57"/>
      <c r="K23" s="58"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3" s="57" t="s">
        <v>878</v>
      </c>
      <c r="M23" s="57">
        <f>IF(OR(tblCalibracao[[#This Row],[Usada]]="",tblCalibracao[[#This Row],[Melhor G]]=""),"",MAX(0,tblCalibracao[[#This Row],[Melhor G]]-tblCalibracao[[#This Row],[Usada]]))</f>
        <v>0</v>
      </c>
      <c r="N23"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3"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3"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3" s="6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3" s="4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3" s="68"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23"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23" s="63"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23" s="70"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23"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23"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23" s="56"/>
    </row>
    <row r="24" spans="1:25" ht="15" customHeight="1" thickTop="1" thickBot="1" x14ac:dyDescent="0.35">
      <c r="A24" s="61">
        <v>46241</v>
      </c>
      <c r="B24" s="62" t="s">
        <v>948</v>
      </c>
      <c r="C24" s="62" t="s">
        <v>4291</v>
      </c>
      <c r="D24" s="63" t="s">
        <v>880</v>
      </c>
      <c r="E24" s="64">
        <v>1.25</v>
      </c>
      <c r="F24"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0.125</v>
      </c>
      <c r="G24" s="63">
        <v>5</v>
      </c>
      <c r="H24" s="64">
        <v>2.25</v>
      </c>
      <c r="I24" s="64">
        <f>IF(tblCalibracao[[#This Row],[Gols]]="","",IF(tblCalibracao[[#This Row],[Gols]]&lt;1,0,MIN(3,tblCalibracao[[#This Row],[Gols]]-0.5)))</f>
        <v>3</v>
      </c>
      <c r="J24" s="64"/>
      <c r="K24"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4" s="64" t="s">
        <v>878</v>
      </c>
      <c r="M24" s="64">
        <f>IF(OR(tblCalibracao[[#This Row],[Usada]]="",tblCalibracao[[#This Row],[Melhor G]]=""),"",MAX(0,tblCalibracao[[#This Row],[Melhor G]]-tblCalibracao[[#This Row],[Usada]]))</f>
        <v>0.75</v>
      </c>
      <c r="N24"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4"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4"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4"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4" s="7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4"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24" s="67"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24"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24" s="75"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24"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24"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24" s="56"/>
    </row>
    <row r="25" spans="1:25" ht="15" customHeight="1" thickTop="1" thickBot="1" x14ac:dyDescent="0.35">
      <c r="A25" s="61">
        <v>46241</v>
      </c>
      <c r="B25" s="62" t="s">
        <v>953</v>
      </c>
      <c r="C25" s="62" t="s">
        <v>954</v>
      </c>
      <c r="D25" s="63" t="s">
        <v>866</v>
      </c>
      <c r="E25" s="64">
        <v>1.26</v>
      </c>
      <c r="F25"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25" s="63">
        <v>1</v>
      </c>
      <c r="H25" s="64">
        <v>1.5</v>
      </c>
      <c r="I25" s="64">
        <f>IF(tblCalibracao[[#This Row],[Gols]]="","",IF(tblCalibracao[[#This Row],[Gols]]&lt;1,0,MIN(3,tblCalibracao[[#This Row],[Gols]]-0.5)))</f>
        <v>0.5</v>
      </c>
      <c r="J25" s="64"/>
      <c r="K25"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5" s="64" t="s">
        <v>878</v>
      </c>
      <c r="M25" s="64">
        <f>IF(OR(tblCalibracao[[#This Row],[Usada]]="",tblCalibracao[[#This Row],[Melhor G]]=""),"",MAX(0,tblCalibracao[[#This Row],[Melhor G]]-tblCalibracao[[#This Row],[Usada]]))</f>
        <v>0</v>
      </c>
      <c r="N25"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5"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25"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25" s="67"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25" s="4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25" s="75"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25" s="63"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25" s="6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25"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25"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25"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25" s="56"/>
    </row>
    <row r="26" spans="1:25" ht="15" customHeight="1" thickTop="1" thickBot="1" x14ac:dyDescent="0.35">
      <c r="A26" s="61">
        <v>46241</v>
      </c>
      <c r="B26" s="62" t="s">
        <v>959</v>
      </c>
      <c r="C26" s="62" t="s">
        <v>960</v>
      </c>
      <c r="D26" s="63" t="s">
        <v>945</v>
      </c>
      <c r="E26" s="64">
        <v>1.24</v>
      </c>
      <c r="F26"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-0.25</v>
      </c>
      <c r="G26" s="63">
        <v>2</v>
      </c>
      <c r="H26" s="64">
        <v>2.25</v>
      </c>
      <c r="I26" s="64">
        <f>IF(tblCalibracao[[#This Row],[Gols]]="","",IF(tblCalibracao[[#This Row],[Gols]]&lt;1,0,MIN(3,tblCalibracao[[#This Row],[Gols]]-0.5)))</f>
        <v>1.5</v>
      </c>
      <c r="J26" s="64"/>
      <c r="K26"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6" s="64" t="s">
        <v>878</v>
      </c>
      <c r="M26" s="64">
        <f>IF(OR(tblCalibracao[[#This Row],[Usada]]="",tblCalibracao[[#This Row],[Melhor G]]=""),"",MAX(0,tblCalibracao[[#This Row],[Melhor G]]-tblCalibracao[[#This Row],[Usada]]))</f>
        <v>0</v>
      </c>
      <c r="N26"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6"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6"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6"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6"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6"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26" s="67"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26"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26" s="75"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26"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26"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26" s="56"/>
    </row>
    <row r="27" spans="1:25" ht="15" customHeight="1" thickTop="1" thickBot="1" x14ac:dyDescent="0.35">
      <c r="A27" s="61">
        <v>46241</v>
      </c>
      <c r="B27" s="62" t="s">
        <v>965</v>
      </c>
      <c r="C27" s="62" t="s">
        <v>966</v>
      </c>
      <c r="D27" s="63" t="s">
        <v>854</v>
      </c>
      <c r="E27" s="64">
        <v>1.23</v>
      </c>
      <c r="F27"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0.11499999999999999</v>
      </c>
      <c r="G27" s="63">
        <v>3</v>
      </c>
      <c r="H27" s="64">
        <v>2</v>
      </c>
      <c r="I27" s="64">
        <f>IF(tblCalibracao[[#This Row],[Gols]]="","",IF(tblCalibracao[[#This Row],[Gols]]&lt;1,0,MIN(3,tblCalibracao[[#This Row],[Gols]]-0.5)))</f>
        <v>2.5</v>
      </c>
      <c r="J27" s="64"/>
      <c r="K27"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7" s="64" t="s">
        <v>878</v>
      </c>
      <c r="M27" s="64">
        <f>IF(OR(tblCalibracao[[#This Row],[Usada]]="",tblCalibracao[[#This Row],[Melhor G]]=""),"",MAX(0,tblCalibracao[[#This Row],[Melhor G]]-tblCalibracao[[#This Row],[Usada]]))</f>
        <v>0.5</v>
      </c>
      <c r="N27"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7"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7"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7"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7"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7" s="67"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27"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27" s="7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27"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27"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27"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27" s="56"/>
    </row>
    <row r="28" spans="1:25" ht="15" customHeight="1" thickTop="1" thickBot="1" x14ac:dyDescent="0.35">
      <c r="A28" s="61">
        <v>46241</v>
      </c>
      <c r="B28" s="62" t="s">
        <v>972</v>
      </c>
      <c r="C28" s="62" t="s">
        <v>973</v>
      </c>
      <c r="D28" s="63" t="s">
        <v>974</v>
      </c>
      <c r="E28" s="64">
        <v>1.25</v>
      </c>
      <c r="F28"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0.125</v>
      </c>
      <c r="G28" s="63">
        <v>7</v>
      </c>
      <c r="H28" s="64">
        <v>2.25</v>
      </c>
      <c r="I28" s="64">
        <f>IF(tblCalibracao[[#This Row],[Gols]]="","",IF(tblCalibracao[[#This Row],[Gols]]&lt;1,0,MIN(3,tblCalibracao[[#This Row],[Gols]]-0.5)))</f>
        <v>3</v>
      </c>
      <c r="J28" s="64"/>
      <c r="K28"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8" s="64" t="s">
        <v>878</v>
      </c>
      <c r="M28" s="64">
        <f>IF(OR(tblCalibracao[[#This Row],[Usada]]="",tblCalibracao[[#This Row],[Melhor G]]=""),"",MAX(0,tblCalibracao[[#This Row],[Melhor G]]-tblCalibracao[[#This Row],[Usada]]))</f>
        <v>0.75</v>
      </c>
      <c r="N28"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8"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28"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28"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28"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28"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28" s="78"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28"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28" s="75"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28"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28"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28" s="56"/>
    </row>
    <row r="29" spans="1:25" ht="15" customHeight="1" thickTop="1" thickBot="1" x14ac:dyDescent="0.35">
      <c r="A29" s="61">
        <v>46241</v>
      </c>
      <c r="B29" s="62" t="s">
        <v>979</v>
      </c>
      <c r="C29" s="62" t="s">
        <v>973</v>
      </c>
      <c r="D29" s="63" t="s">
        <v>799</v>
      </c>
      <c r="E29" s="64">
        <v>1.175</v>
      </c>
      <c r="F29"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29" s="63">
        <v>1</v>
      </c>
      <c r="H29" s="64">
        <v>2</v>
      </c>
      <c r="I29" s="64">
        <f>IF(tblCalibracao[[#This Row],[Gols]]="","",IF(tblCalibracao[[#This Row],[Gols]]&lt;1,0,MIN(3,tblCalibracao[[#This Row],[Gols]]-0.5)))</f>
        <v>0.5</v>
      </c>
      <c r="J29" s="64"/>
      <c r="K29"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29" s="64" t="s">
        <v>878</v>
      </c>
      <c r="M29" s="64">
        <f>IF(OR(tblCalibracao[[#This Row],[Usada]]="",tblCalibracao[[#This Row],[Melhor G]]=""),"",MAX(0,tblCalibracao[[#This Row],[Melhor G]]-tblCalibracao[[#This Row],[Usada]]))</f>
        <v>0</v>
      </c>
      <c r="N29"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29"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29"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29"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29"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29" s="67"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29"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29" s="7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29"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29"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29"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29" s="56"/>
    </row>
    <row r="30" spans="1:25" ht="15" customHeight="1" thickTop="1" thickBot="1" x14ac:dyDescent="0.35">
      <c r="A30" s="61">
        <v>46237</v>
      </c>
      <c r="B30" s="62" t="s">
        <v>984</v>
      </c>
      <c r="C30" s="62" t="s">
        <v>966</v>
      </c>
      <c r="D30" s="63" t="s">
        <v>945</v>
      </c>
      <c r="E30" s="64">
        <v>1.24</v>
      </c>
      <c r="F30"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v>
      </c>
      <c r="G30" s="63">
        <v>2</v>
      </c>
      <c r="H30" s="64">
        <v>2</v>
      </c>
      <c r="I30" s="64">
        <f>IF(tblCalibracao[[#This Row],[Gols]]="","",IF(tblCalibracao[[#This Row],[Gols]]&lt;1,0,MIN(3,tblCalibracao[[#This Row],[Gols]]-0.5)))</f>
        <v>1.5</v>
      </c>
      <c r="J30" s="64"/>
      <c r="K30"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30" s="64" t="s">
        <v>878</v>
      </c>
      <c r="M30" s="64">
        <f>IF(OR(tblCalibracao[[#This Row],[Usada]]="",tblCalibracao[[#This Row],[Melhor G]]=""),"",MAX(0,tblCalibracao[[#This Row],[Melhor G]]-tblCalibracao[[#This Row],[Usada]]))</f>
        <v>0</v>
      </c>
      <c r="N30"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0"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0"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0"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0"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0" s="67"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30"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30" s="7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30"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30"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30"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30" s="56"/>
    </row>
    <row r="31" spans="1:25" ht="15" customHeight="1" thickTop="1" thickBot="1" x14ac:dyDescent="0.35">
      <c r="A31" s="61">
        <v>46237</v>
      </c>
      <c r="B31" s="62" t="s">
        <v>986</v>
      </c>
      <c r="C31" s="62" t="s">
        <v>987</v>
      </c>
      <c r="D31" s="63" t="s">
        <v>988</v>
      </c>
      <c r="E31" s="64">
        <v>1.23</v>
      </c>
      <c r="F31"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0.11499999999999999</v>
      </c>
      <c r="G31" s="63">
        <v>7</v>
      </c>
      <c r="H31" s="64">
        <v>2.5</v>
      </c>
      <c r="I31" s="64">
        <f>IF(tblCalibracao[[#This Row],[Gols]]="","",IF(tblCalibracao[[#This Row],[Gols]]&lt;1,0,MIN(3,tblCalibracao[[#This Row],[Gols]]-0.5)))</f>
        <v>3</v>
      </c>
      <c r="J31" s="64"/>
      <c r="K31"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31" s="64" t="s">
        <v>878</v>
      </c>
      <c r="M31" s="64">
        <f>IF(OR(tblCalibracao[[#This Row],[Usada]]="",tblCalibracao[[#This Row],[Melhor G]]=""),"",MAX(0,tblCalibracao[[#This Row],[Melhor G]]-tblCalibracao[[#This Row],[Usada]]))</f>
        <v>0.5</v>
      </c>
      <c r="N31"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1"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1"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1"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1"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1"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31" s="6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31" s="78"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31" s="44"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31" s="75"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31"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31" s="56"/>
    </row>
    <row r="32" spans="1:25" ht="15" customHeight="1" thickTop="1" thickBot="1" x14ac:dyDescent="0.35">
      <c r="A32" s="61">
        <v>46237</v>
      </c>
      <c r="B32" s="62" t="s">
        <v>993</v>
      </c>
      <c r="C32" s="62" t="s">
        <v>994</v>
      </c>
      <c r="D32" s="63" t="s">
        <v>858</v>
      </c>
      <c r="E32" s="64">
        <v>1.21</v>
      </c>
      <c r="F32"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0.10499999999999998</v>
      </c>
      <c r="G32" s="63">
        <v>3</v>
      </c>
      <c r="H32" s="64">
        <v>2</v>
      </c>
      <c r="I32" s="64">
        <f>IF(tblCalibracao[[#This Row],[Gols]]="","",IF(tblCalibracao[[#This Row],[Gols]]&lt;1,0,MIN(3,tblCalibracao[[#This Row],[Gols]]-0.5)))</f>
        <v>2.5</v>
      </c>
      <c r="J32" s="64"/>
      <c r="K32"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32" s="64" t="s">
        <v>878</v>
      </c>
      <c r="M32" s="64">
        <f>IF(OR(tblCalibracao[[#This Row],[Usada]]="",tblCalibracao[[#This Row],[Melhor G]]=""),"",MAX(0,tblCalibracao[[#This Row],[Melhor G]]-tblCalibracao[[#This Row],[Usada]]))</f>
        <v>0.5</v>
      </c>
      <c r="N32"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2"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2"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2"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2"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2" s="67"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32"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32" s="7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32" s="6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32"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32"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32" s="56"/>
    </row>
    <row r="33" spans="1:25" ht="15" customHeight="1" thickTop="1" thickBot="1" x14ac:dyDescent="0.35">
      <c r="A33" s="61">
        <v>46237</v>
      </c>
      <c r="B33" s="62" t="s">
        <v>999</v>
      </c>
      <c r="C33" s="62" t="s">
        <v>1000</v>
      </c>
      <c r="D33" s="63" t="s">
        <v>1001</v>
      </c>
      <c r="E33" s="64">
        <v>1.1299999999999999</v>
      </c>
      <c r="F33" s="6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6.4999999999999947E-2</v>
      </c>
      <c r="G33" s="63">
        <v>2</v>
      </c>
      <c r="H33" s="64">
        <v>1.5</v>
      </c>
      <c r="I33" s="64">
        <f>IF(tblCalibracao[[#This Row],[Gols]]="","",IF(tblCalibracao[[#This Row],[Gols]]&lt;1,0,MIN(3,tblCalibracao[[#This Row],[Gols]]-0.5)))</f>
        <v>1.5</v>
      </c>
      <c r="J33" s="64"/>
      <c r="K33"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33" s="64" t="s">
        <v>878</v>
      </c>
      <c r="M33" s="64">
        <f>IF(OR(tblCalibracao[[#This Row],[Usada]]="",tblCalibracao[[#This Row],[Melhor G]]=""),"",MAX(0,tblCalibracao[[#This Row],[Melhor G]]-tblCalibracao[[#This Row],[Usada]]))</f>
        <v>0</v>
      </c>
      <c r="N33"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3"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3"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3" s="67"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3" s="4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3" s="75"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33" s="6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33" s="6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33" s="6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33"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33"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33" s="56"/>
    </row>
    <row r="34" spans="1:25" ht="15" customHeight="1" thickTop="1" thickBot="1" x14ac:dyDescent="0.35">
      <c r="A34" s="61">
        <v>46241</v>
      </c>
      <c r="B34" s="62" t="s">
        <v>1446</v>
      </c>
      <c r="C34" s="62" t="s">
        <v>1332</v>
      </c>
      <c r="D34" s="63" t="s">
        <v>1447</v>
      </c>
      <c r="E34" s="94">
        <v>1.105</v>
      </c>
      <c r="F34"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5.2499999999999991E-2</v>
      </c>
      <c r="G34" s="63">
        <v>3</v>
      </c>
      <c r="H34" s="64">
        <v>1.5</v>
      </c>
      <c r="I34" s="64">
        <v>2</v>
      </c>
      <c r="J34" s="64"/>
      <c r="K34"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34" s="64" t="s">
        <v>878</v>
      </c>
      <c r="M34" s="64">
        <f>IF(OR(tblCalibracao[[#This Row],[Usada]]="",tblCalibracao[[#This Row],[Melhor G]]=""),"",MAX(0,tblCalibracao[[#This Row],[Melhor G]]-tblCalibracao[[#This Row],[Usada]]))</f>
        <v>0.5</v>
      </c>
      <c r="N34"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4"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4"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4" s="67"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4"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4" s="75"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34" s="6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34" s="6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34" s="6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34"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34"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34" s="96" t="s">
        <v>1448</v>
      </c>
    </row>
    <row r="35" spans="1:25" ht="15" customHeight="1" thickTop="1" thickBot="1" x14ac:dyDescent="0.35">
      <c r="A35" s="61">
        <v>46242</v>
      </c>
      <c r="B35" s="62" t="s">
        <v>1890</v>
      </c>
      <c r="C35" s="62" t="s">
        <v>1333</v>
      </c>
      <c r="D35" s="63" t="s">
        <v>854</v>
      </c>
      <c r="E35" s="94">
        <v>1.1299999999999999</v>
      </c>
      <c r="F35"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6.4999999999999947E-2</v>
      </c>
      <c r="G35" s="63">
        <v>3</v>
      </c>
      <c r="H35" s="64">
        <v>1</v>
      </c>
      <c r="I35" s="64">
        <v>1.5</v>
      </c>
      <c r="J35" s="64">
        <v>1.425</v>
      </c>
      <c r="K35"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0.21250000000000002</v>
      </c>
      <c r="L35" s="64" t="s">
        <v>878</v>
      </c>
      <c r="M35" s="162">
        <f>IF(OR(tblCalibracao[[#This Row],[Usada]]="",tblCalibracao[[#This Row],[Melhor G]]=""),"",MAX(0,tblCalibracao[[#This Row],[Melhor G]]-tblCalibracao[[#This Row],[Usada]]))</f>
        <v>0.5</v>
      </c>
      <c r="N35"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5" s="60"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5" s="45"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5" s="68"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5"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5"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35"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35"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35"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35"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35"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35" s="163" t="s">
        <v>1891</v>
      </c>
    </row>
    <row r="36" spans="1:25" ht="15" customHeight="1" thickTop="1" thickBot="1" x14ac:dyDescent="0.35">
      <c r="A36" s="61">
        <v>46242</v>
      </c>
      <c r="B36" s="62" t="s">
        <v>3055</v>
      </c>
      <c r="C36" s="62" t="s">
        <v>1334</v>
      </c>
      <c r="D36" s="63" t="s">
        <v>866</v>
      </c>
      <c r="E36" s="94">
        <v>1.105</v>
      </c>
      <c r="F36" s="95">
        <v>0.05</v>
      </c>
      <c r="G36" s="63">
        <v>1</v>
      </c>
      <c r="H36" s="64">
        <v>1</v>
      </c>
      <c r="I36" s="64">
        <v>1.5</v>
      </c>
      <c r="J36" s="64"/>
      <c r="K36"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36" s="64" t="s">
        <v>878</v>
      </c>
      <c r="M36" s="162">
        <f>IF(OR(tblCalibracao[[#This Row],[Usada]]="",tblCalibracao[[#This Row],[Melhor G]]=""),"",MAX(0,tblCalibracao[[#This Row],[Melhor G]]-tblCalibracao[[#This Row],[Usada]]))</f>
        <v>0.5</v>
      </c>
      <c r="N36"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6" s="60"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36" s="44"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36" s="68"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36"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36"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36"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36"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36"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36"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36"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36" s="163" t="s">
        <v>3056</v>
      </c>
    </row>
    <row r="37" spans="1:25" ht="15" customHeight="1" thickTop="1" thickBot="1" x14ac:dyDescent="0.35">
      <c r="A37" s="54">
        <v>46242</v>
      </c>
      <c r="B37" s="55" t="s">
        <v>3079</v>
      </c>
      <c r="C37" s="55" t="s">
        <v>851</v>
      </c>
      <c r="D37" s="56" t="s">
        <v>854</v>
      </c>
      <c r="E37" s="104">
        <v>1.1299999999999999</v>
      </c>
      <c r="F37"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6.4999999999999947E-2</v>
      </c>
      <c r="G37" s="56">
        <v>3</v>
      </c>
      <c r="H37" s="57">
        <v>2</v>
      </c>
      <c r="I37" s="104">
        <v>2.5</v>
      </c>
      <c r="J37" s="104">
        <v>1.25</v>
      </c>
      <c r="K37"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0.125</v>
      </c>
      <c r="L37" s="57" t="s">
        <v>878</v>
      </c>
      <c r="M37" s="57">
        <f>IF(OR(tblCalibracao[[#This Row],[Usada]]="",tblCalibracao[[#This Row],[Melhor G]]=""),"",MAX(0,tblCalibracao[[#This Row],[Melhor G]]-tblCalibracao[[#This Row],[Usada]]))</f>
        <v>0.5</v>
      </c>
      <c r="N37" s="70"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7" s="70"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7" s="70"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7" s="7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7" s="157"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7" s="72"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37" s="16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37" s="159"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37" s="157"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37" s="70"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37" s="72"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37" s="96" t="s">
        <v>3100</v>
      </c>
    </row>
    <row r="38" spans="1:25" ht="15" customHeight="1" thickTop="1" thickBot="1" x14ac:dyDescent="0.35">
      <c r="A38" s="54">
        <v>46242</v>
      </c>
      <c r="B38" s="55" t="s">
        <v>3080</v>
      </c>
      <c r="C38" s="55" t="s">
        <v>851</v>
      </c>
      <c r="D38" s="56" t="s">
        <v>1447</v>
      </c>
      <c r="E38" s="104">
        <v>1.125</v>
      </c>
      <c r="F38"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6.25E-2</v>
      </c>
      <c r="G38" s="56">
        <v>3</v>
      </c>
      <c r="H38" s="57">
        <v>2</v>
      </c>
      <c r="I38" s="104">
        <v>2</v>
      </c>
      <c r="J38" s="104">
        <v>1.125</v>
      </c>
      <c r="K38"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6.25E-2</v>
      </c>
      <c r="L38" s="57" t="s">
        <v>878</v>
      </c>
      <c r="M38" s="57">
        <f>IF(OR(tblCalibracao[[#This Row],[Usada]]="",tblCalibracao[[#This Row],[Melhor G]]=""),"",MAX(0,tblCalibracao[[#This Row],[Melhor G]]-tblCalibracao[[#This Row],[Usada]]))</f>
        <v>0</v>
      </c>
      <c r="N38"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8"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8"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8"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8"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8"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38"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38" s="1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38"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38"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38"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38" s="96" t="s">
        <v>3101</v>
      </c>
    </row>
    <row r="39" spans="1:25" ht="15" customHeight="1" thickTop="1" thickBot="1" x14ac:dyDescent="0.35">
      <c r="A39" s="54">
        <v>46242</v>
      </c>
      <c r="B39" s="55" t="s">
        <v>3081</v>
      </c>
      <c r="C39" s="55" t="s">
        <v>851</v>
      </c>
      <c r="D39" s="56" t="s">
        <v>3082</v>
      </c>
      <c r="E39" s="104">
        <v>1.1499999999999999</v>
      </c>
      <c r="F39"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v>
      </c>
      <c r="G39" s="56">
        <v>2</v>
      </c>
      <c r="H39" s="57">
        <v>2</v>
      </c>
      <c r="I39" s="104">
        <v>1.5</v>
      </c>
      <c r="J39" s="104">
        <v>1.115</v>
      </c>
      <c r="K39"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5.7499999999999996E-2</v>
      </c>
      <c r="L39" s="57" t="s">
        <v>878</v>
      </c>
      <c r="M39" s="57">
        <f>IF(OR(tblCalibracao[[#This Row],[Usada]]="",tblCalibracao[[#This Row],[Melhor G]]=""),"",MAX(0,tblCalibracao[[#This Row],[Melhor G]]-tblCalibracao[[#This Row],[Usada]]))</f>
        <v>0</v>
      </c>
      <c r="N39"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39"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39"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39"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39"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39"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39"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39" s="7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39"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39"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39"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39" s="96" t="s">
        <v>3102</v>
      </c>
    </row>
    <row r="40" spans="1:25" ht="15" customHeight="1" thickTop="1" thickBot="1" x14ac:dyDescent="0.35">
      <c r="A40" s="54">
        <v>46242</v>
      </c>
      <c r="B40" s="55" t="s">
        <v>3083</v>
      </c>
      <c r="C40" s="55" t="s">
        <v>851</v>
      </c>
      <c r="D40" s="56" t="s">
        <v>860</v>
      </c>
      <c r="E40" s="104">
        <v>1.3</v>
      </c>
      <c r="F40"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40" s="56">
        <v>0</v>
      </c>
      <c r="H40" s="57">
        <v>2.25</v>
      </c>
      <c r="I40" s="104"/>
      <c r="J40" s="104"/>
      <c r="K40" s="105"/>
      <c r="L40" s="57" t="s">
        <v>878</v>
      </c>
      <c r="M40" s="57" t="str">
        <f>IF(OR(tblCalibracao[[#This Row],[Usada]]="",tblCalibracao[[#This Row],[Melhor G]]=""),"",MAX(0,tblCalibracao[[#This Row],[Melhor G]]-tblCalibracao[[#This Row],[Usada]]))</f>
        <v/>
      </c>
      <c r="N40"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R</v>
      </c>
      <c r="O40"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R</v>
      </c>
      <c r="P40"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R</v>
      </c>
      <c r="Q40"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R</v>
      </c>
      <c r="R40"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40"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40" s="160"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40"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40" s="1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40"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40"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40" s="96" t="s">
        <v>3103</v>
      </c>
    </row>
    <row r="41" spans="1:25" ht="15" customHeight="1" thickTop="1" thickBot="1" x14ac:dyDescent="0.35">
      <c r="A41" s="54">
        <v>46242</v>
      </c>
      <c r="B41" s="55" t="s">
        <v>3084</v>
      </c>
      <c r="C41" s="55" t="s">
        <v>851</v>
      </c>
      <c r="D41" s="56" t="s">
        <v>803</v>
      </c>
      <c r="E41" s="104">
        <v>1.22</v>
      </c>
      <c r="F41"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0.10999999999999999</v>
      </c>
      <c r="G41" s="56">
        <v>4</v>
      </c>
      <c r="H41" s="57">
        <v>2</v>
      </c>
      <c r="I41" s="104">
        <v>2.25</v>
      </c>
      <c r="J41" s="104">
        <v>1.35</v>
      </c>
      <c r="K41"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0.17500000000000004</v>
      </c>
      <c r="L41" s="57" t="s">
        <v>878</v>
      </c>
      <c r="M41" s="57">
        <f>IF(OR(tblCalibracao[[#This Row],[Usada]]="",tblCalibracao[[#This Row],[Melhor G]]=""),"",MAX(0,tblCalibracao[[#This Row],[Melhor G]]-tblCalibracao[[#This Row],[Usada]]))</f>
        <v>0.25</v>
      </c>
      <c r="N41"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1"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1"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1"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1"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1"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1"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1" s="161"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1"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1"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41"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41" s="96" t="s">
        <v>3104</v>
      </c>
    </row>
    <row r="42" spans="1:25" ht="15" customHeight="1" thickTop="1" thickBot="1" x14ac:dyDescent="0.35">
      <c r="A42" s="54">
        <v>46242</v>
      </c>
      <c r="B42" s="55" t="s">
        <v>3085</v>
      </c>
      <c r="C42" s="55" t="s">
        <v>973</v>
      </c>
      <c r="D42" s="56" t="s">
        <v>945</v>
      </c>
      <c r="E42" s="104">
        <v>1.26</v>
      </c>
      <c r="F42"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-0.25</v>
      </c>
      <c r="G42" s="56">
        <v>2</v>
      </c>
      <c r="H42" s="57">
        <v>2.25</v>
      </c>
      <c r="I42" s="104">
        <v>1.75</v>
      </c>
      <c r="J42" s="104">
        <v>1.125</v>
      </c>
      <c r="K42"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3.125E-2</v>
      </c>
      <c r="L42" s="57" t="s">
        <v>878</v>
      </c>
      <c r="M42" s="57">
        <f>IF(OR(tblCalibracao[[#This Row],[Usada]]="",tblCalibracao[[#This Row],[Melhor G]]=""),"",MAX(0,tblCalibracao[[#This Row],[Melhor G]]-tblCalibracao[[#This Row],[Usada]]))</f>
        <v>0</v>
      </c>
      <c r="N42"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2"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2"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2"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2"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2"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42" s="160"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42"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42" s="1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42"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42"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42" s="96" t="s">
        <v>3105</v>
      </c>
    </row>
    <row r="43" spans="1:25" ht="15" customHeight="1" thickTop="1" thickBot="1" x14ac:dyDescent="0.35">
      <c r="A43" s="54">
        <v>46242</v>
      </c>
      <c r="B43" s="55" t="s">
        <v>3086</v>
      </c>
      <c r="C43" s="55" t="s">
        <v>1405</v>
      </c>
      <c r="D43" s="56" t="s">
        <v>3087</v>
      </c>
      <c r="E43" s="104">
        <v>1.1499999999999999</v>
      </c>
      <c r="F43"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7.4999999999999956E-2</v>
      </c>
      <c r="G43" s="56">
        <v>8</v>
      </c>
      <c r="H43" s="57">
        <v>2</v>
      </c>
      <c r="I43" s="104">
        <v>2</v>
      </c>
      <c r="J43" s="104">
        <v>1.1499999999999999</v>
      </c>
      <c r="K43"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7.4999999999999956E-2</v>
      </c>
      <c r="L43" s="57" t="s">
        <v>878</v>
      </c>
      <c r="M43" s="57">
        <f>IF(OR(tblCalibracao[[#This Row],[Usada]]="",tblCalibracao[[#This Row],[Melhor G]]=""),"",MAX(0,tblCalibracao[[#This Row],[Melhor G]]-tblCalibracao[[#This Row],[Usada]]))</f>
        <v>0</v>
      </c>
      <c r="N43"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3"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3"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3"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3"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3"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3"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3" s="159"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3"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3"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43"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43" s="96" t="s">
        <v>3106</v>
      </c>
    </row>
    <row r="44" spans="1:25" ht="15" customHeight="1" thickTop="1" thickBot="1" x14ac:dyDescent="0.35">
      <c r="A44" s="54">
        <v>46242</v>
      </c>
      <c r="B44" s="55" t="s">
        <v>3088</v>
      </c>
      <c r="C44" s="55" t="s">
        <v>882</v>
      </c>
      <c r="D44" s="56" t="s">
        <v>1447</v>
      </c>
      <c r="E44" s="104">
        <v>1.1100000000000001</v>
      </c>
      <c r="F44"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5.5000000000000049E-2</v>
      </c>
      <c r="G44" s="56">
        <v>3</v>
      </c>
      <c r="H44" s="57">
        <v>2</v>
      </c>
      <c r="I44" s="104">
        <v>2.5</v>
      </c>
      <c r="J44" s="104">
        <v>1.325</v>
      </c>
      <c r="K44"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0.16249999999999998</v>
      </c>
      <c r="L44" s="57" t="s">
        <v>878</v>
      </c>
      <c r="M44" s="57">
        <f>IF(OR(tblCalibracao[[#This Row],[Usada]]="",tblCalibracao[[#This Row],[Melhor G]]=""),"",MAX(0,tblCalibracao[[#This Row],[Melhor G]]-tblCalibracao[[#This Row],[Usada]]))</f>
        <v>0.5</v>
      </c>
      <c r="N44"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4"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4"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4"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4"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4"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4"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4" s="77"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4"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4"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44"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44" s="96" t="s">
        <v>3107</v>
      </c>
    </row>
    <row r="45" spans="1:25" ht="15" customHeight="1" thickTop="1" thickBot="1" x14ac:dyDescent="0.35">
      <c r="A45" s="54">
        <v>46242</v>
      </c>
      <c r="B45" s="55" t="s">
        <v>3089</v>
      </c>
      <c r="C45" s="55" t="s">
        <v>1336</v>
      </c>
      <c r="D45" s="56" t="s">
        <v>803</v>
      </c>
      <c r="E45" s="104">
        <v>1.19</v>
      </c>
      <c r="F45"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9.4999999999999973E-2</v>
      </c>
      <c r="G45" s="56">
        <v>4</v>
      </c>
      <c r="H45" s="57">
        <v>2.25</v>
      </c>
      <c r="I45" s="104">
        <v>2.75</v>
      </c>
      <c r="J45" s="104">
        <v>1.325</v>
      </c>
      <c r="K45"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0.16249999999999998</v>
      </c>
      <c r="L45" s="57" t="s">
        <v>878</v>
      </c>
      <c r="M45" s="57">
        <f>IF(OR(tblCalibracao[[#This Row],[Usada]]="",tblCalibracao[[#This Row],[Melhor G]]=""),"",MAX(0,tblCalibracao[[#This Row],[Melhor G]]-tblCalibracao[[#This Row],[Usada]]))</f>
        <v>0.5</v>
      </c>
      <c r="N45"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5"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5"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5"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5"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5"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5" s="160"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5"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5" s="1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5"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45"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45" s="96" t="s">
        <v>3108</v>
      </c>
    </row>
    <row r="46" spans="1:25" ht="15" customHeight="1" thickTop="1" thickBot="1" x14ac:dyDescent="0.35">
      <c r="A46" s="54">
        <v>46242</v>
      </c>
      <c r="B46" s="55" t="s">
        <v>3090</v>
      </c>
      <c r="C46" s="55" t="s">
        <v>882</v>
      </c>
      <c r="D46" s="56" t="s">
        <v>3082</v>
      </c>
      <c r="E46" s="104">
        <v>1.1499999999999999</v>
      </c>
      <c r="F46"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v>
      </c>
      <c r="G46" s="56">
        <v>2</v>
      </c>
      <c r="H46" s="57">
        <v>2</v>
      </c>
      <c r="I46" s="104">
        <v>1.5</v>
      </c>
      <c r="J46" s="104">
        <v>1.115</v>
      </c>
      <c r="K46"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5.7499999999999996E-2</v>
      </c>
      <c r="L46" s="57" t="s">
        <v>878</v>
      </c>
      <c r="M46" s="57">
        <f>IF(OR(tblCalibracao[[#This Row],[Usada]]="",tblCalibracao[[#This Row],[Melhor G]]=""),"",MAX(0,tblCalibracao[[#This Row],[Melhor G]]-tblCalibracao[[#This Row],[Usada]]))</f>
        <v>0</v>
      </c>
      <c r="N46"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6"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6"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6"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6"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6" s="60"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46" s="44"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46" s="161"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46"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46"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46"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46" s="96" t="s">
        <v>3102</v>
      </c>
    </row>
    <row r="47" spans="1:25" ht="15" customHeight="1" thickTop="1" thickBot="1" x14ac:dyDescent="0.35">
      <c r="A47" s="54">
        <v>46242</v>
      </c>
      <c r="B47" s="55" t="s">
        <v>3091</v>
      </c>
      <c r="C47" s="55" t="s">
        <v>845</v>
      </c>
      <c r="D47" s="56" t="s">
        <v>3092</v>
      </c>
      <c r="E47" s="104">
        <v>1.18</v>
      </c>
      <c r="F47"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8.9999999999999969E-2</v>
      </c>
      <c r="G47" s="56">
        <v>3</v>
      </c>
      <c r="H47" s="57">
        <v>2.25</v>
      </c>
      <c r="I47" s="104">
        <v>2.5</v>
      </c>
      <c r="J47" s="104">
        <v>1.2749999999999999</v>
      </c>
      <c r="K47"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0.13749999999999996</v>
      </c>
      <c r="L47" s="57" t="s">
        <v>878</v>
      </c>
      <c r="M47" s="57">
        <f>IF(OR(tblCalibracao[[#This Row],[Usada]]="",tblCalibracao[[#This Row],[Melhor G]]=""),"",MAX(0,tblCalibracao[[#This Row],[Melhor G]]-tblCalibracao[[#This Row],[Usada]]))</f>
        <v>0.25</v>
      </c>
      <c r="N47"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7"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7"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7"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7" s="10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7"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7" s="158"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7" s="44"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7" s="77"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7"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47"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47" s="96" t="s">
        <v>3109</v>
      </c>
    </row>
    <row r="48" spans="1:25" ht="15" customHeight="1" thickTop="1" thickBot="1" x14ac:dyDescent="0.35">
      <c r="A48" s="54">
        <v>46242</v>
      </c>
      <c r="B48" s="55" t="s">
        <v>3093</v>
      </c>
      <c r="C48" s="55" t="s">
        <v>845</v>
      </c>
      <c r="D48" s="56" t="s">
        <v>854</v>
      </c>
      <c r="E48" s="104">
        <v>1.2749999999999999</v>
      </c>
      <c r="F48"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0.13749999999999996</v>
      </c>
      <c r="G48" s="56">
        <v>3</v>
      </c>
      <c r="H48" s="57">
        <v>2.5</v>
      </c>
      <c r="I48" s="104">
        <v>2.5</v>
      </c>
      <c r="J48" s="104">
        <v>1.2749999999999999</v>
      </c>
      <c r="K48"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0.13749999999999996</v>
      </c>
      <c r="L48" s="57" t="s">
        <v>878</v>
      </c>
      <c r="M48" s="57">
        <f>IF(OR(tblCalibracao[[#This Row],[Usada]]="",tblCalibracao[[#This Row],[Melhor G]]=""),"",MAX(0,tblCalibracao[[#This Row],[Melhor G]]-tblCalibracao[[#This Row],[Usada]]))</f>
        <v>0</v>
      </c>
      <c r="N48"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8"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8"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8"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8" s="6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8"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8" s="10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8" s="158"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8" s="44"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8" s="68"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48"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48" s="96" t="s">
        <v>3110</v>
      </c>
    </row>
    <row r="49" spans="1:25" ht="15" customHeight="1" thickTop="1" thickBot="1" x14ac:dyDescent="0.35">
      <c r="A49" s="54">
        <v>46242</v>
      </c>
      <c r="B49" s="55" t="s">
        <v>3094</v>
      </c>
      <c r="C49" s="55" t="s">
        <v>1332</v>
      </c>
      <c r="D49" s="56" t="s">
        <v>854</v>
      </c>
      <c r="E49" s="104">
        <v>1.175</v>
      </c>
      <c r="F49"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8.7500000000000022E-2</v>
      </c>
      <c r="G49" s="56">
        <v>3</v>
      </c>
      <c r="H49" s="57">
        <v>1.5</v>
      </c>
      <c r="I49" s="104">
        <v>2</v>
      </c>
      <c r="J49" s="104">
        <v>1.24</v>
      </c>
      <c r="K49"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v>
      </c>
      <c r="L49" s="57" t="s">
        <v>878</v>
      </c>
      <c r="M49" s="57">
        <f>IF(OR(tblCalibracao[[#This Row],[Usada]]="",tblCalibracao[[#This Row],[Melhor G]]=""),"",MAX(0,tblCalibracao[[#This Row],[Melhor G]]-tblCalibracao[[#This Row],[Usada]]))</f>
        <v>0.5</v>
      </c>
      <c r="N49"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49"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49"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49" s="6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49"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49" s="68"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49" s="10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49" s="10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49" s="157"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49"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49"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49" s="96" t="s">
        <v>3111</v>
      </c>
    </row>
    <row r="50" spans="1:25" ht="15" customHeight="1" thickTop="1" thickBot="1" x14ac:dyDescent="0.35">
      <c r="A50" s="54">
        <v>46242</v>
      </c>
      <c r="B50" s="55" t="s">
        <v>3095</v>
      </c>
      <c r="C50" s="55" t="s">
        <v>1332</v>
      </c>
      <c r="D50" s="56" t="s">
        <v>1447</v>
      </c>
      <c r="E50" s="104">
        <v>1.1000000000000001</v>
      </c>
      <c r="F50"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5.0000000000000044E-2</v>
      </c>
      <c r="G50" s="56">
        <v>3</v>
      </c>
      <c r="H50" s="57">
        <v>1.5</v>
      </c>
      <c r="I50" s="104">
        <v>2.25</v>
      </c>
      <c r="J50" s="104">
        <v>1.24</v>
      </c>
      <c r="K50"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v>
      </c>
      <c r="L50" s="57" t="s">
        <v>878</v>
      </c>
      <c r="M50" s="57">
        <f>IF(OR(tblCalibracao[[#This Row],[Usada]]="",tblCalibracao[[#This Row],[Melhor G]]=""),"",MAX(0,tblCalibracao[[#This Row],[Melhor G]]-tblCalibracao[[#This Row],[Usada]]))</f>
        <v>0.75</v>
      </c>
      <c r="N50"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0"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0"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0" s="6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0"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0" s="68"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0" s="10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0" s="10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0"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0"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50"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50" s="96" t="s">
        <v>3112</v>
      </c>
    </row>
    <row r="51" spans="1:25" ht="15" customHeight="1" thickTop="1" thickBot="1" x14ac:dyDescent="0.35">
      <c r="A51" s="54">
        <v>46242</v>
      </c>
      <c r="B51" s="55" t="s">
        <v>3096</v>
      </c>
      <c r="C51" s="55" t="s">
        <v>1332</v>
      </c>
      <c r="D51" s="56" t="s">
        <v>3097</v>
      </c>
      <c r="E51" s="104">
        <v>1.18</v>
      </c>
      <c r="F51"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8.9999999999999969E-2</v>
      </c>
      <c r="G51" s="56">
        <v>6</v>
      </c>
      <c r="H51" s="57">
        <v>1.5</v>
      </c>
      <c r="I51" s="104">
        <v>2</v>
      </c>
      <c r="J51" s="104">
        <v>1.24</v>
      </c>
      <c r="K51"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v>
      </c>
      <c r="L51" s="57" t="s">
        <v>878</v>
      </c>
      <c r="M51" s="57">
        <f>IF(OR(tblCalibracao[[#This Row],[Usada]]="",tblCalibracao[[#This Row],[Melhor G]]=""),"",MAX(0,tblCalibracao[[#This Row],[Melhor G]]-tblCalibracao[[#This Row],[Usada]]))</f>
        <v>0.5</v>
      </c>
      <c r="N51"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1"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1"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1" s="60"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1" s="4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1" s="68"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1" s="10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1" s="10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1"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1"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51"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51" s="96" t="s">
        <v>3113</v>
      </c>
    </row>
    <row r="52" spans="1:25" ht="15" customHeight="1" thickTop="1" thickBot="1" x14ac:dyDescent="0.35">
      <c r="A52" s="54">
        <v>46242</v>
      </c>
      <c r="B52" s="55" t="s">
        <v>3098</v>
      </c>
      <c r="C52" s="55" t="s">
        <v>1333</v>
      </c>
      <c r="D52" s="56" t="s">
        <v>803</v>
      </c>
      <c r="E52" s="104">
        <v>1.1100000000000001</v>
      </c>
      <c r="F52" s="10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5.5000000000000049E-2</v>
      </c>
      <c r="G52" s="56">
        <v>4</v>
      </c>
      <c r="H52" s="57">
        <v>1</v>
      </c>
      <c r="I52" s="104">
        <v>1.75</v>
      </c>
      <c r="J52" s="104">
        <v>1.4750000000000001</v>
      </c>
      <c r="K52" s="10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0.23750000000000004</v>
      </c>
      <c r="L52" s="57" t="s">
        <v>878</v>
      </c>
      <c r="M52" s="57">
        <f>IF(OR(tblCalibracao[[#This Row],[Usada]]="",tblCalibracao[[#This Row],[Melhor G]]=""),"",MAX(0,tblCalibracao[[#This Row],[Melhor G]]-tblCalibracao[[#This Row],[Usada]]))</f>
        <v>0.75</v>
      </c>
      <c r="N52"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2" s="60"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2" s="44"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2" s="75"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2" s="157"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2"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2" s="10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2" s="10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2" s="10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2"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52" s="60"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52" s="96" t="s">
        <v>3114</v>
      </c>
    </row>
    <row r="53" spans="1:25" ht="15" customHeight="1" thickTop="1" thickBot="1" x14ac:dyDescent="0.35">
      <c r="A53" s="61">
        <v>46242</v>
      </c>
      <c r="B53" s="62" t="s">
        <v>3099</v>
      </c>
      <c r="C53" s="62" t="s">
        <v>1333</v>
      </c>
      <c r="D53" s="63" t="s">
        <v>854</v>
      </c>
      <c r="E53" s="94">
        <v>1.2</v>
      </c>
      <c r="F53"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9.9999999999999978E-2</v>
      </c>
      <c r="G53" s="63">
        <v>3</v>
      </c>
      <c r="H53" s="64">
        <v>1.25</v>
      </c>
      <c r="I53" s="94">
        <v>2</v>
      </c>
      <c r="J53" s="94">
        <v>1.5</v>
      </c>
      <c r="K53" s="9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0.25</v>
      </c>
      <c r="L53" s="64" t="s">
        <v>878</v>
      </c>
      <c r="M53" s="64">
        <f>IF(OR(tblCalibracao[[#This Row],[Usada]]="",tblCalibracao[[#This Row],[Melhor G]]=""),"",MAX(0,tblCalibracao[[#This Row],[Melhor G]]-tblCalibracao[[#This Row],[Usada]]))</f>
        <v>0.75</v>
      </c>
      <c r="N53"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3"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3" s="74"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3" s="44"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3" s="77"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3"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3" s="6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3" s="6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3" s="6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3"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53" s="67"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53" s="96" t="s">
        <v>3115</v>
      </c>
    </row>
    <row r="54" spans="1:25" ht="15" customHeight="1" thickTop="1" thickBot="1" x14ac:dyDescent="0.35">
      <c r="A54" s="61">
        <v>46243</v>
      </c>
      <c r="B54" s="62" t="s">
        <v>4712</v>
      </c>
      <c r="C54" s="62" t="s">
        <v>844</v>
      </c>
      <c r="D54" s="63" t="s">
        <v>854</v>
      </c>
      <c r="E54" s="94">
        <v>1.125</v>
      </c>
      <c r="F54"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6.25E-2</v>
      </c>
      <c r="G54" s="63">
        <v>3</v>
      </c>
      <c r="H54" s="64">
        <v>2</v>
      </c>
      <c r="I54" s="64">
        <v>2.25</v>
      </c>
      <c r="J54" s="64">
        <v>1.24</v>
      </c>
      <c r="K54"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v>
      </c>
      <c r="L54" s="64" t="s">
        <v>878</v>
      </c>
      <c r="M54" s="162">
        <f>IF(OR(tblCalibracao[[#This Row],[Usada]]="",tblCalibracao[[#This Row],[Melhor G]]=""),"",MAX(0,tblCalibracao[[#This Row],[Melhor G]]-tblCalibracao[[#This Row],[Usada]]))</f>
        <v>0.25</v>
      </c>
      <c r="N54"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4"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4"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4"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4"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4"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4"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4"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4"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4"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54"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54" s="163" t="s">
        <v>4713</v>
      </c>
    </row>
    <row r="55" spans="1:25" ht="15" customHeight="1" thickTop="1" thickBot="1" x14ac:dyDescent="0.35">
      <c r="A55" s="61">
        <v>46243</v>
      </c>
      <c r="B55" s="62" t="s">
        <v>4714</v>
      </c>
      <c r="C55" s="62" t="s">
        <v>845</v>
      </c>
      <c r="D55" s="63" t="s">
        <v>803</v>
      </c>
      <c r="E55" s="94">
        <v>1.125</v>
      </c>
      <c r="F55"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6.25E-2</v>
      </c>
      <c r="G55" s="63">
        <v>4</v>
      </c>
      <c r="H55" s="64">
        <v>2.25</v>
      </c>
      <c r="I55" s="64">
        <v>3</v>
      </c>
      <c r="J55" s="64">
        <v>1.25</v>
      </c>
      <c r="K55"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0.125</v>
      </c>
      <c r="L55" s="64" t="s">
        <v>878</v>
      </c>
      <c r="M55" s="162">
        <f>IF(OR(tblCalibracao[[#This Row],[Usada]]="",tblCalibracao[[#This Row],[Melhor G]]=""),"",MAX(0,tblCalibracao[[#This Row],[Melhor G]]-tblCalibracao[[#This Row],[Usada]]))</f>
        <v>0.75</v>
      </c>
      <c r="N55"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5"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5"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5"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5"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5"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55"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55" s="45"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55"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55"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55"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55" s="163" t="s">
        <v>4715</v>
      </c>
    </row>
    <row r="56" spans="1:25" ht="15" customHeight="1" thickTop="1" thickBot="1" x14ac:dyDescent="0.35">
      <c r="A56" s="61">
        <v>46243</v>
      </c>
      <c r="B56" s="62" t="s">
        <v>4716</v>
      </c>
      <c r="C56" s="62" t="s">
        <v>844</v>
      </c>
      <c r="D56" s="63" t="s">
        <v>945</v>
      </c>
      <c r="E56" s="94">
        <v>1.1299999999999999</v>
      </c>
      <c r="F56"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v>
      </c>
      <c r="G56" s="63">
        <v>2</v>
      </c>
      <c r="H56" s="64">
        <v>2</v>
      </c>
      <c r="I56" s="64">
        <v>1.5</v>
      </c>
      <c r="J56" s="64">
        <v>1.105</v>
      </c>
      <c r="K56"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5.2499999999999991E-2</v>
      </c>
      <c r="L56" s="64" t="s">
        <v>878</v>
      </c>
      <c r="M56" s="162">
        <f>IF(OR(tblCalibracao[[#This Row],[Usada]]="",tblCalibracao[[#This Row],[Melhor G]]=""),"",MAX(0,tblCalibracao[[#This Row],[Melhor G]]-tblCalibracao[[#This Row],[Usada]]))</f>
        <v>0</v>
      </c>
      <c r="N56"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6"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6"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6"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6"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6"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56"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56"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56"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56"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56"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56" s="163" t="s">
        <v>4717</v>
      </c>
    </row>
    <row r="57" spans="1:25" ht="15" customHeight="1" thickTop="1" thickBot="1" x14ac:dyDescent="0.35">
      <c r="A57" s="61">
        <v>46243</v>
      </c>
      <c r="B57" s="62" t="s">
        <v>4718</v>
      </c>
      <c r="C57" s="62" t="s">
        <v>1333</v>
      </c>
      <c r="D57" s="63" t="s">
        <v>860</v>
      </c>
      <c r="E57" s="94">
        <v>1.125</v>
      </c>
      <c r="F57"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57" s="63">
        <v>0</v>
      </c>
      <c r="H57" s="64">
        <v>1.25</v>
      </c>
      <c r="I57" s="64"/>
      <c r="J57" s="64"/>
      <c r="K57"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57" s="64" t="s">
        <v>878</v>
      </c>
      <c r="M57" s="162" t="str">
        <f>IF(OR(tblCalibracao[[#This Row],[Usada]]="",tblCalibracao[[#This Row],[Melhor G]]=""),"",MAX(0,tblCalibracao[[#This Row],[Melhor G]]-tblCalibracao[[#This Row],[Usada]]))</f>
        <v/>
      </c>
      <c r="N57"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R</v>
      </c>
      <c r="O57"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R</v>
      </c>
      <c r="P57"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R</v>
      </c>
      <c r="Q57" s="45"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R</v>
      </c>
      <c r="R57"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57"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57"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57"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57"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57"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57"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57" s="163" t="s">
        <v>4719</v>
      </c>
    </row>
    <row r="58" spans="1:25" ht="15" customHeight="1" thickTop="1" thickBot="1" x14ac:dyDescent="0.35">
      <c r="A58" s="61">
        <v>46243</v>
      </c>
      <c r="B58" s="62" t="s">
        <v>4720</v>
      </c>
      <c r="C58" s="62" t="s">
        <v>1333</v>
      </c>
      <c r="D58" s="63" t="s">
        <v>860</v>
      </c>
      <c r="E58" s="94">
        <v>1.23</v>
      </c>
      <c r="F58"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-0.5</v>
      </c>
      <c r="G58" s="63">
        <v>0</v>
      </c>
      <c r="H58" s="64">
        <v>1.5</v>
      </c>
      <c r="I58" s="64"/>
      <c r="J58" s="64"/>
      <c r="K58" s="65" t="str">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
      </c>
      <c r="L58" s="64" t="s">
        <v>878</v>
      </c>
      <c r="M58" s="162" t="str">
        <f>IF(OR(tblCalibracao[[#This Row],[Usada]]="",tblCalibracao[[#This Row],[Melhor G]]=""),"",MAX(0,tblCalibracao[[#This Row],[Melhor G]]-tblCalibracao[[#This Row],[Usada]]))</f>
        <v/>
      </c>
      <c r="N58"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R</v>
      </c>
      <c r="O58"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R</v>
      </c>
      <c r="P58"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R</v>
      </c>
      <c r="Q58"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R</v>
      </c>
      <c r="R58"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58"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58"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58"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58"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58"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58"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58" s="163" t="s">
        <v>4721</v>
      </c>
    </row>
    <row r="59" spans="1:25" ht="15" customHeight="1" thickTop="1" thickBot="1" x14ac:dyDescent="0.35">
      <c r="A59" s="61">
        <v>46243</v>
      </c>
      <c r="B59" s="62" t="s">
        <v>4722</v>
      </c>
      <c r="C59" s="62" t="s">
        <v>1334</v>
      </c>
      <c r="D59" s="63" t="s">
        <v>945</v>
      </c>
      <c r="E59" s="94">
        <v>1.1000000000000001</v>
      </c>
      <c r="F59"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5.0000000000000044E-2</v>
      </c>
      <c r="G59" s="63">
        <v>2</v>
      </c>
      <c r="H59" s="64">
        <v>0.5</v>
      </c>
      <c r="I59" s="64">
        <v>1.25</v>
      </c>
      <c r="J59" s="64">
        <v>1.1399999999999999</v>
      </c>
      <c r="K59"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6.9999999999999951E-2</v>
      </c>
      <c r="L59" s="64" t="s">
        <v>878</v>
      </c>
      <c r="M59" s="162">
        <f>IF(OR(tblCalibracao[[#This Row],[Usada]]="",tblCalibracao[[#This Row],[Melhor G]]=""),"",MAX(0,tblCalibracao[[#This Row],[Melhor G]]-tblCalibracao[[#This Row],[Usada]]))</f>
        <v>0.75</v>
      </c>
      <c r="N59" s="45"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59"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59"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59"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59"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59"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59"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59"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59"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59"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59"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59" s="163" t="s">
        <v>4723</v>
      </c>
    </row>
    <row r="60" spans="1:25" ht="15" customHeight="1" thickTop="1" thickBot="1" x14ac:dyDescent="0.35">
      <c r="A60" s="61">
        <v>46243</v>
      </c>
      <c r="B60" s="62" t="s">
        <v>4724</v>
      </c>
      <c r="C60" s="62" t="s">
        <v>1334</v>
      </c>
      <c r="D60" s="63" t="s">
        <v>866</v>
      </c>
      <c r="E60" s="94">
        <v>1.1599999999999999</v>
      </c>
      <c r="F60" s="95">
        <v>0.06</v>
      </c>
      <c r="G60" s="63">
        <v>1</v>
      </c>
      <c r="H60" s="64">
        <v>1</v>
      </c>
      <c r="I60" s="64">
        <v>0.5</v>
      </c>
      <c r="J60" s="64">
        <v>1.1100000000000001</v>
      </c>
      <c r="K60"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5.5000000000000049E-2</v>
      </c>
      <c r="L60" s="64" t="s">
        <v>878</v>
      </c>
      <c r="M60" s="162">
        <f>IF(OR(tblCalibracao[[#This Row],[Usada]]="",tblCalibracao[[#This Row],[Melhor G]]=""),"",MAX(0,tblCalibracao[[#This Row],[Melhor G]]-tblCalibracao[[#This Row],[Usada]]))</f>
        <v>0</v>
      </c>
      <c r="N60"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0"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60" s="45"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60"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60"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60"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60"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60"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60"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0"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0"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0" s="163" t="s">
        <v>4725</v>
      </c>
    </row>
    <row r="61" spans="1:25" ht="15" customHeight="1" thickTop="1" thickBot="1" x14ac:dyDescent="0.35">
      <c r="A61" s="61">
        <v>46243</v>
      </c>
      <c r="B61" s="62" t="s">
        <v>4726</v>
      </c>
      <c r="C61" s="62" t="s">
        <v>1334</v>
      </c>
      <c r="D61" s="63" t="s">
        <v>945</v>
      </c>
      <c r="E61" s="94">
        <v>1.1399999999999999</v>
      </c>
      <c r="F61"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6.9999999999999951E-2</v>
      </c>
      <c r="G61" s="63">
        <v>2</v>
      </c>
      <c r="H61" s="64">
        <v>0.5</v>
      </c>
      <c r="I61" s="64">
        <v>1.5</v>
      </c>
      <c r="J61" s="64">
        <v>1.6</v>
      </c>
      <c r="K61"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0.30000000000000004</v>
      </c>
      <c r="L61" s="64" t="s">
        <v>878</v>
      </c>
      <c r="M61" s="162">
        <f>IF(OR(tblCalibracao[[#This Row],[Usada]]="",tblCalibracao[[#This Row],[Melhor G]]=""),"",MAX(0,tblCalibracao[[#This Row],[Melhor G]]-tblCalibracao[[#This Row],[Usada]]))</f>
        <v>1</v>
      </c>
      <c r="N61" s="45"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1"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1"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1"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1"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1"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61"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61"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61"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1"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1"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1" s="163" t="s">
        <v>4727</v>
      </c>
    </row>
    <row r="62" spans="1:25" ht="15" customHeight="1" thickTop="1" thickBot="1" x14ac:dyDescent="0.35">
      <c r="A62" s="61">
        <v>46243</v>
      </c>
      <c r="B62" s="62" t="s">
        <v>4728</v>
      </c>
      <c r="C62" s="62" t="s">
        <v>1332</v>
      </c>
      <c r="D62" s="63" t="s">
        <v>3082</v>
      </c>
      <c r="E62" s="94">
        <v>1.2250000000000001</v>
      </c>
      <c r="F62"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0.11250000000000004</v>
      </c>
      <c r="G62" s="63">
        <v>2</v>
      </c>
      <c r="H62" s="64">
        <v>1.5</v>
      </c>
      <c r="I62" s="64">
        <v>1.5</v>
      </c>
      <c r="J62" s="64">
        <v>1.2250000000000001</v>
      </c>
      <c r="K62"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0.11250000000000004</v>
      </c>
      <c r="L62" s="64" t="s">
        <v>878</v>
      </c>
      <c r="M62" s="162">
        <f>IF(OR(tblCalibracao[[#This Row],[Usada]]="",tblCalibracao[[#This Row],[Melhor G]]=""),"",MAX(0,tblCalibracao[[#This Row],[Melhor G]]-tblCalibracao[[#This Row],[Usada]]))</f>
        <v>0</v>
      </c>
      <c r="N62"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2"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2"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2"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2"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2"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62"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62"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62"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2"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2"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2" s="163" t="s">
        <v>4729</v>
      </c>
    </row>
    <row r="63" spans="1:25" ht="15" customHeight="1" thickTop="1" thickBot="1" x14ac:dyDescent="0.35">
      <c r="A63" s="61">
        <v>46243</v>
      </c>
      <c r="B63" s="62" t="s">
        <v>4730</v>
      </c>
      <c r="C63" s="62" t="s">
        <v>1333</v>
      </c>
      <c r="D63" s="63" t="s">
        <v>1001</v>
      </c>
      <c r="E63" s="94">
        <v>1.1100000000000001</v>
      </c>
      <c r="F63"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5.5000000000000049E-2</v>
      </c>
      <c r="G63" s="63">
        <v>2</v>
      </c>
      <c r="H63" s="64">
        <v>0.5</v>
      </c>
      <c r="I63" s="64">
        <v>1.25</v>
      </c>
      <c r="J63" s="64">
        <v>1.325</v>
      </c>
      <c r="K63"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0.16249999999999998</v>
      </c>
      <c r="L63" s="64" t="s">
        <v>878</v>
      </c>
      <c r="M63" s="162">
        <f>IF(OR(tblCalibracao[[#This Row],[Usada]]="",tblCalibracao[[#This Row],[Melhor G]]=""),"",MAX(0,tblCalibracao[[#This Row],[Melhor G]]-tblCalibracao[[#This Row],[Usada]]))</f>
        <v>0.75</v>
      </c>
      <c r="N63" s="45"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3"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3"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3"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3"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3"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63"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63"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63"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3"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3"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3" s="163" t="s">
        <v>4731</v>
      </c>
    </row>
    <row r="64" spans="1:25" ht="15" customHeight="1" thickTop="1" thickBot="1" x14ac:dyDescent="0.35">
      <c r="A64" s="61">
        <v>46243</v>
      </c>
      <c r="B64" s="62" t="s">
        <v>4732</v>
      </c>
      <c r="C64" s="62" t="s">
        <v>1333</v>
      </c>
      <c r="D64" s="63" t="s">
        <v>1001</v>
      </c>
      <c r="E64" s="94">
        <v>1.105</v>
      </c>
      <c r="F64"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5.2499999999999991E-2</v>
      </c>
      <c r="G64" s="63">
        <v>2</v>
      </c>
      <c r="H64" s="64">
        <v>1</v>
      </c>
      <c r="I64" s="64">
        <v>1.5</v>
      </c>
      <c r="J64" s="64">
        <v>1.375</v>
      </c>
      <c r="K64"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0.1875</v>
      </c>
      <c r="L64" s="64" t="s">
        <v>878</v>
      </c>
      <c r="M64" s="162">
        <f>IF(OR(tblCalibracao[[#This Row],[Usada]]="",tblCalibracao[[#This Row],[Melhor G]]=""),"",MAX(0,tblCalibracao[[#This Row],[Melhor G]]-tblCalibracao[[#This Row],[Usada]]))</f>
        <v>0.5</v>
      </c>
      <c r="N64"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4"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4" s="45"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4"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4"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4"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64"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64"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64"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4"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4"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4" s="163" t="s">
        <v>4733</v>
      </c>
    </row>
    <row r="65" spans="1:25" ht="15" customHeight="1" thickTop="1" thickBot="1" x14ac:dyDescent="0.35">
      <c r="A65" s="61">
        <v>46243</v>
      </c>
      <c r="B65" s="62" t="s">
        <v>4734</v>
      </c>
      <c r="C65" s="62" t="s">
        <v>1333</v>
      </c>
      <c r="D65" s="63" t="s">
        <v>3082</v>
      </c>
      <c r="E65" s="94">
        <v>1.18</v>
      </c>
      <c r="F65"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8.9999999999999969E-2</v>
      </c>
      <c r="G65" s="63">
        <v>2</v>
      </c>
      <c r="H65" s="64">
        <v>1.5</v>
      </c>
      <c r="I65" s="64">
        <v>1.5</v>
      </c>
      <c r="J65" s="64">
        <v>1.18</v>
      </c>
      <c r="K65"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8.9999999999999969E-2</v>
      </c>
      <c r="L65" s="64" t="s">
        <v>878</v>
      </c>
      <c r="M65" s="162">
        <f>IF(OR(tblCalibracao[[#This Row],[Usada]]="",tblCalibracao[[#This Row],[Melhor G]]=""),"",MAX(0,tblCalibracao[[#This Row],[Melhor G]]-tblCalibracao[[#This Row],[Usada]]))</f>
        <v>0</v>
      </c>
      <c r="N65"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5"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5"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5"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5"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5"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½G</v>
      </c>
      <c r="T65" s="56"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P</v>
      </c>
      <c r="U65"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½R</v>
      </c>
      <c r="V65"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5"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5"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5" s="163" t="s">
        <v>4735</v>
      </c>
    </row>
    <row r="66" spans="1:25" ht="15" customHeight="1" thickTop="1" thickBot="1" x14ac:dyDescent="0.35">
      <c r="A66" s="61">
        <v>46243</v>
      </c>
      <c r="B66" s="62" t="s">
        <v>4736</v>
      </c>
      <c r="C66" s="62" t="s">
        <v>1332</v>
      </c>
      <c r="D66" s="63" t="s">
        <v>4737</v>
      </c>
      <c r="E66" s="94">
        <v>1.24</v>
      </c>
      <c r="F66"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0.12</v>
      </c>
      <c r="G66" s="63">
        <v>5</v>
      </c>
      <c r="H66" s="64">
        <v>2</v>
      </c>
      <c r="I66" s="64">
        <v>2</v>
      </c>
      <c r="J66" s="64">
        <v>1.24</v>
      </c>
      <c r="K66"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0.12</v>
      </c>
      <c r="L66" s="64" t="s">
        <v>878</v>
      </c>
      <c r="M66" s="162">
        <f>IF(OR(tblCalibracao[[#This Row],[Usada]]="",tblCalibracao[[#This Row],[Melhor G]]=""),"",MAX(0,tblCalibracao[[#This Row],[Melhor G]]-tblCalibracao[[#This Row],[Usada]]))</f>
        <v>0</v>
      </c>
      <c r="N66" s="56"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6" s="56"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6" s="5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6" s="56"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6" s="56"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6" s="56"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66" s="45"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66" s="56"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66" s="56"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66" s="56"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66" s="56"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66" s="163" t="s">
        <v>4738</v>
      </c>
    </row>
    <row r="67" spans="1:25" ht="15" customHeight="1" thickTop="1" thickBot="1" x14ac:dyDescent="0.35">
      <c r="A67" s="61">
        <v>46243</v>
      </c>
      <c r="B67" s="62" t="s">
        <v>4739</v>
      </c>
      <c r="C67" s="62" t="s">
        <v>1332</v>
      </c>
      <c r="D67" s="63" t="s">
        <v>856</v>
      </c>
      <c r="E67" s="94">
        <v>1.17</v>
      </c>
      <c r="F67"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8.4999999999999964E-2</v>
      </c>
      <c r="G67" s="63">
        <v>5</v>
      </c>
      <c r="H67" s="64">
        <v>1.5</v>
      </c>
      <c r="I67" s="64">
        <v>1.5</v>
      </c>
      <c r="J67" s="64">
        <v>1.17</v>
      </c>
      <c r="K67"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8.4999999999999964E-2</v>
      </c>
      <c r="L67" s="64" t="s">
        <v>878</v>
      </c>
      <c r="M67" s="162">
        <f>IF(OR(tblCalibracao[[#This Row],[Usada]]="",tblCalibracao[[#This Row],[Melhor G]]=""),"",MAX(0,tblCalibracao[[#This Row],[Melhor G]]-tblCalibracao[[#This Row],[Usada]]))</f>
        <v>0</v>
      </c>
      <c r="N67" s="63"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7" s="6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7" s="63"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7" s="63"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7" s="45"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7" s="6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67" s="63"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67" s="63"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67" s="6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67" s="6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67" s="63"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67" s="163" t="s">
        <v>4740</v>
      </c>
    </row>
    <row r="68" spans="1:25" ht="15.6" thickTop="1" thickBot="1" x14ac:dyDescent="0.35">
      <c r="A68" s="61">
        <v>46244</v>
      </c>
      <c r="B68" s="62" t="s">
        <v>7896</v>
      </c>
      <c r="C68" s="62" t="s">
        <v>4290</v>
      </c>
      <c r="D68" s="63" t="s">
        <v>7897</v>
      </c>
      <c r="E68" s="94">
        <v>1.1499999999999999</v>
      </c>
      <c r="F68"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7.4999999999999956E-2</v>
      </c>
      <c r="G68" s="63">
        <v>7</v>
      </c>
      <c r="H68" s="64">
        <v>2.5</v>
      </c>
      <c r="I68" s="64">
        <v>3.25</v>
      </c>
      <c r="J68" s="64">
        <v>1.3</v>
      </c>
      <c r="K68"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0.15000000000000002</v>
      </c>
      <c r="L68" s="64" t="s">
        <v>878</v>
      </c>
      <c r="M68" s="162">
        <f>IF(OR(tblCalibracao[[#This Row],[Usada]]="",tblCalibracao[[#This Row],[Melhor G]]=""),"",MAX(0,tblCalibracao[[#This Row],[Melhor G]]-tblCalibracao[[#This Row],[Usada]]))</f>
        <v>0.75</v>
      </c>
      <c r="N68" s="188"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8" s="189"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68" s="189"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68" s="189"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68" s="182"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68" s="189"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68" s="189"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68" s="190"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68" s="191"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68" s="192"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G</v>
      </c>
      <c r="X68" s="193"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G</v>
      </c>
      <c r="Y68" s="163" t="s">
        <v>7898</v>
      </c>
    </row>
    <row r="69" spans="1:25" ht="15.6" thickTop="1" thickBot="1" x14ac:dyDescent="0.35">
      <c r="A69" s="61">
        <v>46244</v>
      </c>
      <c r="B69" s="62" t="s">
        <v>7899</v>
      </c>
      <c r="C69" s="62" t="s">
        <v>1334</v>
      </c>
      <c r="D69" s="63" t="s">
        <v>866</v>
      </c>
      <c r="E69" s="94">
        <v>1.1200000000000001</v>
      </c>
      <c r="F69" s="95">
        <v>0.06</v>
      </c>
      <c r="G69" s="63">
        <v>1</v>
      </c>
      <c r="H69" s="64">
        <v>1</v>
      </c>
      <c r="I69" s="64">
        <v>0.75</v>
      </c>
      <c r="J69" s="64">
        <v>1.1000000000000001</v>
      </c>
      <c r="K69"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2.5000000000000022E-2</v>
      </c>
      <c r="L69" s="64" t="s">
        <v>878</v>
      </c>
      <c r="M69" s="162">
        <f>IF(OR(tblCalibracao[[#This Row],[Usada]]="",tblCalibracao[[#This Row],[Melhor G]]=""),"",MAX(0,tblCalibracao[[#This Row],[Melhor G]]-tblCalibracao[[#This Row],[Usada]]))</f>
        <v>0</v>
      </c>
      <c r="N69" s="188"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69" s="190"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½G</v>
      </c>
      <c r="P69" s="191"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P</v>
      </c>
      <c r="Q69" s="192"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½R</v>
      </c>
      <c r="R69" s="182"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R</v>
      </c>
      <c r="S69" s="189"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R</v>
      </c>
      <c r="T69" s="189"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R</v>
      </c>
      <c r="U69" s="189"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R</v>
      </c>
      <c r="V69" s="189"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R</v>
      </c>
      <c r="W69" s="189"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R</v>
      </c>
      <c r="X69" s="193"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R</v>
      </c>
      <c r="Y69" s="163" t="s">
        <v>7900</v>
      </c>
    </row>
    <row r="70" spans="1:25" ht="15.6" thickTop="1" thickBot="1" x14ac:dyDescent="0.35">
      <c r="A70" s="61">
        <v>46244</v>
      </c>
      <c r="B70" s="62" t="s">
        <v>7901</v>
      </c>
      <c r="C70" s="62" t="s">
        <v>4657</v>
      </c>
      <c r="D70" s="63" t="s">
        <v>854</v>
      </c>
      <c r="E70" s="94">
        <v>1.17</v>
      </c>
      <c r="F70" s="95">
        <f>IF(OR(tblCalibracao[[#This Row],[Odd]]="",tblCalibracao[[#This Row],[Usada]]=""),"",_xlfn.LET(_xlpm.t,tblCalibracao[[#This Row],[Gols]],_xlpm.l,tblCalibracao[[#This Row],[Usada]],_xlpm.o,tblCalibracao[[#This Row],[Odd]],_xlpm.n,INT(_xlpm.l),_xlpm.f,ROUND(MOD(_xlpm.l,1),2),IF(_xlpm.f=0,IF(_xlpm.t&gt;_xlpm.l,0.5*(_xlpm.o-1),IF(_xlpm.t=_xlpm.l,0,-0.5)),IF(_xlpm.f=0.5,IF(_xlpm.t&gt;_xlpm.l,0.5*(_xlpm.o-1),-0.5),IF(_xlpm.f=0.25,IF(_xlpm.t&gt;=_xlpm.n+1,0.5*(_xlpm.o-1),IF(_xlpm.t=_xlpm.n,-0.25,-0.5)),IF(_xlpm.f=0.75,IF(_xlpm.t&gt;=_xlpm.n+2,0.5*(_xlpm.o-1),IF(_xlpm.t=_xlpm.n+1,0.25*(_xlpm.o-1),-0.5)),""))))))</f>
        <v>8.4999999999999964E-2</v>
      </c>
      <c r="G70" s="63">
        <v>3</v>
      </c>
      <c r="H70" s="64">
        <v>1.25</v>
      </c>
      <c r="I70" s="64">
        <v>2</v>
      </c>
      <c r="J70" s="64">
        <v>1.4</v>
      </c>
      <c r="K70" s="65">
        <f>IF(OR(tblCalibracao[[#This Row],[Odd M.G.]]="",tblCalibracao[[#This Row],[Melhor G]]&lt;=0),"",_xlfn.LET(_xlpm.t,tblCalibracao[[#This Row],[Gols]],_xlpm.l,tblCalibracao[[#This Row],[Melhor G]],_xlpm.o,tblCalibracao[[#This Row],[Odd M.G.]],_xlpm.n,INT(_xlpm.l),_xlpm.f,ROUND(MOD(_xlpm.l,1),2),IF(_xlpm.f=0,IF(_xlpm.t&gt;_xlpm.l,0.5*(_xlpm.o-1),IF(_xlpm.t=_xlpm.l,0,-0.5)),IF(_xlpm.f=0.5,IF(_xlpm.t&gt;_xlpm.l,0.5*(_xlpm.o-1),-0.5),IF(_xlpm.f=0.25,IF(_xlpm.t&gt;=_xlpm.n+1,0.5*(_xlpm.o-1),IF(_xlpm.t=_xlpm.n,-0.25,-0.5)),IF(_xlpm.f=0.75,IF(_xlpm.t&gt;=_xlpm.n+2,0.5*(_xlpm.o-1),IF(_xlpm.t=_xlpm.n+1,0.25*(_xlpm.o-1),-0.5)),""))))))</f>
        <v>0.19999999999999996</v>
      </c>
      <c r="L70" s="64" t="s">
        <v>878</v>
      </c>
      <c r="M70" s="162">
        <f>IF(OR(tblCalibracao[[#This Row],[Usada]]="",tblCalibracao[[#This Row],[Melhor G]]=""),"",MAX(0,tblCalibracao[[#This Row],[Melhor G]]-tblCalibracao[[#This Row],[Usada]]))</f>
        <v>0.75</v>
      </c>
      <c r="N70" s="184" t="str">
        <f>IF(tblCalibracao[[#This Row],[Gols]]="","",_xlfn.LET(_xlpm.t,tblCalibracao[[#This Row],[Gols]],_xlpm.l,0.5,_xlpm.n,INT(_xlpm.l),_xlpm.f,ROUND(MOD(_xlpm.l,1),2),IF(_xlpm.f=0,IF(_xlpm.t&gt;_xlpm.l,"G",IF(_xlpm.t=_xlpm.l,"P","R")),IF(_xlpm.f=0.5,IF(_xlpm.t&gt;_xlpm.l,"G","R"),IF(_xlpm.f=0.25,IF(_xlpm.t&gt;=_xlpm.n+1,"G",IF(_xlpm.t=_xlpm.n,"½R","R")),IF(_xlpm.f=0.75,IF(_xlpm.t&gt;=_xlpm.n+2,"G",IF(_xlpm.t=_xlpm.n+1,"½G","R")),"—"))))))</f>
        <v>G</v>
      </c>
      <c r="O70" s="183" t="str">
        <f>IF(tblCalibracao[[#This Row],[Gols]]="","",_xlfn.LET(_xlpm.t,tblCalibracao[[#This Row],[Gols]],_xlpm.l,0.75,_xlpm.n,INT(_xlpm.l),_xlpm.f,ROUND(MOD(_xlpm.l,1),2),IF(_xlpm.f=0,IF(_xlpm.t&gt;_xlpm.l,"G",IF(_xlpm.t=_xlpm.l,"P","R")),IF(_xlpm.f=0.5,IF(_xlpm.t&gt;_xlpm.l,"G","R"),IF(_xlpm.f=0.25,IF(_xlpm.t&gt;=_xlpm.n+1,"G",IF(_xlpm.t=_xlpm.n,"½R","R")),IF(_xlpm.f=0.75,IF(_xlpm.t&gt;=_xlpm.n+2,"G",IF(_xlpm.t=_xlpm.n+1,"½G","R")),"—"))))))</f>
        <v>G</v>
      </c>
      <c r="P70" s="186" t="str">
        <f>IF(tblCalibracao[[#This Row],[Gols]]="","",_xlfn.LET(_xlpm.t,tblCalibracao[[#This Row],[Gols]],_xlpm.l,1,_xlpm.n,INT(_xlpm.l),_xlpm.f,ROUND(MOD(_xlpm.l,1),2),IF(_xlpm.f=0,IF(_xlpm.t&gt;_xlpm.l,"G",IF(_xlpm.t=_xlpm.l,"P","R")),IF(_xlpm.f=0.5,IF(_xlpm.t&gt;_xlpm.l,"G","R"),IF(_xlpm.f=0.25,IF(_xlpm.t&gt;=_xlpm.n+1,"G",IF(_xlpm.t=_xlpm.n,"½R","R")),IF(_xlpm.f=0.75,IF(_xlpm.t&gt;=_xlpm.n+2,"G",IF(_xlpm.t=_xlpm.n+1,"½G","R")),"—"))))))</f>
        <v>G</v>
      </c>
      <c r="Q70" s="187" t="str">
        <f>IF(tblCalibracao[[#This Row],[Gols]]="","",_xlfn.LET(_xlpm.t,tblCalibracao[[#This Row],[Gols]],_xlpm.l,1.25,_xlpm.n,INT(_xlpm.l),_xlpm.f,ROUND(MOD(_xlpm.l,1),2),IF(_xlpm.f=0,IF(_xlpm.t&gt;_xlpm.l,"G",IF(_xlpm.t=_xlpm.l,"P","R")),IF(_xlpm.f=0.5,IF(_xlpm.t&gt;_xlpm.l,"G","R"),IF(_xlpm.f=0.25,IF(_xlpm.t&gt;=_xlpm.n+1,"G",IF(_xlpm.t=_xlpm.n,"½R","R")),IF(_xlpm.f=0.75,IF(_xlpm.t&gt;=_xlpm.n+2,"G",IF(_xlpm.t=_xlpm.n+1,"½G","R")),"—"))))))</f>
        <v>G</v>
      </c>
      <c r="R70" s="194" t="str">
        <f>IF(tblCalibracao[[#This Row],[Gols]]="","",_xlfn.LET(_xlpm.t,tblCalibracao[[#This Row],[Gols]],_xlpm.l,1.5,_xlpm.n,INT(_xlpm.l),_xlpm.f,ROUND(MOD(_xlpm.l,1),2),IF(_xlpm.f=0,IF(_xlpm.t&gt;_xlpm.l,"G",IF(_xlpm.t=_xlpm.l,"P","R")),IF(_xlpm.f=0.5,IF(_xlpm.t&gt;_xlpm.l,"G","R"),IF(_xlpm.f=0.25,IF(_xlpm.t&gt;=_xlpm.n+1,"G",IF(_xlpm.t=_xlpm.n,"½R","R")),IF(_xlpm.f=0.75,IF(_xlpm.t&gt;=_xlpm.n+2,"G",IF(_xlpm.t=_xlpm.n+1,"½G","R")),"—"))))))</f>
        <v>G</v>
      </c>
      <c r="S70" s="183" t="str">
        <f>IF(tblCalibracao[[#This Row],[Gols]]="","",_xlfn.LET(_xlpm.t,tblCalibracao[[#This Row],[Gols]],_xlpm.l,1.75,_xlpm.n,INT(_xlpm.l),_xlpm.f,ROUND(MOD(_xlpm.l,1),2),IF(_xlpm.f=0,IF(_xlpm.t&gt;_xlpm.l,"G",IF(_xlpm.t=_xlpm.l,"P","R")),IF(_xlpm.f=0.5,IF(_xlpm.t&gt;_xlpm.l,"G","R"),IF(_xlpm.f=0.25,IF(_xlpm.t&gt;=_xlpm.n+1,"G",IF(_xlpm.t=_xlpm.n,"½R","R")),IF(_xlpm.f=0.75,IF(_xlpm.t&gt;=_xlpm.n+2,"G",IF(_xlpm.t=_xlpm.n+1,"½G","R")),"—"))))))</f>
        <v>G</v>
      </c>
      <c r="T70" s="183" t="str">
        <f>IF(tblCalibracao[[#This Row],[Gols]]="","",_xlfn.LET(_xlpm.t,tblCalibracao[[#This Row],[Gols]],_xlpm.l,2,_xlpm.n,INT(_xlpm.l),_xlpm.f,ROUND(MOD(_xlpm.l,1),2),IF(_xlpm.f=0,IF(_xlpm.t&gt;_xlpm.l,"G",IF(_xlpm.t=_xlpm.l,"P","R")),IF(_xlpm.f=0.5,IF(_xlpm.t&gt;_xlpm.l,"G","R"),IF(_xlpm.f=0.25,IF(_xlpm.t&gt;=_xlpm.n+1,"G",IF(_xlpm.t=_xlpm.n,"½R","R")),IF(_xlpm.f=0.75,IF(_xlpm.t&gt;=_xlpm.n+2,"G",IF(_xlpm.t=_xlpm.n+1,"½G","R")),"—"))))))</f>
        <v>G</v>
      </c>
      <c r="U70" s="183" t="str">
        <f>IF(tblCalibracao[[#This Row],[Gols]]="","",_xlfn.LET(_xlpm.t,tblCalibracao[[#This Row],[Gols]],_xlpm.l,2.25,_xlpm.n,INT(_xlpm.l),_xlpm.f,ROUND(MOD(_xlpm.l,1),2),IF(_xlpm.f=0,IF(_xlpm.t&gt;_xlpm.l,"G",IF(_xlpm.t=_xlpm.l,"P","R")),IF(_xlpm.f=0.5,IF(_xlpm.t&gt;_xlpm.l,"G","R"),IF(_xlpm.f=0.25,IF(_xlpm.t&gt;=_xlpm.n+1,"G",IF(_xlpm.t=_xlpm.n,"½R","R")),IF(_xlpm.f=0.75,IF(_xlpm.t&gt;=_xlpm.n+2,"G",IF(_xlpm.t=_xlpm.n+1,"½G","R")),"—"))))))</f>
        <v>G</v>
      </c>
      <c r="V70" s="183" t="str">
        <f>IF(tblCalibracao[[#This Row],[Gols]]="","",_xlfn.LET(_xlpm.t,tblCalibracao[[#This Row],[Gols]],_xlpm.l,2.5,_xlpm.n,INT(_xlpm.l),_xlpm.f,ROUND(MOD(_xlpm.l,1),2),IF(_xlpm.f=0,IF(_xlpm.t&gt;_xlpm.l,"G",IF(_xlpm.t=_xlpm.l,"P","R")),IF(_xlpm.f=0.5,IF(_xlpm.t&gt;_xlpm.l,"G","R"),IF(_xlpm.f=0.25,IF(_xlpm.t&gt;=_xlpm.n+1,"G",IF(_xlpm.t=_xlpm.n,"½R","R")),IF(_xlpm.f=0.75,IF(_xlpm.t&gt;=_xlpm.n+2,"G",IF(_xlpm.t=_xlpm.n+1,"½G","R")),"—"))))))</f>
        <v>G</v>
      </c>
      <c r="W70" s="183" t="str">
        <f>IF(tblCalibracao[[#This Row],[Gols]]="","",_xlfn.LET(_xlpm.t,tblCalibracao[[#This Row],[Gols]],_xlpm.l,2.75,_xlpm.n,INT(_xlpm.l),_xlpm.f,ROUND(MOD(_xlpm.l,1),2),IF(_xlpm.f=0,IF(_xlpm.t&gt;_xlpm.l,"G",IF(_xlpm.t=_xlpm.l,"P","R")),IF(_xlpm.f=0.5,IF(_xlpm.t&gt;_xlpm.l,"G","R"),IF(_xlpm.f=0.25,IF(_xlpm.t&gt;=_xlpm.n+1,"G",IF(_xlpm.t=_xlpm.n,"½R","R")),IF(_xlpm.f=0.75,IF(_xlpm.t&gt;=_xlpm.n+2,"G",IF(_xlpm.t=_xlpm.n+1,"½G","R")),"—"))))))</f>
        <v>½G</v>
      </c>
      <c r="X70" s="185" t="str">
        <f>IF(tblCalibracao[[#This Row],[Gols]]="","",_xlfn.LET(_xlpm.t,tblCalibracao[[#This Row],[Gols]],_xlpm.l,3,_xlpm.n,INT(_xlpm.l),_xlpm.f,ROUND(MOD(_xlpm.l,1),2),IF(_xlpm.f=0,IF(_xlpm.t&gt;_xlpm.l,"G",IF(_xlpm.t=_xlpm.l,"P","R")),IF(_xlpm.f=0.5,IF(_xlpm.t&gt;_xlpm.l,"G","R"),IF(_xlpm.f=0.25,IF(_xlpm.t&gt;=_xlpm.n+1,"G",IF(_xlpm.t=_xlpm.n,"½R","R")),IF(_xlpm.f=0.75,IF(_xlpm.t&gt;=_xlpm.n+2,"G",IF(_xlpm.t=_xlpm.n+1,"½G","R")),"—"))))))</f>
        <v>P</v>
      </c>
      <c r="Y70" s="163" t="s">
        <v>7902</v>
      </c>
    </row>
    <row r="71" spans="1:25" ht="24" customHeight="1" thickTop="1" x14ac:dyDescent="0.3"/>
    <row r="72" spans="1:25" ht="24" customHeight="1" x14ac:dyDescent="0.3"/>
    <row r="73" spans="1:25" ht="28.05" customHeight="1" x14ac:dyDescent="0.4">
      <c r="A73" s="351" t="s">
        <v>7903</v>
      </c>
      <c r="B73" s="351"/>
      <c r="C73" s="351"/>
      <c r="D73" s="351"/>
      <c r="E73" s="351"/>
      <c r="F73" s="351"/>
      <c r="G73" s="351"/>
      <c r="H73" s="351"/>
      <c r="I73" s="351"/>
      <c r="J73" s="351"/>
      <c r="K73" s="351"/>
      <c r="L73" s="351"/>
      <c r="M73" s="351"/>
      <c r="N73" s="351"/>
      <c r="O73" s="351"/>
      <c r="P73" s="351"/>
      <c r="Q73" s="351"/>
      <c r="R73" s="351"/>
      <c r="S73" s="351"/>
      <c r="T73" s="351"/>
      <c r="U73" s="351"/>
      <c r="V73" s="351"/>
      <c r="W73" s="351"/>
      <c r="X73" s="351"/>
      <c r="Y73" s="351"/>
    </row>
    <row r="74" spans="1:25" ht="24" customHeight="1" x14ac:dyDescent="0.3">
      <c r="A74" s="283" t="s">
        <v>7904</v>
      </c>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row>
    <row r="75" spans="1:25" ht="24" customHeight="1" x14ac:dyDescent="0.3"/>
    <row r="76" spans="1:25" ht="24" customHeight="1" x14ac:dyDescent="0.3">
      <c r="A76" s="304" t="s">
        <v>7905</v>
      </c>
      <c r="B76" s="304"/>
      <c r="C76" s="304"/>
      <c r="D76" s="304"/>
      <c r="E76" s="304"/>
      <c r="F76" s="304"/>
      <c r="G76" s="304"/>
      <c r="H76" s="304"/>
      <c r="I76" s="304"/>
      <c r="J76" s="304"/>
      <c r="K76" s="304"/>
      <c r="L76" s="304"/>
      <c r="M76" s="304"/>
      <c r="N76" s="304"/>
      <c r="O76" s="304"/>
      <c r="P76" s="304"/>
      <c r="Q76" s="304"/>
      <c r="R76" s="304"/>
      <c r="S76" s="304"/>
      <c r="T76" s="304"/>
      <c r="U76" s="304"/>
      <c r="V76" s="304"/>
      <c r="W76" s="304"/>
      <c r="X76" s="304"/>
      <c r="Y76" s="304"/>
    </row>
    <row r="77" spans="1:25" ht="24" customHeight="1" x14ac:dyDescent="0.3">
      <c r="A77" s="346" t="s">
        <v>7906</v>
      </c>
      <c r="B77" s="346"/>
      <c r="C77" s="346"/>
      <c r="D77" s="346"/>
      <c r="F77" s="346" t="s">
        <v>7907</v>
      </c>
      <c r="G77" s="346"/>
      <c r="H77" s="346"/>
      <c r="I77" s="346"/>
      <c r="K77" s="346" t="s">
        <v>7908</v>
      </c>
      <c r="L77" s="346"/>
      <c r="M77" s="346"/>
      <c r="N77" s="346"/>
      <c r="P77" s="346" t="s">
        <v>7909</v>
      </c>
      <c r="Q77" s="346"/>
      <c r="R77" s="346"/>
      <c r="S77" s="346"/>
      <c r="U77" s="346" t="s">
        <v>7910</v>
      </c>
      <c r="V77" s="346"/>
      <c r="W77" s="346"/>
      <c r="X77" s="346"/>
      <c r="Y77" s="346"/>
    </row>
    <row r="78" spans="1:25" x14ac:dyDescent="0.3">
      <c r="A78" s="348">
        <f>COUNTA(tblCalibracao[Confronto])</f>
        <v>68</v>
      </c>
      <c r="B78" s="348"/>
      <c r="C78" s="348"/>
      <c r="D78" s="348"/>
      <c r="F78" s="347">
        <f>SUM(tblCalibracao[P/L (R$)])</f>
        <v>1.9999999999999518E-2</v>
      </c>
      <c r="G78" s="347"/>
      <c r="H78" s="347"/>
      <c r="I78" s="347"/>
      <c r="K78" s="349">
        <f>IFERROR(COUNTIF(tblCalibracao[P/L (R$)],"&gt;0")/COUNT(tblCalibracao[P/L (R$)]),0)</f>
        <v>0.79411764705882348</v>
      </c>
      <c r="L78" s="349"/>
      <c r="M78" s="349"/>
      <c r="N78" s="349"/>
      <c r="P78" s="345">
        <f>IFERROR(AVERAGE(tblCalibracao[Usada]),0)</f>
        <v>1.7904411764705883</v>
      </c>
      <c r="Q78" s="345"/>
      <c r="R78" s="345"/>
      <c r="S78" s="345"/>
      <c r="U78" s="347" cm="1">
        <f t="array" ref="U78">SUMPRODUCT(IFERROR((tblCalibracao[P/L M.G.]&gt;tblCalibracao[P/L (R$)])*(tblCalibracao[P/L M.G.]-tblCalibracao[P/L (R$)]),0))</f>
        <v>4.03125</v>
      </c>
      <c r="V78" s="347"/>
      <c r="W78" s="347"/>
      <c r="X78" s="347"/>
      <c r="Y78" s="347"/>
    </row>
    <row r="79" spans="1:25" x14ac:dyDescent="0.3">
      <c r="A79" s="348"/>
      <c r="B79" s="348"/>
      <c r="C79" s="348"/>
      <c r="D79" s="348"/>
      <c r="F79" s="347"/>
      <c r="G79" s="347"/>
      <c r="H79" s="347"/>
      <c r="I79" s="347"/>
      <c r="K79" s="349"/>
      <c r="L79" s="349"/>
      <c r="M79" s="349"/>
      <c r="N79" s="349"/>
      <c r="P79" s="345"/>
      <c r="Q79" s="345"/>
      <c r="R79" s="345"/>
      <c r="S79" s="345"/>
      <c r="U79" s="347"/>
      <c r="V79" s="347"/>
      <c r="W79" s="347"/>
      <c r="X79" s="347"/>
      <c r="Y79" s="347"/>
    </row>
    <row r="81" spans="1:25" x14ac:dyDescent="0.3">
      <c r="A81" s="304" t="s">
        <v>7911</v>
      </c>
      <c r="B81" s="304"/>
      <c r="C81" s="304"/>
      <c r="D81" s="304"/>
      <c r="E81" s="304"/>
      <c r="F81" s="304"/>
      <c r="G81" s="304"/>
      <c r="H81" s="304"/>
      <c r="I81" s="304"/>
      <c r="J81" s="304"/>
      <c r="K81" s="304"/>
      <c r="L81" s="304"/>
      <c r="M81" s="304"/>
      <c r="N81" s="304"/>
      <c r="O81" s="304"/>
      <c r="P81" s="304"/>
      <c r="Q81" s="304"/>
      <c r="R81" s="304"/>
      <c r="S81" s="304"/>
      <c r="T81" s="304"/>
      <c r="U81" s="304"/>
      <c r="V81" s="304"/>
      <c r="W81" s="304"/>
      <c r="X81" s="304"/>
      <c r="Y81" s="304"/>
    </row>
    <row r="82" spans="1:25" x14ac:dyDescent="0.3">
      <c r="A82" s="179" t="s">
        <v>7567</v>
      </c>
      <c r="B82" s="179" t="s">
        <v>4666</v>
      </c>
      <c r="C82" s="179" t="s">
        <v>7912</v>
      </c>
      <c r="D82" s="179" t="s">
        <v>1343</v>
      </c>
      <c r="E82" s="179" t="s">
        <v>3065</v>
      </c>
    </row>
    <row r="83" spans="1:25" x14ac:dyDescent="0.3">
      <c r="A83" s="195" t="s">
        <v>7913</v>
      </c>
      <c r="B83" s="198">
        <f>IFERROR(AVERAGE(tblCalibracao[P/L (R$)]),0)</f>
        <v>2.9411764705881646E-4</v>
      </c>
      <c r="C83" s="195" t="s">
        <v>7921</v>
      </c>
      <c r="D83" s="195" t="str">
        <f>IF(B83&gt;0,"POSITIVO","NEGATIVO")</f>
        <v>POSITIVO</v>
      </c>
      <c r="E83" s="305" t="str">
        <f>"Média de "&amp;TEXT(B83,"R$ 0,000")&amp;" por entrada."</f>
        <v>Média de R$ 0,000 por entrada.</v>
      </c>
      <c r="F83" s="305"/>
      <c r="G83" s="305"/>
      <c r="H83" s="305"/>
      <c r="I83" s="305"/>
      <c r="J83" s="305"/>
      <c r="K83" s="305"/>
      <c r="L83" s="305"/>
      <c r="M83" s="305"/>
      <c r="N83" s="305"/>
      <c r="O83" s="305"/>
      <c r="P83" s="305"/>
      <c r="Q83" s="305"/>
      <c r="R83" s="305"/>
      <c r="S83" s="305"/>
      <c r="T83" s="305"/>
      <c r="U83" s="305"/>
      <c r="V83" s="305"/>
      <c r="W83" s="305"/>
      <c r="X83" s="305"/>
      <c r="Y83" s="305"/>
    </row>
    <row r="84" spans="1:25" x14ac:dyDescent="0.3">
      <c r="A84" s="196" t="s">
        <v>7914</v>
      </c>
      <c r="B84" s="200">
        <f>COUNTIF(tblCalibracao[P/L (R$)],"&gt;0")</f>
        <v>54</v>
      </c>
      <c r="C84" s="196" t="s">
        <v>7922</v>
      </c>
      <c r="D84" s="196" t="str">
        <f>IF(B84&gt;B85,"FAVORÁVEL","ATENÇÃO")</f>
        <v>FAVORÁVEL</v>
      </c>
      <c r="E84" s="305" t="str">
        <f>B84&amp;" entradas produziram lucro."</f>
        <v>54 entradas produziram lucro.</v>
      </c>
      <c r="F84" s="305"/>
      <c r="G84" s="305"/>
      <c r="H84" s="305"/>
      <c r="I84" s="305"/>
      <c r="J84" s="305"/>
      <c r="K84" s="305"/>
      <c r="L84" s="305"/>
      <c r="M84" s="305"/>
      <c r="N84" s="305"/>
      <c r="O84" s="305"/>
      <c r="P84" s="305"/>
      <c r="Q84" s="305"/>
      <c r="R84" s="305"/>
      <c r="S84" s="305"/>
      <c r="T84" s="305"/>
      <c r="U84" s="305"/>
      <c r="V84" s="305"/>
      <c r="W84" s="305"/>
      <c r="X84" s="305"/>
      <c r="Y84" s="305"/>
    </row>
    <row r="85" spans="1:25" x14ac:dyDescent="0.3">
      <c r="A85" s="196" t="s">
        <v>7915</v>
      </c>
      <c r="B85" s="200">
        <f>COUNTIF(tblCalibracao[P/L (R$)],"&lt;0")</f>
        <v>10</v>
      </c>
      <c r="C85" s="196" t="s">
        <v>7923</v>
      </c>
      <c r="D85" s="196" t="str">
        <f>IF(B85&lt;=ROUND(B84/4,0),"CONTROLADO","ATENÇÃO")</f>
        <v>CONTROLADO</v>
      </c>
      <c r="E85" s="305" t="str">
        <f>B85&amp;" entradas produziram perda."</f>
        <v>10 entradas produziram perda.</v>
      </c>
      <c r="F85" s="305"/>
      <c r="G85" s="305"/>
      <c r="H85" s="305"/>
      <c r="I85" s="305"/>
      <c r="J85" s="305"/>
      <c r="K85" s="305"/>
      <c r="L85" s="305"/>
      <c r="M85" s="305"/>
      <c r="N85" s="305"/>
      <c r="O85" s="305"/>
      <c r="P85" s="305"/>
      <c r="Q85" s="305"/>
      <c r="R85" s="305"/>
      <c r="S85" s="305"/>
      <c r="T85" s="305"/>
      <c r="U85" s="305"/>
      <c r="V85" s="305"/>
      <c r="W85" s="305"/>
      <c r="X85" s="305"/>
      <c r="Y85" s="305"/>
    </row>
    <row r="86" spans="1:25" x14ac:dyDescent="0.3">
      <c r="A86" s="196" t="s">
        <v>7916</v>
      </c>
      <c r="B86" s="200">
        <f>COUNTIF(tblCalibracao[P/L (R$)],0)</f>
        <v>4</v>
      </c>
      <c r="C86" s="196" t="s">
        <v>7924</v>
      </c>
      <c r="D86" s="196" t="str">
        <f>IF(B86&gt;0,"PROTEÇÃO ATIVA","SEM DEVOLUÇÕES")</f>
        <v>PROTEÇÃO ATIVA</v>
      </c>
      <c r="E86" s="305" t="str">
        <f>B86&amp;" entradas terminaram sem ganho ou perda."</f>
        <v>4 entradas terminaram sem ganho ou perda.</v>
      </c>
      <c r="F86" s="305"/>
      <c r="G86" s="305"/>
      <c r="H86" s="305"/>
      <c r="I86" s="305"/>
      <c r="J86" s="305"/>
      <c r="K86" s="305"/>
      <c r="L86" s="305"/>
      <c r="M86" s="305"/>
      <c r="N86" s="305"/>
      <c r="O86" s="305"/>
      <c r="P86" s="305"/>
      <c r="Q86" s="305"/>
      <c r="R86" s="305"/>
      <c r="S86" s="305"/>
      <c r="T86" s="305"/>
      <c r="U86" s="305"/>
      <c r="V86" s="305"/>
      <c r="W86" s="305"/>
      <c r="X86" s="305"/>
      <c r="Y86" s="305"/>
    </row>
    <row r="87" spans="1:25" x14ac:dyDescent="0.3">
      <c r="A87" s="196" t="s">
        <v>7917</v>
      </c>
      <c r="B87" s="200">
        <f>COUNTIF(tblCalibracao[Análise da Entrada],"*Cashout*")</f>
        <v>3</v>
      </c>
      <c r="C87" s="196" t="s">
        <v>7925</v>
      </c>
      <c r="D87" s="196" t="str">
        <f>IF(B87&gt;0,"REGISTRADOS","NENHUM")</f>
        <v>REGISTRADOS</v>
      </c>
      <c r="E87" s="305" t="str">
        <f>B87&amp;" liquidações por cashout preservadas."</f>
        <v>3 liquidações por cashout preservadas.</v>
      </c>
      <c r="F87" s="305"/>
      <c r="G87" s="305"/>
      <c r="H87" s="305"/>
      <c r="I87" s="305"/>
      <c r="J87" s="305"/>
      <c r="K87" s="305"/>
      <c r="L87" s="305"/>
      <c r="M87" s="305"/>
      <c r="N87" s="305"/>
      <c r="O87" s="305"/>
      <c r="P87" s="305"/>
      <c r="Q87" s="305"/>
      <c r="R87" s="305"/>
      <c r="S87" s="305"/>
      <c r="T87" s="305"/>
      <c r="U87" s="305"/>
      <c r="V87" s="305"/>
      <c r="W87" s="305"/>
      <c r="X87" s="305"/>
      <c r="Y87" s="305"/>
    </row>
    <row r="88" spans="1:25" x14ac:dyDescent="0.3">
      <c r="A88" s="196" t="s">
        <v>7918</v>
      </c>
      <c r="B88" s="200">
        <f>COUNTIF(tblCalibracao[Placar],"0 x 0")</f>
        <v>4</v>
      </c>
      <c r="C88" s="196" t="s">
        <v>7926</v>
      </c>
      <c r="D88" s="196" t="str">
        <f>IF(B88&lt;=2,"BAIXA","REVISAR")</f>
        <v>REVISAR</v>
      </c>
      <c r="E88" s="305" t="str">
        <f>B88&amp;" placares sem gols na amostra."</f>
        <v>4 placares sem gols na amostra.</v>
      </c>
      <c r="F88" s="305"/>
      <c r="G88" s="305"/>
      <c r="H88" s="305"/>
      <c r="I88" s="305"/>
      <c r="J88" s="305"/>
      <c r="K88" s="305"/>
      <c r="L88" s="305"/>
      <c r="M88" s="305"/>
      <c r="N88" s="305"/>
      <c r="O88" s="305"/>
      <c r="P88" s="305"/>
      <c r="Q88" s="305"/>
      <c r="R88" s="305"/>
      <c r="S88" s="305"/>
      <c r="T88" s="305"/>
      <c r="U88" s="305"/>
      <c r="V88" s="305"/>
      <c r="W88" s="305"/>
      <c r="X88" s="305"/>
      <c r="Y88" s="305"/>
    </row>
    <row r="89" spans="1:25" x14ac:dyDescent="0.3">
      <c r="A89" s="196" t="s">
        <v>7919</v>
      </c>
      <c r="B89" s="200" cm="1">
        <f t="array" ref="B89">SUMPRODUCT(IFERROR(--(tblCalibracao[P/L M.G.] &gt; tblCalibracao[P/L (R$)]),0))</f>
        <v>59</v>
      </c>
      <c r="C89" s="196" t="s">
        <v>7927</v>
      </c>
      <c r="D89" s="196" t="str">
        <f>IF(B89/COUNTA(tblCalibracao[Confronto])&gt;50%,"CONSERVADOR","EQUILIBRADO")</f>
        <v>CONSERVADOR</v>
      </c>
      <c r="E89" s="305" t="str">
        <f>B89&amp;" de "&amp;COUNTA(tblCalibracao[Confronto])&amp;" entradas tinham alternativa cotada mais lucrativa."</f>
        <v>59 de 68 entradas tinham alternativa cotada mais lucrativa.</v>
      </c>
      <c r="F89" s="305"/>
      <c r="G89" s="305"/>
      <c r="H89" s="305"/>
      <c r="I89" s="305"/>
      <c r="J89" s="305"/>
      <c r="K89" s="305"/>
      <c r="L89" s="305"/>
      <c r="M89" s="305"/>
      <c r="N89" s="305"/>
      <c r="O89" s="305"/>
      <c r="P89" s="305"/>
      <c r="Q89" s="305"/>
      <c r="R89" s="305"/>
      <c r="S89" s="305"/>
      <c r="T89" s="305"/>
      <c r="U89" s="305"/>
      <c r="V89" s="305"/>
      <c r="W89" s="305"/>
      <c r="X89" s="305"/>
      <c r="Y89" s="305"/>
    </row>
    <row r="90" spans="1:25" x14ac:dyDescent="0.3">
      <c r="A90" s="197" t="s">
        <v>7920</v>
      </c>
      <c r="B90" s="199" cm="1">
        <f t="array" ref="B90">IFERROR(AVERAGE(_xlfn._xlws.FILTER(IFERROR(tblCalibracao[P/L M.G.]-tblCalibracao[P/L (R$)],""),IFERROR(tblCalibracao[P/L M.G.] &gt; tblCalibracao[P/L (R$)],FALSE))),0)</f>
        <v>0.1259765625</v>
      </c>
      <c r="C90" s="197" t="s">
        <v>7928</v>
      </c>
      <c r="D90" s="197" t="str">
        <f>IF(B90&lt;=0.1,"BAIXA","MATERIAL")</f>
        <v>MATERIAL</v>
      </c>
      <c r="E90" s="305" t="str">
        <f>"Diferença média retrospectiva de "&amp;TEXT(B90,"R$ 0,000")&amp;"."</f>
        <v>Diferença média retrospectiva de R$ 0,126.</v>
      </c>
      <c r="F90" s="305"/>
      <c r="G90" s="305"/>
      <c r="H90" s="305"/>
      <c r="I90" s="305"/>
      <c r="J90" s="305"/>
      <c r="K90" s="305"/>
      <c r="L90" s="305"/>
      <c r="M90" s="305"/>
      <c r="N90" s="305"/>
      <c r="O90" s="305"/>
      <c r="P90" s="305"/>
      <c r="Q90" s="305"/>
      <c r="R90" s="305"/>
      <c r="S90" s="305"/>
      <c r="T90" s="305"/>
      <c r="U90" s="305"/>
      <c r="V90" s="305"/>
      <c r="W90" s="305"/>
      <c r="X90" s="305"/>
      <c r="Y90" s="305"/>
    </row>
    <row r="92" spans="1:25" x14ac:dyDescent="0.3">
      <c r="A92" s="304" t="s">
        <v>7929</v>
      </c>
      <c r="B92" s="304"/>
      <c r="C92" s="304"/>
      <c r="D92" s="304"/>
      <c r="E92" s="304"/>
      <c r="F92" s="304"/>
      <c r="G92" s="304"/>
      <c r="H92" s="304"/>
      <c r="I92" s="304"/>
      <c r="J92" s="304"/>
      <c r="K92" s="304"/>
      <c r="L92" s="304"/>
      <c r="M92" s="304"/>
      <c r="N92" s="304"/>
      <c r="O92" s="304"/>
      <c r="P92" s="304"/>
      <c r="Q92" s="304"/>
      <c r="R92" s="304"/>
      <c r="S92" s="304"/>
      <c r="T92" s="304"/>
      <c r="U92" s="304"/>
      <c r="V92" s="304"/>
      <c r="W92" s="304"/>
      <c r="X92" s="304"/>
      <c r="Y92" s="304"/>
    </row>
    <row r="93" spans="1:25" ht="24" customHeight="1" x14ac:dyDescent="0.3">
      <c r="A93" s="305" t="str" cm="1">
        <f t="array" ref="A93">_xlfn.LET(_xlpm.n,COUNTA(tblCalibracao[Confronto]),_xlpm.pos,COUNTIF(tblCalibracao[P/L (R$)],"&gt;0"),_xlpm.neg,COUNTIF(tblCalibracao[P/L (R$)],"&lt;0"),_xlpm.pl,SUM(tblCalibracao[P/L (R$)]),_xlpm.sup,SUMPRODUCT(--(tblCalibracao[P/L M.G.] &gt; tblCalibracao[P/L (R$)])),"A amostra contém "&amp;_xlpm.n&amp;" entradas, com "&amp;_xlpm.pos&amp;" resultados positivos e "&amp;_xlpm.neg&amp;" negativos, acumulando "&amp;TEXT(_xlpm.pl,"R$ 0,00")&amp;". Em "&amp;_xlpm.sup&amp;" casos, uma linha cotada superior teria produzido P/L maior; este dado mede conservadorismo retrospectivo e não deve avançar automaticamente a linha futura.")</f>
        <v>A amostra contém 68 entradas, com 54 resultados positivos e 10 negativos, acumulando R$ 0,02. Em 59 casos, uma linha cotada superior teria produzido P/L maior; este dado mede conservadorismo retrospectivo e não deve avançar automaticamente a linha futura.</v>
      </c>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row>
    <row r="94" spans="1:25" ht="24" customHeight="1" x14ac:dyDescent="0.3">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row>
    <row r="95" spans="1:25" ht="24" customHeight="1" x14ac:dyDescent="0.3">
      <c r="A95" s="305"/>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row>
    <row r="97" spans="1:25" x14ac:dyDescent="0.3">
      <c r="A97" s="304" t="s">
        <v>7930</v>
      </c>
      <c r="B97" s="304"/>
      <c r="C97" s="304"/>
      <c r="D97" s="304"/>
      <c r="E97" s="304"/>
      <c r="F97" s="304"/>
      <c r="G97" s="304"/>
      <c r="H97" s="304"/>
      <c r="I97" s="304"/>
      <c r="J97" s="304"/>
      <c r="K97" s="304"/>
      <c r="L97" s="304"/>
      <c r="M97" s="304"/>
      <c r="N97" s="304"/>
      <c r="O97" s="304"/>
      <c r="P97" s="304"/>
      <c r="Q97" s="304"/>
      <c r="R97" s="304"/>
      <c r="S97" s="304"/>
      <c r="T97" s="304"/>
      <c r="U97" s="304"/>
      <c r="V97" s="304"/>
      <c r="W97" s="304"/>
      <c r="X97" s="304"/>
      <c r="Y97" s="304"/>
    </row>
    <row r="98" spans="1:25" ht="22.05" customHeight="1" x14ac:dyDescent="0.3">
      <c r="A98" s="325" t="s">
        <v>7931</v>
      </c>
      <c r="B98" s="325"/>
      <c r="C98" s="325"/>
      <c r="D98" s="325"/>
      <c r="E98" s="325"/>
      <c r="F98" s="325"/>
      <c r="G98" s="325"/>
      <c r="H98" s="325"/>
      <c r="I98" s="325"/>
      <c r="J98" s="325"/>
      <c r="K98" s="325"/>
      <c r="L98" s="325"/>
      <c r="M98" s="325"/>
      <c r="N98" s="325"/>
      <c r="O98" s="325"/>
      <c r="P98" s="325"/>
      <c r="Q98" s="325"/>
      <c r="R98" s="325"/>
      <c r="S98" s="325"/>
      <c r="T98" s="325"/>
      <c r="U98" s="325"/>
      <c r="V98" s="325"/>
      <c r="W98" s="325"/>
      <c r="X98" s="325"/>
      <c r="Y98" s="325"/>
    </row>
    <row r="99" spans="1:25" ht="22.05" customHeight="1" x14ac:dyDescent="0.3">
      <c r="A99" s="325"/>
      <c r="B99" s="325"/>
      <c r="C99" s="325"/>
      <c r="D99" s="325"/>
      <c r="E99" s="325"/>
      <c r="F99" s="325"/>
      <c r="G99" s="325"/>
      <c r="H99" s="325"/>
      <c r="I99" s="325"/>
      <c r="J99" s="325"/>
      <c r="K99" s="325"/>
      <c r="L99" s="325"/>
      <c r="M99" s="325"/>
      <c r="N99" s="325"/>
      <c r="O99" s="325"/>
      <c r="P99" s="325"/>
      <c r="Q99" s="325"/>
      <c r="R99" s="325"/>
      <c r="S99" s="325"/>
      <c r="T99" s="325"/>
      <c r="U99" s="325"/>
      <c r="V99" s="325"/>
      <c r="W99" s="325"/>
      <c r="X99" s="325"/>
      <c r="Y99" s="325"/>
    </row>
    <row r="101" spans="1:25" ht="24" customHeight="1" x14ac:dyDescent="0.3">
      <c r="A101" s="309" t="s">
        <v>11364</v>
      </c>
      <c r="B101" s="309"/>
      <c r="C101" s="309"/>
      <c r="D101" s="309"/>
      <c r="E101" s="309"/>
      <c r="F101" s="309"/>
      <c r="G101" s="309"/>
    </row>
    <row r="102" spans="1:25" x14ac:dyDescent="0.3">
      <c r="A102" s="263" t="s">
        <v>11365</v>
      </c>
      <c r="B102" s="263" t="s">
        <v>11366</v>
      </c>
      <c r="C102" s="263" t="s">
        <v>11367</v>
      </c>
      <c r="D102" s="263" t="s">
        <v>11368</v>
      </c>
      <c r="E102" s="263" t="s">
        <v>11369</v>
      </c>
      <c r="F102" s="263" t="s">
        <v>11370</v>
      </c>
      <c r="G102" s="263" t="s">
        <v>3065</v>
      </c>
    </row>
    <row r="103" spans="1:25" ht="28.8" x14ac:dyDescent="0.3">
      <c r="A103" s="264" t="s">
        <v>11371</v>
      </c>
      <c r="B103" s="266">
        <v>64</v>
      </c>
      <c r="C103" s="268">
        <v>0.28499999999999959</v>
      </c>
      <c r="D103" s="268">
        <v>0.28499999999999959</v>
      </c>
      <c r="E103" s="268">
        <f>D103-C103</f>
        <v>0</v>
      </c>
      <c r="F103" s="269">
        <f>IFERROR(D103/(B103*0.5),0)</f>
        <v>8.9062499999999871E-3</v>
      </c>
      <c r="G103" s="272" t="s">
        <v>11376</v>
      </c>
    </row>
    <row r="104" spans="1:25" ht="28.8" x14ac:dyDescent="0.3">
      <c r="A104" s="264" t="s">
        <v>11372</v>
      </c>
      <c r="B104" s="266">
        <v>49</v>
      </c>
      <c r="C104" s="268">
        <v>0.6449999999999998</v>
      </c>
      <c r="D104" s="268">
        <v>-1.1680000000000004</v>
      </c>
      <c r="E104" s="268">
        <f>D104-C104</f>
        <v>-1.8130000000000002</v>
      </c>
      <c r="F104" s="269">
        <f>IFERROR(D104/(B104*0.5),0)</f>
        <v>-4.7673469387755116E-2</v>
      </c>
      <c r="G104" s="272" t="s">
        <v>11377</v>
      </c>
    </row>
    <row r="105" spans="1:25" ht="28.8" x14ac:dyDescent="0.3">
      <c r="A105" s="264" t="s">
        <v>11373</v>
      </c>
      <c r="B105" s="266">
        <v>47</v>
      </c>
      <c r="C105" s="268">
        <v>0.5349999999999997</v>
      </c>
      <c r="D105" s="268">
        <v>-0.74800000000000044</v>
      </c>
      <c r="E105" s="268">
        <f>D105-C105</f>
        <v>-1.2830000000000001</v>
      </c>
      <c r="F105" s="269">
        <f>IFERROR(D105/(B105*0.5),0)</f>
        <v>-3.1829787234042575E-2</v>
      </c>
      <c r="G105" s="272" t="s">
        <v>11378</v>
      </c>
    </row>
    <row r="106" spans="1:25" ht="28.8" x14ac:dyDescent="0.3">
      <c r="A106" s="264" t="s">
        <v>11374</v>
      </c>
      <c r="B106" s="266">
        <v>39</v>
      </c>
      <c r="C106" s="268">
        <v>0.88499999999999979</v>
      </c>
      <c r="D106" s="268">
        <v>-0.28625000000000062</v>
      </c>
      <c r="E106" s="268">
        <f>D106-C106</f>
        <v>-1.1712500000000003</v>
      </c>
      <c r="F106" s="269">
        <f>IFERROR(D106/(B106*0.5),0)</f>
        <v>-1.4679487179487211E-2</v>
      </c>
      <c r="G106" s="272" t="s">
        <v>11379</v>
      </c>
    </row>
    <row r="107" spans="1:25" ht="28.8" x14ac:dyDescent="0.3">
      <c r="A107" s="265" t="s">
        <v>11375</v>
      </c>
      <c r="B107" s="267">
        <v>22</v>
      </c>
      <c r="C107" s="270">
        <v>1.3024999999999998</v>
      </c>
      <c r="D107" s="270">
        <v>1.0074999999999996</v>
      </c>
      <c r="E107" s="270">
        <f>D107-C107</f>
        <v>-0.29500000000000015</v>
      </c>
      <c r="F107" s="271">
        <f>IFERROR(D107/(B107*0.5),0)</f>
        <v>9.1590909090909056E-2</v>
      </c>
      <c r="G107" s="273" t="s">
        <v>11380</v>
      </c>
    </row>
    <row r="108" spans="1:25" ht="42" customHeight="1" x14ac:dyDescent="0.3">
      <c r="A108" s="344" t="s">
        <v>11381</v>
      </c>
      <c r="B108" s="344"/>
      <c r="C108" s="344"/>
      <c r="D108" s="344"/>
      <c r="E108" s="344"/>
      <c r="F108" s="344"/>
      <c r="G108" s="344"/>
    </row>
    <row r="110" spans="1:25" ht="24" customHeight="1" x14ac:dyDescent="0.3">
      <c r="A110" s="309" t="s">
        <v>11382</v>
      </c>
      <c r="B110" s="309"/>
      <c r="C110" s="309"/>
      <c r="D110" s="309"/>
      <c r="E110" s="309"/>
      <c r="F110" s="309"/>
      <c r="G110" s="309"/>
    </row>
    <row r="111" spans="1:25" x14ac:dyDescent="0.3">
      <c r="A111" s="263" t="s">
        <v>3066</v>
      </c>
      <c r="B111" s="263" t="s">
        <v>3191</v>
      </c>
      <c r="C111" s="263" t="s">
        <v>11366</v>
      </c>
      <c r="D111" s="263" t="s">
        <v>11383</v>
      </c>
      <c r="E111" s="263" t="s">
        <v>11384</v>
      </c>
      <c r="F111" s="263" t="s">
        <v>11385</v>
      </c>
      <c r="G111" s="263" t="s">
        <v>3065</v>
      </c>
    </row>
    <row r="112" spans="1:25" ht="28.8" x14ac:dyDescent="0.3">
      <c r="A112" t="s">
        <v>11386</v>
      </c>
      <c r="B112" s="142">
        <v>0.65</v>
      </c>
      <c r="G112" s="81" t="s">
        <v>11387</v>
      </c>
    </row>
    <row r="113" spans="1:7" ht="28.8" x14ac:dyDescent="0.3">
      <c r="A113" t="s">
        <v>11388</v>
      </c>
      <c r="B113" s="142">
        <v>0.85</v>
      </c>
      <c r="G113" s="81" t="s">
        <v>11389</v>
      </c>
    </row>
    <row r="114" spans="1:7" ht="28.8" x14ac:dyDescent="0.3">
      <c r="A114" t="s">
        <v>11390</v>
      </c>
      <c r="B114" s="142">
        <v>0.02</v>
      </c>
      <c r="G114" s="81" t="s">
        <v>11391</v>
      </c>
    </row>
    <row r="115" spans="1:7" ht="28.8" x14ac:dyDescent="0.3">
      <c r="A115" t="s">
        <v>11392</v>
      </c>
      <c r="B115" t="s">
        <v>11393</v>
      </c>
      <c r="G115" s="81" t="s">
        <v>11394</v>
      </c>
    </row>
    <row r="116" spans="1:7" ht="28.8" x14ac:dyDescent="0.3">
      <c r="A116" s="98" t="s">
        <v>11395</v>
      </c>
      <c r="B116" s="98" t="s">
        <v>11396</v>
      </c>
      <c r="C116" s="229">
        <v>7</v>
      </c>
      <c r="D116" s="274">
        <v>0.28499999999999998</v>
      </c>
      <c r="E116" s="274">
        <v>0.36</v>
      </c>
      <c r="F116" s="274">
        <v>7.4999999999999997E-2</v>
      </c>
      <c r="G116" s="230" t="s">
        <v>11397</v>
      </c>
    </row>
    <row r="117" spans="1:7" ht="36" customHeight="1" x14ac:dyDescent="0.3">
      <c r="A117" s="306" t="s">
        <v>11398</v>
      </c>
      <c r="B117" s="306"/>
      <c r="C117" s="306"/>
      <c r="D117" s="306"/>
      <c r="E117" s="306"/>
      <c r="F117" s="306"/>
      <c r="G117" s="306"/>
    </row>
  </sheetData>
  <mergeCells count="31">
    <mergeCell ref="A1:X1"/>
    <mergeCell ref="A73:Y73"/>
    <mergeCell ref="A74:Y74"/>
    <mergeCell ref="A76:Y76"/>
    <mergeCell ref="P77:S77"/>
    <mergeCell ref="P78:S79"/>
    <mergeCell ref="U77:Y77"/>
    <mergeCell ref="U78:Y79"/>
    <mergeCell ref="A81:Y81"/>
    <mergeCell ref="A77:D77"/>
    <mergeCell ref="A78:D79"/>
    <mergeCell ref="F77:I77"/>
    <mergeCell ref="F78:I79"/>
    <mergeCell ref="K77:N77"/>
    <mergeCell ref="K78:N79"/>
    <mergeCell ref="E83:Y83"/>
    <mergeCell ref="E84:Y84"/>
    <mergeCell ref="E85:Y85"/>
    <mergeCell ref="E86:Y86"/>
    <mergeCell ref="E87:Y87"/>
    <mergeCell ref="E88:Y88"/>
    <mergeCell ref="E89:Y89"/>
    <mergeCell ref="E90:Y90"/>
    <mergeCell ref="A92:Y92"/>
    <mergeCell ref="A93:Y95"/>
    <mergeCell ref="A101:G101"/>
    <mergeCell ref="A108:G108"/>
    <mergeCell ref="A110:G110"/>
    <mergeCell ref="A117:G117"/>
    <mergeCell ref="A97:Y97"/>
    <mergeCell ref="A98:Y99"/>
  </mergeCells>
  <conditionalFormatting sqref="D83:D90">
    <cfRule type="expression" dxfId="16" priority="22">
      <formula>OR(D83="POSITIVO",D83="FAVORÁVEL",D83="CONTROLADO",D83="PROTEÇÃO ATIVA",D83="REGISTRADOS",D83="BAIXA",D83="EQUILIBRADO")</formula>
    </cfRule>
    <cfRule type="expression" dxfId="15" priority="23">
      <formula>OR(D83="NEGATIVO",D83="ATENÇÃO",D83="REVISAR",D83="CONSERVADOR",D83="MATERIAL")</formula>
    </cfRule>
  </conditionalFormatting>
  <conditionalFormatting sqref="N3:X70 N72:X72">
    <cfRule type="expression" dxfId="14" priority="19">
      <formula>OR(N3="G",N3="½G")</formula>
    </cfRule>
    <cfRule type="expression" dxfId="13" priority="20">
      <formula>N3="P"</formula>
    </cfRule>
    <cfRule type="expression" dxfId="12" priority="21">
      <formula>OR(N3="R",N3="½R")</formula>
    </cfRule>
  </conditionalFormatting>
  <conditionalFormatting sqref="N101:X246">
    <cfRule type="expression" dxfId="11" priority="1">
      <formula>OR(N101="G",N101="½G")</formula>
    </cfRule>
    <cfRule type="expression" dxfId="10" priority="2">
      <formula>N101="P"</formula>
    </cfRule>
    <cfRule type="expression" dxfId="9" priority="3">
      <formula>OR(N101="R",N101="½R")</formula>
    </cfRule>
  </conditionalFormatting>
  <pageMargins left="0.511811024" right="0.511811024" top="0.78740157499999996" bottom="0.78740157499999996" header="0.31496062000000002" footer="0.31496062000000002"/>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88FC-40A8-400C-AC93-592C7E68F9D5}">
  <dimension ref="A1:L78"/>
  <sheetViews>
    <sheetView tabSelected="1" workbookViewId="0">
      <selection activeCell="J15" sqref="J15"/>
    </sheetView>
  </sheetViews>
  <sheetFormatPr defaultRowHeight="14.4" x14ac:dyDescent="0.3"/>
  <cols>
    <col min="1" max="1" width="18.5546875" customWidth="1"/>
    <col min="2" max="2" width="21.33203125" customWidth="1"/>
    <col min="3" max="3" width="7.44140625" customWidth="1"/>
    <col min="4" max="10" width="9.21875" customWidth="1"/>
    <col min="11" max="11" width="11.109375" customWidth="1"/>
    <col min="12" max="12" width="37" customWidth="1"/>
  </cols>
  <sheetData>
    <row r="1" spans="1:12" ht="23.4" x14ac:dyDescent="0.3">
      <c r="A1" s="368" t="s">
        <v>10660</v>
      </c>
      <c r="B1" s="368"/>
      <c r="C1" s="368"/>
      <c r="D1" s="368"/>
      <c r="E1" s="368"/>
      <c r="F1" s="368"/>
      <c r="G1" s="368"/>
      <c r="H1" s="368"/>
      <c r="I1" s="368"/>
      <c r="J1" s="368"/>
      <c r="K1" s="368"/>
      <c r="L1" s="368"/>
    </row>
    <row r="2" spans="1:12" x14ac:dyDescent="0.3">
      <c r="A2" s="369" t="s">
        <v>10772</v>
      </c>
      <c r="B2" s="369"/>
      <c r="C2" s="369"/>
      <c r="D2" s="369"/>
      <c r="E2" s="369"/>
      <c r="F2" s="369"/>
      <c r="G2" s="369"/>
      <c r="H2" s="369"/>
      <c r="I2" s="369"/>
      <c r="J2" s="369"/>
      <c r="K2" s="369"/>
      <c r="L2" s="369"/>
    </row>
    <row r="3" spans="1:12" x14ac:dyDescent="0.3">
      <c r="A3" s="223"/>
      <c r="B3" s="223"/>
      <c r="C3" s="223"/>
      <c r="D3" s="223"/>
      <c r="E3" s="223"/>
      <c r="F3" s="223"/>
      <c r="G3" s="223"/>
      <c r="H3" s="223"/>
      <c r="I3" s="223"/>
      <c r="J3" s="223"/>
      <c r="K3" s="223"/>
      <c r="L3" s="223"/>
    </row>
    <row r="4" spans="1:12" x14ac:dyDescent="0.3">
      <c r="A4" s="370" t="s">
        <v>10773</v>
      </c>
      <c r="B4" s="370"/>
      <c r="C4" s="370"/>
      <c r="D4" s="370"/>
      <c r="E4" s="370"/>
      <c r="F4" s="370"/>
      <c r="G4" s="370"/>
      <c r="H4" s="370"/>
      <c r="I4" s="370"/>
      <c r="J4" s="370"/>
      <c r="K4" s="370"/>
      <c r="L4" s="370"/>
    </row>
    <row r="5" spans="1:12" x14ac:dyDescent="0.3">
      <c r="A5" s="370"/>
      <c r="B5" s="370"/>
      <c r="C5" s="370"/>
      <c r="D5" s="370"/>
      <c r="E5" s="370"/>
      <c r="F5" s="370"/>
      <c r="G5" s="370"/>
      <c r="H5" s="370"/>
      <c r="I5" s="370"/>
      <c r="J5" s="370"/>
      <c r="K5" s="370"/>
      <c r="L5" s="370"/>
    </row>
    <row r="6" spans="1:12" x14ac:dyDescent="0.3">
      <c r="A6" s="370"/>
      <c r="B6" s="370"/>
      <c r="C6" s="370"/>
      <c r="D6" s="370"/>
      <c r="E6" s="370"/>
      <c r="F6" s="370"/>
      <c r="G6" s="370"/>
      <c r="H6" s="370"/>
      <c r="I6" s="370"/>
      <c r="J6" s="370"/>
      <c r="K6" s="370"/>
      <c r="L6" s="370"/>
    </row>
    <row r="7" spans="1:12" x14ac:dyDescent="0.3">
      <c r="A7" s="223"/>
      <c r="B7" s="223"/>
      <c r="C7" s="223"/>
      <c r="D7" s="223"/>
      <c r="E7" s="223"/>
      <c r="F7" s="223"/>
      <c r="G7" s="223"/>
      <c r="H7" s="223"/>
      <c r="I7" s="223"/>
      <c r="J7" s="223"/>
      <c r="K7" s="223"/>
      <c r="L7" s="223"/>
    </row>
    <row r="8" spans="1:12" ht="24" customHeight="1" x14ac:dyDescent="0.3">
      <c r="A8" s="371" t="s">
        <v>10661</v>
      </c>
      <c r="B8" s="362"/>
      <c r="C8" s="361" t="s">
        <v>10662</v>
      </c>
      <c r="D8" s="362"/>
      <c r="E8" s="361" t="s">
        <v>10663</v>
      </c>
      <c r="F8" s="362"/>
      <c r="G8" s="361" t="s">
        <v>10664</v>
      </c>
      <c r="H8" s="362"/>
      <c r="I8" s="361" t="s">
        <v>10665</v>
      </c>
      <c r="J8" s="362"/>
      <c r="K8" s="361" t="s">
        <v>10666</v>
      </c>
      <c r="L8" s="362"/>
    </row>
    <row r="9" spans="1:12" ht="24" customHeight="1" x14ac:dyDescent="0.3">
      <c r="A9" s="355" t="s">
        <v>10667</v>
      </c>
      <c r="B9" s="356"/>
      <c r="C9" s="357" t="s">
        <v>10668</v>
      </c>
      <c r="D9" s="356"/>
      <c r="E9" s="357" t="s">
        <v>10669</v>
      </c>
      <c r="F9" s="356"/>
      <c r="G9" s="357" t="s">
        <v>10670</v>
      </c>
      <c r="H9" s="356"/>
      <c r="I9" s="357" t="s">
        <v>10671</v>
      </c>
      <c r="J9" s="356"/>
      <c r="K9" s="357" t="s">
        <v>10672</v>
      </c>
      <c r="L9" s="356"/>
    </row>
    <row r="10" spans="1:12" ht="24" customHeight="1" x14ac:dyDescent="0.3">
      <c r="A10" s="358" t="s">
        <v>10667</v>
      </c>
      <c r="B10" s="359"/>
      <c r="C10" s="360" t="s">
        <v>10673</v>
      </c>
      <c r="D10" s="359"/>
      <c r="E10" s="360" t="s">
        <v>10674</v>
      </c>
      <c r="F10" s="359"/>
      <c r="G10" s="360" t="s">
        <v>10675</v>
      </c>
      <c r="H10" s="359"/>
      <c r="I10" s="360" t="s">
        <v>10676</v>
      </c>
      <c r="J10" s="359"/>
      <c r="K10" s="360" t="s">
        <v>10677</v>
      </c>
      <c r="L10" s="359"/>
    </row>
    <row r="11" spans="1:12" ht="24" customHeight="1" x14ac:dyDescent="0.3">
      <c r="A11" s="355" t="s">
        <v>10678</v>
      </c>
      <c r="B11" s="356"/>
      <c r="C11" s="357" t="s">
        <v>10668</v>
      </c>
      <c r="D11" s="356"/>
      <c r="E11" s="357" t="s">
        <v>10679</v>
      </c>
      <c r="F11" s="356"/>
      <c r="G11" s="357" t="s">
        <v>10680</v>
      </c>
      <c r="H11" s="356"/>
      <c r="I11" s="357" t="s">
        <v>10681</v>
      </c>
      <c r="J11" s="356"/>
      <c r="K11" s="357" t="s">
        <v>10672</v>
      </c>
      <c r="L11" s="356"/>
    </row>
    <row r="12" spans="1:12" ht="24" customHeight="1" x14ac:dyDescent="0.3">
      <c r="A12" s="352" t="s">
        <v>10682</v>
      </c>
      <c r="B12" s="353"/>
      <c r="C12" s="354" t="s">
        <v>10668</v>
      </c>
      <c r="D12" s="353"/>
      <c r="E12" s="354" t="s">
        <v>10683</v>
      </c>
      <c r="F12" s="353"/>
      <c r="G12" s="354" t="s">
        <v>10684</v>
      </c>
      <c r="H12" s="353"/>
      <c r="I12" s="354" t="s">
        <v>10685</v>
      </c>
      <c r="J12" s="353"/>
      <c r="K12" s="354" t="s">
        <v>10672</v>
      </c>
      <c r="L12" s="353"/>
    </row>
    <row r="13" spans="1:12" x14ac:dyDescent="0.3">
      <c r="A13" s="223"/>
      <c r="B13" s="223"/>
      <c r="C13" s="223"/>
      <c r="D13" s="223"/>
      <c r="E13" s="223"/>
      <c r="F13" s="223"/>
      <c r="G13" s="223"/>
      <c r="H13" s="223"/>
      <c r="I13" s="223"/>
      <c r="J13" s="223"/>
      <c r="K13" s="223"/>
      <c r="L13" s="223"/>
    </row>
    <row r="14" spans="1:12" ht="15.6" x14ac:dyDescent="0.3">
      <c r="A14" s="364" t="s">
        <v>10686</v>
      </c>
      <c r="B14" s="364"/>
      <c r="C14" s="364"/>
      <c r="D14" s="364"/>
      <c r="E14" s="364"/>
      <c r="F14" s="364"/>
      <c r="G14" s="364"/>
      <c r="H14" s="364"/>
      <c r="I14" s="364"/>
      <c r="J14" s="364"/>
      <c r="K14" s="364"/>
      <c r="L14" s="364"/>
    </row>
    <row r="15" spans="1:12" x14ac:dyDescent="0.3">
      <c r="A15" s="224" t="s">
        <v>343</v>
      </c>
      <c r="B15" s="224" t="s">
        <v>0</v>
      </c>
      <c r="C15" s="224" t="s">
        <v>10687</v>
      </c>
      <c r="D15" s="224" t="s">
        <v>10688</v>
      </c>
      <c r="E15" s="224" t="s">
        <v>10689</v>
      </c>
      <c r="F15" s="224" t="s">
        <v>10690</v>
      </c>
      <c r="G15" s="224" t="s">
        <v>10691</v>
      </c>
      <c r="H15" s="224" t="s">
        <v>10692</v>
      </c>
      <c r="I15" s="224" t="s">
        <v>10693</v>
      </c>
      <c r="J15" s="224" t="s">
        <v>10694</v>
      </c>
      <c r="K15" s="224" t="s">
        <v>805</v>
      </c>
      <c r="L15" s="224" t="s">
        <v>10695</v>
      </c>
    </row>
    <row r="16" spans="1:12" ht="57.6" x14ac:dyDescent="0.3">
      <c r="A16" s="223" t="s">
        <v>4399</v>
      </c>
      <c r="B16" s="223" t="s">
        <v>4290</v>
      </c>
      <c r="C16" s="225">
        <v>13</v>
      </c>
      <c r="D16" s="226">
        <v>3.2307692307692308</v>
      </c>
      <c r="E16" s="226">
        <v>5.5384615384615383</v>
      </c>
      <c r="F16" s="227">
        <v>0.84615384615384615</v>
      </c>
      <c r="G16" s="227">
        <v>0.69230769230769229</v>
      </c>
      <c r="H16" s="227">
        <v>0.83333333333333337</v>
      </c>
      <c r="I16" s="227">
        <v>0.5714285714285714</v>
      </c>
      <c r="J16" s="227">
        <v>7.6923076923076927E-2</v>
      </c>
      <c r="K16" s="225" t="s">
        <v>10696</v>
      </c>
      <c r="L16" s="221" t="s">
        <v>10733</v>
      </c>
    </row>
    <row r="17" spans="1:12" ht="57.6" x14ac:dyDescent="0.3">
      <c r="A17" s="223" t="s">
        <v>2984</v>
      </c>
      <c r="B17" s="223" t="s">
        <v>1336</v>
      </c>
      <c r="C17" s="225">
        <v>12</v>
      </c>
      <c r="D17" s="226">
        <v>3.6666666666666665</v>
      </c>
      <c r="E17" s="226">
        <v>5.916666666666667</v>
      </c>
      <c r="F17" s="227">
        <v>0.83333333333333337</v>
      </c>
      <c r="G17" s="227">
        <v>0.75</v>
      </c>
      <c r="H17" s="227">
        <v>1</v>
      </c>
      <c r="I17" s="227">
        <v>0.5</v>
      </c>
      <c r="J17" s="227">
        <v>8.3333333333333329E-2</v>
      </c>
      <c r="K17" s="225" t="s">
        <v>10696</v>
      </c>
      <c r="L17" s="221" t="s">
        <v>10734</v>
      </c>
    </row>
    <row r="18" spans="1:12" ht="57.6" x14ac:dyDescent="0.3">
      <c r="A18" s="223" t="s">
        <v>6958</v>
      </c>
      <c r="B18" s="223" t="s">
        <v>987</v>
      </c>
      <c r="C18" s="225">
        <v>12</v>
      </c>
      <c r="D18" s="226">
        <v>3.4166666666666665</v>
      </c>
      <c r="E18" s="226">
        <v>5.583333333333333</v>
      </c>
      <c r="F18" s="227">
        <v>0.83333333333333337</v>
      </c>
      <c r="G18" s="227">
        <v>0.66666666666666663</v>
      </c>
      <c r="H18" s="227">
        <v>0.66666666666666663</v>
      </c>
      <c r="I18" s="227">
        <v>0.66666666666666663</v>
      </c>
      <c r="J18" s="227">
        <v>0</v>
      </c>
      <c r="K18" s="225" t="s">
        <v>10696</v>
      </c>
      <c r="L18" s="221" t="s">
        <v>10735</v>
      </c>
    </row>
    <row r="19" spans="1:12" ht="57.6" x14ac:dyDescent="0.3">
      <c r="A19" s="223" t="s">
        <v>6957</v>
      </c>
      <c r="B19" s="223" t="s">
        <v>987</v>
      </c>
      <c r="C19" s="225">
        <v>12</v>
      </c>
      <c r="D19" s="226">
        <v>2.4166666666666665</v>
      </c>
      <c r="E19" s="226">
        <v>5.25</v>
      </c>
      <c r="F19" s="227">
        <v>0.83333333333333337</v>
      </c>
      <c r="G19" s="227">
        <v>0.5</v>
      </c>
      <c r="H19" s="227">
        <v>0.66666666666666663</v>
      </c>
      <c r="I19" s="227">
        <v>0.33333333333333331</v>
      </c>
      <c r="J19" s="227">
        <v>8.3333333333333329E-2</v>
      </c>
      <c r="K19" s="225" t="s">
        <v>10697</v>
      </c>
      <c r="L19" s="221" t="s">
        <v>10736</v>
      </c>
    </row>
    <row r="20" spans="1:12" ht="57.6" x14ac:dyDescent="0.3">
      <c r="A20" s="223" t="s">
        <v>4397</v>
      </c>
      <c r="B20" s="223" t="s">
        <v>4290</v>
      </c>
      <c r="C20" s="225">
        <v>12</v>
      </c>
      <c r="D20" s="226">
        <v>3.25</v>
      </c>
      <c r="E20" s="226">
        <v>4.25</v>
      </c>
      <c r="F20" s="227">
        <v>0.75</v>
      </c>
      <c r="G20" s="227">
        <v>0.58333333333333337</v>
      </c>
      <c r="H20" s="227">
        <v>0.6</v>
      </c>
      <c r="I20" s="227">
        <v>0.5714285714285714</v>
      </c>
      <c r="J20" s="227">
        <v>0</v>
      </c>
      <c r="K20" s="225" t="s">
        <v>10697</v>
      </c>
      <c r="L20" s="221" t="s">
        <v>10737</v>
      </c>
    </row>
    <row r="21" spans="1:12" ht="57.6" x14ac:dyDescent="0.3">
      <c r="A21" s="223" t="s">
        <v>568</v>
      </c>
      <c r="B21" s="223" t="s">
        <v>845</v>
      </c>
      <c r="C21" s="225">
        <v>15</v>
      </c>
      <c r="D21" s="226">
        <v>2.8</v>
      </c>
      <c r="E21" s="226">
        <v>4.8</v>
      </c>
      <c r="F21" s="227">
        <v>0.73333333333333328</v>
      </c>
      <c r="G21" s="227">
        <v>0.46666666666666667</v>
      </c>
      <c r="H21" s="227">
        <v>0.5714285714285714</v>
      </c>
      <c r="I21" s="227">
        <v>0.375</v>
      </c>
      <c r="J21" s="227">
        <v>6.6666666666666666E-2</v>
      </c>
      <c r="K21" s="225" t="s">
        <v>10697</v>
      </c>
      <c r="L21" s="221" t="s">
        <v>10738</v>
      </c>
    </row>
    <row r="22" spans="1:12" ht="57.6" x14ac:dyDescent="0.3">
      <c r="A22" s="223" t="s">
        <v>202</v>
      </c>
      <c r="B22" s="223" t="s">
        <v>851</v>
      </c>
      <c r="C22" s="225">
        <v>15</v>
      </c>
      <c r="D22" s="226">
        <v>2.2666666666666666</v>
      </c>
      <c r="E22" s="226">
        <v>3.6666666666666665</v>
      </c>
      <c r="F22" s="227">
        <v>0.73333333333333328</v>
      </c>
      <c r="G22" s="227">
        <v>0.46666666666666667</v>
      </c>
      <c r="H22" s="227">
        <v>0.6</v>
      </c>
      <c r="I22" s="227">
        <v>0.4</v>
      </c>
      <c r="J22" s="227">
        <v>0.13333333333333333</v>
      </c>
      <c r="K22" s="225" t="s">
        <v>10697</v>
      </c>
      <c r="L22" s="221" t="s">
        <v>10739</v>
      </c>
    </row>
    <row r="23" spans="1:12" ht="57.6" x14ac:dyDescent="0.3">
      <c r="A23" s="223" t="s">
        <v>433</v>
      </c>
      <c r="B23" s="223" t="s">
        <v>882</v>
      </c>
      <c r="C23" s="225">
        <v>14</v>
      </c>
      <c r="D23" s="226">
        <v>3</v>
      </c>
      <c r="E23" s="226">
        <v>4.7142857142857144</v>
      </c>
      <c r="F23" s="227">
        <v>0.7142857142857143</v>
      </c>
      <c r="G23" s="227">
        <v>0.5</v>
      </c>
      <c r="H23" s="227">
        <v>0.625</v>
      </c>
      <c r="I23" s="227">
        <v>0.33333333333333331</v>
      </c>
      <c r="J23" s="227">
        <v>7.1428571428571425E-2</v>
      </c>
      <c r="K23" s="225" t="s">
        <v>10697</v>
      </c>
      <c r="L23" s="221" t="s">
        <v>10740</v>
      </c>
    </row>
    <row r="24" spans="1:12" ht="57.6" x14ac:dyDescent="0.3">
      <c r="A24" s="223" t="s">
        <v>126</v>
      </c>
      <c r="B24" s="223" t="s">
        <v>4291</v>
      </c>
      <c r="C24" s="225">
        <v>12</v>
      </c>
      <c r="D24" s="226">
        <v>3.1666666666666665</v>
      </c>
      <c r="E24" s="226">
        <v>4.666666666666667</v>
      </c>
      <c r="F24" s="227">
        <v>0.66666666666666663</v>
      </c>
      <c r="G24" s="227">
        <v>0.58333333333333337</v>
      </c>
      <c r="H24" s="227">
        <v>0.83333333333333337</v>
      </c>
      <c r="I24" s="227">
        <v>0.33333333333333331</v>
      </c>
      <c r="J24" s="227">
        <v>8.3333333333333329E-2</v>
      </c>
      <c r="K24" s="225" t="s">
        <v>10697</v>
      </c>
      <c r="L24" s="221" t="s">
        <v>10741</v>
      </c>
    </row>
    <row r="25" spans="1:12" ht="57.6" x14ac:dyDescent="0.3">
      <c r="A25" s="223" t="s">
        <v>210</v>
      </c>
      <c r="B25" s="223" t="s">
        <v>845</v>
      </c>
      <c r="C25" s="225">
        <v>16</v>
      </c>
      <c r="D25" s="226">
        <v>2.9375</v>
      </c>
      <c r="E25" s="226">
        <v>5.4375</v>
      </c>
      <c r="F25" s="227">
        <v>0.75</v>
      </c>
      <c r="G25" s="227">
        <v>0.4375</v>
      </c>
      <c r="H25" s="227">
        <v>0.5</v>
      </c>
      <c r="I25" s="227">
        <v>0.375</v>
      </c>
      <c r="J25" s="227">
        <v>6.25E-2</v>
      </c>
      <c r="K25" s="225" t="s">
        <v>10698</v>
      </c>
      <c r="L25" s="221" t="s">
        <v>10742</v>
      </c>
    </row>
    <row r="26" spans="1:12" ht="57.6" x14ac:dyDescent="0.3">
      <c r="A26" s="223" t="s">
        <v>3720</v>
      </c>
      <c r="B26" s="223" t="s">
        <v>3662</v>
      </c>
      <c r="C26" s="225">
        <v>10</v>
      </c>
      <c r="D26" s="226">
        <v>1.8</v>
      </c>
      <c r="E26" s="226">
        <v>4.0999999999999996</v>
      </c>
      <c r="F26" s="227">
        <v>0.7</v>
      </c>
      <c r="G26" s="227">
        <v>0.4</v>
      </c>
      <c r="H26" s="227">
        <v>0.6</v>
      </c>
      <c r="I26" s="227">
        <v>0.2</v>
      </c>
      <c r="J26" s="227">
        <v>0.2</v>
      </c>
      <c r="K26" s="225" t="s">
        <v>10698</v>
      </c>
      <c r="L26" s="221" t="s">
        <v>10743</v>
      </c>
    </row>
    <row r="27" spans="1:12" ht="57.6" x14ac:dyDescent="0.3">
      <c r="A27" s="223" t="s">
        <v>1281</v>
      </c>
      <c r="B27" s="223" t="s">
        <v>973</v>
      </c>
      <c r="C27" s="225">
        <v>19</v>
      </c>
      <c r="D27" s="226">
        <v>2.3684210526315788</v>
      </c>
      <c r="E27" s="226">
        <v>4.3684210526315788</v>
      </c>
      <c r="F27" s="227">
        <v>0.68421052631578949</v>
      </c>
      <c r="G27" s="227">
        <v>0.42105263157894735</v>
      </c>
      <c r="H27" s="227">
        <v>0.33333333333333331</v>
      </c>
      <c r="I27" s="227">
        <v>0.5714285714285714</v>
      </c>
      <c r="J27" s="227">
        <v>0.15789473684210525</v>
      </c>
      <c r="K27" s="225" t="s">
        <v>10698</v>
      </c>
      <c r="L27" s="221" t="s">
        <v>10744</v>
      </c>
    </row>
    <row r="28" spans="1:12" ht="57.6" x14ac:dyDescent="0.3">
      <c r="A28" s="223" t="s">
        <v>6416</v>
      </c>
      <c r="B28" s="223" t="s">
        <v>960</v>
      </c>
      <c r="C28" s="225">
        <v>12</v>
      </c>
      <c r="D28" s="226">
        <v>2.3333333333333335</v>
      </c>
      <c r="E28" s="226">
        <v>4.416666666666667</v>
      </c>
      <c r="F28" s="227">
        <v>0.66666666666666663</v>
      </c>
      <c r="G28" s="227">
        <v>0.41666666666666669</v>
      </c>
      <c r="H28" s="227">
        <v>0.4</v>
      </c>
      <c r="I28" s="227">
        <v>0.42857142857142855</v>
      </c>
      <c r="J28" s="227">
        <v>8.3333333333333329E-2</v>
      </c>
      <c r="K28" s="225" t="s">
        <v>10698</v>
      </c>
      <c r="L28" s="221" t="s">
        <v>10745</v>
      </c>
    </row>
    <row r="29" spans="1:12" ht="57.6" x14ac:dyDescent="0.3">
      <c r="A29" s="223" t="s">
        <v>4398</v>
      </c>
      <c r="B29" s="223" t="s">
        <v>4290</v>
      </c>
      <c r="C29" s="225">
        <v>13</v>
      </c>
      <c r="D29" s="226">
        <v>2.3076923076923075</v>
      </c>
      <c r="E29" s="226">
        <v>4.2307692307692308</v>
      </c>
      <c r="F29" s="227">
        <v>0.61538461538461542</v>
      </c>
      <c r="G29" s="227">
        <v>0.38461538461538464</v>
      </c>
      <c r="H29" s="227">
        <v>0.5</v>
      </c>
      <c r="I29" s="227">
        <v>0.2857142857142857</v>
      </c>
      <c r="J29" s="227">
        <v>0.15384615384615385</v>
      </c>
      <c r="K29" s="225" t="s">
        <v>10698</v>
      </c>
      <c r="L29" s="221" t="s">
        <v>10746</v>
      </c>
    </row>
    <row r="30" spans="1:12" ht="57.6" x14ac:dyDescent="0.3">
      <c r="A30" s="223" t="s">
        <v>432</v>
      </c>
      <c r="B30" s="223" t="s">
        <v>882</v>
      </c>
      <c r="C30" s="225">
        <v>13</v>
      </c>
      <c r="D30" s="226">
        <v>3.2307692307692308</v>
      </c>
      <c r="E30" s="226">
        <v>4.1538461538461542</v>
      </c>
      <c r="F30" s="227">
        <v>0.61538461538461542</v>
      </c>
      <c r="G30" s="227">
        <v>0.38461538461538464</v>
      </c>
      <c r="H30" s="227">
        <v>0.42857142857142855</v>
      </c>
      <c r="I30" s="227">
        <v>0.33333333333333331</v>
      </c>
      <c r="J30" s="227">
        <v>0</v>
      </c>
      <c r="K30" s="225" t="s">
        <v>10698</v>
      </c>
      <c r="L30" s="221" t="s">
        <v>10747</v>
      </c>
    </row>
    <row r="31" spans="1:12" x14ac:dyDescent="0.3">
      <c r="A31" s="223"/>
      <c r="B31" s="223"/>
      <c r="C31" s="223"/>
      <c r="D31" s="223"/>
      <c r="E31" s="223"/>
      <c r="F31" s="223"/>
      <c r="G31" s="223"/>
      <c r="H31" s="223"/>
      <c r="I31" s="223"/>
      <c r="J31" s="223"/>
      <c r="K31" s="223"/>
      <c r="L31" s="223"/>
    </row>
    <row r="32" spans="1:12" ht="15.6" x14ac:dyDescent="0.3">
      <c r="A32" s="364" t="s">
        <v>10699</v>
      </c>
      <c r="B32" s="364"/>
      <c r="C32" s="364"/>
      <c r="D32" s="364"/>
      <c r="E32" s="364"/>
      <c r="F32" s="364"/>
      <c r="G32" s="364"/>
      <c r="H32" s="364"/>
      <c r="I32" s="364"/>
      <c r="J32" s="364"/>
      <c r="K32" s="364"/>
      <c r="L32" s="364"/>
    </row>
    <row r="33" spans="1:12" x14ac:dyDescent="0.3">
      <c r="A33" s="223" t="s">
        <v>343</v>
      </c>
      <c r="B33" s="223" t="s">
        <v>0</v>
      </c>
      <c r="C33" s="223" t="s">
        <v>10687</v>
      </c>
      <c r="D33" s="223" t="s">
        <v>10688</v>
      </c>
      <c r="E33" s="223" t="s">
        <v>10689</v>
      </c>
      <c r="F33" s="223" t="s">
        <v>10700</v>
      </c>
      <c r="G33" s="223" t="s">
        <v>10701</v>
      </c>
      <c r="H33" s="223" t="s">
        <v>10702</v>
      </c>
      <c r="I33" s="223" t="s">
        <v>10703</v>
      </c>
      <c r="J33" s="223" t="s">
        <v>10694</v>
      </c>
      <c r="K33" s="223" t="s">
        <v>805</v>
      </c>
      <c r="L33" s="223" t="s">
        <v>10695</v>
      </c>
    </row>
    <row r="34" spans="1:12" ht="57.6" x14ac:dyDescent="0.3">
      <c r="A34" s="223" t="s">
        <v>210</v>
      </c>
      <c r="B34" s="223" t="s">
        <v>845</v>
      </c>
      <c r="C34" s="225">
        <v>16</v>
      </c>
      <c r="D34" s="226">
        <v>2.9375</v>
      </c>
      <c r="E34" s="226">
        <v>5.4375</v>
      </c>
      <c r="F34" s="227">
        <v>0.9375</v>
      </c>
      <c r="G34" s="227">
        <v>0.75</v>
      </c>
      <c r="H34" s="227">
        <v>0.625</v>
      </c>
      <c r="I34" s="227">
        <v>0.875</v>
      </c>
      <c r="J34" s="227">
        <v>6.25E-2</v>
      </c>
      <c r="K34" s="225" t="s">
        <v>10696</v>
      </c>
      <c r="L34" s="221" t="s">
        <v>10748</v>
      </c>
    </row>
    <row r="35" spans="1:12" ht="57.6" x14ac:dyDescent="0.3">
      <c r="A35" s="223" t="s">
        <v>568</v>
      </c>
      <c r="B35" s="223" t="s">
        <v>845</v>
      </c>
      <c r="C35" s="225">
        <v>15</v>
      </c>
      <c r="D35" s="226">
        <v>2.8</v>
      </c>
      <c r="E35" s="226">
        <v>4.8</v>
      </c>
      <c r="F35" s="227">
        <v>0.93333333333333335</v>
      </c>
      <c r="G35" s="227">
        <v>0.8666666666666667</v>
      </c>
      <c r="H35" s="227">
        <v>1</v>
      </c>
      <c r="I35" s="227">
        <v>0.75</v>
      </c>
      <c r="J35" s="227">
        <v>6.6666666666666666E-2</v>
      </c>
      <c r="K35" s="225" t="s">
        <v>10696</v>
      </c>
      <c r="L35" s="221" t="s">
        <v>10749</v>
      </c>
    </row>
    <row r="36" spans="1:12" ht="57.6" x14ac:dyDescent="0.3">
      <c r="A36" s="223" t="s">
        <v>2984</v>
      </c>
      <c r="B36" s="223" t="s">
        <v>1336</v>
      </c>
      <c r="C36" s="225">
        <v>12</v>
      </c>
      <c r="D36" s="226">
        <v>3.6666666666666665</v>
      </c>
      <c r="E36" s="226">
        <v>5.916666666666667</v>
      </c>
      <c r="F36" s="227">
        <v>0.91666666666666663</v>
      </c>
      <c r="G36" s="227">
        <v>0.91666666666666663</v>
      </c>
      <c r="H36" s="227">
        <v>1</v>
      </c>
      <c r="I36" s="227">
        <v>0.83333333333333337</v>
      </c>
      <c r="J36" s="227">
        <v>8.3333333333333329E-2</v>
      </c>
      <c r="K36" s="225" t="s">
        <v>10696</v>
      </c>
      <c r="L36" s="221" t="s">
        <v>10750</v>
      </c>
    </row>
    <row r="37" spans="1:12" ht="57.6" x14ac:dyDescent="0.3">
      <c r="A37" s="223" t="s">
        <v>6958</v>
      </c>
      <c r="B37" s="223" t="s">
        <v>987</v>
      </c>
      <c r="C37" s="225">
        <v>12</v>
      </c>
      <c r="D37" s="226">
        <v>3.4166666666666665</v>
      </c>
      <c r="E37" s="226">
        <v>5.583333333333333</v>
      </c>
      <c r="F37" s="227">
        <v>0.91666666666666663</v>
      </c>
      <c r="G37" s="227">
        <v>0.75</v>
      </c>
      <c r="H37" s="227">
        <v>0.66666666666666663</v>
      </c>
      <c r="I37" s="227">
        <v>0.83333333333333337</v>
      </c>
      <c r="J37" s="227">
        <v>0</v>
      </c>
      <c r="K37" s="225" t="s">
        <v>10696</v>
      </c>
      <c r="L37" s="221" t="s">
        <v>10751</v>
      </c>
    </row>
    <row r="38" spans="1:12" ht="57.6" x14ac:dyDescent="0.3">
      <c r="A38" s="223" t="s">
        <v>6416</v>
      </c>
      <c r="B38" s="223" t="s">
        <v>960</v>
      </c>
      <c r="C38" s="225">
        <v>12</v>
      </c>
      <c r="D38" s="226">
        <v>2.3333333333333335</v>
      </c>
      <c r="E38" s="226">
        <v>4.416666666666667</v>
      </c>
      <c r="F38" s="227">
        <v>0.91666666666666663</v>
      </c>
      <c r="G38" s="227">
        <v>0.83333333333333337</v>
      </c>
      <c r="H38" s="227">
        <v>1</v>
      </c>
      <c r="I38" s="227">
        <v>0.7142857142857143</v>
      </c>
      <c r="J38" s="227">
        <v>8.3333333333333329E-2</v>
      </c>
      <c r="K38" s="225" t="s">
        <v>10696</v>
      </c>
      <c r="L38" s="221" t="s">
        <v>10752</v>
      </c>
    </row>
    <row r="39" spans="1:12" ht="57.6" x14ac:dyDescent="0.3">
      <c r="A39" s="223" t="s">
        <v>6957</v>
      </c>
      <c r="B39" s="223" t="s">
        <v>987</v>
      </c>
      <c r="C39" s="225">
        <v>12</v>
      </c>
      <c r="D39" s="226">
        <v>2.4166666666666665</v>
      </c>
      <c r="E39" s="226">
        <v>5.25</v>
      </c>
      <c r="F39" s="227">
        <v>0.91666666666666663</v>
      </c>
      <c r="G39" s="227">
        <v>0.66666666666666663</v>
      </c>
      <c r="H39" s="227">
        <v>0.83333333333333337</v>
      </c>
      <c r="I39" s="227">
        <v>0.5</v>
      </c>
      <c r="J39" s="227">
        <v>8.3333333333333329E-2</v>
      </c>
      <c r="K39" s="225" t="s">
        <v>10697</v>
      </c>
      <c r="L39" s="221" t="s">
        <v>10753</v>
      </c>
    </row>
    <row r="40" spans="1:12" ht="57.6" x14ac:dyDescent="0.3">
      <c r="A40" s="223" t="s">
        <v>6662</v>
      </c>
      <c r="B40" s="223" t="s">
        <v>1338</v>
      </c>
      <c r="C40" s="225">
        <v>12</v>
      </c>
      <c r="D40" s="226">
        <v>2.0833333333333335</v>
      </c>
      <c r="E40" s="226">
        <v>3.75</v>
      </c>
      <c r="F40" s="227">
        <v>0.91666666666666663</v>
      </c>
      <c r="G40" s="227">
        <v>0.66666666666666663</v>
      </c>
      <c r="H40" s="227">
        <v>0.83333333333333337</v>
      </c>
      <c r="I40" s="227">
        <v>0.5</v>
      </c>
      <c r="J40" s="227">
        <v>0</v>
      </c>
      <c r="K40" s="225" t="s">
        <v>10697</v>
      </c>
      <c r="L40" s="221" t="s">
        <v>10754</v>
      </c>
    </row>
    <row r="41" spans="1:12" ht="57.6" x14ac:dyDescent="0.3">
      <c r="A41" s="223" t="s">
        <v>272</v>
      </c>
      <c r="B41" s="223" t="s">
        <v>960</v>
      </c>
      <c r="C41" s="225">
        <v>12</v>
      </c>
      <c r="D41" s="226">
        <v>1.9166666666666667</v>
      </c>
      <c r="E41" s="226">
        <v>3.6666666666666665</v>
      </c>
      <c r="F41" s="227">
        <v>0.91666666666666663</v>
      </c>
      <c r="G41" s="227">
        <v>0.66666666666666663</v>
      </c>
      <c r="H41" s="227">
        <v>0.83333333333333337</v>
      </c>
      <c r="I41" s="227">
        <v>0.5</v>
      </c>
      <c r="J41" s="227">
        <v>8.3333333333333329E-2</v>
      </c>
      <c r="K41" s="225" t="s">
        <v>10697</v>
      </c>
      <c r="L41" s="221" t="s">
        <v>10753</v>
      </c>
    </row>
    <row r="42" spans="1:12" ht="57.6" x14ac:dyDescent="0.3">
      <c r="A42" s="223" t="s">
        <v>4399</v>
      </c>
      <c r="B42" s="223" t="s">
        <v>4290</v>
      </c>
      <c r="C42" s="225">
        <v>13</v>
      </c>
      <c r="D42" s="226">
        <v>3.2307692307692308</v>
      </c>
      <c r="E42" s="226">
        <v>5.5384615384615383</v>
      </c>
      <c r="F42" s="227">
        <v>0.84615384615384615</v>
      </c>
      <c r="G42" s="227">
        <v>0.84615384615384615</v>
      </c>
      <c r="H42" s="227">
        <v>1</v>
      </c>
      <c r="I42" s="227">
        <v>0.7142857142857143</v>
      </c>
      <c r="J42" s="227">
        <v>7.6923076923076927E-2</v>
      </c>
      <c r="K42" s="225" t="s">
        <v>10697</v>
      </c>
      <c r="L42" s="221" t="s">
        <v>10755</v>
      </c>
    </row>
    <row r="43" spans="1:12" ht="57.6" x14ac:dyDescent="0.3">
      <c r="A43" s="223" t="s">
        <v>6952</v>
      </c>
      <c r="B43" s="223" t="s">
        <v>987</v>
      </c>
      <c r="C43" s="225">
        <v>12</v>
      </c>
      <c r="D43" s="226">
        <v>2.75</v>
      </c>
      <c r="E43" s="226">
        <v>4.5</v>
      </c>
      <c r="F43" s="227">
        <v>0.83333333333333337</v>
      </c>
      <c r="G43" s="227">
        <v>0.75</v>
      </c>
      <c r="H43" s="227">
        <v>0.8</v>
      </c>
      <c r="I43" s="227">
        <v>0.7142857142857143</v>
      </c>
      <c r="J43" s="227">
        <v>8.3333333333333329E-2</v>
      </c>
      <c r="K43" s="225" t="s">
        <v>10697</v>
      </c>
      <c r="L43" s="221" t="s">
        <v>10756</v>
      </c>
    </row>
    <row r="44" spans="1:12" ht="57.6" x14ac:dyDescent="0.3">
      <c r="A44" s="223" t="s">
        <v>4397</v>
      </c>
      <c r="B44" s="223" t="s">
        <v>4290</v>
      </c>
      <c r="C44" s="225">
        <v>12</v>
      </c>
      <c r="D44" s="226">
        <v>3.25</v>
      </c>
      <c r="E44" s="226">
        <v>4.25</v>
      </c>
      <c r="F44" s="227">
        <v>0.83333333333333337</v>
      </c>
      <c r="G44" s="227">
        <v>0.91666666666666663</v>
      </c>
      <c r="H44" s="227">
        <v>1</v>
      </c>
      <c r="I44" s="227">
        <v>0.8571428571428571</v>
      </c>
      <c r="J44" s="227">
        <v>0</v>
      </c>
      <c r="K44" s="225" t="s">
        <v>10697</v>
      </c>
      <c r="L44" s="221" t="s">
        <v>10757</v>
      </c>
    </row>
    <row r="45" spans="1:12" ht="57.6" x14ac:dyDescent="0.3">
      <c r="A45" s="223" t="s">
        <v>451</v>
      </c>
      <c r="B45" s="223" t="s">
        <v>882</v>
      </c>
      <c r="C45" s="225">
        <v>12</v>
      </c>
      <c r="D45" s="226">
        <v>2.5</v>
      </c>
      <c r="E45" s="226">
        <v>4.083333333333333</v>
      </c>
      <c r="F45" s="227">
        <v>0.83333333333333337</v>
      </c>
      <c r="G45" s="227">
        <v>0.75</v>
      </c>
      <c r="H45" s="227">
        <v>0.7142857142857143</v>
      </c>
      <c r="I45" s="227">
        <v>0.8</v>
      </c>
      <c r="J45" s="227">
        <v>0</v>
      </c>
      <c r="K45" s="225" t="s">
        <v>10697</v>
      </c>
      <c r="L45" s="221" t="s">
        <v>10758</v>
      </c>
    </row>
    <row r="46" spans="1:12" ht="57.6" x14ac:dyDescent="0.3">
      <c r="A46" s="223" t="s">
        <v>734</v>
      </c>
      <c r="B46" s="223" t="s">
        <v>4291</v>
      </c>
      <c r="C46" s="225">
        <v>12</v>
      </c>
      <c r="D46" s="226">
        <v>2.4166666666666665</v>
      </c>
      <c r="E46" s="226">
        <v>4.083333333333333</v>
      </c>
      <c r="F46" s="227">
        <v>0.83333333333333337</v>
      </c>
      <c r="G46" s="227">
        <v>0.66666666666666663</v>
      </c>
      <c r="H46" s="227">
        <v>0.66666666666666663</v>
      </c>
      <c r="I46" s="227">
        <v>0.66666666666666663</v>
      </c>
      <c r="J46" s="227">
        <v>0</v>
      </c>
      <c r="K46" s="225" t="s">
        <v>10697</v>
      </c>
      <c r="L46" s="221" t="s">
        <v>10759</v>
      </c>
    </row>
    <row r="47" spans="1:12" ht="57.6" x14ac:dyDescent="0.3">
      <c r="A47" s="223" t="s">
        <v>996</v>
      </c>
      <c r="B47" s="223" t="s">
        <v>1000</v>
      </c>
      <c r="C47" s="225">
        <v>12</v>
      </c>
      <c r="D47" s="226">
        <v>2.6666666666666665</v>
      </c>
      <c r="E47" s="226">
        <v>4</v>
      </c>
      <c r="F47" s="227">
        <v>0.83333333333333337</v>
      </c>
      <c r="G47" s="227">
        <v>1</v>
      </c>
      <c r="H47" s="227">
        <v>1</v>
      </c>
      <c r="I47" s="227">
        <v>1</v>
      </c>
      <c r="J47" s="227">
        <v>0</v>
      </c>
      <c r="K47" s="225" t="s">
        <v>10697</v>
      </c>
      <c r="L47" s="221" t="s">
        <v>10760</v>
      </c>
    </row>
    <row r="48" spans="1:12" ht="57.6" x14ac:dyDescent="0.3">
      <c r="A48" s="223" t="s">
        <v>4991</v>
      </c>
      <c r="B48" s="223" t="s">
        <v>954</v>
      </c>
      <c r="C48" s="225">
        <v>12</v>
      </c>
      <c r="D48" s="226">
        <v>2.0833333333333335</v>
      </c>
      <c r="E48" s="226">
        <v>3.8333333333333335</v>
      </c>
      <c r="F48" s="227">
        <v>0.83333333333333337</v>
      </c>
      <c r="G48" s="227">
        <v>0.66666666666666663</v>
      </c>
      <c r="H48" s="227">
        <v>0.5</v>
      </c>
      <c r="I48" s="227">
        <v>0.83333333333333337</v>
      </c>
      <c r="J48" s="227">
        <v>8.3333333333333329E-2</v>
      </c>
      <c r="K48" s="225" t="s">
        <v>10697</v>
      </c>
      <c r="L48" s="221" t="s">
        <v>10761</v>
      </c>
    </row>
    <row r="49" spans="1:12" x14ac:dyDescent="0.3">
      <c r="A49" s="223"/>
      <c r="B49" s="223"/>
      <c r="C49" s="223"/>
      <c r="D49" s="223"/>
      <c r="E49" s="223"/>
      <c r="F49" s="223"/>
      <c r="G49" s="223"/>
      <c r="H49" s="223"/>
      <c r="I49" s="223"/>
      <c r="J49" s="223"/>
      <c r="K49" s="223"/>
      <c r="L49" s="223"/>
    </row>
    <row r="50" spans="1:12" ht="15.6" x14ac:dyDescent="0.3">
      <c r="A50" s="364" t="s">
        <v>10704</v>
      </c>
      <c r="B50" s="364"/>
      <c r="C50" s="364"/>
      <c r="D50" s="364"/>
      <c r="E50" s="364"/>
      <c r="F50" s="364"/>
      <c r="G50" s="364"/>
      <c r="H50" s="364"/>
      <c r="I50" s="364"/>
      <c r="J50" s="364"/>
      <c r="K50" s="364"/>
      <c r="L50" s="364"/>
    </row>
    <row r="51" spans="1:12" x14ac:dyDescent="0.3">
      <c r="A51" s="223" t="s">
        <v>343</v>
      </c>
      <c r="B51" s="223" t="s">
        <v>0</v>
      </c>
      <c r="C51" s="223" t="s">
        <v>10687</v>
      </c>
      <c r="D51" s="223" t="s">
        <v>10688</v>
      </c>
      <c r="E51" s="223" t="s">
        <v>10689</v>
      </c>
      <c r="F51" s="223" t="s">
        <v>10705</v>
      </c>
      <c r="G51" s="223" t="s">
        <v>10706</v>
      </c>
      <c r="H51" s="223" t="s">
        <v>10707</v>
      </c>
      <c r="I51" s="223" t="s">
        <v>10708</v>
      </c>
      <c r="J51" s="223" t="s">
        <v>10694</v>
      </c>
      <c r="K51" s="223" t="s">
        <v>805</v>
      </c>
      <c r="L51" s="223" t="s">
        <v>10695</v>
      </c>
    </row>
    <row r="52" spans="1:12" ht="57.6" x14ac:dyDescent="0.3">
      <c r="A52" s="223" t="s">
        <v>6958</v>
      </c>
      <c r="B52" s="223" t="s">
        <v>987</v>
      </c>
      <c r="C52" s="225">
        <v>12</v>
      </c>
      <c r="D52" s="226">
        <v>3.4166666666666665</v>
      </c>
      <c r="E52" s="226">
        <v>5.583333333333333</v>
      </c>
      <c r="F52" s="227">
        <v>1</v>
      </c>
      <c r="G52" s="227">
        <v>1</v>
      </c>
      <c r="H52" s="227">
        <v>1</v>
      </c>
      <c r="I52" s="227">
        <v>1</v>
      </c>
      <c r="J52" s="227">
        <v>0</v>
      </c>
      <c r="K52" s="225" t="s">
        <v>10696</v>
      </c>
      <c r="L52" s="221" t="s">
        <v>10762</v>
      </c>
    </row>
    <row r="53" spans="1:12" ht="57.6" x14ac:dyDescent="0.3">
      <c r="A53" s="223" t="s">
        <v>4399</v>
      </c>
      <c r="B53" s="223" t="s">
        <v>4290</v>
      </c>
      <c r="C53" s="225">
        <v>13</v>
      </c>
      <c r="D53" s="226">
        <v>3.2307692307692308</v>
      </c>
      <c r="E53" s="226">
        <v>5.5384615384615383</v>
      </c>
      <c r="F53" s="227">
        <v>1</v>
      </c>
      <c r="G53" s="227">
        <v>0.92307692307692313</v>
      </c>
      <c r="H53" s="227">
        <v>1</v>
      </c>
      <c r="I53" s="227">
        <v>0.8571428571428571</v>
      </c>
      <c r="J53" s="227">
        <v>7.6923076923076927E-2</v>
      </c>
      <c r="K53" s="225" t="s">
        <v>10696</v>
      </c>
      <c r="L53" s="221" t="s">
        <v>10763</v>
      </c>
    </row>
    <row r="54" spans="1:12" ht="57.6" x14ac:dyDescent="0.3">
      <c r="A54" s="223" t="s">
        <v>6957</v>
      </c>
      <c r="B54" s="223" t="s">
        <v>987</v>
      </c>
      <c r="C54" s="225">
        <v>12</v>
      </c>
      <c r="D54" s="226">
        <v>2.4166666666666665</v>
      </c>
      <c r="E54" s="226">
        <v>5.25</v>
      </c>
      <c r="F54" s="227">
        <v>1</v>
      </c>
      <c r="G54" s="227">
        <v>0.91666666666666663</v>
      </c>
      <c r="H54" s="227">
        <v>1</v>
      </c>
      <c r="I54" s="227">
        <v>0.83333333333333337</v>
      </c>
      <c r="J54" s="227">
        <v>8.3333333333333329E-2</v>
      </c>
      <c r="K54" s="225" t="s">
        <v>10696</v>
      </c>
      <c r="L54" s="221" t="s">
        <v>10764</v>
      </c>
    </row>
    <row r="55" spans="1:12" ht="57.6" x14ac:dyDescent="0.3">
      <c r="A55" s="223" t="s">
        <v>568</v>
      </c>
      <c r="B55" s="223" t="s">
        <v>845</v>
      </c>
      <c r="C55" s="225">
        <v>15</v>
      </c>
      <c r="D55" s="226">
        <v>2.8</v>
      </c>
      <c r="E55" s="226">
        <v>4.8</v>
      </c>
      <c r="F55" s="227">
        <v>1</v>
      </c>
      <c r="G55" s="227">
        <v>0.93333333333333335</v>
      </c>
      <c r="H55" s="227">
        <v>1</v>
      </c>
      <c r="I55" s="227">
        <v>0.875</v>
      </c>
      <c r="J55" s="227">
        <v>6.6666666666666666E-2</v>
      </c>
      <c r="K55" s="225" t="s">
        <v>10696</v>
      </c>
      <c r="L55" s="221" t="s">
        <v>10765</v>
      </c>
    </row>
    <row r="56" spans="1:12" ht="57.6" x14ac:dyDescent="0.3">
      <c r="A56" s="223" t="s">
        <v>306</v>
      </c>
      <c r="B56" s="223" t="s">
        <v>1336</v>
      </c>
      <c r="C56" s="225">
        <v>13</v>
      </c>
      <c r="D56" s="226">
        <v>2.4615384615384617</v>
      </c>
      <c r="E56" s="226">
        <v>4.615384615384615</v>
      </c>
      <c r="F56" s="227">
        <v>1</v>
      </c>
      <c r="G56" s="227">
        <v>0.92307692307692313</v>
      </c>
      <c r="H56" s="227">
        <v>1</v>
      </c>
      <c r="I56" s="227">
        <v>0.83333333333333337</v>
      </c>
      <c r="J56" s="227">
        <v>7.6923076923076927E-2</v>
      </c>
      <c r="K56" s="225" t="s">
        <v>10696</v>
      </c>
      <c r="L56" s="221" t="s">
        <v>10766</v>
      </c>
    </row>
    <row r="57" spans="1:12" ht="57.6" x14ac:dyDescent="0.3">
      <c r="A57" s="223" t="s">
        <v>6952</v>
      </c>
      <c r="B57" s="223" t="s">
        <v>987</v>
      </c>
      <c r="C57" s="225">
        <v>12</v>
      </c>
      <c r="D57" s="226">
        <v>2.75</v>
      </c>
      <c r="E57" s="226">
        <v>4.5</v>
      </c>
      <c r="F57" s="227">
        <v>1</v>
      </c>
      <c r="G57" s="227">
        <v>0.91666666666666663</v>
      </c>
      <c r="H57" s="227">
        <v>1</v>
      </c>
      <c r="I57" s="227">
        <v>0.8571428571428571</v>
      </c>
      <c r="J57" s="227">
        <v>8.3333333333333329E-2</v>
      </c>
      <c r="K57" s="225" t="s">
        <v>10696</v>
      </c>
      <c r="L57" s="221" t="s">
        <v>10767</v>
      </c>
    </row>
    <row r="58" spans="1:12" ht="57.6" x14ac:dyDescent="0.3">
      <c r="A58" s="223" t="s">
        <v>6416</v>
      </c>
      <c r="B58" s="223" t="s">
        <v>960</v>
      </c>
      <c r="C58" s="225">
        <v>12</v>
      </c>
      <c r="D58" s="226">
        <v>2.3333333333333335</v>
      </c>
      <c r="E58" s="226">
        <v>4.416666666666667</v>
      </c>
      <c r="F58" s="227">
        <v>1</v>
      </c>
      <c r="G58" s="227">
        <v>0.91666666666666663</v>
      </c>
      <c r="H58" s="227">
        <v>1</v>
      </c>
      <c r="I58" s="227">
        <v>0.8571428571428571</v>
      </c>
      <c r="J58" s="227">
        <v>8.3333333333333329E-2</v>
      </c>
      <c r="K58" s="225" t="s">
        <v>10696</v>
      </c>
      <c r="L58" s="221" t="s">
        <v>10767</v>
      </c>
    </row>
    <row r="59" spans="1:12" ht="57.6" x14ac:dyDescent="0.3">
      <c r="A59" s="223" t="s">
        <v>1390</v>
      </c>
      <c r="B59" s="223" t="s">
        <v>1405</v>
      </c>
      <c r="C59" s="225">
        <v>12</v>
      </c>
      <c r="D59" s="226">
        <v>2.5833333333333335</v>
      </c>
      <c r="E59" s="226">
        <v>4.25</v>
      </c>
      <c r="F59" s="227">
        <v>1</v>
      </c>
      <c r="G59" s="227">
        <v>0.91666666666666663</v>
      </c>
      <c r="H59" s="227">
        <v>0.8</v>
      </c>
      <c r="I59" s="227">
        <v>1</v>
      </c>
      <c r="J59" s="227">
        <v>8.3333333333333329E-2</v>
      </c>
      <c r="K59" s="225" t="s">
        <v>10696</v>
      </c>
      <c r="L59" s="221" t="s">
        <v>10768</v>
      </c>
    </row>
    <row r="60" spans="1:12" ht="57.6" x14ac:dyDescent="0.3">
      <c r="A60" s="223" t="s">
        <v>4397</v>
      </c>
      <c r="B60" s="223" t="s">
        <v>4290</v>
      </c>
      <c r="C60" s="225">
        <v>12</v>
      </c>
      <c r="D60" s="226">
        <v>3.25</v>
      </c>
      <c r="E60" s="226">
        <v>4.25</v>
      </c>
      <c r="F60" s="227">
        <v>1</v>
      </c>
      <c r="G60" s="227">
        <v>1</v>
      </c>
      <c r="H60" s="227">
        <v>1</v>
      </c>
      <c r="I60" s="227">
        <v>1</v>
      </c>
      <c r="J60" s="227">
        <v>0</v>
      </c>
      <c r="K60" s="225" t="s">
        <v>10696</v>
      </c>
      <c r="L60" s="221" t="s">
        <v>10762</v>
      </c>
    </row>
    <row r="61" spans="1:12" ht="57.6" x14ac:dyDescent="0.3">
      <c r="A61" s="223" t="s">
        <v>6988</v>
      </c>
      <c r="B61" s="223" t="s">
        <v>987</v>
      </c>
      <c r="C61" s="225">
        <v>12</v>
      </c>
      <c r="D61" s="226">
        <v>1.75</v>
      </c>
      <c r="E61" s="226">
        <v>4.25</v>
      </c>
      <c r="F61" s="227">
        <v>1</v>
      </c>
      <c r="G61" s="227">
        <v>0.91666666666666663</v>
      </c>
      <c r="H61" s="227">
        <v>1</v>
      </c>
      <c r="I61" s="227">
        <v>0.83333333333333337</v>
      </c>
      <c r="J61" s="227">
        <v>8.3333333333333329E-2</v>
      </c>
      <c r="K61" s="225" t="s">
        <v>10696</v>
      </c>
      <c r="L61" s="221" t="s">
        <v>10764</v>
      </c>
    </row>
    <row r="62" spans="1:12" ht="57.6" x14ac:dyDescent="0.3">
      <c r="A62" s="223" t="s">
        <v>451</v>
      </c>
      <c r="B62" s="223" t="s">
        <v>882</v>
      </c>
      <c r="C62" s="225">
        <v>12</v>
      </c>
      <c r="D62" s="226">
        <v>2.5</v>
      </c>
      <c r="E62" s="226">
        <v>4.083333333333333</v>
      </c>
      <c r="F62" s="227">
        <v>1</v>
      </c>
      <c r="G62" s="227">
        <v>1</v>
      </c>
      <c r="H62" s="227">
        <v>1</v>
      </c>
      <c r="I62" s="227">
        <v>1</v>
      </c>
      <c r="J62" s="227">
        <v>0</v>
      </c>
      <c r="K62" s="225" t="s">
        <v>10696</v>
      </c>
      <c r="L62" s="221" t="s">
        <v>10762</v>
      </c>
    </row>
    <row r="63" spans="1:12" ht="57.6" x14ac:dyDescent="0.3">
      <c r="A63" s="223" t="s">
        <v>295</v>
      </c>
      <c r="B63" s="223" t="s">
        <v>1336</v>
      </c>
      <c r="C63" s="225">
        <v>13</v>
      </c>
      <c r="D63" s="226">
        <v>2.3076923076923075</v>
      </c>
      <c r="E63" s="226">
        <v>4</v>
      </c>
      <c r="F63" s="227">
        <v>1</v>
      </c>
      <c r="G63" s="227">
        <v>0.92307692307692313</v>
      </c>
      <c r="H63" s="227">
        <v>0.875</v>
      </c>
      <c r="I63" s="227">
        <v>1</v>
      </c>
      <c r="J63" s="227">
        <v>7.6923076923076927E-2</v>
      </c>
      <c r="K63" s="225" t="s">
        <v>10696</v>
      </c>
      <c r="L63" s="221" t="s">
        <v>10769</v>
      </c>
    </row>
    <row r="64" spans="1:12" ht="57.6" x14ac:dyDescent="0.3">
      <c r="A64" s="223" t="s">
        <v>996</v>
      </c>
      <c r="B64" s="223" t="s">
        <v>1000</v>
      </c>
      <c r="C64" s="225">
        <v>12</v>
      </c>
      <c r="D64" s="226">
        <v>2.6666666666666665</v>
      </c>
      <c r="E64" s="226">
        <v>4</v>
      </c>
      <c r="F64" s="227">
        <v>1</v>
      </c>
      <c r="G64" s="227">
        <v>1</v>
      </c>
      <c r="H64" s="227">
        <v>1</v>
      </c>
      <c r="I64" s="227">
        <v>1</v>
      </c>
      <c r="J64" s="227">
        <v>0</v>
      </c>
      <c r="K64" s="225" t="s">
        <v>10696</v>
      </c>
      <c r="L64" s="221" t="s">
        <v>10762</v>
      </c>
    </row>
    <row r="65" spans="1:12" ht="57.6" x14ac:dyDescent="0.3">
      <c r="A65" s="223" t="s">
        <v>4991</v>
      </c>
      <c r="B65" s="223" t="s">
        <v>954</v>
      </c>
      <c r="C65" s="225">
        <v>12</v>
      </c>
      <c r="D65" s="226">
        <v>2.0833333333333335</v>
      </c>
      <c r="E65" s="226">
        <v>3.8333333333333335</v>
      </c>
      <c r="F65" s="227">
        <v>1</v>
      </c>
      <c r="G65" s="227">
        <v>0.91666666666666663</v>
      </c>
      <c r="H65" s="227">
        <v>0.83333333333333337</v>
      </c>
      <c r="I65" s="227">
        <v>1</v>
      </c>
      <c r="J65" s="227">
        <v>8.3333333333333329E-2</v>
      </c>
      <c r="K65" s="225" t="s">
        <v>10696</v>
      </c>
      <c r="L65" s="221" t="s">
        <v>10770</v>
      </c>
    </row>
    <row r="66" spans="1:12" ht="57.6" x14ac:dyDescent="0.3">
      <c r="A66" s="223" t="s">
        <v>7603</v>
      </c>
      <c r="B66" s="223" t="s">
        <v>7895</v>
      </c>
      <c r="C66" s="225">
        <v>12</v>
      </c>
      <c r="D66" s="226">
        <v>1.5833333333333333</v>
      </c>
      <c r="E66" s="226">
        <v>3.8333333333333335</v>
      </c>
      <c r="F66" s="227">
        <v>1</v>
      </c>
      <c r="G66" s="227">
        <v>0.91666666666666663</v>
      </c>
      <c r="H66" s="227">
        <v>0.8571428571428571</v>
      </c>
      <c r="I66" s="227">
        <v>1</v>
      </c>
      <c r="J66" s="227">
        <v>8.3333333333333329E-2</v>
      </c>
      <c r="K66" s="225" t="s">
        <v>10696</v>
      </c>
      <c r="L66" s="221" t="s">
        <v>10771</v>
      </c>
    </row>
    <row r="67" spans="1:12" x14ac:dyDescent="0.3">
      <c r="A67" s="223"/>
      <c r="B67" s="223"/>
      <c r="C67" s="223"/>
      <c r="D67" s="223"/>
      <c r="E67" s="223"/>
      <c r="F67" s="223"/>
      <c r="G67" s="223"/>
      <c r="H67" s="223"/>
      <c r="I67" s="223"/>
      <c r="J67" s="223"/>
      <c r="K67" s="223"/>
      <c r="L67" s="223"/>
    </row>
    <row r="68" spans="1:12" ht="15.6" x14ac:dyDescent="0.3">
      <c r="A68" s="363" t="s">
        <v>10709</v>
      </c>
      <c r="B68" s="363"/>
      <c r="C68" s="363"/>
      <c r="D68" s="363"/>
      <c r="E68" s="363"/>
      <c r="F68" s="363"/>
      <c r="G68" s="363"/>
      <c r="H68" s="363"/>
      <c r="I68" s="363"/>
      <c r="J68" s="363"/>
      <c r="K68" s="363"/>
      <c r="L68" s="363"/>
    </row>
    <row r="69" spans="1:12" x14ac:dyDescent="0.3">
      <c r="A69" s="228" t="s">
        <v>809</v>
      </c>
      <c r="B69" s="228" t="s">
        <v>51</v>
      </c>
      <c r="C69" s="228" t="s">
        <v>411</v>
      </c>
      <c r="D69" s="228" t="s">
        <v>8193</v>
      </c>
      <c r="E69" s="228" t="s">
        <v>426</v>
      </c>
      <c r="F69" s="366" t="s">
        <v>10723</v>
      </c>
      <c r="G69" s="366"/>
      <c r="H69" s="366"/>
      <c r="I69" s="366"/>
      <c r="J69" s="366"/>
      <c r="K69" s="366"/>
      <c r="L69" s="366"/>
    </row>
    <row r="70" spans="1:12" ht="28.8" x14ac:dyDescent="0.3">
      <c r="A70" s="221" t="s">
        <v>10710</v>
      </c>
      <c r="B70" s="221" t="s">
        <v>10724</v>
      </c>
      <c r="C70" s="221" t="s">
        <v>10711</v>
      </c>
      <c r="D70" s="222">
        <v>0.16700000000000001</v>
      </c>
      <c r="E70" s="221" t="s">
        <v>10712</v>
      </c>
      <c r="F70" s="367" t="s">
        <v>10725</v>
      </c>
      <c r="G70" s="367"/>
      <c r="H70" s="367"/>
      <c r="I70" s="367"/>
      <c r="J70" s="367"/>
      <c r="K70" s="367"/>
      <c r="L70" s="367"/>
    </row>
    <row r="71" spans="1:12" ht="43.2" x14ac:dyDescent="0.3">
      <c r="A71" s="221" t="s">
        <v>10713</v>
      </c>
      <c r="B71" s="221" t="s">
        <v>10726</v>
      </c>
      <c r="C71" s="221" t="s">
        <v>10714</v>
      </c>
      <c r="D71" s="222">
        <v>0</v>
      </c>
      <c r="E71" s="221" t="s">
        <v>10715</v>
      </c>
      <c r="F71" s="367" t="s">
        <v>10727</v>
      </c>
      <c r="G71" s="367"/>
      <c r="H71" s="367"/>
      <c r="I71" s="367"/>
      <c r="J71" s="367"/>
      <c r="K71" s="367"/>
      <c r="L71" s="367"/>
    </row>
    <row r="72" spans="1:12" ht="43.2" x14ac:dyDescent="0.3">
      <c r="A72" s="221" t="s">
        <v>10716</v>
      </c>
      <c r="B72" s="221" t="s">
        <v>10728</v>
      </c>
      <c r="C72" s="221" t="s">
        <v>10729</v>
      </c>
      <c r="D72" s="222">
        <v>0</v>
      </c>
      <c r="E72" s="221" t="s">
        <v>10717</v>
      </c>
      <c r="F72" s="367" t="s">
        <v>10730</v>
      </c>
      <c r="G72" s="367"/>
      <c r="H72" s="367"/>
      <c r="I72" s="367"/>
      <c r="J72" s="367"/>
      <c r="K72" s="367"/>
      <c r="L72" s="367"/>
    </row>
    <row r="73" spans="1:12" ht="28.8" x14ac:dyDescent="0.3">
      <c r="A73" s="221" t="s">
        <v>10718</v>
      </c>
      <c r="B73" s="221" t="s">
        <v>10731</v>
      </c>
      <c r="C73" s="221" t="s">
        <v>10719</v>
      </c>
      <c r="D73" s="222">
        <v>0</v>
      </c>
      <c r="E73" s="221" t="s">
        <v>10720</v>
      </c>
      <c r="F73" s="367" t="s">
        <v>10732</v>
      </c>
      <c r="G73" s="367"/>
      <c r="H73" s="367"/>
      <c r="I73" s="367"/>
      <c r="J73" s="367"/>
      <c r="K73" s="367"/>
      <c r="L73" s="367"/>
    </row>
    <row r="74" spans="1:12" x14ac:dyDescent="0.3">
      <c r="A74" s="223"/>
      <c r="B74" s="223"/>
      <c r="C74" s="223"/>
      <c r="D74" s="223"/>
      <c r="E74" s="223"/>
      <c r="F74" s="223"/>
      <c r="G74" s="223"/>
      <c r="H74" s="223"/>
      <c r="I74" s="223"/>
      <c r="J74" s="223"/>
      <c r="K74" s="223"/>
      <c r="L74" s="223"/>
    </row>
    <row r="75" spans="1:12" ht="15.6" x14ac:dyDescent="0.3">
      <c r="A75" s="364" t="s">
        <v>10721</v>
      </c>
      <c r="B75" s="364"/>
      <c r="C75" s="364"/>
      <c r="D75" s="364"/>
      <c r="E75" s="364"/>
      <c r="F75" s="364"/>
      <c r="G75" s="364"/>
      <c r="H75" s="364"/>
      <c r="I75" s="364"/>
      <c r="J75" s="364"/>
      <c r="K75" s="364"/>
      <c r="L75" s="364"/>
    </row>
    <row r="76" spans="1:12" x14ac:dyDescent="0.3">
      <c r="A76" s="365" t="s">
        <v>10722</v>
      </c>
      <c r="B76" s="365"/>
      <c r="C76" s="365"/>
      <c r="D76" s="365"/>
      <c r="E76" s="365"/>
      <c r="F76" s="365"/>
      <c r="G76" s="365"/>
      <c r="H76" s="365"/>
      <c r="I76" s="365"/>
      <c r="J76" s="365"/>
      <c r="K76" s="365"/>
      <c r="L76" s="365"/>
    </row>
    <row r="77" spans="1:12" x14ac:dyDescent="0.3">
      <c r="A77" s="365"/>
      <c r="B77" s="365"/>
      <c r="C77" s="365"/>
      <c r="D77" s="365"/>
      <c r="E77" s="365"/>
      <c r="F77" s="365"/>
      <c r="G77" s="365"/>
      <c r="H77" s="365"/>
      <c r="I77" s="365"/>
      <c r="J77" s="365"/>
      <c r="K77" s="365"/>
      <c r="L77" s="365"/>
    </row>
    <row r="78" spans="1:12" x14ac:dyDescent="0.3">
      <c r="A78" s="365"/>
      <c r="B78" s="365"/>
      <c r="C78" s="365"/>
      <c r="D78" s="365"/>
      <c r="E78" s="365"/>
      <c r="F78" s="365"/>
      <c r="G78" s="365"/>
      <c r="H78" s="365"/>
      <c r="I78" s="365"/>
      <c r="J78" s="365"/>
      <c r="K78" s="365"/>
      <c r="L78" s="365"/>
    </row>
  </sheetData>
  <mergeCells count="44">
    <mergeCell ref="A50:L50"/>
    <mergeCell ref="A8:B8"/>
    <mergeCell ref="C8:D8"/>
    <mergeCell ref="E8:F8"/>
    <mergeCell ref="G8:H8"/>
    <mergeCell ref="A1:L1"/>
    <mergeCell ref="A2:L2"/>
    <mergeCell ref="A4:L6"/>
    <mergeCell ref="A14:L14"/>
    <mergeCell ref="A32:L32"/>
    <mergeCell ref="A68:L68"/>
    <mergeCell ref="A75:L75"/>
    <mergeCell ref="A76:L78"/>
    <mergeCell ref="F69:L69"/>
    <mergeCell ref="F70:L70"/>
    <mergeCell ref="F71:L71"/>
    <mergeCell ref="F72:L72"/>
    <mergeCell ref="F73:L73"/>
    <mergeCell ref="K10:L10"/>
    <mergeCell ref="I8:J8"/>
    <mergeCell ref="K8:L8"/>
    <mergeCell ref="A9:B9"/>
    <mergeCell ref="C9:D9"/>
    <mergeCell ref="E9:F9"/>
    <mergeCell ref="G9:H9"/>
    <mergeCell ref="I9:J9"/>
    <mergeCell ref="K9:L9"/>
    <mergeCell ref="A10:B10"/>
    <mergeCell ref="C10:D10"/>
    <mergeCell ref="E10:F10"/>
    <mergeCell ref="G10:H10"/>
    <mergeCell ref="I10:J10"/>
    <mergeCell ref="K12:L12"/>
    <mergeCell ref="A11:B11"/>
    <mergeCell ref="C11:D11"/>
    <mergeCell ref="E11:F11"/>
    <mergeCell ref="G11:H11"/>
    <mergeCell ref="I11:J11"/>
    <mergeCell ref="K11:L11"/>
    <mergeCell ref="A12:B12"/>
    <mergeCell ref="C12:D12"/>
    <mergeCell ref="E12:F12"/>
    <mergeCell ref="G12:H12"/>
    <mergeCell ref="I12:J12"/>
  </mergeCells>
  <conditionalFormatting sqref="K16:K30">
    <cfRule type="expression" dxfId="8" priority="1">
      <formula>K16="ELITE"</formula>
    </cfRule>
    <cfRule type="expression" dxfId="7" priority="2">
      <formula>K16="FORTE"</formula>
    </cfRule>
    <cfRule type="expression" dxfId="6" priority="3">
      <formula>K16="OBSERVAÇÃO"</formula>
    </cfRule>
  </conditionalFormatting>
  <conditionalFormatting sqref="K34:K48">
    <cfRule type="expression" dxfId="5" priority="4">
      <formula>K34="ELITE"</formula>
    </cfRule>
    <cfRule type="expression" dxfId="4" priority="5">
      <formula>K34="FORTE"</formula>
    </cfRule>
    <cfRule type="expression" dxfId="3" priority="6">
      <formula>K34="OBSERVAÇÃO"</formula>
    </cfRule>
  </conditionalFormatting>
  <conditionalFormatting sqref="K52:K66">
    <cfRule type="expression" dxfId="2" priority="7">
      <formula>K52="ELITE"</formula>
    </cfRule>
    <cfRule type="expression" dxfId="1" priority="8">
      <formula>K52="FORTE"</formula>
    </cfRule>
    <cfRule type="expression" dxfId="0" priority="9">
      <formula>K52="OBSERVAÇÃO"</formula>
    </cfRule>
  </conditionalFormatting>
  <pageMargins left="0.511811024" right="0.511811024" top="0.78740157499999996" bottom="0.78740157499999996" header="0.31496062000000002" footer="0.31496062000000002"/>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1B00-5882-4140-9AC7-35860FF0B29F}">
  <dimension ref="A1:J38"/>
  <sheetViews>
    <sheetView topLeftCell="A6" workbookViewId="0">
      <selection activeCell="C25" sqref="C25"/>
    </sheetView>
  </sheetViews>
  <sheetFormatPr defaultRowHeight="14.4" x14ac:dyDescent="0.3"/>
  <cols>
    <col min="1" max="1" width="10.21875" customWidth="1"/>
    <col min="2" max="2" width="26.88671875" customWidth="1"/>
    <col min="3" max="3" width="38.88671875" customWidth="1"/>
    <col min="4" max="4" width="13" customWidth="1"/>
    <col min="5" max="5" width="15.77734375" customWidth="1"/>
    <col min="6" max="7" width="13.88671875" customWidth="1"/>
    <col min="8" max="8" width="11.109375" customWidth="1"/>
    <col min="9" max="9" width="13" customWidth="1"/>
    <col min="10" max="10" width="40.77734375" customWidth="1"/>
  </cols>
  <sheetData>
    <row r="1" spans="1:10" ht="23.4" x14ac:dyDescent="0.45">
      <c r="A1" s="374" t="s">
        <v>11286</v>
      </c>
      <c r="B1" s="374"/>
      <c r="C1" s="374"/>
      <c r="D1" s="374"/>
      <c r="E1" s="374"/>
      <c r="F1" s="374"/>
      <c r="G1" s="374"/>
      <c r="H1" s="374"/>
      <c r="I1" s="374"/>
      <c r="J1" s="374"/>
    </row>
    <row r="2" spans="1:10" x14ac:dyDescent="0.3">
      <c r="A2" s="375" t="s">
        <v>11287</v>
      </c>
      <c r="B2" s="375"/>
      <c r="C2" s="375"/>
      <c r="D2" s="375"/>
      <c r="E2" s="375"/>
      <c r="F2" s="375"/>
      <c r="G2" s="375"/>
      <c r="H2" s="375"/>
      <c r="I2" s="375"/>
      <c r="J2" s="375"/>
    </row>
    <row r="3" spans="1:10" x14ac:dyDescent="0.3">
      <c r="A3" s="220"/>
      <c r="B3" s="220"/>
      <c r="C3" s="220"/>
      <c r="D3" s="220"/>
      <c r="E3" s="220"/>
      <c r="F3" s="220"/>
      <c r="G3" s="220"/>
      <c r="H3" s="220"/>
      <c r="I3" s="220"/>
      <c r="J3" s="220"/>
    </row>
    <row r="4" spans="1:10" x14ac:dyDescent="0.3">
      <c r="A4" s="373" t="s">
        <v>11288</v>
      </c>
      <c r="B4" s="373"/>
      <c r="C4" s="373"/>
      <c r="D4" s="373"/>
      <c r="E4" s="373"/>
      <c r="F4" s="373"/>
      <c r="G4" s="373"/>
      <c r="H4" s="373"/>
      <c r="I4" s="373"/>
      <c r="J4" s="373"/>
    </row>
    <row r="5" spans="1:10" x14ac:dyDescent="0.3">
      <c r="A5" s="373"/>
      <c r="B5" s="373"/>
      <c r="C5" s="373"/>
      <c r="D5" s="373"/>
      <c r="E5" s="373"/>
      <c r="F5" s="373"/>
      <c r="G5" s="373"/>
      <c r="H5" s="373"/>
      <c r="I5" s="373"/>
      <c r="J5" s="373"/>
    </row>
    <row r="6" spans="1:10" x14ac:dyDescent="0.3">
      <c r="A6" s="373"/>
      <c r="B6" s="373"/>
      <c r="C6" s="373"/>
      <c r="D6" s="373"/>
      <c r="E6" s="373"/>
      <c r="F6" s="373"/>
      <c r="G6" s="373"/>
      <c r="H6" s="373"/>
      <c r="I6" s="373"/>
      <c r="J6" s="373"/>
    </row>
    <row r="7" spans="1:10" x14ac:dyDescent="0.3">
      <c r="A7" s="220"/>
      <c r="B7" s="220"/>
      <c r="C7" s="220"/>
      <c r="D7" s="220"/>
      <c r="E7" s="220"/>
      <c r="F7" s="220"/>
      <c r="G7" s="220"/>
      <c r="H7" s="220"/>
      <c r="I7" s="220"/>
      <c r="J7" s="220"/>
    </row>
    <row r="8" spans="1:10" ht="15.6" x14ac:dyDescent="0.3">
      <c r="A8" s="372" t="s">
        <v>11289</v>
      </c>
      <c r="B8" s="372"/>
      <c r="C8" s="372"/>
      <c r="D8" s="372"/>
      <c r="E8" s="372"/>
      <c r="F8" s="372"/>
      <c r="G8" s="372"/>
      <c r="H8" s="372"/>
      <c r="I8" s="372"/>
      <c r="J8" s="372"/>
    </row>
    <row r="9" spans="1:10" x14ac:dyDescent="0.3">
      <c r="A9" s="225" t="s">
        <v>11290</v>
      </c>
      <c r="B9" s="223" t="s">
        <v>0</v>
      </c>
      <c r="C9" s="223" t="s">
        <v>44</v>
      </c>
      <c r="D9" s="225" t="s">
        <v>11291</v>
      </c>
      <c r="E9" s="225" t="s">
        <v>11292</v>
      </c>
      <c r="F9" s="225" t="s">
        <v>11293</v>
      </c>
      <c r="G9" s="225" t="s">
        <v>11294</v>
      </c>
      <c r="H9" s="225" t="s">
        <v>11295</v>
      </c>
      <c r="I9" s="225" t="s">
        <v>8193</v>
      </c>
      <c r="J9" s="223" t="s">
        <v>11296</v>
      </c>
    </row>
    <row r="10" spans="1:10" x14ac:dyDescent="0.3">
      <c r="A10" s="225">
        <v>1</v>
      </c>
      <c r="B10" s="223" t="s">
        <v>987</v>
      </c>
      <c r="C10" s="223" t="s">
        <v>11297</v>
      </c>
      <c r="D10" s="225" t="s">
        <v>11298</v>
      </c>
      <c r="E10" s="225" t="s">
        <v>1348</v>
      </c>
      <c r="F10" s="227">
        <v>0.97993763389999999</v>
      </c>
      <c r="G10" s="227">
        <v>0.97993763389999999</v>
      </c>
      <c r="H10" s="226">
        <v>5.9667000000000003</v>
      </c>
      <c r="I10" s="227">
        <v>3.009E-3</v>
      </c>
      <c r="J10" s="221" t="s">
        <v>11299</v>
      </c>
    </row>
    <row r="11" spans="1:10" x14ac:dyDescent="0.3">
      <c r="A11" s="225">
        <v>2</v>
      </c>
      <c r="B11" s="223" t="s">
        <v>11300</v>
      </c>
      <c r="C11" s="223" t="s">
        <v>11301</v>
      </c>
      <c r="D11" s="225" t="s">
        <v>11298</v>
      </c>
      <c r="E11" s="225" t="s">
        <v>1348</v>
      </c>
      <c r="F11" s="227">
        <v>0.93683322499999999</v>
      </c>
      <c r="G11" s="227">
        <v>0.93683322499999999</v>
      </c>
      <c r="H11" s="226">
        <v>5</v>
      </c>
      <c r="I11" s="227">
        <v>1.3084999999999999E-2</v>
      </c>
      <c r="J11" s="221" t="s">
        <v>11299</v>
      </c>
    </row>
    <row r="12" spans="1:10" x14ac:dyDescent="0.3">
      <c r="A12" s="225">
        <v>3</v>
      </c>
      <c r="B12" s="223" t="s">
        <v>1000</v>
      </c>
      <c r="C12" s="223" t="s">
        <v>11302</v>
      </c>
      <c r="D12" s="225" t="s">
        <v>11298</v>
      </c>
      <c r="E12" s="225" t="s">
        <v>1348</v>
      </c>
      <c r="F12" s="227">
        <v>0.91700176010000001</v>
      </c>
      <c r="G12" s="227">
        <v>0.91700176010000001</v>
      </c>
      <c r="H12" s="226">
        <v>4.2</v>
      </c>
      <c r="I12" s="227">
        <v>1.66E-2</v>
      </c>
      <c r="J12" s="221" t="s">
        <v>11303</v>
      </c>
    </row>
    <row r="13" spans="1:10" x14ac:dyDescent="0.3">
      <c r="A13" s="225">
        <v>4</v>
      </c>
      <c r="B13" s="223" t="s">
        <v>1339</v>
      </c>
      <c r="C13" s="223" t="s">
        <v>11304</v>
      </c>
      <c r="D13" s="225" t="s">
        <v>11298</v>
      </c>
      <c r="E13" s="225" t="s">
        <v>1348</v>
      </c>
      <c r="F13" s="227">
        <v>0.89099893220000004</v>
      </c>
      <c r="G13" s="227">
        <v>0.89099893220000004</v>
      </c>
      <c r="H13" s="226">
        <v>3.85</v>
      </c>
      <c r="I13" s="227">
        <v>2.3356999999999999E-2</v>
      </c>
      <c r="J13" s="221" t="s">
        <v>11303</v>
      </c>
    </row>
    <row r="14" spans="1:10" x14ac:dyDescent="0.3">
      <c r="A14" s="225">
        <v>5</v>
      </c>
      <c r="B14" s="223" t="s">
        <v>1338</v>
      </c>
      <c r="C14" s="223" t="s">
        <v>11305</v>
      </c>
      <c r="D14" s="225" t="s">
        <v>11298</v>
      </c>
      <c r="E14" s="225" t="s">
        <v>1348</v>
      </c>
      <c r="F14" s="227">
        <v>0.87768036419999995</v>
      </c>
      <c r="G14" s="227">
        <v>0.87768036419999995</v>
      </c>
      <c r="H14" s="226">
        <v>3.7166999999999999</v>
      </c>
      <c r="I14" s="227">
        <v>2.7039000000000001E-2</v>
      </c>
      <c r="J14" s="221" t="s">
        <v>11303</v>
      </c>
    </row>
    <row r="15" spans="1:10" x14ac:dyDescent="0.3">
      <c r="A15" s="225">
        <v>6</v>
      </c>
      <c r="B15" s="223" t="s">
        <v>966</v>
      </c>
      <c r="C15" s="223" t="s">
        <v>11306</v>
      </c>
      <c r="D15" s="225" t="s">
        <v>11298</v>
      </c>
      <c r="E15" s="225" t="s">
        <v>1348</v>
      </c>
      <c r="F15" s="227">
        <v>0.87291633629999998</v>
      </c>
      <c r="G15" s="227">
        <v>0.87291633629999998</v>
      </c>
      <c r="H15" s="226">
        <v>3.6667000000000001</v>
      </c>
      <c r="I15" s="227">
        <v>2.8391E-2</v>
      </c>
      <c r="J15" s="221" t="s">
        <v>11303</v>
      </c>
    </row>
    <row r="16" spans="1:10" x14ac:dyDescent="0.3">
      <c r="A16" s="225">
        <v>7</v>
      </c>
      <c r="B16" s="223" t="s">
        <v>1340</v>
      </c>
      <c r="C16" s="223" t="s">
        <v>11307</v>
      </c>
      <c r="D16" s="225" t="s">
        <v>11298</v>
      </c>
      <c r="E16" s="225" t="s">
        <v>1348</v>
      </c>
      <c r="F16" s="227">
        <v>0.83449686710000004</v>
      </c>
      <c r="G16" s="227">
        <v>0.83449686710000004</v>
      </c>
      <c r="H16" s="226">
        <v>3.3094999999999999</v>
      </c>
      <c r="I16" s="227">
        <v>3.9948999999999998E-2</v>
      </c>
      <c r="J16" s="221" t="s">
        <v>11303</v>
      </c>
    </row>
    <row r="17" spans="1:10" ht="28.8" x14ac:dyDescent="0.3">
      <c r="A17" s="225">
        <v>8</v>
      </c>
      <c r="B17" s="223" t="s">
        <v>954</v>
      </c>
      <c r="C17" s="223" t="s">
        <v>11308</v>
      </c>
      <c r="D17" s="225" t="s">
        <v>11309</v>
      </c>
      <c r="E17" s="225" t="s">
        <v>11310</v>
      </c>
      <c r="F17" s="227">
        <v>0.6440369534</v>
      </c>
      <c r="G17" s="227">
        <v>0.6440369534</v>
      </c>
      <c r="H17" s="226">
        <v>2.5</v>
      </c>
      <c r="I17" s="227">
        <v>0.122171</v>
      </c>
      <c r="J17" s="221" t="s">
        <v>11311</v>
      </c>
    </row>
    <row r="18" spans="1:10" x14ac:dyDescent="0.3">
      <c r="A18" s="225"/>
      <c r="B18" s="223"/>
      <c r="C18" s="223"/>
      <c r="D18" s="225"/>
      <c r="E18" s="225"/>
      <c r="F18" s="225"/>
      <c r="G18" s="225"/>
      <c r="H18" s="225"/>
      <c r="I18" s="225"/>
      <c r="J18" s="221"/>
    </row>
    <row r="19" spans="1:10" ht="15.6" x14ac:dyDescent="0.3">
      <c r="A19" s="376" t="s">
        <v>11312</v>
      </c>
      <c r="B19" s="364"/>
      <c r="C19" s="364"/>
      <c r="D19" s="376"/>
      <c r="E19" s="376"/>
      <c r="F19" s="376"/>
      <c r="G19" s="376"/>
      <c r="H19" s="376"/>
      <c r="I19" s="376"/>
      <c r="J19" s="377"/>
    </row>
    <row r="20" spans="1:10" x14ac:dyDescent="0.3">
      <c r="A20" s="225" t="s">
        <v>11290</v>
      </c>
      <c r="B20" s="223" t="s">
        <v>0</v>
      </c>
      <c r="C20" s="223" t="s">
        <v>44</v>
      </c>
      <c r="D20" s="225" t="s">
        <v>11291</v>
      </c>
      <c r="E20" s="225" t="s">
        <v>11292</v>
      </c>
      <c r="F20" s="225" t="s">
        <v>11293</v>
      </c>
      <c r="G20" s="225" t="s">
        <v>11294</v>
      </c>
      <c r="H20" s="225" t="s">
        <v>11295</v>
      </c>
      <c r="I20" s="225" t="s">
        <v>8193</v>
      </c>
      <c r="J20" s="221" t="s">
        <v>11296</v>
      </c>
    </row>
    <row r="21" spans="1:10" x14ac:dyDescent="0.3">
      <c r="A21" s="225">
        <v>1</v>
      </c>
      <c r="B21" s="223" t="s">
        <v>987</v>
      </c>
      <c r="C21" s="223" t="s">
        <v>11313</v>
      </c>
      <c r="D21" s="225" t="s">
        <v>11298</v>
      </c>
      <c r="E21" s="225" t="s">
        <v>1348</v>
      </c>
      <c r="F21" s="227">
        <v>0.91023740360000005</v>
      </c>
      <c r="G21" s="227">
        <v>0.91023740360000005</v>
      </c>
      <c r="H21" s="226">
        <v>4.1166999999999998</v>
      </c>
      <c r="I21" s="227">
        <v>1.8301000000000001E-2</v>
      </c>
      <c r="J21" s="221" t="s">
        <v>11314</v>
      </c>
    </row>
    <row r="22" spans="1:10" x14ac:dyDescent="0.3">
      <c r="A22" s="225">
        <v>2</v>
      </c>
      <c r="B22" s="223" t="s">
        <v>1339</v>
      </c>
      <c r="C22" s="223" t="s">
        <v>11315</v>
      </c>
      <c r="D22" s="225" t="s">
        <v>11298</v>
      </c>
      <c r="E22" s="225" t="s">
        <v>1348</v>
      </c>
      <c r="F22" s="227">
        <v>0.88671674739999995</v>
      </c>
      <c r="G22" s="227">
        <v>0.88671674739999995</v>
      </c>
      <c r="H22" s="226">
        <v>3.8332999999999999</v>
      </c>
      <c r="I22" s="227">
        <v>2.4525000000000002E-2</v>
      </c>
      <c r="J22" s="221" t="s">
        <v>11316</v>
      </c>
    </row>
    <row r="23" spans="1:10" x14ac:dyDescent="0.3">
      <c r="A23" s="225">
        <v>3</v>
      </c>
      <c r="B23" s="223" t="s">
        <v>1339</v>
      </c>
      <c r="C23" s="223" t="s">
        <v>11317</v>
      </c>
      <c r="D23" s="225" t="s">
        <v>11298</v>
      </c>
      <c r="E23" s="225" t="s">
        <v>1348</v>
      </c>
      <c r="F23" s="227">
        <v>0.88227884670000001</v>
      </c>
      <c r="G23" s="227">
        <v>0.88227884670000001</v>
      </c>
      <c r="H23" s="226">
        <v>3.7667000000000002</v>
      </c>
      <c r="I23" s="227">
        <v>2.5752000000000001E-2</v>
      </c>
      <c r="J23" s="221" t="s">
        <v>11316</v>
      </c>
    </row>
    <row r="24" spans="1:10" x14ac:dyDescent="0.3">
      <c r="A24" s="225">
        <v>4</v>
      </c>
      <c r="B24" s="223" t="s">
        <v>11300</v>
      </c>
      <c r="C24" s="223" t="s">
        <v>11318</v>
      </c>
      <c r="D24" s="225" t="s">
        <v>11298</v>
      </c>
      <c r="E24" s="225" t="s">
        <v>1348</v>
      </c>
      <c r="F24" s="227">
        <v>0.8892443096</v>
      </c>
      <c r="G24" s="227">
        <v>0.8892443096</v>
      </c>
      <c r="H24" s="226">
        <v>4.0667</v>
      </c>
      <c r="I24" s="227">
        <v>2.4875999999999999E-2</v>
      </c>
      <c r="J24" s="221" t="s">
        <v>11319</v>
      </c>
    </row>
    <row r="25" spans="1:10" x14ac:dyDescent="0.3">
      <c r="A25" s="225">
        <v>5</v>
      </c>
      <c r="B25" s="223" t="s">
        <v>1338</v>
      </c>
      <c r="C25" s="223" t="s">
        <v>11320</v>
      </c>
      <c r="D25" s="225" t="s">
        <v>11298</v>
      </c>
      <c r="E25" s="225" t="s">
        <v>1348</v>
      </c>
      <c r="F25" s="227">
        <v>0.83449686710000004</v>
      </c>
      <c r="G25" s="227">
        <v>0.83449686710000004</v>
      </c>
      <c r="H25" s="226">
        <v>3.3452000000000002</v>
      </c>
      <c r="I25" s="227">
        <v>3.9948999999999998E-2</v>
      </c>
      <c r="J25" s="221" t="s">
        <v>11316</v>
      </c>
    </row>
    <row r="26" spans="1:10" x14ac:dyDescent="0.3">
      <c r="A26" s="225">
        <v>6</v>
      </c>
      <c r="B26" s="223" t="s">
        <v>1338</v>
      </c>
      <c r="C26" s="223" t="s">
        <v>11321</v>
      </c>
      <c r="D26" s="225" t="s">
        <v>11298</v>
      </c>
      <c r="E26" s="225" t="s">
        <v>1348</v>
      </c>
      <c r="F26" s="227">
        <v>0.83210569680000002</v>
      </c>
      <c r="G26" s="227">
        <v>0.83210569680000002</v>
      </c>
      <c r="H26" s="226">
        <v>3.65</v>
      </c>
      <c r="I26" s="227">
        <v>4.4236999999999999E-2</v>
      </c>
      <c r="J26" s="221" t="s">
        <v>11316</v>
      </c>
    </row>
    <row r="27" spans="1:10" x14ac:dyDescent="0.3">
      <c r="A27" s="225">
        <v>7</v>
      </c>
      <c r="B27" s="223" t="s">
        <v>1000</v>
      </c>
      <c r="C27" s="223" t="s">
        <v>11322</v>
      </c>
      <c r="D27" s="225" t="s">
        <v>11298</v>
      </c>
      <c r="E27" s="225" t="s">
        <v>1348</v>
      </c>
      <c r="F27" s="227">
        <v>0.83372156659999996</v>
      </c>
      <c r="G27" s="227">
        <v>0.83372156659999996</v>
      </c>
      <c r="H27" s="226">
        <v>3.5118999999999998</v>
      </c>
      <c r="I27" s="227">
        <v>4.3698000000000001E-2</v>
      </c>
      <c r="J27" s="221" t="s">
        <v>11316</v>
      </c>
    </row>
    <row r="28" spans="1:10" x14ac:dyDescent="0.3">
      <c r="A28" s="225">
        <v>8</v>
      </c>
      <c r="B28" s="223" t="s">
        <v>1340</v>
      </c>
      <c r="C28" s="223" t="s">
        <v>11323</v>
      </c>
      <c r="D28" s="225" t="s">
        <v>11298</v>
      </c>
      <c r="E28" s="225" t="s">
        <v>1348</v>
      </c>
      <c r="F28" s="227">
        <v>0.8217274443</v>
      </c>
      <c r="G28" s="227">
        <v>0.8217274443</v>
      </c>
      <c r="H28" s="226">
        <v>3.25</v>
      </c>
      <c r="I28" s="227">
        <v>4.4044E-2</v>
      </c>
      <c r="J28" s="221" t="s">
        <v>11316</v>
      </c>
    </row>
    <row r="29" spans="1:10" x14ac:dyDescent="0.3">
      <c r="A29" s="220"/>
      <c r="B29" s="220"/>
      <c r="C29" s="220"/>
      <c r="D29" s="220"/>
      <c r="E29" s="220"/>
      <c r="F29" s="220"/>
      <c r="G29" s="220"/>
      <c r="H29" s="220"/>
      <c r="I29" s="220"/>
      <c r="J29" s="220"/>
    </row>
    <row r="30" spans="1:10" ht="15.6" x14ac:dyDescent="0.3">
      <c r="A30" s="378" t="s">
        <v>11324</v>
      </c>
      <c r="B30" s="378"/>
      <c r="C30" s="378"/>
      <c r="D30" s="378"/>
      <c r="E30" s="378"/>
      <c r="F30" s="378"/>
      <c r="G30" s="378"/>
      <c r="H30" s="378"/>
      <c r="I30" s="378"/>
      <c r="J30" s="378"/>
    </row>
    <row r="31" spans="1:10" x14ac:dyDescent="0.3">
      <c r="A31" s="262" t="s">
        <v>0</v>
      </c>
      <c r="B31" s="262" t="s">
        <v>11325</v>
      </c>
      <c r="C31" s="262" t="s">
        <v>800</v>
      </c>
      <c r="D31" s="220"/>
      <c r="E31" s="220"/>
      <c r="F31" s="220"/>
      <c r="G31" s="220"/>
      <c r="H31" s="220"/>
      <c r="I31" s="220"/>
      <c r="J31" s="220"/>
    </row>
    <row r="32" spans="1:10" x14ac:dyDescent="0.3">
      <c r="A32" s="220" t="s">
        <v>11326</v>
      </c>
      <c r="B32" s="220">
        <v>3</v>
      </c>
      <c r="C32" s="220" t="s">
        <v>11327</v>
      </c>
      <c r="D32" s="220"/>
      <c r="E32" s="220"/>
      <c r="F32" s="220"/>
      <c r="G32" s="220"/>
      <c r="H32" s="220"/>
      <c r="I32" s="220"/>
      <c r="J32" s="220"/>
    </row>
    <row r="33" spans="1:10" x14ac:dyDescent="0.3">
      <c r="A33" s="220" t="s">
        <v>8285</v>
      </c>
      <c r="B33" s="220">
        <v>3</v>
      </c>
      <c r="C33" s="220" t="s">
        <v>11327</v>
      </c>
      <c r="D33" s="220"/>
      <c r="E33" s="220"/>
      <c r="F33" s="220"/>
      <c r="G33" s="220"/>
      <c r="H33" s="220"/>
      <c r="I33" s="220"/>
      <c r="J33" s="220"/>
    </row>
    <row r="34" spans="1:10" x14ac:dyDescent="0.3">
      <c r="A34" s="220"/>
      <c r="B34" s="220"/>
      <c r="C34" s="220"/>
      <c r="D34" s="220"/>
      <c r="E34" s="220"/>
      <c r="F34" s="220"/>
      <c r="G34" s="220"/>
      <c r="H34" s="220"/>
      <c r="I34" s="220"/>
      <c r="J34" s="220"/>
    </row>
    <row r="35" spans="1:10" ht="15.6" x14ac:dyDescent="0.3">
      <c r="A35" s="372" t="s">
        <v>8197</v>
      </c>
      <c r="B35" s="372"/>
      <c r="C35" s="372"/>
      <c r="D35" s="372"/>
      <c r="E35" s="372"/>
      <c r="F35" s="372"/>
      <c r="G35" s="372"/>
      <c r="H35" s="372"/>
      <c r="I35" s="372"/>
      <c r="J35" s="372"/>
    </row>
    <row r="36" spans="1:10" x14ac:dyDescent="0.3">
      <c r="A36" s="373" t="s">
        <v>11328</v>
      </c>
      <c r="B36" s="373"/>
      <c r="C36" s="373"/>
      <c r="D36" s="373"/>
      <c r="E36" s="373"/>
      <c r="F36" s="373"/>
      <c r="G36" s="373"/>
      <c r="H36" s="373"/>
      <c r="I36" s="373"/>
      <c r="J36" s="373"/>
    </row>
    <row r="37" spans="1:10" x14ac:dyDescent="0.3">
      <c r="A37" s="373"/>
      <c r="B37" s="373"/>
      <c r="C37" s="373"/>
      <c r="D37" s="373"/>
      <c r="E37" s="373"/>
      <c r="F37" s="373"/>
      <c r="G37" s="373"/>
      <c r="H37" s="373"/>
      <c r="I37" s="373"/>
      <c r="J37" s="373"/>
    </row>
    <row r="38" spans="1:10" x14ac:dyDescent="0.3">
      <c r="A38" s="373"/>
      <c r="B38" s="373"/>
      <c r="C38" s="373"/>
      <c r="D38" s="373"/>
      <c r="E38" s="373"/>
      <c r="F38" s="373"/>
      <c r="G38" s="373"/>
      <c r="H38" s="373"/>
      <c r="I38" s="373"/>
      <c r="J38" s="373"/>
    </row>
  </sheetData>
  <mergeCells count="8">
    <mergeCell ref="A35:J35"/>
    <mergeCell ref="A36:J38"/>
    <mergeCell ref="A1:J1"/>
    <mergeCell ref="A2:J2"/>
    <mergeCell ref="A4:J6"/>
    <mergeCell ref="A8:J8"/>
    <mergeCell ref="A19:J19"/>
    <mergeCell ref="A30:J30"/>
  </mergeCells>
  <pageMargins left="0.511811024" right="0.511811024" top="0.78740157499999996" bottom="0.78740157499999996" header="0.31496062000000002" footer="0.31496062000000002"/>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1</vt:i4>
      </vt:variant>
    </vt:vector>
  </HeadingPairs>
  <TitlesOfParts>
    <vt:vector size="15" baseType="lpstr">
      <vt:lpstr>Atualização</vt:lpstr>
      <vt:lpstr>Memória</vt:lpstr>
      <vt:lpstr>Dados</vt:lpstr>
      <vt:lpstr>Ligas</vt:lpstr>
      <vt:lpstr>Equipes</vt:lpstr>
      <vt:lpstr>Ranking</vt:lpstr>
      <vt:lpstr>Avaliação Partidas</vt:lpstr>
      <vt:lpstr>Modelo 01</vt:lpstr>
      <vt:lpstr>Modelo 02</vt:lpstr>
      <vt:lpstr>Prova Real</vt:lpstr>
      <vt:lpstr>Bilhetes</vt:lpstr>
      <vt:lpstr>Backtest</vt:lpstr>
      <vt:lpstr>Radar Over</vt:lpstr>
      <vt:lpstr>Seleção 16-08</vt:lpstr>
      <vt:lpstr>CadastroEquipes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Fernanda S de Souza</cp:lastModifiedBy>
  <cp:revision>0</cp:revision>
  <dcterms:created xsi:type="dcterms:W3CDTF">2026-08-03T14:50:35Z</dcterms:created>
  <dcterms:modified xsi:type="dcterms:W3CDTF">2026-08-16T05:57:10Z</dcterms:modified>
  <dc:language>en-US</dc:language>
</cp:coreProperties>
</file>